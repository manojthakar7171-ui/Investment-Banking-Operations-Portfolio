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d.docs.live.net/d319e8bd5ff854c5/Documents/IB/CIBOP-71/Projects/"/>
    </mc:Choice>
  </mc:AlternateContent>
  <xr:revisionPtr revIDLastSave="28" documentId="8_{A0B3500D-9DE6-4E43-ACD1-836392B2BF24}" xr6:coauthVersionLast="47" xr6:coauthVersionMax="47" xr10:uidLastSave="{2A689DC1-C09C-433B-A1CB-DCD29E99DE3A}"/>
  <bookViews>
    <workbookView xWindow="-96" yWindow="0" windowWidth="11712" windowHeight="12336" firstSheet="2" activeTab="4" xr2:uid="{40B3F9D3-737B-4A2B-B91A-5EF09438253C}"/>
  </bookViews>
  <sheets>
    <sheet name="Internal_Ledger" sheetId="2" r:id="rId1"/>
    <sheet name="Broker_Statement" sheetId="3" r:id="rId2"/>
    <sheet name="Break_Report" sheetId="9" r:id="rId3"/>
    <sheet name="Recon_Dashboard" sheetId="6" state="hidden" r:id="rId4"/>
    <sheet name="Dashboard" sheetId="5" r:id="rId5"/>
  </sheets>
  <definedNames>
    <definedName name="_xlnm._FilterDatabase" localSheetId="2" hidden="1">Break_Report!$A$1:$H$501</definedName>
    <definedName name="Slicer_ISIN">#N/A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9" i="9" l="1"/>
  <c r="C18" i="9"/>
  <c r="C30" i="9"/>
  <c r="C44" i="9"/>
  <c r="C58" i="9"/>
  <c r="C84" i="9"/>
  <c r="C144" i="9"/>
  <c r="C150" i="9"/>
  <c r="C195" i="9"/>
  <c r="C203" i="9"/>
  <c r="C208" i="9"/>
  <c r="C254" i="9"/>
  <c r="C284" i="9"/>
  <c r="C321" i="9"/>
  <c r="C325" i="9"/>
  <c r="C332" i="9"/>
  <c r="C343" i="9"/>
  <c r="C364" i="9"/>
  <c r="C377" i="9"/>
  <c r="C396" i="9"/>
  <c r="C412" i="9"/>
  <c r="C428" i="9"/>
  <c r="C445" i="9"/>
  <c r="C475" i="9"/>
  <c r="C481" i="9"/>
  <c r="C483" i="9"/>
  <c r="C484" i="9"/>
  <c r="C485" i="9"/>
  <c r="C486" i="9"/>
  <c r="C487" i="9"/>
  <c r="C488" i="9"/>
  <c r="C489" i="9"/>
  <c r="C490" i="9"/>
  <c r="C491" i="9"/>
  <c r="C492" i="9"/>
  <c r="C493" i="9"/>
  <c r="C494" i="9"/>
  <c r="C495" i="9"/>
  <c r="C496" i="9"/>
  <c r="C497" i="9"/>
  <c r="C498" i="9"/>
  <c r="C499" i="9"/>
  <c r="C500" i="9"/>
  <c r="C501"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2" i="9"/>
  <c r="H467" i="9" l="1"/>
  <c r="H431" i="9"/>
  <c r="H395" i="9"/>
  <c r="H371" i="9"/>
  <c r="H335" i="9"/>
  <c r="H299" i="9"/>
  <c r="H263" i="9"/>
  <c r="H227" i="9"/>
  <c r="H191" i="9"/>
  <c r="H167" i="9"/>
  <c r="H131" i="9"/>
  <c r="H83" i="9"/>
  <c r="H47" i="9"/>
  <c r="H11" i="9"/>
  <c r="H455" i="9"/>
  <c r="H419" i="9"/>
  <c r="H383" i="9"/>
  <c r="H347" i="9"/>
  <c r="H311" i="9"/>
  <c r="H275" i="9"/>
  <c r="H239" i="9"/>
  <c r="H203" i="9"/>
  <c r="H155" i="9"/>
  <c r="H119" i="9"/>
  <c r="H107" i="9"/>
  <c r="H71" i="9"/>
  <c r="H23" i="9"/>
  <c r="H479" i="9"/>
  <c r="H443" i="9"/>
  <c r="H407" i="9"/>
  <c r="H359" i="9"/>
  <c r="H323" i="9"/>
  <c r="H287" i="9"/>
  <c r="H251" i="9"/>
  <c r="H215" i="9"/>
  <c r="H179" i="9"/>
  <c r="H143" i="9"/>
  <c r="H95" i="9"/>
  <c r="H59" i="9"/>
  <c r="H35" i="9"/>
  <c r="C430" i="9"/>
  <c r="H482" i="9"/>
  <c r="H470" i="9"/>
  <c r="H458" i="9"/>
  <c r="H446" i="9"/>
  <c r="H434" i="9"/>
  <c r="H422" i="9"/>
  <c r="H410" i="9"/>
  <c r="H398" i="9"/>
  <c r="H386" i="9"/>
  <c r="H374" i="9"/>
  <c r="H362" i="9"/>
  <c r="H350" i="9"/>
  <c r="H338" i="9"/>
  <c r="H326" i="9"/>
  <c r="H314" i="9"/>
  <c r="H302" i="9"/>
  <c r="H290" i="9"/>
  <c r="H278" i="9"/>
  <c r="H266" i="9"/>
  <c r="H254" i="9"/>
  <c r="H242" i="9"/>
  <c r="H230" i="9"/>
  <c r="H218" i="9"/>
  <c r="H206" i="9"/>
  <c r="H194" i="9"/>
  <c r="H182" i="9"/>
  <c r="H170" i="9"/>
  <c r="H158" i="9"/>
  <c r="H146" i="9"/>
  <c r="H134" i="9"/>
  <c r="H122" i="9"/>
  <c r="H110" i="9"/>
  <c r="H98" i="9"/>
  <c r="H86" i="9"/>
  <c r="H74" i="9"/>
  <c r="H62" i="9"/>
  <c r="H50" i="9"/>
  <c r="H38" i="9"/>
  <c r="H26" i="9"/>
  <c r="H14" i="9"/>
  <c r="C358" i="9"/>
  <c r="C394" i="9"/>
  <c r="H8" i="9"/>
  <c r="C322" i="9"/>
  <c r="H20" i="9"/>
  <c r="H491" i="9"/>
  <c r="C94" i="9"/>
  <c r="H285" i="9"/>
  <c r="H273" i="9"/>
  <c r="H261" i="9"/>
  <c r="H249" i="9"/>
  <c r="H237" i="9"/>
  <c r="H225" i="9"/>
  <c r="H213" i="9"/>
  <c r="H201" i="9"/>
  <c r="H189" i="9"/>
  <c r="H177" i="9"/>
  <c r="H165" i="9"/>
  <c r="H153" i="9"/>
  <c r="H141" i="9"/>
  <c r="H129" i="9"/>
  <c r="H117" i="9"/>
  <c r="H105" i="9"/>
  <c r="H93" i="9"/>
  <c r="H81" i="9"/>
  <c r="H69" i="9"/>
  <c r="H57" i="9"/>
  <c r="H45" i="9"/>
  <c r="H33" i="9"/>
  <c r="H21" i="9"/>
  <c r="H9" i="9"/>
  <c r="H487" i="9"/>
  <c r="H439" i="9"/>
  <c r="H391" i="9"/>
  <c r="H343" i="9"/>
  <c r="H295" i="9"/>
  <c r="H247" i="9"/>
  <c r="H199" i="9"/>
  <c r="H151" i="9"/>
  <c r="H103" i="9"/>
  <c r="H55" i="9"/>
  <c r="H7" i="9"/>
  <c r="H498" i="9"/>
  <c r="H150" i="9"/>
  <c r="H494" i="9"/>
  <c r="H377" i="9"/>
  <c r="H412" i="9"/>
  <c r="H364" i="9"/>
  <c r="H208" i="9"/>
  <c r="H480" i="9"/>
  <c r="H444" i="9"/>
  <c r="H408" i="9"/>
  <c r="H372" i="9"/>
  <c r="H324" i="9"/>
  <c r="H276" i="9"/>
  <c r="H228" i="9"/>
  <c r="H180" i="9"/>
  <c r="H24" i="9"/>
  <c r="H495" i="9"/>
  <c r="C435" i="9"/>
  <c r="C399" i="9"/>
  <c r="C470" i="9"/>
  <c r="C434" i="9"/>
  <c r="C398" i="9"/>
  <c r="C362" i="9"/>
  <c r="C326" i="9"/>
  <c r="C290" i="9"/>
  <c r="H499" i="9"/>
  <c r="H451" i="9"/>
  <c r="H403" i="9"/>
  <c r="H367" i="9"/>
  <c r="H319" i="9"/>
  <c r="H271" i="9"/>
  <c r="H223" i="9"/>
  <c r="H187" i="9"/>
  <c r="H139" i="9"/>
  <c r="H79" i="9"/>
  <c r="H31" i="9"/>
  <c r="C2" i="9"/>
  <c r="H492" i="9"/>
  <c r="H456" i="9"/>
  <c r="H420" i="9"/>
  <c r="H384" i="9"/>
  <c r="H336" i="9"/>
  <c r="H288" i="9"/>
  <c r="H240" i="9"/>
  <c r="H204" i="9"/>
  <c r="H168" i="9"/>
  <c r="H144" i="9"/>
  <c r="H120" i="9"/>
  <c r="H96" i="9"/>
  <c r="H72" i="9"/>
  <c r="H12" i="9"/>
  <c r="H483" i="9"/>
  <c r="C447" i="9"/>
  <c r="C387" i="9"/>
  <c r="C482" i="9"/>
  <c r="C446" i="9"/>
  <c r="C410" i="9"/>
  <c r="C374" i="9"/>
  <c r="C338" i="9"/>
  <c r="C278" i="9"/>
  <c r="C478" i="9"/>
  <c r="C466" i="9"/>
  <c r="C454" i="9"/>
  <c r="C442" i="9"/>
  <c r="C418" i="9"/>
  <c r="C406" i="9"/>
  <c r="C382" i="9"/>
  <c r="C370" i="9"/>
  <c r="C346" i="9"/>
  <c r="C334" i="9"/>
  <c r="C310" i="9"/>
  <c r="C298" i="9"/>
  <c r="C286" i="9"/>
  <c r="C274" i="9"/>
  <c r="C262" i="9"/>
  <c r="C250" i="9"/>
  <c r="C238" i="9"/>
  <c r="C226" i="9"/>
  <c r="C214" i="9"/>
  <c r="C202" i="9"/>
  <c r="C190" i="9"/>
  <c r="C178" i="9"/>
  <c r="C166" i="9"/>
  <c r="C154" i="9"/>
  <c r="C142" i="9"/>
  <c r="C130" i="9"/>
  <c r="C118" i="9"/>
  <c r="C106" i="9"/>
  <c r="C82" i="9"/>
  <c r="C70" i="9"/>
  <c r="C46" i="9"/>
  <c r="C34" i="9"/>
  <c r="C22" i="9"/>
  <c r="C10" i="9"/>
  <c r="C476" i="9"/>
  <c r="C464" i="9"/>
  <c r="C452" i="9"/>
  <c r="C440" i="9"/>
  <c r="C416" i="9"/>
  <c r="C404" i="9"/>
  <c r="C392" i="9"/>
  <c r="C380" i="9"/>
  <c r="C368" i="9"/>
  <c r="C356" i="9"/>
  <c r="C344" i="9"/>
  <c r="C320" i="9"/>
  <c r="C308" i="9"/>
  <c r="C296" i="9"/>
  <c r="C272" i="9"/>
  <c r="C260" i="9"/>
  <c r="C248" i="9"/>
  <c r="C236" i="9"/>
  <c r="C224" i="9"/>
  <c r="C212" i="9"/>
  <c r="C200" i="9"/>
  <c r="C188" i="9"/>
  <c r="C176" i="9"/>
  <c r="C164" i="9"/>
  <c r="C152" i="9"/>
  <c r="C140" i="9"/>
  <c r="C128" i="9"/>
  <c r="C116" i="9"/>
  <c r="C104" i="9"/>
  <c r="C92" i="9"/>
  <c r="C80" i="9"/>
  <c r="C68" i="9"/>
  <c r="C56" i="9"/>
  <c r="C32" i="9"/>
  <c r="C20" i="9"/>
  <c r="C8" i="9"/>
  <c r="H463" i="9"/>
  <c r="H415" i="9"/>
  <c r="H355" i="9"/>
  <c r="H307" i="9"/>
  <c r="H259" i="9"/>
  <c r="H211" i="9"/>
  <c r="H175" i="9"/>
  <c r="H127" i="9"/>
  <c r="H91" i="9"/>
  <c r="H43" i="9"/>
  <c r="H486" i="9"/>
  <c r="H30" i="9"/>
  <c r="H485" i="9"/>
  <c r="H484" i="9"/>
  <c r="H468" i="9"/>
  <c r="H432" i="9"/>
  <c r="H396" i="9"/>
  <c r="H360" i="9"/>
  <c r="H312" i="9"/>
  <c r="H264" i="9"/>
  <c r="H216" i="9"/>
  <c r="H192" i="9"/>
  <c r="H156" i="9"/>
  <c r="H132" i="9"/>
  <c r="H108" i="9"/>
  <c r="H84" i="9"/>
  <c r="H48" i="9"/>
  <c r="H36" i="9"/>
  <c r="C459" i="9"/>
  <c r="C411" i="9"/>
  <c r="C363" i="9"/>
  <c r="C351" i="9"/>
  <c r="C339" i="9"/>
  <c r="C327" i="9"/>
  <c r="C315" i="9"/>
  <c r="C303" i="9"/>
  <c r="C291" i="9"/>
  <c r="C279" i="9"/>
  <c r="C267" i="9"/>
  <c r="C255" i="9"/>
  <c r="C243" i="9"/>
  <c r="C231" i="9"/>
  <c r="C219" i="9"/>
  <c r="C207" i="9"/>
  <c r="H195" i="9"/>
  <c r="C183" i="9"/>
  <c r="C171" i="9"/>
  <c r="C159" i="9"/>
  <c r="C147" i="9"/>
  <c r="C135" i="9"/>
  <c r="C123" i="9"/>
  <c r="C111" i="9"/>
  <c r="C99" i="9"/>
  <c r="C87" i="9"/>
  <c r="C75" i="9"/>
  <c r="C63" i="9"/>
  <c r="C51" i="9"/>
  <c r="C39" i="9"/>
  <c r="C27" i="9"/>
  <c r="C15" i="9"/>
  <c r="C3" i="9"/>
  <c r="H475" i="9"/>
  <c r="H427" i="9"/>
  <c r="H379" i="9"/>
  <c r="H331" i="9"/>
  <c r="H283" i="9"/>
  <c r="H235" i="9"/>
  <c r="H163" i="9"/>
  <c r="H115" i="9"/>
  <c r="H67" i="9"/>
  <c r="H19" i="9"/>
  <c r="H18" i="9"/>
  <c r="H497" i="9"/>
  <c r="H496" i="9"/>
  <c r="H348" i="9"/>
  <c r="H300" i="9"/>
  <c r="H252" i="9"/>
  <c r="H60" i="9"/>
  <c r="C471" i="9"/>
  <c r="C423" i="9"/>
  <c r="C375" i="9"/>
  <c r="C458" i="9"/>
  <c r="C422" i="9"/>
  <c r="C386" i="9"/>
  <c r="C350" i="9"/>
  <c r="C314" i="9"/>
  <c r="C302" i="9"/>
  <c r="C266" i="9"/>
  <c r="C242" i="9"/>
  <c r="C230" i="9"/>
  <c r="C218" i="9"/>
  <c r="C206" i="9"/>
  <c r="C194" i="9"/>
  <c r="C182" i="9"/>
  <c r="C170" i="9"/>
  <c r="C158" i="9"/>
  <c r="C146" i="9"/>
  <c r="C134" i="9"/>
  <c r="C122" i="9"/>
  <c r="C110" i="9"/>
  <c r="C98" i="9"/>
  <c r="C86" i="9"/>
  <c r="C74" i="9"/>
  <c r="C62" i="9"/>
  <c r="C50" i="9"/>
  <c r="C38" i="9"/>
  <c r="C26" i="9"/>
  <c r="C14" i="9"/>
  <c r="C473" i="9"/>
  <c r="H473" i="9"/>
  <c r="C401" i="9"/>
  <c r="H401" i="9"/>
  <c r="C317" i="9"/>
  <c r="H317" i="9"/>
  <c r="C221" i="9"/>
  <c r="H221" i="9"/>
  <c r="C149" i="9"/>
  <c r="H149" i="9"/>
  <c r="C65" i="9"/>
  <c r="H65" i="9"/>
  <c r="C436" i="9"/>
  <c r="H436" i="9"/>
  <c r="C352" i="9"/>
  <c r="H352" i="9"/>
  <c r="C256" i="9"/>
  <c r="H256" i="9"/>
  <c r="C172" i="9"/>
  <c r="H172" i="9"/>
  <c r="C112" i="9"/>
  <c r="H112" i="9"/>
  <c r="C4" i="9"/>
  <c r="H4" i="9"/>
  <c r="C449" i="9"/>
  <c r="H449" i="9"/>
  <c r="C353" i="9"/>
  <c r="H353" i="9"/>
  <c r="C281" i="9"/>
  <c r="H281" i="9"/>
  <c r="C185" i="9"/>
  <c r="H185" i="9"/>
  <c r="C89" i="9"/>
  <c r="H89" i="9"/>
  <c r="C5" i="9"/>
  <c r="H5" i="9"/>
  <c r="C472" i="9"/>
  <c r="H472" i="9"/>
  <c r="C400" i="9"/>
  <c r="H400" i="9"/>
  <c r="C316" i="9"/>
  <c r="H316" i="9"/>
  <c r="C232" i="9"/>
  <c r="H232" i="9"/>
  <c r="C136" i="9"/>
  <c r="H136" i="9"/>
  <c r="C28" i="9"/>
  <c r="H28" i="9"/>
  <c r="C420" i="9"/>
  <c r="C360" i="9"/>
  <c r="H500" i="9"/>
  <c r="H476" i="9"/>
  <c r="H464" i="9"/>
  <c r="H452" i="9"/>
  <c r="H428" i="9"/>
  <c r="H416" i="9"/>
  <c r="H404" i="9"/>
  <c r="H392" i="9"/>
  <c r="H380" i="9"/>
  <c r="H368" i="9"/>
  <c r="H356" i="9"/>
  <c r="H344" i="9"/>
  <c r="H332" i="9"/>
  <c r="H320" i="9"/>
  <c r="H308" i="9"/>
  <c r="H296" i="9"/>
  <c r="H284" i="9"/>
  <c r="H272" i="9"/>
  <c r="H260" i="9"/>
  <c r="H248" i="9"/>
  <c r="H224" i="9"/>
  <c r="H212" i="9"/>
  <c r="H200" i="9"/>
  <c r="H188" i="9"/>
  <c r="H176" i="9"/>
  <c r="H164" i="9"/>
  <c r="H152" i="9"/>
  <c r="H140" i="9"/>
  <c r="H128" i="9"/>
  <c r="H116" i="9"/>
  <c r="H104" i="9"/>
  <c r="H92" i="9"/>
  <c r="H80" i="9"/>
  <c r="H68" i="9"/>
  <c r="H56" i="9"/>
  <c r="H44" i="9"/>
  <c r="H32" i="9"/>
  <c r="C437" i="9"/>
  <c r="H437" i="9"/>
  <c r="C341" i="9"/>
  <c r="H341" i="9"/>
  <c r="C233" i="9"/>
  <c r="H233" i="9"/>
  <c r="C137" i="9"/>
  <c r="H137" i="9"/>
  <c r="C17" i="9"/>
  <c r="H17" i="9"/>
  <c r="C388" i="9"/>
  <c r="H388" i="9"/>
  <c r="C292" i="9"/>
  <c r="H292" i="9"/>
  <c r="C196" i="9"/>
  <c r="H196" i="9"/>
  <c r="C100" i="9"/>
  <c r="H100" i="9"/>
  <c r="C16" i="9"/>
  <c r="H16" i="9"/>
  <c r="C432" i="9"/>
  <c r="C324" i="9"/>
  <c r="H501" i="9"/>
  <c r="H489" i="9"/>
  <c r="H477" i="9"/>
  <c r="H465" i="9"/>
  <c r="H453" i="9"/>
  <c r="H441" i="9"/>
  <c r="H429" i="9"/>
  <c r="H417" i="9"/>
  <c r="H405" i="9"/>
  <c r="H393" i="9"/>
  <c r="H381" i="9"/>
  <c r="H369" i="9"/>
  <c r="H357" i="9"/>
  <c r="H345" i="9"/>
  <c r="H333" i="9"/>
  <c r="H321" i="9"/>
  <c r="H309" i="9"/>
  <c r="H297" i="9"/>
  <c r="H488" i="9"/>
  <c r="H440" i="9"/>
  <c r="H236" i="9"/>
  <c r="C413" i="9"/>
  <c r="H413" i="9"/>
  <c r="C305" i="9"/>
  <c r="H305" i="9"/>
  <c r="C209" i="9"/>
  <c r="H209" i="9"/>
  <c r="C113" i="9"/>
  <c r="H113" i="9"/>
  <c r="C41" i="9"/>
  <c r="H41" i="9"/>
  <c r="C460" i="9"/>
  <c r="H460" i="9"/>
  <c r="C280" i="9"/>
  <c r="H280" i="9"/>
  <c r="C220" i="9"/>
  <c r="H220" i="9"/>
  <c r="C148" i="9"/>
  <c r="H148" i="9"/>
  <c r="C52" i="9"/>
  <c r="H52" i="9"/>
  <c r="C444" i="9"/>
  <c r="C474" i="9"/>
  <c r="H474" i="9"/>
  <c r="C462" i="9"/>
  <c r="H462" i="9"/>
  <c r="C450" i="9"/>
  <c r="H450" i="9"/>
  <c r="C438" i="9"/>
  <c r="H438" i="9"/>
  <c r="C426" i="9"/>
  <c r="H426" i="9"/>
  <c r="C414" i="9"/>
  <c r="H414" i="9"/>
  <c r="C402" i="9"/>
  <c r="H402" i="9"/>
  <c r="C390" i="9"/>
  <c r="H390" i="9"/>
  <c r="C378" i="9"/>
  <c r="H378" i="9"/>
  <c r="C366" i="9"/>
  <c r="H366" i="9"/>
  <c r="C354" i="9"/>
  <c r="H354" i="9"/>
  <c r="C342" i="9"/>
  <c r="H342" i="9"/>
  <c r="C330" i="9"/>
  <c r="H330" i="9"/>
  <c r="C318" i="9"/>
  <c r="H318" i="9"/>
  <c r="C306" i="9"/>
  <c r="H306" i="9"/>
  <c r="C294" i="9"/>
  <c r="H294" i="9"/>
  <c r="C282" i="9"/>
  <c r="H282" i="9"/>
  <c r="C270" i="9"/>
  <c r="H270" i="9"/>
  <c r="C258" i="9"/>
  <c r="H258" i="9"/>
  <c r="C246" i="9"/>
  <c r="H246" i="9"/>
  <c r="C234" i="9"/>
  <c r="H234" i="9"/>
  <c r="C222" i="9"/>
  <c r="H222" i="9"/>
  <c r="C210" i="9"/>
  <c r="H210" i="9"/>
  <c r="C198" i="9"/>
  <c r="H198" i="9"/>
  <c r="C186" i="9"/>
  <c r="H186" i="9"/>
  <c r="C174" i="9"/>
  <c r="H174" i="9"/>
  <c r="C162" i="9"/>
  <c r="H162" i="9"/>
  <c r="C138" i="9"/>
  <c r="H138" i="9"/>
  <c r="C126" i="9"/>
  <c r="H126" i="9"/>
  <c r="C114" i="9"/>
  <c r="H114" i="9"/>
  <c r="C102" i="9"/>
  <c r="H102" i="9"/>
  <c r="C90" i="9"/>
  <c r="H90" i="9"/>
  <c r="C78" i="9"/>
  <c r="H78" i="9"/>
  <c r="C66" i="9"/>
  <c r="H66" i="9"/>
  <c r="C54" i="9"/>
  <c r="H54" i="9"/>
  <c r="C42" i="9"/>
  <c r="H42" i="9"/>
  <c r="C6" i="9"/>
  <c r="H6" i="9"/>
  <c r="C329" i="9"/>
  <c r="H329" i="9"/>
  <c r="C101" i="9"/>
  <c r="H101" i="9"/>
  <c r="C268" i="9"/>
  <c r="H268" i="9"/>
  <c r="C76" i="9"/>
  <c r="H76" i="9"/>
  <c r="C376" i="9"/>
  <c r="H376" i="9"/>
  <c r="C461" i="9"/>
  <c r="H461" i="9"/>
  <c r="C257" i="9"/>
  <c r="H257" i="9"/>
  <c r="C425" i="9"/>
  <c r="H425" i="9"/>
  <c r="C365" i="9"/>
  <c r="H365" i="9"/>
  <c r="C293" i="9"/>
  <c r="H293" i="9"/>
  <c r="C197" i="9"/>
  <c r="H197" i="9"/>
  <c r="C125" i="9"/>
  <c r="H125" i="9"/>
  <c r="C29" i="9"/>
  <c r="H29" i="9"/>
  <c r="C340" i="9"/>
  <c r="H340" i="9"/>
  <c r="C244" i="9"/>
  <c r="H244" i="9"/>
  <c r="C184" i="9"/>
  <c r="H184" i="9"/>
  <c r="C124" i="9"/>
  <c r="H124" i="9"/>
  <c r="C40" i="9"/>
  <c r="H40" i="9"/>
  <c r="H493" i="9"/>
  <c r="H481" i="9"/>
  <c r="H469" i="9"/>
  <c r="H457" i="9"/>
  <c r="H445" i="9"/>
  <c r="H433" i="9"/>
  <c r="H421" i="9"/>
  <c r="H409" i="9"/>
  <c r="H397" i="9"/>
  <c r="H385" i="9"/>
  <c r="H373" i="9"/>
  <c r="H361" i="9"/>
  <c r="H349" i="9"/>
  <c r="H337" i="9"/>
  <c r="H325" i="9"/>
  <c r="H313" i="9"/>
  <c r="H301" i="9"/>
  <c r="H289" i="9"/>
  <c r="H277" i="9"/>
  <c r="H265" i="9"/>
  <c r="H253" i="9"/>
  <c r="H241" i="9"/>
  <c r="H229" i="9"/>
  <c r="H217" i="9"/>
  <c r="H205" i="9"/>
  <c r="H193" i="9"/>
  <c r="H181" i="9"/>
  <c r="H169" i="9"/>
  <c r="H157" i="9"/>
  <c r="H145" i="9"/>
  <c r="H133" i="9"/>
  <c r="H121" i="9"/>
  <c r="H109" i="9"/>
  <c r="H97" i="9"/>
  <c r="H85" i="9"/>
  <c r="H73" i="9"/>
  <c r="H61" i="9"/>
  <c r="H49" i="9"/>
  <c r="H37" i="9"/>
  <c r="H25" i="9"/>
  <c r="H13" i="9"/>
  <c r="C456" i="9"/>
  <c r="C372" i="9"/>
  <c r="C312" i="9"/>
  <c r="C276" i="9"/>
  <c r="C240" i="9"/>
  <c r="C204" i="9"/>
  <c r="C168" i="9"/>
  <c r="C120" i="9"/>
  <c r="C72" i="9"/>
  <c r="C36" i="9"/>
  <c r="C24" i="9"/>
  <c r="C12" i="9"/>
  <c r="C389" i="9"/>
  <c r="H389" i="9"/>
  <c r="C269" i="9"/>
  <c r="H269" i="9"/>
  <c r="C173" i="9"/>
  <c r="H173" i="9"/>
  <c r="C77" i="9"/>
  <c r="H77" i="9"/>
  <c r="C424" i="9"/>
  <c r="H424" i="9"/>
  <c r="C304" i="9"/>
  <c r="H304" i="9"/>
  <c r="C88" i="9"/>
  <c r="H88" i="9"/>
  <c r="C480" i="9"/>
  <c r="C408" i="9"/>
  <c r="C348" i="9"/>
  <c r="C300" i="9"/>
  <c r="C264" i="9"/>
  <c r="C228" i="9"/>
  <c r="C192" i="9"/>
  <c r="C156" i="9"/>
  <c r="C108" i="9"/>
  <c r="C60" i="9"/>
  <c r="C245" i="9"/>
  <c r="H245" i="9"/>
  <c r="C161" i="9"/>
  <c r="H161" i="9"/>
  <c r="C53" i="9"/>
  <c r="H53" i="9"/>
  <c r="C448" i="9"/>
  <c r="H448" i="9"/>
  <c r="C328" i="9"/>
  <c r="H328" i="9"/>
  <c r="C160" i="9"/>
  <c r="H160" i="9"/>
  <c r="C64" i="9"/>
  <c r="H64" i="9"/>
  <c r="C468" i="9"/>
  <c r="C384" i="9"/>
  <c r="C336" i="9"/>
  <c r="C288" i="9"/>
  <c r="C252" i="9"/>
  <c r="C216" i="9"/>
  <c r="C180" i="9"/>
  <c r="C132" i="9"/>
  <c r="C96" i="9"/>
  <c r="C48" i="9"/>
  <c r="H2" i="9"/>
  <c r="H490" i="9"/>
  <c r="H478" i="9"/>
  <c r="H466" i="9"/>
  <c r="H454" i="9"/>
  <c r="H442" i="9"/>
  <c r="H430" i="9"/>
  <c r="H418" i="9"/>
  <c r="H406" i="9"/>
  <c r="H394" i="9"/>
  <c r="H382" i="9"/>
  <c r="H370" i="9"/>
  <c r="H358" i="9"/>
  <c r="H346" i="9"/>
  <c r="H334" i="9"/>
  <c r="H322" i="9"/>
  <c r="H310" i="9"/>
  <c r="H298" i="9"/>
  <c r="H286" i="9"/>
  <c r="H274" i="9"/>
  <c r="H262" i="9"/>
  <c r="H250" i="9"/>
  <c r="H238" i="9"/>
  <c r="H226" i="9"/>
  <c r="H214" i="9"/>
  <c r="H202" i="9"/>
  <c r="H190" i="9"/>
  <c r="H178" i="9"/>
  <c r="H166" i="9"/>
  <c r="H154" i="9"/>
  <c r="H142" i="9"/>
  <c r="H130" i="9"/>
  <c r="H118" i="9"/>
  <c r="H106" i="9"/>
  <c r="H94" i="9"/>
  <c r="H82" i="9"/>
  <c r="H70" i="9"/>
  <c r="H58" i="9"/>
  <c r="H46" i="9"/>
  <c r="H34" i="9"/>
  <c r="H22" i="9"/>
  <c r="H10" i="9"/>
  <c r="C469" i="9"/>
  <c r="C457" i="9"/>
  <c r="C433" i="9"/>
  <c r="C421" i="9"/>
  <c r="C409" i="9"/>
  <c r="C397" i="9"/>
  <c r="C385" i="9"/>
  <c r="C373" i="9"/>
  <c r="C361" i="9"/>
  <c r="C349" i="9"/>
  <c r="C337" i="9"/>
  <c r="C313" i="9"/>
  <c r="C301" i="9"/>
  <c r="C289" i="9"/>
  <c r="C277" i="9"/>
  <c r="C265" i="9"/>
  <c r="C253" i="9"/>
  <c r="C241" i="9"/>
  <c r="C229" i="9"/>
  <c r="C217" i="9"/>
  <c r="C205" i="9"/>
  <c r="C193" i="9"/>
  <c r="C181" i="9"/>
  <c r="C169" i="9"/>
  <c r="C157" i="9"/>
  <c r="C145" i="9"/>
  <c r="C133" i="9"/>
  <c r="C121" i="9"/>
  <c r="C109" i="9"/>
  <c r="C97" i="9"/>
  <c r="C85" i="9"/>
  <c r="C73" i="9"/>
  <c r="C61" i="9"/>
  <c r="C49" i="9"/>
  <c r="C37" i="9"/>
  <c r="C25" i="9"/>
  <c r="C13" i="9"/>
  <c r="H471" i="9"/>
  <c r="H459" i="9"/>
  <c r="H447" i="9"/>
  <c r="H435" i="9"/>
  <c r="H423" i="9"/>
  <c r="H411" i="9"/>
  <c r="H399" i="9"/>
  <c r="H387" i="9"/>
  <c r="H375" i="9"/>
  <c r="H363" i="9"/>
  <c r="H351" i="9"/>
  <c r="H339" i="9"/>
  <c r="H327" i="9"/>
  <c r="H315" i="9"/>
  <c r="H303" i="9"/>
  <c r="H291" i="9"/>
  <c r="H279" i="9"/>
  <c r="H267" i="9"/>
  <c r="H255" i="9"/>
  <c r="H243" i="9"/>
  <c r="H231" i="9"/>
  <c r="H219" i="9"/>
  <c r="H207" i="9"/>
  <c r="H183" i="9"/>
  <c r="H171" i="9"/>
  <c r="H159" i="9"/>
  <c r="H147" i="9"/>
  <c r="H135" i="9"/>
  <c r="H123" i="9"/>
  <c r="H111" i="9"/>
  <c r="H99" i="9"/>
  <c r="H87" i="9"/>
  <c r="H75" i="9"/>
  <c r="H63" i="9"/>
  <c r="H51" i="9"/>
  <c r="H39" i="9"/>
  <c r="H27" i="9"/>
  <c r="H15" i="9"/>
  <c r="H3" i="9"/>
  <c r="C479" i="9"/>
  <c r="C467" i="9"/>
  <c r="C455" i="9"/>
  <c r="C443" i="9"/>
  <c r="C431" i="9"/>
  <c r="C419" i="9"/>
  <c r="C407" i="9"/>
  <c r="C395" i="9"/>
  <c r="C383" i="9"/>
  <c r="C371" i="9"/>
  <c r="C359" i="9"/>
  <c r="C347" i="9"/>
  <c r="C335" i="9"/>
  <c r="C323" i="9"/>
  <c r="C311" i="9"/>
  <c r="C299" i="9"/>
  <c r="C287" i="9"/>
  <c r="C275" i="9"/>
  <c r="C263" i="9"/>
  <c r="C251" i="9"/>
  <c r="C239" i="9"/>
  <c r="C227" i="9"/>
  <c r="C215" i="9"/>
  <c r="C191" i="9"/>
  <c r="C179" i="9"/>
  <c r="C167" i="9"/>
  <c r="C155" i="9"/>
  <c r="C143" i="9"/>
  <c r="C131" i="9"/>
  <c r="C119" i="9"/>
  <c r="C107" i="9"/>
  <c r="C95" i="9"/>
  <c r="C83" i="9"/>
  <c r="C71" i="9"/>
  <c r="C59" i="9"/>
  <c r="C47" i="9"/>
  <c r="C35" i="9"/>
  <c r="C23" i="9"/>
  <c r="C11" i="9"/>
  <c r="C477" i="9"/>
  <c r="C465" i="9"/>
  <c r="C453" i="9"/>
  <c r="C441" i="9"/>
  <c r="C429" i="9"/>
  <c r="C417" i="9"/>
  <c r="C405" i="9"/>
  <c r="C393" i="9"/>
  <c r="C381" i="9"/>
  <c r="C369" i="9"/>
  <c r="C357" i="9"/>
  <c r="C345" i="9"/>
  <c r="C333" i="9"/>
  <c r="C309" i="9"/>
  <c r="C297" i="9"/>
  <c r="C285" i="9"/>
  <c r="C273" i="9"/>
  <c r="C261" i="9"/>
  <c r="C249" i="9"/>
  <c r="C237" i="9"/>
  <c r="C225" i="9"/>
  <c r="C213" i="9"/>
  <c r="C201" i="9"/>
  <c r="C189" i="9"/>
  <c r="C177" i="9"/>
  <c r="C165" i="9"/>
  <c r="C153" i="9"/>
  <c r="C141" i="9"/>
  <c r="C129" i="9"/>
  <c r="C117" i="9"/>
  <c r="C105" i="9"/>
  <c r="C93" i="9"/>
  <c r="C81" i="9"/>
  <c r="C69" i="9"/>
  <c r="C57" i="9"/>
  <c r="C45" i="9"/>
  <c r="C33" i="9"/>
  <c r="C21" i="9"/>
  <c r="C463" i="9"/>
  <c r="C451" i="9"/>
  <c r="C439" i="9"/>
  <c r="C427" i="9"/>
  <c r="C415" i="9"/>
  <c r="C403" i="9"/>
  <c r="C391" i="9"/>
  <c r="C379" i="9"/>
  <c r="C367" i="9"/>
  <c r="C355" i="9"/>
  <c r="C331" i="9"/>
  <c r="C319" i="9"/>
  <c r="C307" i="9"/>
  <c r="C295" i="9"/>
  <c r="C283" i="9"/>
  <c r="C271" i="9"/>
  <c r="C259" i="9"/>
  <c r="C247" i="9"/>
  <c r="C235" i="9"/>
  <c r="C223" i="9"/>
  <c r="C211" i="9"/>
  <c r="C199" i="9"/>
  <c r="C187" i="9"/>
  <c r="C175" i="9"/>
  <c r="C163" i="9"/>
  <c r="C151" i="9"/>
  <c r="C139" i="9"/>
  <c r="C127" i="9"/>
  <c r="C115" i="9"/>
  <c r="C103" i="9"/>
  <c r="C91" i="9"/>
  <c r="C79" i="9"/>
  <c r="C67" i="9"/>
  <c r="C55" i="9"/>
  <c r="C43" i="9"/>
  <c r="C31" i="9"/>
  <c r="C19" i="9"/>
  <c r="C7" i="9"/>
</calcChain>
</file>

<file path=xl/sharedStrings.xml><?xml version="1.0" encoding="utf-8"?>
<sst xmlns="http://schemas.openxmlformats.org/spreadsheetml/2006/main" count="3406" uniqueCount="530">
  <si>
    <t>Trade ID</t>
  </si>
  <si>
    <t>ISIN</t>
  </si>
  <si>
    <t>Trade Date</t>
  </si>
  <si>
    <t>Direction</t>
  </si>
  <si>
    <t>Quantity</t>
  </si>
  <si>
    <t>Price</t>
  </si>
  <si>
    <t>Net Amount</t>
  </si>
  <si>
    <t>TRD-10001</t>
  </si>
  <si>
    <t>INE030A01027</t>
  </si>
  <si>
    <t>BUY</t>
  </si>
  <si>
    <t>TRD-10002</t>
  </si>
  <si>
    <t>INE002A01018</t>
  </si>
  <si>
    <t>TRD-10003</t>
  </si>
  <si>
    <t>INE040A01034</t>
  </si>
  <si>
    <t>SELL</t>
  </si>
  <si>
    <t>TRD-10004</t>
  </si>
  <si>
    <t>TRD-10005</t>
  </si>
  <si>
    <t>INE018A01030</t>
  </si>
  <si>
    <t>TRD-10006</t>
  </si>
  <si>
    <t>TRD-10007</t>
  </si>
  <si>
    <t>TRD-10008</t>
  </si>
  <si>
    <t>TRD-10009</t>
  </si>
  <si>
    <t>INE009A01021</t>
  </si>
  <si>
    <t>TRD-10010</t>
  </si>
  <si>
    <t>TRD-10011</t>
  </si>
  <si>
    <t>TRD-10012</t>
  </si>
  <si>
    <t>TRD-10013</t>
  </si>
  <si>
    <t>TRD-10014</t>
  </si>
  <si>
    <t>TRD-10015</t>
  </si>
  <si>
    <t>TRD-10016</t>
  </si>
  <si>
    <t>TRD-10017</t>
  </si>
  <si>
    <t>TRD-10018</t>
  </si>
  <si>
    <t>TRD-10019</t>
  </si>
  <si>
    <t>TRD-10020</t>
  </si>
  <si>
    <t>TRD-10021</t>
  </si>
  <si>
    <t>TRD-10022</t>
  </si>
  <si>
    <t>TRD-10023</t>
  </si>
  <si>
    <t>TRD-10024</t>
  </si>
  <si>
    <t>TRD-10025</t>
  </si>
  <si>
    <t>TRD-10026</t>
  </si>
  <si>
    <t>TRD-10027</t>
  </si>
  <si>
    <t>TRD-10028</t>
  </si>
  <si>
    <t>TRD-10029</t>
  </si>
  <si>
    <t>TRD-10030</t>
  </si>
  <si>
    <t>TRD-10031</t>
  </si>
  <si>
    <t>TRD-10032</t>
  </si>
  <si>
    <t>TRD-10033</t>
  </si>
  <si>
    <t>TRD-10034</t>
  </si>
  <si>
    <t>TRD-10035</t>
  </si>
  <si>
    <t>TRD-10036</t>
  </si>
  <si>
    <t>TRD-10037</t>
  </si>
  <si>
    <t>TRD-10038</t>
  </si>
  <si>
    <t>TRD-10039</t>
  </si>
  <si>
    <t>TRD-10040</t>
  </si>
  <si>
    <t>TRD-10041</t>
  </si>
  <si>
    <t>TRD-10042</t>
  </si>
  <si>
    <t>TRD-10043</t>
  </si>
  <si>
    <t>TRD-10044</t>
  </si>
  <si>
    <t>TRD-10045</t>
  </si>
  <si>
    <t>TRD-10046</t>
  </si>
  <si>
    <t>TRD-10047</t>
  </si>
  <si>
    <t>TRD-10048</t>
  </si>
  <si>
    <t>TRD-10049</t>
  </si>
  <si>
    <t>TRD-10050</t>
  </si>
  <si>
    <t>TRD-10051</t>
  </si>
  <si>
    <t>TRD-10052</t>
  </si>
  <si>
    <t>TRD-10053</t>
  </si>
  <si>
    <t>TRD-10054</t>
  </si>
  <si>
    <t>TRD-10055</t>
  </si>
  <si>
    <t>TRD-10056</t>
  </si>
  <si>
    <t>TRD-10057</t>
  </si>
  <si>
    <t>TRD-10058</t>
  </si>
  <si>
    <t>TRD-10059</t>
  </si>
  <si>
    <t>TRD-10060</t>
  </si>
  <si>
    <t>TRD-10061</t>
  </si>
  <si>
    <t>TRD-10062</t>
  </si>
  <si>
    <t>TRD-10063</t>
  </si>
  <si>
    <t>TRD-10064</t>
  </si>
  <si>
    <t>TRD-10065</t>
  </si>
  <si>
    <t>TRD-10066</t>
  </si>
  <si>
    <t>TRD-10067</t>
  </si>
  <si>
    <t>TRD-10068</t>
  </si>
  <si>
    <t>TRD-10069</t>
  </si>
  <si>
    <t>TRD-10070</t>
  </si>
  <si>
    <t>TRD-10071</t>
  </si>
  <si>
    <t>TRD-10072</t>
  </si>
  <si>
    <t>TRD-10073</t>
  </si>
  <si>
    <t>TRD-10074</t>
  </si>
  <si>
    <t>TRD-10075</t>
  </si>
  <si>
    <t>TRD-10076</t>
  </si>
  <si>
    <t>TRD-10077</t>
  </si>
  <si>
    <t>TRD-10078</t>
  </si>
  <si>
    <t>TRD-10079</t>
  </si>
  <si>
    <t>TRD-10080</t>
  </si>
  <si>
    <t>TRD-10081</t>
  </si>
  <si>
    <t>TRD-10082</t>
  </si>
  <si>
    <t>TRD-10083</t>
  </si>
  <si>
    <t>TRD-10084</t>
  </si>
  <si>
    <t>TRD-10085</t>
  </si>
  <si>
    <t>TRD-10086</t>
  </si>
  <si>
    <t>TRD-10087</t>
  </si>
  <si>
    <t>TRD-10088</t>
  </si>
  <si>
    <t>TRD-10089</t>
  </si>
  <si>
    <t>TRD-10090</t>
  </si>
  <si>
    <t>TRD-10091</t>
  </si>
  <si>
    <t>TRD-10092</t>
  </si>
  <si>
    <t>TRD-10093</t>
  </si>
  <si>
    <t>TRD-10094</t>
  </si>
  <si>
    <t>TRD-10095</t>
  </si>
  <si>
    <t>TRD-10096</t>
  </si>
  <si>
    <t>TRD-10097</t>
  </si>
  <si>
    <t>TRD-10098</t>
  </si>
  <si>
    <t>TRD-10099</t>
  </si>
  <si>
    <t>TRD-10100</t>
  </si>
  <si>
    <t>TRD-10101</t>
  </si>
  <si>
    <t>TRD-10102</t>
  </si>
  <si>
    <t>TRD-10103</t>
  </si>
  <si>
    <t>TRD-10104</t>
  </si>
  <si>
    <t>TRD-10105</t>
  </si>
  <si>
    <t>TRD-10106</t>
  </si>
  <si>
    <t>TRD-10107</t>
  </si>
  <si>
    <t>TRD-10108</t>
  </si>
  <si>
    <t>TRD-10109</t>
  </si>
  <si>
    <t>TRD-10110</t>
  </si>
  <si>
    <t>TRD-10111</t>
  </si>
  <si>
    <t>TRD-10112</t>
  </si>
  <si>
    <t>TRD-10113</t>
  </si>
  <si>
    <t>TRD-10114</t>
  </si>
  <si>
    <t>TRD-10115</t>
  </si>
  <si>
    <t>TRD-10116</t>
  </si>
  <si>
    <t>TRD-10117</t>
  </si>
  <si>
    <t>TRD-10118</t>
  </si>
  <si>
    <t>TRD-10119</t>
  </si>
  <si>
    <t>TRD-10120</t>
  </si>
  <si>
    <t>TRD-10121</t>
  </si>
  <si>
    <t>TRD-10122</t>
  </si>
  <si>
    <t>TRD-10123</t>
  </si>
  <si>
    <t>TRD-10124</t>
  </si>
  <si>
    <t>TRD-10125</t>
  </si>
  <si>
    <t>TRD-10126</t>
  </si>
  <si>
    <t>TRD-10127</t>
  </si>
  <si>
    <t>TRD-10128</t>
  </si>
  <si>
    <t>TRD-10129</t>
  </si>
  <si>
    <t>TRD-10130</t>
  </si>
  <si>
    <t>TRD-10131</t>
  </si>
  <si>
    <t>TRD-10132</t>
  </si>
  <si>
    <t>TRD-10133</t>
  </si>
  <si>
    <t>TRD-10134</t>
  </si>
  <si>
    <t>TRD-10135</t>
  </si>
  <si>
    <t>TRD-10136</t>
  </si>
  <si>
    <t>TRD-10137</t>
  </si>
  <si>
    <t>TRD-10138</t>
  </si>
  <si>
    <t>TRD-10139</t>
  </si>
  <si>
    <t>TRD-10140</t>
  </si>
  <si>
    <t>TRD-10141</t>
  </si>
  <si>
    <t>TRD-10142</t>
  </si>
  <si>
    <t>TRD-10143</t>
  </si>
  <si>
    <t>TRD-10144</t>
  </si>
  <si>
    <t>TRD-10145</t>
  </si>
  <si>
    <t>TRD-10146</t>
  </si>
  <si>
    <t>TRD-10147</t>
  </si>
  <si>
    <t>TRD-10148</t>
  </si>
  <si>
    <t>TRD-10149</t>
  </si>
  <si>
    <t>TRD-10150</t>
  </si>
  <si>
    <t>TRD-10151</t>
  </si>
  <si>
    <t>TRD-10152</t>
  </si>
  <si>
    <t>TRD-10153</t>
  </si>
  <si>
    <t>TRD-10154</t>
  </si>
  <si>
    <t>TRD-10155</t>
  </si>
  <si>
    <t>TRD-10156</t>
  </si>
  <si>
    <t>TRD-10157</t>
  </si>
  <si>
    <t>TRD-10158</t>
  </si>
  <si>
    <t>TRD-10159</t>
  </si>
  <si>
    <t>TRD-10160</t>
  </si>
  <si>
    <t>TRD-10161</t>
  </si>
  <si>
    <t>TRD-10162</t>
  </si>
  <si>
    <t>TRD-10163</t>
  </si>
  <si>
    <t>TRD-10164</t>
  </si>
  <si>
    <t>TRD-10165</t>
  </si>
  <si>
    <t>TRD-10166</t>
  </si>
  <si>
    <t>TRD-10167</t>
  </si>
  <si>
    <t>TRD-10168</t>
  </si>
  <si>
    <t>TRD-10169</t>
  </si>
  <si>
    <t>TRD-10170</t>
  </si>
  <si>
    <t>TRD-10171</t>
  </si>
  <si>
    <t>TRD-10172</t>
  </si>
  <si>
    <t>TRD-10173</t>
  </si>
  <si>
    <t>TRD-10174</t>
  </si>
  <si>
    <t>TRD-10175</t>
  </si>
  <si>
    <t>TRD-10176</t>
  </si>
  <si>
    <t>TRD-10177</t>
  </si>
  <si>
    <t>TRD-10178</t>
  </si>
  <si>
    <t>TRD-10179</t>
  </si>
  <si>
    <t>TRD-10180</t>
  </si>
  <si>
    <t>TRD-10181</t>
  </si>
  <si>
    <t>TRD-10182</t>
  </si>
  <si>
    <t>TRD-10183</t>
  </si>
  <si>
    <t>TRD-10184</t>
  </si>
  <si>
    <t>TRD-10185</t>
  </si>
  <si>
    <t>TRD-10186</t>
  </si>
  <si>
    <t>TRD-10187</t>
  </si>
  <si>
    <t>TRD-10188</t>
  </si>
  <si>
    <t>TRD-10189</t>
  </si>
  <si>
    <t>TRD-10190</t>
  </si>
  <si>
    <t>TRD-10191</t>
  </si>
  <si>
    <t>TRD-10192</t>
  </si>
  <si>
    <t>TRD-10193</t>
  </si>
  <si>
    <t>TRD-10194</t>
  </si>
  <si>
    <t>TRD-10195</t>
  </si>
  <si>
    <t>TRD-10196</t>
  </si>
  <si>
    <t>TRD-10197</t>
  </si>
  <si>
    <t>TRD-10198</t>
  </si>
  <si>
    <t>TRD-10199</t>
  </si>
  <si>
    <t>TRD-10200</t>
  </si>
  <si>
    <t>TRD-10201</t>
  </si>
  <si>
    <t>TRD-10202</t>
  </si>
  <si>
    <t>TRD-10203</t>
  </si>
  <si>
    <t>TRD-10204</t>
  </si>
  <si>
    <t>TRD-10205</t>
  </si>
  <si>
    <t>TRD-10206</t>
  </si>
  <si>
    <t>TRD-10207</t>
  </si>
  <si>
    <t>TRD-10208</t>
  </si>
  <si>
    <t>TRD-10209</t>
  </si>
  <si>
    <t>TRD-10210</t>
  </si>
  <si>
    <t>TRD-10211</t>
  </si>
  <si>
    <t>TRD-10212</t>
  </si>
  <si>
    <t>TRD-10213</t>
  </si>
  <si>
    <t>TRD-10214</t>
  </si>
  <si>
    <t>TRD-10215</t>
  </si>
  <si>
    <t>TRD-10216</t>
  </si>
  <si>
    <t>TRD-10217</t>
  </si>
  <si>
    <t>TRD-10218</t>
  </si>
  <si>
    <t>TRD-10219</t>
  </si>
  <si>
    <t>TRD-10220</t>
  </si>
  <si>
    <t>TRD-10221</t>
  </si>
  <si>
    <t>TRD-10222</t>
  </si>
  <si>
    <t>TRD-10223</t>
  </si>
  <si>
    <t>TRD-10224</t>
  </si>
  <si>
    <t>TRD-10225</t>
  </si>
  <si>
    <t>TRD-10226</t>
  </si>
  <si>
    <t>TRD-10227</t>
  </si>
  <si>
    <t>TRD-10228</t>
  </si>
  <si>
    <t>TRD-10229</t>
  </si>
  <si>
    <t>TRD-10230</t>
  </si>
  <si>
    <t>TRD-10231</t>
  </si>
  <si>
    <t>TRD-10232</t>
  </si>
  <si>
    <t>TRD-10233</t>
  </si>
  <si>
    <t>TRD-10234</t>
  </si>
  <si>
    <t>TRD-10235</t>
  </si>
  <si>
    <t>TRD-10236</t>
  </si>
  <si>
    <t>TRD-10237</t>
  </si>
  <si>
    <t>TRD-10238</t>
  </si>
  <si>
    <t>TRD-10239</t>
  </si>
  <si>
    <t>TRD-10240</t>
  </si>
  <si>
    <t>TRD-10241</t>
  </si>
  <si>
    <t>TRD-10242</t>
  </si>
  <si>
    <t>TRD-10243</t>
  </si>
  <si>
    <t>TRD-10244</t>
  </si>
  <si>
    <t>TRD-10245</t>
  </si>
  <si>
    <t>TRD-10246</t>
  </si>
  <si>
    <t>TRD-10247</t>
  </si>
  <si>
    <t>TRD-10248</t>
  </si>
  <si>
    <t>TRD-10249</t>
  </si>
  <si>
    <t>TRD-10250</t>
  </si>
  <si>
    <t>TRD-10251</t>
  </si>
  <si>
    <t>TRD-10252</t>
  </si>
  <si>
    <t>TRD-10253</t>
  </si>
  <si>
    <t>TRD-10254</t>
  </si>
  <si>
    <t>TRD-10255</t>
  </si>
  <si>
    <t>TRD-10256</t>
  </si>
  <si>
    <t>TRD-10257</t>
  </si>
  <si>
    <t>TRD-10258</t>
  </si>
  <si>
    <t>TRD-10259</t>
  </si>
  <si>
    <t>TRD-10260</t>
  </si>
  <si>
    <t>TRD-10261</t>
  </si>
  <si>
    <t>TRD-10262</t>
  </si>
  <si>
    <t>TRD-10263</t>
  </si>
  <si>
    <t>TRD-10264</t>
  </si>
  <si>
    <t>TRD-10265</t>
  </si>
  <si>
    <t>TRD-10266</t>
  </si>
  <si>
    <t>TRD-10267</t>
  </si>
  <si>
    <t>TRD-10268</t>
  </si>
  <si>
    <t>TRD-10269</t>
  </si>
  <si>
    <t>TRD-10270</t>
  </si>
  <si>
    <t>TRD-10271</t>
  </si>
  <si>
    <t>TRD-10272</t>
  </si>
  <si>
    <t>TRD-10273</t>
  </si>
  <si>
    <t>TRD-10274</t>
  </si>
  <si>
    <t>TRD-10275</t>
  </si>
  <si>
    <t>TRD-10276</t>
  </si>
  <si>
    <t>TRD-10277</t>
  </si>
  <si>
    <t>TRD-10278</t>
  </si>
  <si>
    <t>TRD-10279</t>
  </si>
  <si>
    <t>TRD-10280</t>
  </si>
  <si>
    <t>TRD-10281</t>
  </si>
  <si>
    <t>TRD-10282</t>
  </si>
  <si>
    <t>TRD-10283</t>
  </si>
  <si>
    <t>TRD-10284</t>
  </si>
  <si>
    <t>TRD-10285</t>
  </si>
  <si>
    <t>TRD-10286</t>
  </si>
  <si>
    <t>TRD-10287</t>
  </si>
  <si>
    <t>TRD-10288</t>
  </si>
  <si>
    <t>TRD-10289</t>
  </si>
  <si>
    <t>TRD-10290</t>
  </si>
  <si>
    <t>TRD-10291</t>
  </si>
  <si>
    <t>TRD-10292</t>
  </si>
  <si>
    <t>TRD-10293</t>
  </si>
  <si>
    <t>TRD-10294</t>
  </si>
  <si>
    <t>TRD-10295</t>
  </si>
  <si>
    <t>TRD-10296</t>
  </si>
  <si>
    <t>TRD-10297</t>
  </si>
  <si>
    <t>TRD-10298</t>
  </si>
  <si>
    <t>TRD-10299</t>
  </si>
  <si>
    <t>TRD-10300</t>
  </si>
  <si>
    <t>TRD-10301</t>
  </si>
  <si>
    <t>TRD-10302</t>
  </si>
  <si>
    <t>TRD-10303</t>
  </si>
  <si>
    <t>TRD-10304</t>
  </si>
  <si>
    <t>TRD-10305</t>
  </si>
  <si>
    <t>TRD-10306</t>
  </si>
  <si>
    <t>TRD-10307</t>
  </si>
  <si>
    <t>TRD-10308</t>
  </si>
  <si>
    <t>TRD-10309</t>
  </si>
  <si>
    <t>TRD-10310</t>
  </si>
  <si>
    <t>TRD-10311</t>
  </si>
  <si>
    <t>TRD-10312</t>
  </si>
  <si>
    <t>TRD-10313</t>
  </si>
  <si>
    <t>TRD-10314</t>
  </si>
  <si>
    <t>TRD-10315</t>
  </si>
  <si>
    <t>TRD-10316</t>
  </si>
  <si>
    <t>TRD-10317</t>
  </si>
  <si>
    <t>TRD-10318</t>
  </si>
  <si>
    <t>TRD-10319</t>
  </si>
  <si>
    <t>TRD-10320</t>
  </si>
  <si>
    <t>TRD-10321</t>
  </si>
  <si>
    <t>TRD-10322</t>
  </si>
  <si>
    <t>TRD-10323</t>
  </si>
  <si>
    <t>TRD-10324</t>
  </si>
  <si>
    <t>TRD-10325</t>
  </si>
  <si>
    <t>TRD-10326</t>
  </si>
  <si>
    <t>TRD-10327</t>
  </si>
  <si>
    <t>TRD-10328</t>
  </si>
  <si>
    <t>TRD-10329</t>
  </si>
  <si>
    <t>TRD-10330</t>
  </si>
  <si>
    <t>TRD-10331</t>
  </si>
  <si>
    <t>TRD-10332</t>
  </si>
  <si>
    <t>TRD-10333</t>
  </si>
  <si>
    <t>TRD-10334</t>
  </si>
  <si>
    <t>TRD-10335</t>
  </si>
  <si>
    <t>TRD-10336</t>
  </si>
  <si>
    <t>TRD-10337</t>
  </si>
  <si>
    <t>TRD-10338</t>
  </si>
  <si>
    <t>TRD-10339</t>
  </si>
  <si>
    <t>TRD-10340</t>
  </si>
  <si>
    <t>TRD-10341</t>
  </si>
  <si>
    <t>TRD-10342</t>
  </si>
  <si>
    <t>TRD-10343</t>
  </si>
  <si>
    <t>TRD-10344</t>
  </si>
  <si>
    <t>TRD-10345</t>
  </si>
  <si>
    <t>TRD-10346</t>
  </si>
  <si>
    <t>TRD-10347</t>
  </si>
  <si>
    <t>TRD-10348</t>
  </si>
  <si>
    <t>TRD-10349</t>
  </si>
  <si>
    <t>TRD-10350</t>
  </si>
  <si>
    <t>TRD-10351</t>
  </si>
  <si>
    <t>TRD-10352</t>
  </si>
  <si>
    <t>TRD-10353</t>
  </si>
  <si>
    <t>TRD-10354</t>
  </si>
  <si>
    <t>TRD-10355</t>
  </si>
  <si>
    <t>TRD-10356</t>
  </si>
  <si>
    <t>TRD-10357</t>
  </si>
  <si>
    <t>TRD-10358</t>
  </si>
  <si>
    <t>TRD-10359</t>
  </si>
  <si>
    <t>TRD-10360</t>
  </si>
  <si>
    <t>TRD-10361</t>
  </si>
  <si>
    <t>TRD-10362</t>
  </si>
  <si>
    <t>TRD-10363</t>
  </si>
  <si>
    <t>TRD-10364</t>
  </si>
  <si>
    <t>TRD-10365</t>
  </si>
  <si>
    <t>TRD-10366</t>
  </si>
  <si>
    <t>TRD-10367</t>
  </si>
  <si>
    <t>TRD-10368</t>
  </si>
  <si>
    <t>TRD-10369</t>
  </si>
  <si>
    <t>TRD-10370</t>
  </si>
  <si>
    <t>TRD-10371</t>
  </si>
  <si>
    <t>TRD-10372</t>
  </si>
  <si>
    <t>TRD-10373</t>
  </si>
  <si>
    <t>TRD-10374</t>
  </si>
  <si>
    <t>TRD-10375</t>
  </si>
  <si>
    <t>TRD-10376</t>
  </si>
  <si>
    <t>TRD-10377</t>
  </si>
  <si>
    <t>TRD-10378</t>
  </si>
  <si>
    <t>TRD-10379</t>
  </si>
  <si>
    <t>TRD-10380</t>
  </si>
  <si>
    <t>TRD-10381</t>
  </si>
  <si>
    <t>TRD-10382</t>
  </si>
  <si>
    <t>TRD-10383</t>
  </si>
  <si>
    <t>TRD-10384</t>
  </si>
  <si>
    <t>TRD-10385</t>
  </si>
  <si>
    <t>TRD-10386</t>
  </si>
  <si>
    <t>TRD-10387</t>
  </si>
  <si>
    <t>TRD-10388</t>
  </si>
  <si>
    <t>TRD-10389</t>
  </si>
  <si>
    <t>TRD-10390</t>
  </si>
  <si>
    <t>TRD-10391</t>
  </si>
  <si>
    <t>TRD-10392</t>
  </si>
  <si>
    <t>TRD-10393</t>
  </si>
  <si>
    <t>TRD-10394</t>
  </si>
  <si>
    <t>TRD-10395</t>
  </si>
  <si>
    <t>TRD-10396</t>
  </si>
  <si>
    <t>TRD-10397</t>
  </si>
  <si>
    <t>TRD-10398</t>
  </si>
  <si>
    <t>TRD-10399</t>
  </si>
  <si>
    <t>TRD-10400</t>
  </si>
  <si>
    <t>TRD-10401</t>
  </si>
  <si>
    <t>TRD-10402</t>
  </si>
  <si>
    <t>TRD-10403</t>
  </si>
  <si>
    <t>TRD-10404</t>
  </si>
  <si>
    <t>TRD-10405</t>
  </si>
  <si>
    <t>TRD-10406</t>
  </si>
  <si>
    <t>TRD-10407</t>
  </si>
  <si>
    <t>TRD-10408</t>
  </si>
  <si>
    <t>TRD-10409</t>
  </si>
  <si>
    <t>TRD-10410</t>
  </si>
  <si>
    <t>TRD-10411</t>
  </si>
  <si>
    <t>TRD-10412</t>
  </si>
  <si>
    <t>TRD-10413</t>
  </si>
  <si>
    <t>TRD-10414</t>
  </si>
  <si>
    <t>TRD-10415</t>
  </si>
  <si>
    <t>TRD-10416</t>
  </si>
  <si>
    <t>TRD-10417</t>
  </si>
  <si>
    <t>TRD-10418</t>
  </si>
  <si>
    <t>TRD-10419</t>
  </si>
  <si>
    <t>TRD-10420</t>
  </si>
  <si>
    <t>TRD-10421</t>
  </si>
  <si>
    <t>TRD-10422</t>
  </si>
  <si>
    <t>TRD-10423</t>
  </si>
  <si>
    <t>TRD-10424</t>
  </si>
  <si>
    <t>TRD-10425</t>
  </si>
  <si>
    <t>TRD-10426</t>
  </si>
  <si>
    <t>TRD-10427</t>
  </si>
  <si>
    <t>TRD-10428</t>
  </si>
  <si>
    <t>TRD-10429</t>
  </si>
  <si>
    <t>TRD-10430</t>
  </si>
  <si>
    <t>TRD-10431</t>
  </si>
  <si>
    <t>TRD-10432</t>
  </si>
  <si>
    <t>TRD-10433</t>
  </si>
  <si>
    <t>TRD-10434</t>
  </si>
  <si>
    <t>TRD-10435</t>
  </si>
  <si>
    <t>TRD-10436</t>
  </si>
  <si>
    <t>TRD-10437</t>
  </si>
  <si>
    <t>TRD-10438</t>
  </si>
  <si>
    <t>TRD-10439</t>
  </si>
  <si>
    <t>TRD-10440</t>
  </si>
  <si>
    <t>TRD-10441</t>
  </si>
  <si>
    <t>TRD-10442</t>
  </si>
  <si>
    <t>TRD-10443</t>
  </si>
  <si>
    <t>TRD-10444</t>
  </si>
  <si>
    <t>TRD-10445</t>
  </si>
  <si>
    <t>TRD-10446</t>
  </si>
  <si>
    <t>TRD-10447</t>
  </si>
  <si>
    <t>TRD-10448</t>
  </si>
  <si>
    <t>TRD-10449</t>
  </si>
  <si>
    <t>TRD-10450</t>
  </si>
  <si>
    <t>TRD-10451</t>
  </si>
  <si>
    <t>TRD-10452</t>
  </si>
  <si>
    <t>TRD-10453</t>
  </si>
  <si>
    <t>TRD-10454</t>
  </si>
  <si>
    <t>TRD-10455</t>
  </si>
  <si>
    <t>TRD-10456</t>
  </si>
  <si>
    <t>TRD-10457</t>
  </si>
  <si>
    <t>TRD-10458</t>
  </si>
  <si>
    <t>TRD-10459</t>
  </si>
  <si>
    <t>TRD-10460</t>
  </si>
  <si>
    <t>TRD-10461</t>
  </si>
  <si>
    <t>TRD-10462</t>
  </si>
  <si>
    <t>TRD-10463</t>
  </si>
  <si>
    <t>TRD-10464</t>
  </si>
  <si>
    <t>TRD-10465</t>
  </si>
  <si>
    <t>TRD-10466</t>
  </si>
  <si>
    <t>TRD-10467</t>
  </si>
  <si>
    <t>TRD-10468</t>
  </si>
  <si>
    <t>TRD-10469</t>
  </si>
  <si>
    <t>TRD-10470</t>
  </si>
  <si>
    <t>TRD-10471</t>
  </si>
  <si>
    <t>TRD-10472</t>
  </si>
  <si>
    <t>TRD-10473</t>
  </si>
  <si>
    <t>TRD-10474</t>
  </si>
  <si>
    <t>TRD-10475</t>
  </si>
  <si>
    <t>TRD-10476</t>
  </si>
  <si>
    <t>TRD-10477</t>
  </si>
  <si>
    <t>TRD-10478</t>
  </si>
  <si>
    <t>TRD-10479</t>
  </si>
  <si>
    <t>TRD-10480</t>
  </si>
  <si>
    <t>TRD-10481</t>
  </si>
  <si>
    <t>TRD-10482</t>
  </si>
  <si>
    <t>TRD-10483</t>
  </si>
  <si>
    <t>TRD-10484</t>
  </si>
  <si>
    <t>TRD-10485</t>
  </si>
  <si>
    <t>TRD-10486</t>
  </si>
  <si>
    <t>TRD-10487</t>
  </si>
  <si>
    <t>TRD-10488</t>
  </si>
  <si>
    <t>TRD-10489</t>
  </si>
  <si>
    <t>TRD-10490</t>
  </si>
  <si>
    <t>TRD-10491</t>
  </si>
  <si>
    <t>TRD-10492</t>
  </si>
  <si>
    <t>TRD-10493</t>
  </si>
  <si>
    <t>TRD-10494</t>
  </si>
  <si>
    <t>TRD-10495</t>
  </si>
  <si>
    <t>TRD-10496</t>
  </si>
  <si>
    <t>TRD-10497</t>
  </si>
  <si>
    <t>TRD-10498</t>
  </si>
  <si>
    <t>TRD-10499</t>
  </si>
  <si>
    <t>TRD-10500</t>
  </si>
  <si>
    <t>Recon Status</t>
  </si>
  <si>
    <t>Internal Qty</t>
  </si>
  <si>
    <t>Broker Qty</t>
  </si>
  <si>
    <t>Internal Price</t>
  </si>
  <si>
    <t>Broker Price</t>
  </si>
  <si>
    <t>Net Exposure Diff (INR)</t>
  </si>
  <si>
    <t>Matched Perfectly</t>
  </si>
  <si>
    <t>Missing on Street</t>
  </si>
  <si>
    <t>Price Break</t>
  </si>
  <si>
    <t>Quantity Break</t>
  </si>
  <si>
    <t>Missing Internal</t>
  </si>
  <si>
    <t>Daily Trade Reconciliation &amp; Exception Report</t>
  </si>
  <si>
    <t>Row Labels</t>
  </si>
  <si>
    <t>Grand Total</t>
  </si>
  <si>
    <t>Count of Trade ID</t>
  </si>
  <si>
    <t>Sum of Net Exposure Diff (INR)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</si>
</sst>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quot;INR&quot;\ #,##0.00"/>
  </numFmts>
  <fonts count="3" x14ac:knownFonts="1">
    <font>
      <sz val="11"/>
      <color theme="1"/>
      <name val="Aptos Narrow"/>
      <family val="2"/>
      <scheme val="minor"/>
    </font>
    <font>
      <b/>
      <sz val="11"/>
      <color theme="1"/>
      <name val="Aptos Narrow"/>
      <family val="2"/>
      <scheme val="minor"/>
    </font>
    <font>
      <sz val="24"/>
      <color theme="0"/>
      <name val="Aptos Narrow"/>
      <family val="2"/>
      <scheme val="minor"/>
    </font>
  </fonts>
  <fills count="4">
    <fill>
      <patternFill patternType="none"/>
    </fill>
    <fill>
      <patternFill patternType="gray125"/>
    </fill>
    <fill>
      <patternFill patternType="solid">
        <fgColor rgb="FFDCE6F1"/>
        <bgColor indexed="64"/>
      </patternFill>
    </fill>
    <fill>
      <patternFill patternType="solid">
        <fgColor rgb="FF1E1E1E"/>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164" fontId="1" fillId="0" borderId="0" xfId="0" applyNumberFormat="1" applyFont="1"/>
    <xf numFmtId="164" fontId="0" fillId="0" borderId="0" xfId="0" applyNumberFormat="1"/>
    <xf numFmtId="3" fontId="1" fillId="0" borderId="0" xfId="0" applyNumberFormat="1" applyFont="1"/>
    <xf numFmtId="3" fontId="0" fillId="0" borderId="0" xfId="0" applyNumberFormat="1"/>
    <xf numFmtId="165" fontId="1" fillId="0" borderId="0" xfId="0" applyNumberFormat="1" applyFont="1"/>
    <xf numFmtId="165" fontId="0" fillId="0" borderId="0" xfId="0" applyNumberFormat="1"/>
    <xf numFmtId="0" fontId="1" fillId="2" borderId="0" xfId="0" applyFont="1" applyFill="1"/>
    <xf numFmtId="3" fontId="1" fillId="2" borderId="0" xfId="0" applyNumberFormat="1" applyFont="1" applyFill="1"/>
    <xf numFmtId="165" fontId="1" fillId="2" borderId="0" xfId="0" applyNumberFormat="1" applyFont="1" applyFill="1"/>
    <xf numFmtId="0" fontId="0" fillId="3" borderId="0" xfId="0" applyFill="1"/>
    <xf numFmtId="0" fontId="0" fillId="0" borderId="0" xfId="0" pivotButton="1"/>
    <xf numFmtId="0" fontId="0" fillId="0" borderId="0" xfId="0" applyAlignment="1">
      <alignment horizontal="left"/>
    </xf>
    <xf numFmtId="0" fontId="2" fillId="3" borderId="0" xfId="0" applyFont="1" applyFill="1" applyAlignment="1">
      <alignment horizontal="center"/>
    </xf>
    <xf numFmtId="0" fontId="1" fillId="3" borderId="0" xfId="0" applyFont="1" applyFill="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mruColors>
      <color rgb="FF1EFFFF"/>
      <color rgb="FF1E1E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[Reconciliation .xlsx]Recon_Dashboard!PivotTable1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Reconciliation Status Breakdown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w="19050">
            <a:solidFill>
              <a:schemeClr val="lt1"/>
            </a:solidFill>
          </a:ln>
          <a:effectLst/>
        </c:spPr>
      </c:pivotFmt>
      <c:pivotFmt>
        <c:idx val="9"/>
        <c:spPr>
          <a:solidFill>
            <a:srgbClr val="002060"/>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s>
    <c:plotArea>
      <c:layout/>
      <c:pieChart>
        <c:varyColors val="1"/>
        <c:ser>
          <c:idx val="0"/>
          <c:order val="0"/>
          <c:tx>
            <c:strRef>
              <c:f>Recon_Dashboard!$B$3</c:f>
              <c:strCache>
                <c:ptCount val="1"/>
                <c:pt idx="0">
                  <c:v>Total</c:v>
                </c:pt>
              </c:strCache>
            </c:strRef>
          </c:tx>
          <c:spPr>
            <a:solidFill>
              <a:srgbClr val="00B0F0"/>
            </a:solidFill>
          </c:spPr>
          <c:dPt>
            <c:idx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1-3A79-41F8-A327-8712684FB6B9}"/>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3A79-41F8-A327-8712684FB6B9}"/>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3A79-41F8-A327-8712684FB6B9}"/>
              </c:ext>
            </c:extLst>
          </c:dPt>
          <c:dPt>
            <c:idx val="3"/>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3A79-41F8-A327-8712684FB6B9}"/>
              </c:ext>
            </c:extLst>
          </c:dPt>
          <c:dPt>
            <c:idx val="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9-3A79-41F8-A327-8712684FB6B9}"/>
              </c:ext>
            </c:extLst>
          </c:dPt>
          <c:cat>
            <c:strRef>
              <c:f>Recon_Dashboard!$A$4:$A$9</c:f>
              <c:strCache>
                <c:ptCount val="5"/>
                <c:pt idx="0">
                  <c:v>Matched Perfectly</c:v>
                </c:pt>
                <c:pt idx="1">
                  <c:v>Missing Internal</c:v>
                </c:pt>
                <c:pt idx="2">
                  <c:v>Missing on Street</c:v>
                </c:pt>
                <c:pt idx="3">
                  <c:v>Price Break</c:v>
                </c:pt>
                <c:pt idx="4">
                  <c:v>Quantity Break</c:v>
                </c:pt>
              </c:strCache>
            </c:strRef>
          </c:cat>
          <c:val>
            <c:numRef>
              <c:f>Recon_Dashboard!$B$4:$B$9</c:f>
              <c:numCache>
                <c:formatCode>General</c:formatCode>
                <c:ptCount val="5"/>
                <c:pt idx="0">
                  <c:v>81</c:v>
                </c:pt>
                <c:pt idx="1">
                  <c:v>4</c:v>
                </c:pt>
                <c:pt idx="2">
                  <c:v>5</c:v>
                </c:pt>
                <c:pt idx="3">
                  <c:v>6</c:v>
                </c:pt>
                <c:pt idx="4">
                  <c:v>4</c:v>
                </c:pt>
              </c:numCache>
            </c:numRef>
          </c:val>
          <c:extLst>
            <c:ext xmlns:c16="http://schemas.microsoft.com/office/drawing/2014/chart" uri="{C3380CC4-5D6E-409C-BE32-E72D297353CC}">
              <c16:uniqueId val="{0000000A-3A79-41F8-A327-8712684FB6B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[Reconciliation .xlsx]Recon_Dashboard!PivotTable2</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Financial Exposure by Break Type (INR)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EFFFF"/>
          </a:solidFill>
          <a:ln>
            <a:noFill/>
          </a:ln>
          <a:effectLst/>
        </c:spPr>
      </c:pivotFmt>
    </c:pivotFmts>
    <c:plotArea>
      <c:layout/>
      <c:barChart>
        <c:barDir val="col"/>
        <c:grouping val="clustered"/>
        <c:varyColors val="0"/>
        <c:ser>
          <c:idx val="0"/>
          <c:order val="0"/>
          <c:tx>
            <c:strRef>
              <c:f>Recon_Dashboard!$E$3</c:f>
              <c:strCache>
                <c:ptCount val="1"/>
                <c:pt idx="0">
                  <c:v>Total</c:v>
                </c:pt>
              </c:strCache>
            </c:strRef>
          </c:tx>
          <c:spPr>
            <a:solidFill>
              <a:srgbClr val="1EFFFF"/>
            </a:solidFill>
            <a:ln>
              <a:noFill/>
            </a:ln>
            <a:effectLst/>
          </c:spPr>
          <c:invertIfNegative val="0"/>
          <c:cat>
            <c:strRef>
              <c:f>Recon_Dashboard!$D$4:$D$8</c:f>
              <c:strCache>
                <c:ptCount val="4"/>
                <c:pt idx="0">
                  <c:v>Missing Internal</c:v>
                </c:pt>
                <c:pt idx="1">
                  <c:v>Missing on Street</c:v>
                </c:pt>
                <c:pt idx="2">
                  <c:v>Price Break</c:v>
                </c:pt>
                <c:pt idx="3">
                  <c:v>Quantity Break</c:v>
                </c:pt>
              </c:strCache>
            </c:strRef>
          </c:cat>
          <c:val>
            <c:numRef>
              <c:f>Recon_Dashboard!$E$4:$E$8</c:f>
              <c:numCache>
                <c:formatCode>"INR"\ #,##0.00</c:formatCode>
                <c:ptCount val="4"/>
                <c:pt idx="0">
                  <c:v>2571289.5050048819</c:v>
                </c:pt>
                <c:pt idx="1">
                  <c:v>4191610.9909057659</c:v>
                </c:pt>
                <c:pt idx="2">
                  <c:v>5142.5001040099742</c:v>
                </c:pt>
                <c:pt idx="3">
                  <c:v>71488.9999389648</c:v>
                </c:pt>
              </c:numCache>
            </c:numRef>
          </c:val>
          <c:extLst>
            <c:ext xmlns:c16="http://schemas.microsoft.com/office/drawing/2014/chart" uri="{C3380CC4-5D6E-409C-BE32-E72D297353CC}">
              <c16:uniqueId val="{00000000-F162-4407-9EB0-2F9E50197450}"/>
            </c:ext>
          </c:extLst>
        </c:ser>
        <c:dLbls>
          <c:showLegendKey val="0"/>
          <c:showVal val="0"/>
          <c:showCatName val="0"/>
          <c:showSerName val="0"/>
          <c:showPercent val="0"/>
          <c:showBubbleSize val="0"/>
        </c:dLbls>
        <c:gapWidth val="219"/>
        <c:overlap val="-27"/>
        <c:axId val="1441106815"/>
        <c:axId val="1433586159"/>
      </c:barChart>
      <c:catAx>
        <c:axId val="144110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3586159"/>
        <c:crosses val="autoZero"/>
        <c:auto val="1"/>
        <c:lblAlgn val="ctr"/>
        <c:lblOffset val="100"/>
        <c:noMultiLvlLbl val="0"/>
      </c:catAx>
      <c:valAx>
        <c:axId val="1433586159"/>
        <c:scaling>
          <c:orientation val="minMax"/>
        </c:scaling>
        <c:delete val="0"/>
        <c:axPos val="l"/>
        <c:numFmt formatCode="&quot;IN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110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510540</xdr:colOff>
      <xdr:row>4</xdr:row>
      <xdr:rowOff>137160</xdr:rowOff>
    </xdr:from>
    <xdr:to>
      <xdr:col>11</xdr:col>
      <xdr:colOff>205740</xdr:colOff>
      <xdr:row>19</xdr:row>
      <xdr:rowOff>137160</xdr:rowOff>
    </xdr:to>
    <xdr:graphicFrame macro="">
      <xdr:nvGraphicFramePr>
        <xdr:cNvPr id="2" name="Chart 1">
          <a:extLst>
            <a:ext uri="{FF2B5EF4-FFF2-40B4-BE49-F238E27FC236}">
              <a16:creationId xmlns:a16="http://schemas.microsoft.com/office/drawing/2014/main" id="{1F27715A-82AE-4C4F-8925-B3C32E110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464820</xdr:colOff>
      <xdr:row>4</xdr:row>
      <xdr:rowOff>144780</xdr:rowOff>
    </xdr:from>
    <xdr:to>
      <xdr:col>19</xdr:col>
      <xdr:colOff>160020</xdr:colOff>
      <xdr:row>19</xdr:row>
      <xdr:rowOff>144780</xdr:rowOff>
    </xdr:to>
    <xdr:graphicFrame macro="">
      <xdr:nvGraphicFramePr>
        <xdr:cNvPr id="3" name="Chart 2">
          <a:extLst>
            <a:ext uri="{FF2B5EF4-FFF2-40B4-BE49-F238E27FC236}">
              <a16:creationId xmlns:a16="http://schemas.microsoft.com/office/drawing/2014/main" id="{8B017B85-A04D-4B3D-821C-9EA0E3CE2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213360</xdr:colOff>
      <xdr:row>4</xdr:row>
      <xdr:rowOff>152401</xdr:rowOff>
    </xdr:from>
    <xdr:to>
      <xdr:col>3</xdr:col>
      <xdr:colOff>213360</xdr:colOff>
      <xdr:row>14</xdr:row>
      <xdr:rowOff>106681</xdr:rowOff>
    </xdr:to>
    <mc:AlternateContent xmlns:mc="http://schemas.openxmlformats.org/markup-compatibility/2006" xmlns:a14="http://schemas.microsoft.com/office/drawing/2010/main">
      <mc:Choice Requires="a14">
        <xdr:graphicFrame macro="">
          <xdr:nvGraphicFramePr>
            <xdr:cNvPr id="4" name="ISIN">
              <a:extLst>
                <a:ext uri="{FF2B5EF4-FFF2-40B4-BE49-F238E27FC236}">
                  <a16:creationId xmlns:a16="http://schemas.microsoft.com/office/drawing/2014/main" id="{90A4407A-C5CC-5C4D-8C76-14BC7964BB3C}"/>
                </a:ext>
              </a:extLst>
            </xdr:cNvPr>
            <xdr:cNvGraphicFramePr/>
          </xdr:nvGraphicFramePr>
          <xdr:xfrm>
            <a:off x="0" y="0"/>
            <a:ext cx="0" cy="0"/>
          </xdr:xfrm>
          <a:graphic>
            <a:graphicData uri="http://schemas.microsoft.com/office/drawing/2010/slicer">
              <sle:slicer xmlns:sle="http://schemas.microsoft.com/office/drawing/2010/slicer" name="ISIN"/>
            </a:graphicData>
          </a:graphic>
        </xdr:graphicFrame>
      </mc:Choice>
      <mc:Fallback xmlns="">
        <xdr:sp macro="" textlink="">
          <xdr:nvSpPr>
            <xdr:cNvPr id="0" name=""/>
            <xdr:cNvSpPr>
              <a:spLocks noTextEdit="1"/>
            </xdr:cNvSpPr>
          </xdr:nvSpPr>
          <xdr:spPr>
            <a:xfrm>
              <a:off x="213360" y="883921"/>
              <a:ext cx="1828800" cy="178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Thakar" refreshedDate="46259.794926736111" createdVersion="8" refreshedVersion="8" minRefreshableVersion="3" recordCount="500" xr:uid="{E462AD97-D302-4C94-B792-3B50D7177B8C}">
  <cacheSource type="worksheet">
    <worksheetSource ref="A1:H501" sheet="Break_Report"/>
  </cacheSource>
  <cacheFields count="8">
    <cacheField name="Trade ID" numFmtId="0">
      <sharedItems/>
    </cacheField>
    <cacheField name="ISIN" numFmtId="0">
      <sharedItems count="5">
        <s v="INE030A01027"/>
        <s v="INE002A01018"/>
        <s v="INE040A01034"/>
        <s v="INE018A01030"/>
        <s v="INE009A01021"/>
      </sharedItems>
    </cacheField>
    <cacheField name="Recon Status" numFmtId="0">
      <sharedItems count="5">
        <s v="Matched Perfectly"/>
        <s v="Missing on Street"/>
        <s v="Price Break"/>
        <s v="Quantity Break"/>
        <s v="Missing Internal"/>
      </sharedItems>
    </cacheField>
    <cacheField name="Internal Qty" numFmtId="3">
      <sharedItems containsSemiMixedTypes="0" containsString="0" containsNumber="1" containsInteger="1" minValue="0" maxValue="5000"/>
    </cacheField>
    <cacheField name="Broker Qty" numFmtId="3">
      <sharedItems containsSemiMixedTypes="0" containsString="0" containsNumber="1" containsInteger="1" minValue="0" maxValue="5000"/>
    </cacheField>
    <cacheField name="Internal Price" numFmtId="165">
      <sharedItems containsSemiMixedTypes="0" containsString="0" containsNumber="1" minValue="0" maxValue="648.15997314453102"/>
    </cacheField>
    <cacheField name="Broker Price" numFmtId="165">
      <sharedItems containsSemiMixedTypes="0" containsString="0" containsNumber="1" minValue="0" maxValue="648.15997314453102"/>
    </cacheField>
    <cacheField name="Net Exposure Diff (INR)" numFmtId="165">
      <sharedItems containsSemiMixedTypes="0" containsString="0" containsNumber="1" minValue="0" maxValue="2301130.9585571298"/>
    </cacheField>
  </cacheFields>
  <extLst>
    <ext xmlns:x14="http://schemas.microsoft.com/office/spreadsheetml/2009/9/main" uri="{725AE2AE-9491-48be-B2B4-4EB974FC3084}">
      <x14:pivotCacheDefinition pivotCacheId="12521866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TRD-10001"/>
    <x v="0"/>
    <x v="0"/>
    <n v="1450"/>
    <n v="1450"/>
    <n v="300.97000122070301"/>
    <n v="300.97000122070301"/>
    <n v="0"/>
  </r>
  <r>
    <s v="TRD-10002"/>
    <x v="1"/>
    <x v="0"/>
    <n v="3550"/>
    <n v="3550"/>
    <n v="172.67999267578099"/>
    <n v="172.67999267578099"/>
    <n v="0"/>
  </r>
  <r>
    <s v="TRD-10003"/>
    <x v="2"/>
    <x v="0"/>
    <n v="4850"/>
    <n v="4850"/>
    <n v="585.719970703125"/>
    <n v="585.719970703125"/>
    <n v="0"/>
  </r>
  <r>
    <s v="TRD-10004"/>
    <x v="2"/>
    <x v="0"/>
    <n v="3850"/>
    <n v="3850"/>
    <n v="176.75"/>
    <n v="176.75"/>
    <n v="0"/>
  </r>
  <r>
    <s v="TRD-10005"/>
    <x v="3"/>
    <x v="0"/>
    <n v="3250"/>
    <n v="3250"/>
    <n v="281.89999389648398"/>
    <n v="281.89999389648398"/>
    <n v="0"/>
  </r>
  <r>
    <s v="TRD-10006"/>
    <x v="2"/>
    <x v="0"/>
    <n v="4950"/>
    <n v="4950"/>
    <n v="605.47998046875"/>
    <n v="605.47998046875"/>
    <n v="0"/>
  </r>
  <r>
    <s v="TRD-10008"/>
    <x v="0"/>
    <x v="0"/>
    <n v="550"/>
    <n v="550"/>
    <n v="201.50999450683599"/>
    <n v="201.50999450683599"/>
    <n v="0"/>
  </r>
  <r>
    <s v="TRD-10009"/>
    <x v="4"/>
    <x v="1"/>
    <n v="1950"/>
    <n v="0"/>
    <n v="300.489990234375"/>
    <n v="0"/>
    <n v="585955.48095703102"/>
  </r>
  <r>
    <s v="TRD-10010"/>
    <x v="2"/>
    <x v="0"/>
    <n v="850"/>
    <n v="850"/>
    <n v="231.41000366210901"/>
    <n v="231.41000366210901"/>
    <n v="0"/>
  </r>
  <r>
    <s v="TRD-10011"/>
    <x v="3"/>
    <x v="0"/>
    <n v="1650"/>
    <n v="1650"/>
    <n v="466.58999633789102"/>
    <n v="466.58999633789102"/>
    <n v="0"/>
  </r>
  <r>
    <s v="TRD-10012"/>
    <x v="1"/>
    <x v="0"/>
    <n v="2300"/>
    <n v="2300"/>
    <n v="602.85998535156295"/>
    <n v="602.85998535156295"/>
    <n v="0"/>
  </r>
  <r>
    <s v="TRD-10013"/>
    <x v="0"/>
    <x v="0"/>
    <n v="4600"/>
    <n v="4600"/>
    <n v="465.86999511718801"/>
    <n v="465.86999511718801"/>
    <n v="0"/>
  </r>
  <r>
    <s v="TRD-10014"/>
    <x v="3"/>
    <x v="2"/>
    <n v="3500"/>
    <n v="3500"/>
    <n v="606.85998535156295"/>
    <n v="605.90998536348297"/>
    <n v="3324.9999582799319"/>
  </r>
  <r>
    <s v="TRD-10015"/>
    <x v="3"/>
    <x v="0"/>
    <n v="3400"/>
    <n v="3400"/>
    <n v="401.23001098632801"/>
    <n v="401.23001098632801"/>
    <n v="0"/>
  </r>
  <r>
    <s v="TRD-10016"/>
    <x v="3"/>
    <x v="0"/>
    <n v="1350"/>
    <n v="1350"/>
    <n v="177.80000305175801"/>
    <n v="177.80000305175801"/>
    <n v="0"/>
  </r>
  <r>
    <s v="TRD-10017"/>
    <x v="2"/>
    <x v="0"/>
    <n v="1850"/>
    <n v="1850"/>
    <n v="394.95001220703102"/>
    <n v="394.95001220703102"/>
    <n v="0"/>
  </r>
  <r>
    <s v="TRD-10018"/>
    <x v="3"/>
    <x v="1"/>
    <n v="2750"/>
    <n v="0"/>
    <n v="228.14999389648401"/>
    <n v="0"/>
    <n v="627412.48321533203"/>
  </r>
  <r>
    <s v="TRD-10019"/>
    <x v="0"/>
    <x v="0"/>
    <n v="550"/>
    <n v="550"/>
    <n v="542"/>
    <n v="542"/>
    <n v="0"/>
  </r>
  <r>
    <s v="TRD-10020"/>
    <x v="0"/>
    <x v="0"/>
    <n v="100"/>
    <n v="100"/>
    <n v="255.17999267578099"/>
    <n v="255.17999267578099"/>
    <n v="0"/>
  </r>
  <r>
    <s v="TRD-10021"/>
    <x v="1"/>
    <x v="0"/>
    <n v="50"/>
    <n v="50"/>
    <n v="418.39999389648398"/>
    <n v="418.39999389648398"/>
    <n v="0"/>
  </r>
  <r>
    <s v="TRD-10022"/>
    <x v="3"/>
    <x v="0"/>
    <n v="1000"/>
    <n v="1000"/>
    <n v="489.45999145507801"/>
    <n v="489.45999145507801"/>
    <n v="0"/>
  </r>
  <r>
    <s v="TRD-10023"/>
    <x v="4"/>
    <x v="0"/>
    <n v="4650"/>
    <n v="4650"/>
    <n v="415.10998535156301"/>
    <n v="415.10998535156301"/>
    <n v="0"/>
  </r>
  <r>
    <s v="TRD-10024"/>
    <x v="0"/>
    <x v="0"/>
    <n v="2500"/>
    <n v="2500"/>
    <n v="253.80999755859401"/>
    <n v="253.80999755859401"/>
    <n v="0"/>
  </r>
  <r>
    <s v="TRD-10025"/>
    <x v="1"/>
    <x v="0"/>
    <n v="4650"/>
    <n v="4650"/>
    <n v="198.96000671386699"/>
    <n v="198.96000671386699"/>
    <n v="0"/>
  </r>
  <r>
    <s v="TRD-10026"/>
    <x v="4"/>
    <x v="0"/>
    <n v="1400"/>
    <n v="1400"/>
    <n v="486.82000732421898"/>
    <n v="486.82000732421898"/>
    <n v="0"/>
  </r>
  <r>
    <s v="TRD-10027"/>
    <x v="1"/>
    <x v="0"/>
    <n v="4000"/>
    <n v="4000"/>
    <n v="298.63000488281301"/>
    <n v="298.63000488281301"/>
    <n v="0"/>
  </r>
  <r>
    <s v="TRD-10028"/>
    <x v="3"/>
    <x v="0"/>
    <n v="250"/>
    <n v="250"/>
    <n v="391.20999145507801"/>
    <n v="391.20999145507801"/>
    <n v="0"/>
  </r>
  <r>
    <s v="TRD-10029"/>
    <x v="2"/>
    <x v="0"/>
    <n v="4650"/>
    <n v="4650"/>
    <n v="315.510009765625"/>
    <n v="315.510009765625"/>
    <n v="0"/>
  </r>
  <r>
    <s v="TRD-10030"/>
    <x v="1"/>
    <x v="1"/>
    <n v="4850"/>
    <n v="0"/>
    <n v="207.30999755859401"/>
    <n v="0"/>
    <n v="1005453.48815918"/>
  </r>
  <r>
    <s v="TRD-10032"/>
    <x v="1"/>
    <x v="0"/>
    <n v="2750"/>
    <n v="2750"/>
    <n v="611.47998046875"/>
    <n v="611.47998046875"/>
    <n v="0"/>
  </r>
  <r>
    <s v="TRD-10034"/>
    <x v="4"/>
    <x v="0"/>
    <n v="3500"/>
    <n v="3500"/>
    <n v="239.53999328613301"/>
    <n v="239.53999328613301"/>
    <n v="0"/>
  </r>
  <r>
    <s v="TRD-10035"/>
    <x v="3"/>
    <x v="0"/>
    <n v="2150"/>
    <n v="2150"/>
    <n v="404.52999877929699"/>
    <n v="404.52999877929699"/>
    <n v="0"/>
  </r>
  <r>
    <s v="TRD-10036"/>
    <x v="0"/>
    <x v="0"/>
    <n v="4450"/>
    <n v="4450"/>
    <n v="335.260009765625"/>
    <n v="335.260009765625"/>
    <n v="0"/>
  </r>
  <r>
    <s v="TRD-10037"/>
    <x v="4"/>
    <x v="0"/>
    <n v="1150"/>
    <n v="1150"/>
    <n v="442.260009765625"/>
    <n v="442.260009765625"/>
    <n v="0"/>
  </r>
  <r>
    <s v="TRD-10038"/>
    <x v="2"/>
    <x v="0"/>
    <n v="3450"/>
    <n v="3450"/>
    <n v="523.71002197265602"/>
    <n v="523.71002197265602"/>
    <n v="0"/>
  </r>
  <r>
    <s v="TRD-10039"/>
    <x v="0"/>
    <x v="0"/>
    <n v="1050"/>
    <n v="1050"/>
    <n v="628.38000488281295"/>
    <n v="628.38000488281295"/>
    <n v="0"/>
  </r>
  <r>
    <s v="TRD-10040"/>
    <x v="1"/>
    <x v="0"/>
    <n v="2350"/>
    <n v="2350"/>
    <n v="209.77000427246099"/>
    <n v="209.77000427246099"/>
    <n v="0"/>
  </r>
  <r>
    <s v="TRD-10041"/>
    <x v="1"/>
    <x v="0"/>
    <n v="2700"/>
    <n v="2700"/>
    <n v="430.5"/>
    <n v="430.5"/>
    <n v="0"/>
  </r>
  <r>
    <s v="TRD-10042"/>
    <x v="3"/>
    <x v="0"/>
    <n v="2000"/>
    <n v="2000"/>
    <n v="601.54998779296898"/>
    <n v="601.54998779296898"/>
    <n v="0"/>
  </r>
  <r>
    <s v="TRD-10043"/>
    <x v="1"/>
    <x v="0"/>
    <n v="100"/>
    <n v="100"/>
    <n v="365.57000732421898"/>
    <n v="365.57000732421898"/>
    <n v="0"/>
  </r>
  <r>
    <s v="TRD-10044"/>
    <x v="4"/>
    <x v="0"/>
    <n v="3500"/>
    <n v="3500"/>
    <n v="358.79998779296898"/>
    <n v="358.79998779296898"/>
    <n v="0"/>
  </r>
  <r>
    <s v="TRD-10045"/>
    <x v="4"/>
    <x v="0"/>
    <n v="4750"/>
    <n v="4750"/>
    <n v="210.77000427246099"/>
    <n v="210.77000427246099"/>
    <n v="0"/>
  </r>
  <r>
    <s v="TRD-10046"/>
    <x v="4"/>
    <x v="1"/>
    <n v="400"/>
    <n v="0"/>
    <n v="366.38000488281301"/>
    <n v="0"/>
    <n v="146552.001953125"/>
  </r>
  <r>
    <s v="TRD-10047"/>
    <x v="3"/>
    <x v="0"/>
    <n v="1100"/>
    <n v="1100"/>
    <n v="339.5"/>
    <n v="339.5"/>
    <n v="0"/>
  </r>
  <r>
    <s v="TRD-10048"/>
    <x v="4"/>
    <x v="0"/>
    <n v="2600"/>
    <n v="2600"/>
    <n v="632.67999267578102"/>
    <n v="632.67999267578102"/>
    <n v="0"/>
  </r>
  <r>
    <s v="TRD-10049"/>
    <x v="2"/>
    <x v="0"/>
    <n v="3500"/>
    <n v="3500"/>
    <n v="182.25"/>
    <n v="182.25"/>
    <n v="0"/>
  </r>
  <r>
    <s v="TRD-10050"/>
    <x v="0"/>
    <x v="0"/>
    <n v="1150"/>
    <n v="1150"/>
    <n v="313.07000732421898"/>
    <n v="313.07000732421898"/>
    <n v="0"/>
  </r>
  <r>
    <s v="TRD-10052"/>
    <x v="2"/>
    <x v="0"/>
    <n v="4400"/>
    <n v="4400"/>
    <n v="358.32000732421898"/>
    <n v="358.32000732421898"/>
    <n v="0"/>
  </r>
  <r>
    <s v="TRD-10053"/>
    <x v="2"/>
    <x v="0"/>
    <n v="2050"/>
    <n v="2050"/>
    <n v="158.14999389648401"/>
    <n v="158.14999389648401"/>
    <n v="0"/>
  </r>
  <r>
    <s v="TRD-10054"/>
    <x v="1"/>
    <x v="0"/>
    <n v="550"/>
    <n v="550"/>
    <n v="288.05999755859398"/>
    <n v="288.05999755859398"/>
    <n v="0"/>
  </r>
  <r>
    <s v="TRD-10055"/>
    <x v="2"/>
    <x v="0"/>
    <n v="4500"/>
    <n v="4500"/>
    <n v="336.41000366210898"/>
    <n v="336.41000366210898"/>
    <n v="0"/>
  </r>
  <r>
    <s v="TRD-10056"/>
    <x v="0"/>
    <x v="0"/>
    <n v="1200"/>
    <n v="1200"/>
    <n v="589.19000244140602"/>
    <n v="589.19000244140602"/>
    <n v="0"/>
  </r>
  <r>
    <s v="TRD-10057"/>
    <x v="4"/>
    <x v="0"/>
    <n v="2950"/>
    <n v="2950"/>
    <n v="615.780029296875"/>
    <n v="615.780029296875"/>
    <n v="0"/>
  </r>
  <r>
    <s v="TRD-10058"/>
    <x v="4"/>
    <x v="0"/>
    <n v="1300"/>
    <n v="1300"/>
    <n v="239.35000610351599"/>
    <n v="239.35000610351599"/>
    <n v="0"/>
  </r>
  <r>
    <s v="TRD-10059"/>
    <x v="1"/>
    <x v="0"/>
    <n v="1400"/>
    <n v="1400"/>
    <n v="501.489990234375"/>
    <n v="501.489990234375"/>
    <n v="0"/>
  </r>
  <r>
    <s v="TRD-10060"/>
    <x v="2"/>
    <x v="0"/>
    <n v="400"/>
    <n v="400"/>
    <n v="355.32000732421898"/>
    <n v="355.32000732421898"/>
    <n v="0"/>
  </r>
  <r>
    <s v="TRD-10061"/>
    <x v="0"/>
    <x v="1"/>
    <n v="800"/>
    <n v="0"/>
    <n v="446.5"/>
    <n v="0"/>
    <n v="357200"/>
  </r>
  <r>
    <s v="TRD-10062"/>
    <x v="4"/>
    <x v="0"/>
    <n v="4950"/>
    <n v="4950"/>
    <n v="466.489990234375"/>
    <n v="466.489990234375"/>
    <n v="0"/>
  </r>
  <r>
    <s v="TRD-10063"/>
    <x v="2"/>
    <x v="0"/>
    <n v="4350"/>
    <n v="4350"/>
    <n v="187.47999572753901"/>
    <n v="187.47999572753901"/>
    <n v="0"/>
  </r>
  <r>
    <s v="TRD-10064"/>
    <x v="0"/>
    <x v="0"/>
    <n v="2000"/>
    <n v="2000"/>
    <n v="413.29000854492199"/>
    <n v="413.29000854492199"/>
    <n v="0"/>
  </r>
  <r>
    <s v="TRD-10065"/>
    <x v="3"/>
    <x v="0"/>
    <n v="4500"/>
    <n v="4500"/>
    <n v="205.72000122070301"/>
    <n v="205.72000122070301"/>
    <n v="0"/>
  </r>
  <r>
    <s v="TRD-10066"/>
    <x v="2"/>
    <x v="0"/>
    <n v="4250"/>
    <n v="4250"/>
    <n v="370.60998535156301"/>
    <n v="370.60998535156301"/>
    <n v="0"/>
  </r>
  <r>
    <s v="TRD-10067"/>
    <x v="0"/>
    <x v="0"/>
    <n v="1000"/>
    <n v="1000"/>
    <n v="313.07998657226602"/>
    <n v="313.07998657226602"/>
    <n v="0"/>
  </r>
  <r>
    <s v="TRD-10068"/>
    <x v="1"/>
    <x v="0"/>
    <n v="1050"/>
    <n v="1050"/>
    <n v="496.260009765625"/>
    <n v="496.260009765625"/>
    <n v="0"/>
  </r>
  <r>
    <s v="TRD-10069"/>
    <x v="1"/>
    <x v="0"/>
    <n v="50"/>
    <n v="50"/>
    <n v="362.92001342773398"/>
    <n v="362.92001342773398"/>
    <n v="0"/>
  </r>
  <r>
    <s v="TRD-10070"/>
    <x v="0"/>
    <x v="0"/>
    <n v="900"/>
    <n v="900"/>
    <n v="204.38999938964801"/>
    <n v="204.38999938964801"/>
    <n v="0"/>
  </r>
  <r>
    <s v="TRD-10071"/>
    <x v="1"/>
    <x v="0"/>
    <n v="4900"/>
    <n v="4900"/>
    <n v="586.05999755859398"/>
    <n v="586.05999755859398"/>
    <n v="0"/>
  </r>
  <r>
    <s v="TRD-10072"/>
    <x v="0"/>
    <x v="0"/>
    <n v="150"/>
    <n v="150"/>
    <n v="563.95001220703102"/>
    <n v="563.95001220703102"/>
    <n v="0"/>
  </r>
  <r>
    <s v="TRD-10073"/>
    <x v="0"/>
    <x v="0"/>
    <n v="2800"/>
    <n v="2800"/>
    <n v="551.66998291015602"/>
    <n v="551.66998291015602"/>
    <n v="0"/>
  </r>
  <r>
    <s v="TRD-10074"/>
    <x v="4"/>
    <x v="0"/>
    <n v="2900"/>
    <n v="2900"/>
    <n v="322.08999633789102"/>
    <n v="322.08999633789102"/>
    <n v="0"/>
  </r>
  <r>
    <s v="TRD-10077"/>
    <x v="4"/>
    <x v="0"/>
    <n v="100"/>
    <n v="100"/>
    <n v="319.54998779296898"/>
    <n v="319.54998779296898"/>
    <n v="0"/>
  </r>
  <r>
    <s v="TRD-10078"/>
    <x v="1"/>
    <x v="0"/>
    <n v="2000"/>
    <n v="2000"/>
    <n v="429.510009765625"/>
    <n v="429.510009765625"/>
    <n v="0"/>
  </r>
  <r>
    <s v="TRD-10079"/>
    <x v="4"/>
    <x v="2"/>
    <n v="1900"/>
    <n v="1900"/>
    <n v="350.51998901367199"/>
    <n v="350.33998900651898"/>
    <n v="342.00001359072303"/>
  </r>
  <r>
    <s v="TRD-10080"/>
    <x v="0"/>
    <x v="0"/>
    <n v="4800"/>
    <n v="4800"/>
    <n v="472.79000854492199"/>
    <n v="472.79000854492199"/>
    <n v="0"/>
  </r>
  <r>
    <s v="TRD-10081"/>
    <x v="4"/>
    <x v="0"/>
    <n v="2300"/>
    <n v="2300"/>
    <n v="602.19000244140602"/>
    <n v="602.19000244140602"/>
    <n v="0"/>
  </r>
  <r>
    <s v="TRD-10082"/>
    <x v="0"/>
    <x v="0"/>
    <n v="1850"/>
    <n v="1850"/>
    <n v="157.11000061035199"/>
    <n v="157.11000061035199"/>
    <n v="0"/>
  </r>
  <r>
    <s v="TRD-10083"/>
    <x v="2"/>
    <x v="0"/>
    <n v="3050"/>
    <n v="3050"/>
    <n v="284.01998901367199"/>
    <n v="284.01998901367199"/>
    <n v="0"/>
  </r>
  <r>
    <s v="TRD-10084"/>
    <x v="0"/>
    <x v="0"/>
    <n v="2750"/>
    <n v="2750"/>
    <n v="357.69000244140602"/>
    <n v="357.69000244140602"/>
    <n v="0"/>
  </r>
  <r>
    <s v="TRD-10086"/>
    <x v="3"/>
    <x v="0"/>
    <n v="450"/>
    <n v="450"/>
    <n v="242.21000671386699"/>
    <n v="242.21000671386699"/>
    <n v="0"/>
  </r>
  <r>
    <s v="TRD-10087"/>
    <x v="1"/>
    <x v="0"/>
    <n v="2750"/>
    <n v="2750"/>
    <n v="429.22000122070301"/>
    <n v="429.22000122070301"/>
    <n v="0"/>
  </r>
  <r>
    <s v="TRD-10088"/>
    <x v="1"/>
    <x v="0"/>
    <n v="1600"/>
    <n v="1600"/>
    <n v="451.51998901367199"/>
    <n v="451.51998901367199"/>
    <n v="0"/>
  </r>
  <r>
    <s v="TRD-10089"/>
    <x v="3"/>
    <x v="0"/>
    <n v="3900"/>
    <n v="3900"/>
    <n v="437.94000244140602"/>
    <n v="437.94000244140602"/>
    <n v="0"/>
  </r>
  <r>
    <s v="TRD-10090"/>
    <x v="0"/>
    <x v="1"/>
    <n v="1250"/>
    <n v="0"/>
    <n v="529.28997802734398"/>
    <n v="0"/>
    <n v="661612.47253418004"/>
  </r>
  <r>
    <s v="TRD-10091"/>
    <x v="4"/>
    <x v="0"/>
    <n v="200"/>
    <n v="200"/>
    <n v="547.09002685546898"/>
    <n v="547.09002685546898"/>
    <n v="0"/>
  </r>
  <r>
    <s v="TRD-10092"/>
    <x v="4"/>
    <x v="0"/>
    <n v="4750"/>
    <n v="4750"/>
    <n v="476.70001220703102"/>
    <n v="476.70001220703102"/>
    <n v="0"/>
  </r>
  <r>
    <s v="TRD-10093"/>
    <x v="0"/>
    <x v="0"/>
    <n v="4800"/>
    <n v="4800"/>
    <n v="186.82000732421901"/>
    <n v="186.82000732421901"/>
    <n v="0"/>
  </r>
  <r>
    <s v="TRD-10094"/>
    <x v="3"/>
    <x v="0"/>
    <n v="300"/>
    <n v="300"/>
    <n v="432.14999389648398"/>
    <n v="432.14999389648398"/>
    <n v="0"/>
  </r>
  <r>
    <s v="TRD-10095"/>
    <x v="3"/>
    <x v="0"/>
    <n v="2300"/>
    <n v="2300"/>
    <n v="311.20001220703102"/>
    <n v="311.20001220703102"/>
    <n v="0"/>
  </r>
  <r>
    <s v="TRD-10096"/>
    <x v="3"/>
    <x v="2"/>
    <n v="2950"/>
    <n v="2950"/>
    <n v="475.94000244140602"/>
    <n v="475.770002439618"/>
    <n v="501.50000527467569"/>
  </r>
  <r>
    <s v="TRD-10097"/>
    <x v="0"/>
    <x v="0"/>
    <n v="3700"/>
    <n v="3700"/>
    <n v="246.14999389648401"/>
    <n v="246.14999389648401"/>
    <n v="0"/>
  </r>
  <r>
    <s v="TRD-10098"/>
    <x v="1"/>
    <x v="0"/>
    <n v="4100"/>
    <n v="4100"/>
    <n v="259.73001098632801"/>
    <n v="259.73001098632801"/>
    <n v="0"/>
  </r>
  <r>
    <s v="TRD-10099"/>
    <x v="4"/>
    <x v="0"/>
    <n v="1300"/>
    <n v="1300"/>
    <n v="507.239990234375"/>
    <n v="507.239990234375"/>
    <n v="0"/>
  </r>
  <r>
    <s v="TRD-10100"/>
    <x v="0"/>
    <x v="3"/>
    <n v="4150"/>
    <n v="4100"/>
    <n v="509.39999389648398"/>
    <n v="509.39999389648398"/>
    <n v="25469.999694824201"/>
  </r>
  <r>
    <s v="TRD-10101"/>
    <x v="4"/>
    <x v="0"/>
    <n v="1800"/>
    <n v="1800"/>
    <n v="252.14999389648401"/>
    <n v="252.14999389648401"/>
    <n v="0"/>
  </r>
  <r>
    <s v="TRD-10102"/>
    <x v="0"/>
    <x v="0"/>
    <n v="3200"/>
    <n v="3200"/>
    <n v="569.280029296875"/>
    <n v="569.280029296875"/>
    <n v="0"/>
  </r>
  <r>
    <s v="TRD-10103"/>
    <x v="3"/>
    <x v="0"/>
    <n v="4900"/>
    <n v="4900"/>
    <n v="534.67999267578102"/>
    <n v="534.67999267578102"/>
    <n v="0"/>
  </r>
  <r>
    <s v="TRD-10104"/>
    <x v="3"/>
    <x v="3"/>
    <n v="200"/>
    <n v="150"/>
    <n v="473.89999389648398"/>
    <n v="473.89999389648398"/>
    <n v="23694.999694824201"/>
  </r>
  <r>
    <s v="TRD-10105"/>
    <x v="4"/>
    <x v="0"/>
    <n v="3900"/>
    <n v="3900"/>
    <n v="329.04998779296898"/>
    <n v="329.04998779296898"/>
    <n v="0"/>
  </r>
  <r>
    <s v="TRD-10106"/>
    <x v="0"/>
    <x v="0"/>
    <n v="2550"/>
    <n v="2550"/>
    <n v="236.77000427246099"/>
    <n v="236.77000427246099"/>
    <n v="0"/>
  </r>
  <r>
    <s v="TRD-10107"/>
    <x v="1"/>
    <x v="2"/>
    <n v="3100"/>
    <n v="3100"/>
    <n v="303.30999755859398"/>
    <n v="302.94999754428898"/>
    <n v="1116.0000443455033"/>
  </r>
  <r>
    <s v="TRD-10108"/>
    <x v="0"/>
    <x v="0"/>
    <n v="400"/>
    <n v="400"/>
    <n v="396.67999267578102"/>
    <n v="396.67999267578102"/>
    <n v="0"/>
  </r>
  <r>
    <s v="TRD-10109"/>
    <x v="3"/>
    <x v="0"/>
    <n v="700"/>
    <n v="700"/>
    <n v="313.48001098632801"/>
    <n v="313.48001098632801"/>
    <n v="0"/>
  </r>
  <r>
    <s v="TRD-10110"/>
    <x v="0"/>
    <x v="0"/>
    <n v="2800"/>
    <n v="2800"/>
    <n v="453.42999267578102"/>
    <n v="453.42999267578102"/>
    <n v="0"/>
  </r>
  <r>
    <s v="TRD-10111"/>
    <x v="2"/>
    <x v="0"/>
    <n v="3000"/>
    <n v="3000"/>
    <n v="533.52001953125"/>
    <n v="533.52001953125"/>
    <n v="0"/>
  </r>
  <r>
    <s v="TRD-10112"/>
    <x v="0"/>
    <x v="0"/>
    <n v="2750"/>
    <n v="2750"/>
    <n v="404.55999755859398"/>
    <n v="404.55999755859398"/>
    <n v="0"/>
  </r>
  <r>
    <s v="TRD-10113"/>
    <x v="4"/>
    <x v="0"/>
    <n v="4900"/>
    <n v="4900"/>
    <n v="409.32998657226602"/>
    <n v="409.32998657226602"/>
    <n v="0"/>
  </r>
  <r>
    <s v="TRD-10114"/>
    <x v="3"/>
    <x v="0"/>
    <n v="700"/>
    <n v="700"/>
    <n v="477.08999633789102"/>
    <n v="477.08999633789102"/>
    <n v="0"/>
  </r>
  <r>
    <s v="TRD-10115"/>
    <x v="1"/>
    <x v="0"/>
    <n v="3100"/>
    <n v="3100"/>
    <n v="501.20001220703102"/>
    <n v="501.20001220703102"/>
    <n v="0"/>
  </r>
  <r>
    <s v="TRD-10116"/>
    <x v="3"/>
    <x v="3"/>
    <n v="1100"/>
    <n v="1050"/>
    <n v="171.97000122070301"/>
    <n v="171.97000122070301"/>
    <n v="8598.5000610351508"/>
  </r>
  <r>
    <s v="TRD-10117"/>
    <x v="1"/>
    <x v="0"/>
    <n v="3800"/>
    <n v="3800"/>
    <n v="561.28997802734398"/>
    <n v="561.28997802734398"/>
    <n v="0"/>
  </r>
  <r>
    <s v="TRD-10118"/>
    <x v="3"/>
    <x v="0"/>
    <n v="2100"/>
    <n v="2100"/>
    <n v="381.25"/>
    <n v="381.25"/>
    <n v="0"/>
  </r>
  <r>
    <s v="TRD-10119"/>
    <x v="4"/>
    <x v="0"/>
    <n v="2700"/>
    <n v="2700"/>
    <n v="463.33999633789102"/>
    <n v="463.33999633789102"/>
    <n v="0"/>
  </r>
  <r>
    <s v="TRD-10120"/>
    <x v="0"/>
    <x v="0"/>
    <n v="1400"/>
    <n v="1400"/>
    <n v="630.29998779296898"/>
    <n v="630.29998779296898"/>
    <n v="0"/>
  </r>
  <r>
    <s v="TRD-10121"/>
    <x v="0"/>
    <x v="0"/>
    <n v="1650"/>
    <n v="1650"/>
    <n v="257.38000488281301"/>
    <n v="257.38000488281301"/>
    <n v="0"/>
  </r>
  <r>
    <s v="TRD-10122"/>
    <x v="3"/>
    <x v="0"/>
    <n v="3450"/>
    <n v="3450"/>
    <n v="444.95999145507801"/>
    <n v="444.95999145507801"/>
    <n v="0"/>
  </r>
  <r>
    <s v="TRD-10123"/>
    <x v="1"/>
    <x v="0"/>
    <n v="1250"/>
    <n v="1250"/>
    <n v="349.38000488281301"/>
    <n v="349.38000488281301"/>
    <n v="0"/>
  </r>
  <r>
    <s v="TRD-10124"/>
    <x v="4"/>
    <x v="0"/>
    <n v="2650"/>
    <n v="2650"/>
    <n v="343.76998901367199"/>
    <n v="343.76998901367199"/>
    <n v="0"/>
  </r>
  <r>
    <s v="TRD-10125"/>
    <x v="4"/>
    <x v="0"/>
    <n v="4950"/>
    <n v="4950"/>
    <n v="305.95999145507801"/>
    <n v="305.95999145507801"/>
    <n v="0"/>
  </r>
  <r>
    <s v="TRD-10126"/>
    <x v="2"/>
    <x v="0"/>
    <n v="3050"/>
    <n v="3050"/>
    <n v="455.10000610351602"/>
    <n v="455.10000610351602"/>
    <n v="0"/>
  </r>
  <r>
    <s v="TRD-10127"/>
    <x v="2"/>
    <x v="0"/>
    <n v="4150"/>
    <n v="4150"/>
    <n v="284.07000732421898"/>
    <n v="284.07000732421898"/>
    <n v="0"/>
  </r>
  <r>
    <s v="TRD-10128"/>
    <x v="4"/>
    <x v="0"/>
    <n v="4200"/>
    <n v="4200"/>
    <n v="259.39001464843801"/>
    <n v="259.39001464843801"/>
    <n v="0"/>
  </r>
  <r>
    <s v="TRD-10129"/>
    <x v="2"/>
    <x v="0"/>
    <n v="4850"/>
    <n v="4850"/>
    <n v="585.67999267578102"/>
    <n v="585.67999267578102"/>
    <n v="0"/>
  </r>
  <r>
    <s v="TRD-10130"/>
    <x v="0"/>
    <x v="2"/>
    <n v="3250"/>
    <n v="3250"/>
    <n v="456.32998657226602"/>
    <n v="456.05998656153702"/>
    <n v="877.50003486927142"/>
  </r>
  <r>
    <s v="TRD-10131"/>
    <x v="1"/>
    <x v="0"/>
    <n v="1900"/>
    <n v="1900"/>
    <n v="375.61999511718801"/>
    <n v="375.61999511718801"/>
    <n v="0"/>
  </r>
  <r>
    <s v="TRD-10132"/>
    <x v="2"/>
    <x v="0"/>
    <n v="3100"/>
    <n v="3100"/>
    <n v="416.61999511718801"/>
    <n v="416.61999511718801"/>
    <n v="0"/>
  </r>
  <r>
    <s v="TRD-10133"/>
    <x v="0"/>
    <x v="0"/>
    <n v="1500"/>
    <n v="1500"/>
    <n v="332.39999389648398"/>
    <n v="332.39999389648398"/>
    <n v="0"/>
  </r>
  <r>
    <s v="TRD-10134"/>
    <x v="4"/>
    <x v="0"/>
    <n v="3550"/>
    <n v="3550"/>
    <n v="284.08999633789102"/>
    <n v="284.08999633789102"/>
    <n v="0"/>
  </r>
  <r>
    <s v="TRD-10135"/>
    <x v="3"/>
    <x v="0"/>
    <n v="1250"/>
    <n v="1250"/>
    <n v="555.030029296875"/>
    <n v="555.030029296875"/>
    <n v="0"/>
  </r>
  <r>
    <s v="TRD-10137"/>
    <x v="1"/>
    <x v="0"/>
    <n v="550"/>
    <n v="550"/>
    <n v="475.48001098632801"/>
    <n v="475.48001098632801"/>
    <n v="0"/>
  </r>
  <r>
    <s v="TRD-10138"/>
    <x v="0"/>
    <x v="0"/>
    <n v="2500"/>
    <n v="2500"/>
    <n v="437.32998657226602"/>
    <n v="437.32998657226602"/>
    <n v="0"/>
  </r>
  <r>
    <s v="TRD-10139"/>
    <x v="3"/>
    <x v="0"/>
    <n v="1600"/>
    <n v="1600"/>
    <n v="645.36999511718795"/>
    <n v="645.36999511718795"/>
    <n v="0"/>
  </r>
  <r>
    <s v="TRD-10140"/>
    <x v="4"/>
    <x v="0"/>
    <n v="350"/>
    <n v="350"/>
    <n v="379.05999755859398"/>
    <n v="379.05999755859398"/>
    <n v="0"/>
  </r>
  <r>
    <s v="TRD-10141"/>
    <x v="2"/>
    <x v="0"/>
    <n v="2550"/>
    <n v="2550"/>
    <n v="321.85000610351602"/>
    <n v="321.85000610351602"/>
    <n v="0"/>
  </r>
  <r>
    <s v="TRD-10142"/>
    <x v="4"/>
    <x v="0"/>
    <n v="3250"/>
    <n v="3250"/>
    <n v="332.38000488281301"/>
    <n v="332.38000488281301"/>
    <n v="0"/>
  </r>
  <r>
    <s v="TRD-10143"/>
    <x v="2"/>
    <x v="0"/>
    <n v="1950"/>
    <n v="1950"/>
    <n v="178.61000061035199"/>
    <n v="178.61000061035199"/>
    <n v="0"/>
  </r>
  <r>
    <s v="TRD-10144"/>
    <x v="1"/>
    <x v="0"/>
    <n v="1350"/>
    <n v="1350"/>
    <n v="219.25"/>
    <n v="219.25"/>
    <n v="0"/>
  </r>
  <r>
    <s v="TRD-10145"/>
    <x v="0"/>
    <x v="0"/>
    <n v="4050"/>
    <n v="4050"/>
    <n v="641.77001953125"/>
    <n v="641.77001953125"/>
    <n v="0"/>
  </r>
  <r>
    <s v="TRD-10146"/>
    <x v="1"/>
    <x v="0"/>
    <n v="1400"/>
    <n v="1400"/>
    <n v="491.44000244140602"/>
    <n v="491.44000244140602"/>
    <n v="0"/>
  </r>
  <r>
    <s v="TRD-10147"/>
    <x v="4"/>
    <x v="0"/>
    <n v="800"/>
    <n v="800"/>
    <n v="350.80999755859398"/>
    <n v="350.80999755859398"/>
    <n v="0"/>
  </r>
  <r>
    <s v="TRD-10148"/>
    <x v="3"/>
    <x v="0"/>
    <n v="1650"/>
    <n v="1650"/>
    <n v="153.91000366210901"/>
    <n v="153.91000366210901"/>
    <n v="0"/>
  </r>
  <r>
    <s v="TRD-10149"/>
    <x v="2"/>
    <x v="0"/>
    <n v="4800"/>
    <n v="4800"/>
    <n v="244.55999755859401"/>
    <n v="244.55999755859401"/>
    <n v="0"/>
  </r>
  <r>
    <s v="TRD-10150"/>
    <x v="4"/>
    <x v="0"/>
    <n v="2900"/>
    <n v="2900"/>
    <n v="413.29000854492199"/>
    <n v="413.29000854492199"/>
    <n v="0"/>
  </r>
  <r>
    <s v="TRD-10151"/>
    <x v="2"/>
    <x v="1"/>
    <n v="3600"/>
    <n v="0"/>
    <n v="272.07000732421898"/>
    <n v="0"/>
    <n v="979452.02636718797"/>
  </r>
  <r>
    <s v="TRD-10152"/>
    <x v="3"/>
    <x v="0"/>
    <n v="1200"/>
    <n v="1200"/>
    <n v="451.32998657226602"/>
    <n v="451.32998657226602"/>
    <n v="0"/>
  </r>
  <r>
    <s v="TRD-10153"/>
    <x v="3"/>
    <x v="0"/>
    <n v="350"/>
    <n v="350"/>
    <n v="228.61000061035199"/>
    <n v="228.61000061035199"/>
    <n v="0"/>
  </r>
  <r>
    <s v="TRD-10154"/>
    <x v="1"/>
    <x v="3"/>
    <n v="1150"/>
    <n v="1100"/>
    <n v="323.27999877929699"/>
    <n v="323.27999877929699"/>
    <n v="16163.999938964849"/>
  </r>
  <r>
    <s v="TRD-10156"/>
    <x v="2"/>
    <x v="0"/>
    <n v="1200"/>
    <n v="1200"/>
    <n v="481.39999389648398"/>
    <n v="481.39999389648398"/>
    <n v="0"/>
  </r>
  <r>
    <s v="TRD-10157"/>
    <x v="2"/>
    <x v="0"/>
    <n v="4400"/>
    <n v="4400"/>
    <n v="231.38000488281301"/>
    <n v="231.38000488281301"/>
    <n v="0"/>
  </r>
  <r>
    <s v="TRD-10158"/>
    <x v="0"/>
    <x v="1"/>
    <n v="4600"/>
    <n v="0"/>
    <n v="423.32000732421898"/>
    <n v="0"/>
    <n v="1947272.03369141"/>
  </r>
  <r>
    <s v="TRD-10159"/>
    <x v="0"/>
    <x v="0"/>
    <n v="2900"/>
    <n v="2900"/>
    <n v="372.51998901367199"/>
    <n v="372.51998901367199"/>
    <n v="0"/>
  </r>
  <r>
    <s v="TRD-10160"/>
    <x v="1"/>
    <x v="0"/>
    <n v="1850"/>
    <n v="1850"/>
    <n v="465.54000854492199"/>
    <n v="465.54000854492199"/>
    <n v="0"/>
  </r>
  <r>
    <s v="TRD-10161"/>
    <x v="3"/>
    <x v="2"/>
    <n v="1400"/>
    <n v="1400"/>
    <n v="179.38000488281301"/>
    <n v="179.80000486969899"/>
    <n v="587.99998164037675"/>
  </r>
  <r>
    <s v="TRD-10162"/>
    <x v="4"/>
    <x v="0"/>
    <n v="4950"/>
    <n v="4950"/>
    <n v="285.510009765625"/>
    <n v="285.510009765625"/>
    <n v="0"/>
  </r>
  <r>
    <s v="TRD-10163"/>
    <x v="2"/>
    <x v="0"/>
    <n v="4450"/>
    <n v="4450"/>
    <n v="436.25"/>
    <n v="436.25"/>
    <n v="0"/>
  </r>
  <r>
    <s v="TRD-10164"/>
    <x v="2"/>
    <x v="0"/>
    <n v="800"/>
    <n v="800"/>
    <n v="537.010009765625"/>
    <n v="537.010009765625"/>
    <n v="0"/>
  </r>
  <r>
    <s v="TRD-10165"/>
    <x v="2"/>
    <x v="0"/>
    <n v="3900"/>
    <n v="3900"/>
    <n v="386.85998535156301"/>
    <n v="386.85998535156301"/>
    <n v="0"/>
  </r>
  <r>
    <s v="TRD-10166"/>
    <x v="3"/>
    <x v="3"/>
    <n v="2350"/>
    <n v="2300"/>
    <n v="597.13000488281295"/>
    <n v="597.13000488281295"/>
    <n v="29856.500244140647"/>
  </r>
  <r>
    <s v="TRD-10167"/>
    <x v="4"/>
    <x v="0"/>
    <n v="4950"/>
    <n v="4950"/>
    <n v="373.42001342773398"/>
    <n v="373.42001342773398"/>
    <n v="0"/>
  </r>
  <r>
    <s v="TRD-10168"/>
    <x v="4"/>
    <x v="2"/>
    <n v="2900"/>
    <n v="2900"/>
    <n v="580.80999755859398"/>
    <n v="581.34999758005097"/>
    <n v="1566.000062225271"/>
  </r>
  <r>
    <s v="TRD-10169"/>
    <x v="2"/>
    <x v="0"/>
    <n v="1150"/>
    <n v="1150"/>
    <n v="287.42001342773398"/>
    <n v="287.42001342773398"/>
    <n v="0"/>
  </r>
  <r>
    <s v="TRD-10170"/>
    <x v="2"/>
    <x v="0"/>
    <n v="2700"/>
    <n v="2700"/>
    <n v="321.52999877929699"/>
    <n v="321.52999877929699"/>
    <n v="0"/>
  </r>
  <r>
    <s v="TRD-10171"/>
    <x v="4"/>
    <x v="0"/>
    <n v="2950"/>
    <n v="2950"/>
    <n v="578.489990234375"/>
    <n v="578.489990234375"/>
    <n v="0"/>
  </r>
  <r>
    <s v="TRD-10172"/>
    <x v="4"/>
    <x v="0"/>
    <n v="1450"/>
    <n v="1450"/>
    <n v="566.75"/>
    <n v="566.75"/>
    <n v="0"/>
  </r>
  <r>
    <s v="TRD-10173"/>
    <x v="2"/>
    <x v="0"/>
    <n v="4050"/>
    <n v="4050"/>
    <n v="453.86999511718801"/>
    <n v="453.86999511718801"/>
    <n v="0"/>
  </r>
  <r>
    <s v="TRD-10174"/>
    <x v="3"/>
    <x v="0"/>
    <n v="300"/>
    <n v="300"/>
    <n v="570.10998535156295"/>
    <n v="570.10998535156295"/>
    <n v="0"/>
  </r>
  <r>
    <s v="TRD-10175"/>
    <x v="1"/>
    <x v="0"/>
    <n v="2150"/>
    <n v="2150"/>
    <n v="578.20001220703102"/>
    <n v="578.20001220703102"/>
    <n v="0"/>
  </r>
  <r>
    <s v="TRD-10176"/>
    <x v="2"/>
    <x v="0"/>
    <n v="3950"/>
    <n v="3950"/>
    <n v="168.35000610351599"/>
    <n v="168.35000610351599"/>
    <n v="0"/>
  </r>
  <r>
    <s v="TRD-10177"/>
    <x v="0"/>
    <x v="0"/>
    <n v="1100"/>
    <n v="1100"/>
    <n v="263.10998535156301"/>
    <n v="263.10998535156301"/>
    <n v="0"/>
  </r>
  <r>
    <s v="TRD-10178"/>
    <x v="0"/>
    <x v="0"/>
    <n v="4750"/>
    <n v="4750"/>
    <n v="341.30999755859398"/>
    <n v="341.30999755859398"/>
    <n v="0"/>
  </r>
  <r>
    <s v="TRD-10179"/>
    <x v="1"/>
    <x v="0"/>
    <n v="2050"/>
    <n v="2050"/>
    <n v="615.60998535156295"/>
    <n v="615.60998535156295"/>
    <n v="0"/>
  </r>
  <r>
    <s v="TRD-10180"/>
    <x v="3"/>
    <x v="0"/>
    <n v="2350"/>
    <n v="2350"/>
    <n v="422.82000732421898"/>
    <n v="422.82000732421898"/>
    <n v="0"/>
  </r>
  <r>
    <s v="TRD-10181"/>
    <x v="1"/>
    <x v="0"/>
    <n v="1100"/>
    <n v="1100"/>
    <n v="311.57998657226602"/>
    <n v="311.57998657226602"/>
    <n v="0"/>
  </r>
  <r>
    <s v="TRD-10182"/>
    <x v="0"/>
    <x v="0"/>
    <n v="4150"/>
    <n v="4150"/>
    <n v="436.64999389648398"/>
    <n v="436.64999389648398"/>
    <n v="0"/>
  </r>
  <r>
    <s v="TRD-10183"/>
    <x v="4"/>
    <x v="0"/>
    <n v="2550"/>
    <n v="2550"/>
    <n v="494.17999267578102"/>
    <n v="494.17999267578102"/>
    <n v="0"/>
  </r>
  <r>
    <s v="TRD-10184"/>
    <x v="0"/>
    <x v="0"/>
    <n v="1850"/>
    <n v="1850"/>
    <n v="557.45001220703102"/>
    <n v="557.45001220703102"/>
    <n v="0"/>
  </r>
  <r>
    <s v="TRD-10185"/>
    <x v="3"/>
    <x v="0"/>
    <n v="4250"/>
    <n v="4250"/>
    <n v="297.29000854492199"/>
    <n v="297.29000854492199"/>
    <n v="0"/>
  </r>
  <r>
    <s v="TRD-10186"/>
    <x v="3"/>
    <x v="0"/>
    <n v="4900"/>
    <n v="4900"/>
    <n v="196.69999694824199"/>
    <n v="196.69999694824199"/>
    <n v="0"/>
  </r>
  <r>
    <s v="TRD-10187"/>
    <x v="1"/>
    <x v="0"/>
    <n v="3450"/>
    <n v="3450"/>
    <n v="493.95001220703102"/>
    <n v="493.95001220703102"/>
    <n v="0"/>
  </r>
  <r>
    <s v="TRD-10188"/>
    <x v="1"/>
    <x v="0"/>
    <n v="4450"/>
    <n v="4450"/>
    <n v="213.61000061035199"/>
    <n v="213.61000061035199"/>
    <n v="0"/>
  </r>
  <r>
    <s v="TRD-10189"/>
    <x v="4"/>
    <x v="0"/>
    <n v="4550"/>
    <n v="4550"/>
    <n v="269.79000854492199"/>
    <n v="269.79000854492199"/>
    <n v="0"/>
  </r>
  <r>
    <s v="TRD-10190"/>
    <x v="2"/>
    <x v="0"/>
    <n v="4100"/>
    <n v="4100"/>
    <n v="251.10000610351599"/>
    <n v="251.10000610351599"/>
    <n v="0"/>
  </r>
  <r>
    <s v="TRD-10191"/>
    <x v="0"/>
    <x v="0"/>
    <n v="2350"/>
    <n v="2350"/>
    <n v="621.5"/>
    <n v="621.5"/>
    <n v="0"/>
  </r>
  <r>
    <s v="TRD-10192"/>
    <x v="4"/>
    <x v="0"/>
    <n v="1600"/>
    <n v="1600"/>
    <n v="196.71000671386699"/>
    <n v="196.71000671386699"/>
    <n v="0"/>
  </r>
  <r>
    <s v="TRD-10193"/>
    <x v="2"/>
    <x v="2"/>
    <n v="2300"/>
    <n v="2300"/>
    <n v="380.20999145507801"/>
    <n v="380.02999144792602"/>
    <n v="414.00001644957456"/>
  </r>
  <r>
    <s v="TRD-10194"/>
    <x v="0"/>
    <x v="0"/>
    <n v="1200"/>
    <n v="1200"/>
    <n v="263.64999389648398"/>
    <n v="263.64999389648398"/>
    <n v="0"/>
  </r>
  <r>
    <s v="TRD-10195"/>
    <x v="0"/>
    <x v="0"/>
    <n v="2100"/>
    <n v="2100"/>
    <n v="646.969970703125"/>
    <n v="646.969970703125"/>
    <n v="0"/>
  </r>
  <r>
    <s v="TRD-10196"/>
    <x v="3"/>
    <x v="0"/>
    <n v="800"/>
    <n v="800"/>
    <n v="602.88000488281295"/>
    <n v="602.88000488281295"/>
    <n v="0"/>
  </r>
  <r>
    <s v="TRD-10197"/>
    <x v="0"/>
    <x v="0"/>
    <n v="4850"/>
    <n v="4850"/>
    <n v="335.55999755859398"/>
    <n v="335.55999755859398"/>
    <n v="0"/>
  </r>
  <r>
    <s v="TRD-10198"/>
    <x v="4"/>
    <x v="0"/>
    <n v="600"/>
    <n v="600"/>
    <n v="601.94000244140602"/>
    <n v="601.94000244140602"/>
    <n v="0"/>
  </r>
  <r>
    <s v="TRD-10199"/>
    <x v="2"/>
    <x v="0"/>
    <n v="2700"/>
    <n v="2700"/>
    <n v="562.07000732421898"/>
    <n v="562.07000732421898"/>
    <n v="0"/>
  </r>
  <r>
    <s v="TRD-10200"/>
    <x v="0"/>
    <x v="2"/>
    <n v="400"/>
    <n v="400"/>
    <n v="178.25999450683599"/>
    <n v="179.229994535446"/>
    <n v="388.00001144400085"/>
  </r>
  <r>
    <s v="TRD-10201"/>
    <x v="1"/>
    <x v="0"/>
    <n v="650"/>
    <n v="650"/>
    <n v="342.260009765625"/>
    <n v="342.260009765625"/>
    <n v="0"/>
  </r>
  <r>
    <s v="TRD-10202"/>
    <x v="2"/>
    <x v="0"/>
    <n v="3300"/>
    <n v="3300"/>
    <n v="261.14001464843801"/>
    <n v="261.14001464843801"/>
    <n v="0"/>
  </r>
  <r>
    <s v="TRD-10203"/>
    <x v="2"/>
    <x v="1"/>
    <n v="350"/>
    <n v="0"/>
    <n v="156.80999755859401"/>
    <n v="0"/>
    <n v="54883.499145507798"/>
  </r>
  <r>
    <s v="TRD-10204"/>
    <x v="4"/>
    <x v="0"/>
    <n v="850"/>
    <n v="850"/>
    <n v="293.77999877929699"/>
    <n v="293.77999877929699"/>
    <n v="0"/>
  </r>
  <r>
    <s v="TRD-10205"/>
    <x v="2"/>
    <x v="0"/>
    <n v="4350"/>
    <n v="4350"/>
    <n v="579.30999755859398"/>
    <n v="579.30999755859398"/>
    <n v="0"/>
  </r>
  <r>
    <s v="TRD-10206"/>
    <x v="3"/>
    <x v="0"/>
    <n v="1300"/>
    <n v="1300"/>
    <n v="158.83999633789099"/>
    <n v="158.83999633789099"/>
    <n v="0"/>
  </r>
  <r>
    <s v="TRD-10207"/>
    <x v="0"/>
    <x v="0"/>
    <n v="3750"/>
    <n v="3750"/>
    <n v="505.60000610351602"/>
    <n v="505.60000610351602"/>
    <n v="0"/>
  </r>
  <r>
    <s v="TRD-10208"/>
    <x v="1"/>
    <x v="0"/>
    <n v="4900"/>
    <n v="4900"/>
    <n v="238.72999572753901"/>
    <n v="238.72999572753901"/>
    <n v="0"/>
  </r>
  <r>
    <s v="TRD-10209"/>
    <x v="2"/>
    <x v="0"/>
    <n v="3900"/>
    <n v="3900"/>
    <n v="529.28997802734398"/>
    <n v="529.28997802734398"/>
    <n v="0"/>
  </r>
  <r>
    <s v="TRD-10210"/>
    <x v="1"/>
    <x v="0"/>
    <n v="1400"/>
    <n v="1400"/>
    <n v="578.47998046875"/>
    <n v="578.47998046875"/>
    <n v="0"/>
  </r>
  <r>
    <s v="TRD-10211"/>
    <x v="3"/>
    <x v="1"/>
    <n v="100"/>
    <n v="0"/>
    <n v="277.64999389648398"/>
    <n v="0"/>
    <n v="27764.999389648401"/>
  </r>
  <r>
    <s v="TRD-10212"/>
    <x v="1"/>
    <x v="3"/>
    <n v="3650"/>
    <n v="3600"/>
    <n v="284.13000488281301"/>
    <n v="284.13000488281301"/>
    <n v="14206.50024414065"/>
  </r>
  <r>
    <s v="TRD-10213"/>
    <x v="1"/>
    <x v="2"/>
    <n v="4400"/>
    <n v="4400"/>
    <n v="372.60998535156301"/>
    <n v="373.25998532772098"/>
    <n v="2859.9998950950749"/>
  </r>
  <r>
    <s v="TRD-10216"/>
    <x v="2"/>
    <x v="0"/>
    <n v="1400"/>
    <n v="1400"/>
    <n v="585.219970703125"/>
    <n v="585.219970703125"/>
    <n v="0"/>
  </r>
  <r>
    <s v="TRD-10217"/>
    <x v="4"/>
    <x v="0"/>
    <n v="550"/>
    <n v="550"/>
    <n v="486.66000366210898"/>
    <n v="486.66000366210898"/>
    <n v="0"/>
  </r>
  <r>
    <s v="TRD-10218"/>
    <x v="1"/>
    <x v="1"/>
    <n v="2900"/>
    <n v="0"/>
    <n v="570.38000488281295"/>
    <n v="0"/>
    <n v="1654102.01416016"/>
  </r>
  <r>
    <s v="TRD-10219"/>
    <x v="4"/>
    <x v="2"/>
    <n v="4100"/>
    <n v="4100"/>
    <n v="310.11999511718801"/>
    <n v="310.67999511957203"/>
    <n v="2296.0000097744623"/>
  </r>
  <r>
    <s v="TRD-10220"/>
    <x v="4"/>
    <x v="0"/>
    <n v="2650"/>
    <n v="2650"/>
    <n v="387.33999633789102"/>
    <n v="387.33999633789102"/>
    <n v="0"/>
  </r>
  <r>
    <s v="TRD-10221"/>
    <x v="0"/>
    <x v="0"/>
    <n v="4350"/>
    <n v="4350"/>
    <n v="279.5"/>
    <n v="279.5"/>
    <n v="0"/>
  </r>
  <r>
    <s v="TRD-10222"/>
    <x v="1"/>
    <x v="0"/>
    <n v="2650"/>
    <n v="2650"/>
    <n v="630.84002685546898"/>
    <n v="630.84002685546898"/>
    <n v="0"/>
  </r>
  <r>
    <s v="TRD-10223"/>
    <x v="4"/>
    <x v="0"/>
    <n v="3500"/>
    <n v="3500"/>
    <n v="314.22000122070301"/>
    <n v="314.22000122070301"/>
    <n v="0"/>
  </r>
  <r>
    <s v="TRD-10224"/>
    <x v="2"/>
    <x v="0"/>
    <n v="5000"/>
    <n v="5000"/>
    <n v="339.85998535156301"/>
    <n v="339.85998535156301"/>
    <n v="0"/>
  </r>
  <r>
    <s v="TRD-10225"/>
    <x v="3"/>
    <x v="0"/>
    <n v="4400"/>
    <n v="4400"/>
    <n v="540.64001464843795"/>
    <n v="540.64001464843795"/>
    <n v="0"/>
  </r>
  <r>
    <s v="TRD-10226"/>
    <x v="1"/>
    <x v="0"/>
    <n v="5000"/>
    <n v="5000"/>
    <n v="157.80000305175801"/>
    <n v="157.80000305175801"/>
    <n v="0"/>
  </r>
  <r>
    <s v="TRD-10227"/>
    <x v="0"/>
    <x v="0"/>
    <n v="750"/>
    <n v="750"/>
    <n v="311.39999389648398"/>
    <n v="311.39999389648398"/>
    <n v="0"/>
  </r>
  <r>
    <s v="TRD-10228"/>
    <x v="2"/>
    <x v="0"/>
    <n v="400"/>
    <n v="400"/>
    <n v="464.89001464843801"/>
    <n v="464.89001464843801"/>
    <n v="0"/>
  </r>
  <r>
    <s v="TRD-10229"/>
    <x v="0"/>
    <x v="0"/>
    <n v="900"/>
    <n v="900"/>
    <n v="618.28997802734398"/>
    <n v="618.28997802734398"/>
    <n v="0"/>
  </r>
  <r>
    <s v="TRD-10230"/>
    <x v="1"/>
    <x v="0"/>
    <n v="850"/>
    <n v="850"/>
    <n v="589.09997558593795"/>
    <n v="589.09997558593795"/>
    <n v="0"/>
  </r>
  <r>
    <s v="TRD-10231"/>
    <x v="3"/>
    <x v="0"/>
    <n v="4950"/>
    <n v="4950"/>
    <n v="365.69000244140602"/>
    <n v="365.69000244140602"/>
    <n v="0"/>
  </r>
  <r>
    <s v="TRD-10232"/>
    <x v="0"/>
    <x v="0"/>
    <n v="3350"/>
    <n v="3350"/>
    <n v="642.09997558593795"/>
    <n v="642.09997558593795"/>
    <n v="0"/>
  </r>
  <r>
    <s v="TRD-10233"/>
    <x v="3"/>
    <x v="0"/>
    <n v="3850"/>
    <n v="3850"/>
    <n v="269.02999877929699"/>
    <n v="269.02999877929699"/>
    <n v="0"/>
  </r>
  <r>
    <s v="TRD-10234"/>
    <x v="0"/>
    <x v="0"/>
    <n v="4100"/>
    <n v="4100"/>
    <n v="480.16000366210898"/>
    <n v="480.16000366210898"/>
    <n v="0"/>
  </r>
  <r>
    <s v="TRD-10235"/>
    <x v="3"/>
    <x v="0"/>
    <n v="3900"/>
    <n v="3900"/>
    <n v="378.20999145507801"/>
    <n v="378.20999145507801"/>
    <n v="0"/>
  </r>
  <r>
    <s v="TRD-10236"/>
    <x v="3"/>
    <x v="0"/>
    <n v="1600"/>
    <n v="1600"/>
    <n v="290.16000366210898"/>
    <n v="290.16000366210898"/>
    <n v="0"/>
  </r>
  <r>
    <s v="TRD-10237"/>
    <x v="4"/>
    <x v="0"/>
    <n v="3300"/>
    <n v="3300"/>
    <n v="226.02999877929699"/>
    <n v="226.02999877929699"/>
    <n v="0"/>
  </r>
  <r>
    <s v="TRD-10238"/>
    <x v="2"/>
    <x v="0"/>
    <n v="750"/>
    <n v="750"/>
    <n v="300.45999145507801"/>
    <n v="300.45999145507801"/>
    <n v="0"/>
  </r>
  <r>
    <s v="TRD-10239"/>
    <x v="4"/>
    <x v="0"/>
    <n v="4250"/>
    <n v="4250"/>
    <n v="601.64001464843795"/>
    <n v="601.64001464843795"/>
    <n v="0"/>
  </r>
  <r>
    <s v="TRD-10240"/>
    <x v="2"/>
    <x v="0"/>
    <n v="3650"/>
    <n v="3650"/>
    <n v="616.84997558593795"/>
    <n v="616.84997558593795"/>
    <n v="0"/>
  </r>
  <r>
    <s v="TRD-10241"/>
    <x v="2"/>
    <x v="0"/>
    <n v="1900"/>
    <n v="1900"/>
    <n v="448.989990234375"/>
    <n v="448.989990234375"/>
    <n v="0"/>
  </r>
  <r>
    <s v="TRD-10242"/>
    <x v="4"/>
    <x v="2"/>
    <n v="1200"/>
    <n v="1200"/>
    <n v="183.52999877929699"/>
    <n v="182.92999875545499"/>
    <n v="720.00002861040002"/>
  </r>
  <r>
    <s v="TRD-10243"/>
    <x v="0"/>
    <x v="0"/>
    <n v="2450"/>
    <n v="2450"/>
    <n v="490.92999267578102"/>
    <n v="490.92999267578102"/>
    <n v="0"/>
  </r>
  <r>
    <s v="TRD-10244"/>
    <x v="1"/>
    <x v="0"/>
    <n v="2200"/>
    <n v="2200"/>
    <n v="315.32998657226602"/>
    <n v="315.32998657226602"/>
    <n v="0"/>
  </r>
  <r>
    <s v="TRD-10245"/>
    <x v="3"/>
    <x v="0"/>
    <n v="2250"/>
    <n v="2250"/>
    <n v="461.26998901367199"/>
    <n v="461.26998901367199"/>
    <n v="0"/>
  </r>
  <r>
    <s v="TRD-10246"/>
    <x v="2"/>
    <x v="0"/>
    <n v="300"/>
    <n v="300"/>
    <n v="455.17001342773398"/>
    <n v="455.17001342773398"/>
    <n v="0"/>
  </r>
  <r>
    <s v="TRD-10247"/>
    <x v="3"/>
    <x v="0"/>
    <n v="3000"/>
    <n v="3000"/>
    <n v="525.84002685546898"/>
    <n v="525.84002685546898"/>
    <n v="0"/>
  </r>
  <r>
    <s v="TRD-10248"/>
    <x v="2"/>
    <x v="0"/>
    <n v="4350"/>
    <n v="4350"/>
    <n v="406.07000732421898"/>
    <n v="406.07000732421898"/>
    <n v="0"/>
  </r>
  <r>
    <s v="TRD-10249"/>
    <x v="2"/>
    <x v="2"/>
    <n v="150"/>
    <n v="150"/>
    <n v="636.02001953125"/>
    <n v="635.59001952409699"/>
    <n v="64.500001072951818"/>
  </r>
  <r>
    <s v="TRD-10250"/>
    <x v="4"/>
    <x v="0"/>
    <n v="1450"/>
    <n v="1450"/>
    <n v="632.59997558593795"/>
    <n v="632.59997558593795"/>
    <n v="0"/>
  </r>
  <r>
    <s v="TRD-10251"/>
    <x v="0"/>
    <x v="0"/>
    <n v="300"/>
    <n v="300"/>
    <n v="393.05999755859398"/>
    <n v="393.05999755859398"/>
    <n v="0"/>
  </r>
  <r>
    <s v="TRD-10253"/>
    <x v="3"/>
    <x v="0"/>
    <n v="3750"/>
    <n v="3750"/>
    <n v="344.42999267578102"/>
    <n v="344.42999267578102"/>
    <n v="0"/>
  </r>
  <r>
    <s v="TRD-10254"/>
    <x v="1"/>
    <x v="0"/>
    <n v="3000"/>
    <n v="3000"/>
    <n v="576.19000244140602"/>
    <n v="576.19000244140602"/>
    <n v="0"/>
  </r>
  <r>
    <s v="TRD-10255"/>
    <x v="2"/>
    <x v="0"/>
    <n v="700"/>
    <n v="700"/>
    <n v="519.34997558593795"/>
    <n v="519.34997558593795"/>
    <n v="0"/>
  </r>
  <r>
    <s v="TRD-10256"/>
    <x v="2"/>
    <x v="0"/>
    <n v="1400"/>
    <n v="1400"/>
    <n v="376.23001098632801"/>
    <n v="376.23001098632801"/>
    <n v="0"/>
  </r>
  <r>
    <s v="TRD-10257"/>
    <x v="1"/>
    <x v="0"/>
    <n v="1300"/>
    <n v="1300"/>
    <n v="589.04998779296898"/>
    <n v="589.04998779296898"/>
    <n v="0"/>
  </r>
  <r>
    <s v="TRD-10258"/>
    <x v="1"/>
    <x v="0"/>
    <n v="1550"/>
    <n v="1550"/>
    <n v="173.69000244140599"/>
    <n v="173.69000244140599"/>
    <n v="0"/>
  </r>
  <r>
    <s v="TRD-10259"/>
    <x v="4"/>
    <x v="0"/>
    <n v="4700"/>
    <n v="4700"/>
    <n v="516.280029296875"/>
    <n v="516.280029296875"/>
    <n v="0"/>
  </r>
  <r>
    <s v="TRD-10260"/>
    <x v="4"/>
    <x v="0"/>
    <n v="1250"/>
    <n v="1250"/>
    <n v="617.11999511718795"/>
    <n v="617.11999511718795"/>
    <n v="0"/>
  </r>
  <r>
    <s v="TRD-10261"/>
    <x v="4"/>
    <x v="0"/>
    <n v="4700"/>
    <n v="4700"/>
    <n v="391.20999145507801"/>
    <n v="391.20999145507801"/>
    <n v="0"/>
  </r>
  <r>
    <s v="TRD-10262"/>
    <x v="2"/>
    <x v="0"/>
    <n v="3550"/>
    <n v="3550"/>
    <n v="259.82000732421898"/>
    <n v="259.82000732421898"/>
    <n v="0"/>
  </r>
  <r>
    <s v="TRD-10264"/>
    <x v="0"/>
    <x v="0"/>
    <n v="1650"/>
    <n v="1650"/>
    <n v="583.32000732421898"/>
    <n v="583.32000732421898"/>
    <n v="0"/>
  </r>
  <r>
    <s v="TRD-10265"/>
    <x v="4"/>
    <x v="0"/>
    <n v="4400"/>
    <n v="4400"/>
    <n v="372.72000122070301"/>
    <n v="372.72000122070301"/>
    <n v="0"/>
  </r>
  <r>
    <s v="TRD-10266"/>
    <x v="1"/>
    <x v="1"/>
    <n v="350"/>
    <n v="0"/>
    <n v="645.84002685546898"/>
    <n v="0"/>
    <n v="226044.009399414"/>
  </r>
  <r>
    <s v="TRD-10267"/>
    <x v="2"/>
    <x v="0"/>
    <n v="1950"/>
    <n v="1950"/>
    <n v="570.30999755859398"/>
    <n v="570.30999755859398"/>
    <n v="0"/>
  </r>
  <r>
    <s v="TRD-10268"/>
    <x v="3"/>
    <x v="0"/>
    <n v="3150"/>
    <n v="3150"/>
    <n v="355.66000366210898"/>
    <n v="355.66000366210898"/>
    <n v="0"/>
  </r>
  <r>
    <s v="TRD-10269"/>
    <x v="0"/>
    <x v="0"/>
    <n v="1550"/>
    <n v="1550"/>
    <n v="444.489990234375"/>
    <n v="444.489990234375"/>
    <n v="0"/>
  </r>
  <r>
    <s v="TRD-10270"/>
    <x v="0"/>
    <x v="0"/>
    <n v="1100"/>
    <n v="1100"/>
    <n v="369.60998535156301"/>
    <n v="369.60998535156301"/>
    <n v="0"/>
  </r>
  <r>
    <s v="TRD-10271"/>
    <x v="4"/>
    <x v="0"/>
    <n v="1850"/>
    <n v="1850"/>
    <n v="636.69000244140602"/>
    <n v="636.69000244140602"/>
    <n v="0"/>
  </r>
  <r>
    <s v="TRD-10272"/>
    <x v="4"/>
    <x v="0"/>
    <n v="2650"/>
    <n v="2650"/>
    <n v="616.5"/>
    <n v="616.5"/>
    <n v="0"/>
  </r>
  <r>
    <s v="TRD-10273"/>
    <x v="3"/>
    <x v="0"/>
    <n v="450"/>
    <n v="450"/>
    <n v="556.45001220703102"/>
    <n v="556.45001220703102"/>
    <n v="0"/>
  </r>
  <r>
    <s v="TRD-10274"/>
    <x v="3"/>
    <x v="0"/>
    <n v="4850"/>
    <n v="4850"/>
    <n v="445.54000854492199"/>
    <n v="445.54000854492199"/>
    <n v="0"/>
  </r>
  <r>
    <s v="TRD-10275"/>
    <x v="3"/>
    <x v="0"/>
    <n v="3550"/>
    <n v="3550"/>
    <n v="592.27001953125"/>
    <n v="592.27001953125"/>
    <n v="0"/>
  </r>
  <r>
    <s v="TRD-10276"/>
    <x v="1"/>
    <x v="2"/>
    <n v="800"/>
    <n v="800"/>
    <n v="399.77999877929699"/>
    <n v="400.13999879360199"/>
    <n v="288.00001144400085"/>
  </r>
  <r>
    <s v="TRD-10277"/>
    <x v="0"/>
    <x v="0"/>
    <n v="3000"/>
    <n v="3000"/>
    <n v="644.15002441406295"/>
    <n v="644.15002441406295"/>
    <n v="0"/>
  </r>
  <r>
    <s v="TRD-10278"/>
    <x v="1"/>
    <x v="0"/>
    <n v="4650"/>
    <n v="4650"/>
    <n v="404.45001220703102"/>
    <n v="404.45001220703102"/>
    <n v="0"/>
  </r>
  <r>
    <s v="TRD-10280"/>
    <x v="1"/>
    <x v="0"/>
    <n v="1950"/>
    <n v="1950"/>
    <n v="637.66998291015602"/>
    <n v="637.66998291015602"/>
    <n v="0"/>
  </r>
  <r>
    <s v="TRD-10281"/>
    <x v="0"/>
    <x v="0"/>
    <n v="2500"/>
    <n v="2500"/>
    <n v="522.14001464843795"/>
    <n v="522.14001464843795"/>
    <n v="0"/>
  </r>
  <r>
    <s v="TRD-10282"/>
    <x v="3"/>
    <x v="0"/>
    <n v="4450"/>
    <n v="4450"/>
    <n v="315.739990234375"/>
    <n v="315.739990234375"/>
    <n v="0"/>
  </r>
  <r>
    <s v="TRD-10283"/>
    <x v="2"/>
    <x v="0"/>
    <n v="950"/>
    <n v="950"/>
    <n v="432.07998657226602"/>
    <n v="432.07998657226602"/>
    <n v="0"/>
  </r>
  <r>
    <s v="TRD-10284"/>
    <x v="3"/>
    <x v="0"/>
    <n v="2800"/>
    <n v="2800"/>
    <n v="373.91000366210898"/>
    <n v="373.91000366210898"/>
    <n v="0"/>
  </r>
  <r>
    <s v="TRD-10285"/>
    <x v="4"/>
    <x v="0"/>
    <n v="3200"/>
    <n v="3200"/>
    <n v="565.91998291015602"/>
    <n v="565.91998291015602"/>
    <n v="0"/>
  </r>
  <r>
    <s v="TRD-10286"/>
    <x v="4"/>
    <x v="0"/>
    <n v="1800"/>
    <n v="1800"/>
    <n v="439.36999511718801"/>
    <n v="439.36999511718801"/>
    <n v="0"/>
  </r>
  <r>
    <s v="TRD-10287"/>
    <x v="4"/>
    <x v="0"/>
    <n v="1150"/>
    <n v="1150"/>
    <n v="190.72999572753901"/>
    <n v="190.72999572753901"/>
    <n v="0"/>
  </r>
  <r>
    <s v="TRD-10288"/>
    <x v="2"/>
    <x v="0"/>
    <n v="1000"/>
    <n v="1000"/>
    <n v="260.85998535156301"/>
    <n v="260.85998535156301"/>
    <n v="0"/>
  </r>
  <r>
    <s v="TRD-10289"/>
    <x v="1"/>
    <x v="0"/>
    <n v="1250"/>
    <n v="1250"/>
    <n v="206.86999511718801"/>
    <n v="206.86999511718801"/>
    <n v="0"/>
  </r>
  <r>
    <s v="TRD-10290"/>
    <x v="1"/>
    <x v="0"/>
    <n v="900"/>
    <n v="900"/>
    <n v="263.39001464843801"/>
    <n v="263.39001464843801"/>
    <n v="0"/>
  </r>
  <r>
    <s v="TRD-10292"/>
    <x v="3"/>
    <x v="0"/>
    <n v="950"/>
    <n v="950"/>
    <n v="227.94999694824199"/>
    <n v="227.94999694824199"/>
    <n v="0"/>
  </r>
  <r>
    <s v="TRD-10293"/>
    <x v="4"/>
    <x v="2"/>
    <n v="550"/>
    <n v="550"/>
    <n v="509.20001220703102"/>
    <n v="508.91001221537601"/>
    <n v="159.49999541025477"/>
  </r>
  <r>
    <s v="TRD-10294"/>
    <x v="1"/>
    <x v="0"/>
    <n v="4500"/>
    <n v="4500"/>
    <n v="556.02001953125"/>
    <n v="556.02001953125"/>
    <n v="0"/>
  </r>
  <r>
    <s v="TRD-10295"/>
    <x v="2"/>
    <x v="0"/>
    <n v="450"/>
    <n v="450"/>
    <n v="191.53999328613301"/>
    <n v="191.53999328613301"/>
    <n v="0"/>
  </r>
  <r>
    <s v="TRD-10296"/>
    <x v="4"/>
    <x v="0"/>
    <n v="2500"/>
    <n v="2500"/>
    <n v="297.83999633789102"/>
    <n v="297.83999633789102"/>
    <n v="0"/>
  </r>
  <r>
    <s v="TRD-10297"/>
    <x v="1"/>
    <x v="3"/>
    <n v="2700"/>
    <n v="2650"/>
    <n v="440.16000366210898"/>
    <n v="440.16000366210898"/>
    <n v="22008.000183105451"/>
  </r>
  <r>
    <s v="TRD-10298"/>
    <x v="3"/>
    <x v="1"/>
    <n v="1700"/>
    <n v="0"/>
    <n v="375.79000854492199"/>
    <n v="0"/>
    <n v="638843.01452636695"/>
  </r>
  <r>
    <s v="TRD-10299"/>
    <x v="3"/>
    <x v="0"/>
    <n v="1200"/>
    <n v="1200"/>
    <n v="551.86999511718795"/>
    <n v="551.86999511718795"/>
    <n v="0"/>
  </r>
  <r>
    <s v="TRD-10300"/>
    <x v="4"/>
    <x v="0"/>
    <n v="2000"/>
    <n v="2000"/>
    <n v="503.57998657226602"/>
    <n v="503.57998657226602"/>
    <n v="0"/>
  </r>
  <r>
    <s v="TRD-10301"/>
    <x v="2"/>
    <x v="0"/>
    <n v="3700"/>
    <n v="3700"/>
    <n v="637.10998535156295"/>
    <n v="637.10998535156295"/>
    <n v="0"/>
  </r>
  <r>
    <s v="TRD-10302"/>
    <x v="4"/>
    <x v="0"/>
    <n v="4750"/>
    <n v="4750"/>
    <n v="506.75"/>
    <n v="506.75"/>
    <n v="0"/>
  </r>
  <r>
    <s v="TRD-10303"/>
    <x v="1"/>
    <x v="3"/>
    <n v="1450"/>
    <n v="1400"/>
    <n v="320.489990234375"/>
    <n v="320.489990234375"/>
    <n v="16024.49951171875"/>
  </r>
  <r>
    <s v="TRD-10305"/>
    <x v="0"/>
    <x v="0"/>
    <n v="1200"/>
    <n v="1200"/>
    <n v="514.219970703125"/>
    <n v="514.219970703125"/>
    <n v="0"/>
  </r>
  <r>
    <s v="TRD-10306"/>
    <x v="1"/>
    <x v="0"/>
    <n v="1400"/>
    <n v="1400"/>
    <n v="391.04000854492199"/>
    <n v="391.04000854492199"/>
    <n v="0"/>
  </r>
  <r>
    <s v="TRD-10307"/>
    <x v="2"/>
    <x v="0"/>
    <n v="4300"/>
    <n v="4300"/>
    <n v="316.510009765625"/>
    <n v="316.510009765625"/>
    <n v="0"/>
  </r>
  <r>
    <s v="TRD-10308"/>
    <x v="2"/>
    <x v="0"/>
    <n v="4250"/>
    <n v="4250"/>
    <n v="505.75"/>
    <n v="505.75"/>
    <n v="0"/>
  </r>
  <r>
    <s v="TRD-10309"/>
    <x v="4"/>
    <x v="0"/>
    <n v="1200"/>
    <n v="1200"/>
    <n v="535.09997558593795"/>
    <n v="535.09997558593795"/>
    <n v="0"/>
  </r>
  <r>
    <s v="TRD-10310"/>
    <x v="4"/>
    <x v="0"/>
    <n v="2450"/>
    <n v="2450"/>
    <n v="509.86999511718801"/>
    <n v="509.86999511718801"/>
    <n v="0"/>
  </r>
  <r>
    <s v="TRD-10311"/>
    <x v="3"/>
    <x v="0"/>
    <n v="2900"/>
    <n v="2900"/>
    <n v="335.57998657226602"/>
    <n v="335.57998657226602"/>
    <n v="0"/>
  </r>
  <r>
    <s v="TRD-10312"/>
    <x v="3"/>
    <x v="0"/>
    <n v="3200"/>
    <n v="3200"/>
    <n v="452.07998657226602"/>
    <n v="452.07998657226602"/>
    <n v="0"/>
  </r>
  <r>
    <s v="TRD-10313"/>
    <x v="0"/>
    <x v="2"/>
    <n v="3400"/>
    <n v="3400"/>
    <n v="514.94000244140602"/>
    <n v="515.220002442598"/>
    <n v="952.00000405272931"/>
  </r>
  <r>
    <s v="TRD-10314"/>
    <x v="1"/>
    <x v="0"/>
    <n v="4850"/>
    <n v="4850"/>
    <n v="468.35998535156301"/>
    <n v="468.35998535156301"/>
    <n v="0"/>
  </r>
  <r>
    <s v="TRD-10315"/>
    <x v="0"/>
    <x v="0"/>
    <n v="2500"/>
    <n v="2500"/>
    <n v="406.83999633789102"/>
    <n v="406.83999633789102"/>
    <n v="0"/>
  </r>
  <r>
    <s v="TRD-10316"/>
    <x v="4"/>
    <x v="0"/>
    <n v="4200"/>
    <n v="4200"/>
    <n v="332.30999755859398"/>
    <n v="332.30999755859398"/>
    <n v="0"/>
  </r>
  <r>
    <s v="TRD-10317"/>
    <x v="0"/>
    <x v="0"/>
    <n v="2250"/>
    <n v="2250"/>
    <n v="173.21000671386699"/>
    <n v="173.21000671386699"/>
    <n v="0"/>
  </r>
  <r>
    <s v="TRD-10318"/>
    <x v="0"/>
    <x v="3"/>
    <n v="4250"/>
    <n v="4200"/>
    <n v="409.739990234375"/>
    <n v="409.739990234375"/>
    <n v="20486.99951171875"/>
  </r>
  <r>
    <s v="TRD-10319"/>
    <x v="4"/>
    <x v="0"/>
    <n v="3600"/>
    <n v="3600"/>
    <n v="213.28999328613301"/>
    <n v="213.28999328613301"/>
    <n v="0"/>
  </r>
  <r>
    <s v="TRD-10320"/>
    <x v="1"/>
    <x v="0"/>
    <n v="3200"/>
    <n v="3200"/>
    <n v="572.19000244140602"/>
    <n v="572.19000244140602"/>
    <n v="0"/>
  </r>
  <r>
    <s v="TRD-10321"/>
    <x v="2"/>
    <x v="0"/>
    <n v="2250"/>
    <n v="2250"/>
    <n v="450.61999511718801"/>
    <n v="450.61999511718801"/>
    <n v="0"/>
  </r>
  <r>
    <s v="TRD-10322"/>
    <x v="4"/>
    <x v="0"/>
    <n v="2750"/>
    <n v="2750"/>
    <n v="152.63999938964801"/>
    <n v="152.63999938964801"/>
    <n v="0"/>
  </r>
  <r>
    <s v="TRD-10323"/>
    <x v="2"/>
    <x v="0"/>
    <n v="2400"/>
    <n v="2400"/>
    <n v="188.14999389648401"/>
    <n v="188.14999389648401"/>
    <n v="0"/>
  </r>
  <r>
    <s v="TRD-10324"/>
    <x v="1"/>
    <x v="0"/>
    <n v="2700"/>
    <n v="2700"/>
    <n v="562.69000244140602"/>
    <n v="562.69000244140602"/>
    <n v="0"/>
  </r>
  <r>
    <s v="TRD-10325"/>
    <x v="0"/>
    <x v="2"/>
    <n v="2350"/>
    <n v="2350"/>
    <n v="537.90997314453102"/>
    <n v="538.69997316598904"/>
    <n v="1856.500050426331"/>
  </r>
  <r>
    <s v="TRD-10326"/>
    <x v="3"/>
    <x v="0"/>
    <n v="3850"/>
    <n v="3850"/>
    <n v="579.739990234375"/>
    <n v="579.739990234375"/>
    <n v="0"/>
  </r>
  <r>
    <s v="TRD-10327"/>
    <x v="3"/>
    <x v="0"/>
    <n v="3300"/>
    <n v="3300"/>
    <n v="150.99000549316401"/>
    <n v="150.99000549316401"/>
    <n v="0"/>
  </r>
  <r>
    <s v="TRD-10328"/>
    <x v="3"/>
    <x v="0"/>
    <n v="3400"/>
    <n v="3400"/>
    <n v="626.60998535156295"/>
    <n v="626.60998535156295"/>
    <n v="0"/>
  </r>
  <r>
    <s v="TRD-10329"/>
    <x v="4"/>
    <x v="0"/>
    <n v="3750"/>
    <n v="3750"/>
    <n v="180.67999267578099"/>
    <n v="180.67999267578099"/>
    <n v="0"/>
  </r>
  <r>
    <s v="TRD-10330"/>
    <x v="4"/>
    <x v="3"/>
    <n v="3800"/>
    <n v="3750"/>
    <n v="489.17001342773398"/>
    <n v="489.17001342773398"/>
    <n v="24458.500671386701"/>
  </r>
  <r>
    <s v="TRD-10331"/>
    <x v="1"/>
    <x v="0"/>
    <n v="3950"/>
    <n v="3950"/>
    <n v="272.63000488281301"/>
    <n v="272.63000488281301"/>
    <n v="0"/>
  </r>
  <r>
    <s v="TRD-10332"/>
    <x v="3"/>
    <x v="3"/>
    <n v="3950"/>
    <n v="3900"/>
    <n v="442.42999267578102"/>
    <n v="442.42999267578102"/>
    <n v="22121.499633789052"/>
  </r>
  <r>
    <s v="TRD-10333"/>
    <x v="2"/>
    <x v="0"/>
    <n v="350"/>
    <n v="350"/>
    <n v="209.89999389648401"/>
    <n v="209.89999389648401"/>
    <n v="0"/>
  </r>
  <r>
    <s v="TRD-10334"/>
    <x v="3"/>
    <x v="0"/>
    <n v="3350"/>
    <n v="3350"/>
    <n v="642.719970703125"/>
    <n v="642.719970703125"/>
    <n v="0"/>
  </r>
  <r>
    <s v="TRD-10335"/>
    <x v="1"/>
    <x v="0"/>
    <n v="2700"/>
    <n v="2700"/>
    <n v="277.97000122070301"/>
    <n v="277.97000122070301"/>
    <n v="0"/>
  </r>
  <r>
    <s v="TRD-10336"/>
    <x v="1"/>
    <x v="1"/>
    <n v="300"/>
    <n v="0"/>
    <n v="526.16998291015602"/>
    <n v="0"/>
    <n v="157850.99487304699"/>
  </r>
  <r>
    <s v="TRD-10337"/>
    <x v="3"/>
    <x v="2"/>
    <n v="950"/>
    <n v="950"/>
    <n v="225.72000122070301"/>
    <n v="225.97000122070301"/>
    <n v="237.5"/>
  </r>
  <r>
    <s v="TRD-10338"/>
    <x v="3"/>
    <x v="0"/>
    <n v="1850"/>
    <n v="1850"/>
    <n v="323.44000244140602"/>
    <n v="323.44000244140602"/>
    <n v="0"/>
  </r>
  <r>
    <s v="TRD-10339"/>
    <x v="0"/>
    <x v="0"/>
    <n v="2050"/>
    <n v="2050"/>
    <n v="198.36999511718801"/>
    <n v="198.36999511718801"/>
    <n v="0"/>
  </r>
  <r>
    <s v="TRD-10340"/>
    <x v="4"/>
    <x v="1"/>
    <n v="1050"/>
    <n v="0"/>
    <n v="455.989990234375"/>
    <n v="0"/>
    <n v="478789.48974609398"/>
  </r>
  <r>
    <s v="TRD-10341"/>
    <x v="3"/>
    <x v="0"/>
    <n v="650"/>
    <n v="650"/>
    <n v="395.17999267578102"/>
    <n v="395.17999267578102"/>
    <n v="0"/>
  </r>
  <r>
    <s v="TRD-10342"/>
    <x v="1"/>
    <x v="0"/>
    <n v="550"/>
    <n v="550"/>
    <n v="368.79000854492199"/>
    <n v="368.79000854492199"/>
    <n v="0"/>
  </r>
  <r>
    <s v="TRD-10343"/>
    <x v="3"/>
    <x v="3"/>
    <n v="3200"/>
    <n v="3150"/>
    <n v="522.69000244140602"/>
    <n v="522.69000244140602"/>
    <n v="26134.500122070302"/>
  </r>
  <r>
    <s v="TRD-10344"/>
    <x v="0"/>
    <x v="0"/>
    <n v="700"/>
    <n v="700"/>
    <n v="536.67999267578102"/>
    <n v="536.67999267578102"/>
    <n v="0"/>
  </r>
  <r>
    <s v="TRD-10345"/>
    <x v="2"/>
    <x v="0"/>
    <n v="1750"/>
    <n v="1750"/>
    <n v="289.35998535156301"/>
    <n v="289.35998535156301"/>
    <n v="0"/>
  </r>
  <r>
    <s v="TRD-10346"/>
    <x v="0"/>
    <x v="0"/>
    <n v="3450"/>
    <n v="3450"/>
    <n v="493.55999755859398"/>
    <n v="493.55999755859398"/>
    <n v="0"/>
  </r>
  <r>
    <s v="TRD-10347"/>
    <x v="4"/>
    <x v="1"/>
    <n v="4850"/>
    <n v="0"/>
    <n v="474.45999145507801"/>
    <n v="0"/>
    <n v="2301130.9585571298"/>
  </r>
  <r>
    <s v="TRD-10348"/>
    <x v="0"/>
    <x v="0"/>
    <n v="3600"/>
    <n v="3600"/>
    <n v="387.10000610351602"/>
    <n v="387.10000610351602"/>
    <n v="0"/>
  </r>
  <r>
    <s v="TRD-10349"/>
    <x v="1"/>
    <x v="0"/>
    <n v="4650"/>
    <n v="4650"/>
    <n v="295.239990234375"/>
    <n v="295.239990234375"/>
    <n v="0"/>
  </r>
  <r>
    <s v="TRD-10350"/>
    <x v="1"/>
    <x v="0"/>
    <n v="1600"/>
    <n v="1600"/>
    <n v="158.44000244140599"/>
    <n v="158.44000244140599"/>
    <n v="0"/>
  </r>
  <r>
    <s v="TRD-10351"/>
    <x v="3"/>
    <x v="3"/>
    <n v="100"/>
    <n v="50"/>
    <n v="399.14001464843801"/>
    <n v="399.14001464843801"/>
    <n v="19957.0007324219"/>
  </r>
  <r>
    <s v="TRD-10352"/>
    <x v="0"/>
    <x v="2"/>
    <n v="2650"/>
    <n v="2650"/>
    <n v="346.83999633789102"/>
    <n v="347.14999634027498"/>
    <n v="821.50000631748981"/>
  </r>
  <r>
    <s v="TRD-10353"/>
    <x v="4"/>
    <x v="0"/>
    <n v="3350"/>
    <n v="3350"/>
    <n v="559.03997802734398"/>
    <n v="559.03997802734398"/>
    <n v="0"/>
  </r>
  <r>
    <s v="TRD-10355"/>
    <x v="3"/>
    <x v="2"/>
    <n v="3800"/>
    <n v="3800"/>
    <n v="624.02001953125"/>
    <n v="624.54001951217697"/>
    <n v="1975.99992752248"/>
  </r>
  <r>
    <s v="TRD-10356"/>
    <x v="3"/>
    <x v="0"/>
    <n v="4900"/>
    <n v="4900"/>
    <n v="470.66000366210898"/>
    <n v="470.66000366210898"/>
    <n v="0"/>
  </r>
  <r>
    <s v="TRD-10357"/>
    <x v="1"/>
    <x v="0"/>
    <n v="2000"/>
    <n v="2000"/>
    <n v="252.82000732421901"/>
    <n v="252.82000732421901"/>
    <n v="0"/>
  </r>
  <r>
    <s v="TRD-10358"/>
    <x v="3"/>
    <x v="0"/>
    <n v="400"/>
    <n v="400"/>
    <n v="352.55999755859398"/>
    <n v="352.55999755859398"/>
    <n v="0"/>
  </r>
  <r>
    <s v="TRD-10359"/>
    <x v="2"/>
    <x v="1"/>
    <n v="1850"/>
    <n v="0"/>
    <n v="350.61999511718801"/>
    <n v="0"/>
    <n v="648646.99096679699"/>
  </r>
  <r>
    <s v="TRD-10360"/>
    <x v="3"/>
    <x v="0"/>
    <n v="3850"/>
    <n v="3850"/>
    <n v="285.82000732421898"/>
    <n v="285.82000732421898"/>
    <n v="0"/>
  </r>
  <r>
    <s v="TRD-10361"/>
    <x v="3"/>
    <x v="0"/>
    <n v="2300"/>
    <n v="2300"/>
    <n v="544.39001464843795"/>
    <n v="544.39001464843795"/>
    <n v="0"/>
  </r>
  <r>
    <s v="TRD-10362"/>
    <x v="1"/>
    <x v="0"/>
    <n v="3100"/>
    <n v="3100"/>
    <n v="235.74000549316401"/>
    <n v="235.74000549316401"/>
    <n v="0"/>
  </r>
  <r>
    <s v="TRD-10363"/>
    <x v="0"/>
    <x v="0"/>
    <n v="1100"/>
    <n v="1100"/>
    <n v="601.41998291015602"/>
    <n v="601.41998291015602"/>
    <n v="0"/>
  </r>
  <r>
    <s v="TRD-10364"/>
    <x v="3"/>
    <x v="0"/>
    <n v="4500"/>
    <n v="4500"/>
    <n v="629.05999755859398"/>
    <n v="629.05999755859398"/>
    <n v="0"/>
  </r>
  <r>
    <s v="TRD-10365"/>
    <x v="0"/>
    <x v="0"/>
    <n v="4750"/>
    <n v="4750"/>
    <n v="168.419998168945"/>
    <n v="168.419998168945"/>
    <n v="0"/>
  </r>
  <r>
    <s v="TRD-10366"/>
    <x v="0"/>
    <x v="0"/>
    <n v="2600"/>
    <n v="2600"/>
    <n v="471.10998535156301"/>
    <n v="471.10998535156301"/>
    <n v="0"/>
  </r>
  <r>
    <s v="TRD-10367"/>
    <x v="2"/>
    <x v="0"/>
    <n v="3700"/>
    <n v="3700"/>
    <n v="201.16000366210901"/>
    <n v="201.16000366210901"/>
    <n v="0"/>
  </r>
  <r>
    <s v="TRD-10369"/>
    <x v="3"/>
    <x v="0"/>
    <n v="3900"/>
    <n v="3900"/>
    <n v="519.20001220703102"/>
    <n v="519.20001220703102"/>
    <n v="0"/>
  </r>
  <r>
    <s v="TRD-10370"/>
    <x v="3"/>
    <x v="0"/>
    <n v="3400"/>
    <n v="3400"/>
    <n v="493.95999145507801"/>
    <n v="493.95999145507801"/>
    <n v="0"/>
  </r>
  <r>
    <s v="TRD-10371"/>
    <x v="1"/>
    <x v="0"/>
    <n v="4350"/>
    <n v="4350"/>
    <n v="485.54000854492199"/>
    <n v="485.54000854492199"/>
    <n v="0"/>
  </r>
  <r>
    <s v="TRD-10372"/>
    <x v="4"/>
    <x v="0"/>
    <n v="4350"/>
    <n v="4350"/>
    <n v="383.20001220703102"/>
    <n v="383.20001220703102"/>
    <n v="0"/>
  </r>
  <r>
    <s v="TRD-10373"/>
    <x v="0"/>
    <x v="0"/>
    <n v="1450"/>
    <n v="1450"/>
    <n v="311.33999633789102"/>
    <n v="311.33999633789102"/>
    <n v="0"/>
  </r>
  <r>
    <s v="TRD-10374"/>
    <x v="3"/>
    <x v="0"/>
    <n v="1450"/>
    <n v="1450"/>
    <n v="247.41000366210901"/>
    <n v="247.41000366210901"/>
    <n v="0"/>
  </r>
  <r>
    <s v="TRD-10375"/>
    <x v="4"/>
    <x v="3"/>
    <n v="3800"/>
    <n v="3750"/>
    <n v="485.57000732421898"/>
    <n v="485.57000732421898"/>
    <n v="24278.500366210948"/>
  </r>
  <r>
    <s v="TRD-10376"/>
    <x v="0"/>
    <x v="0"/>
    <n v="2450"/>
    <n v="2450"/>
    <n v="617.82000732421898"/>
    <n v="617.82000732421898"/>
    <n v="0"/>
  </r>
  <r>
    <s v="TRD-10377"/>
    <x v="1"/>
    <x v="0"/>
    <n v="4000"/>
    <n v="4000"/>
    <n v="329.739990234375"/>
    <n v="329.739990234375"/>
    <n v="0"/>
  </r>
  <r>
    <s v="TRD-10378"/>
    <x v="0"/>
    <x v="0"/>
    <n v="1950"/>
    <n v="1950"/>
    <n v="432.39001464843801"/>
    <n v="432.39001464843801"/>
    <n v="0"/>
  </r>
  <r>
    <s v="TRD-10379"/>
    <x v="4"/>
    <x v="0"/>
    <n v="1250"/>
    <n v="1250"/>
    <n v="177.55999755859401"/>
    <n v="177.55999755859401"/>
    <n v="0"/>
  </r>
  <r>
    <s v="TRD-10380"/>
    <x v="1"/>
    <x v="0"/>
    <n v="50"/>
    <n v="50"/>
    <n v="527.989990234375"/>
    <n v="527.989990234375"/>
    <n v="0"/>
  </r>
  <r>
    <s v="TRD-10381"/>
    <x v="4"/>
    <x v="1"/>
    <n v="400"/>
    <n v="0"/>
    <n v="179.63000488281301"/>
    <n v="0"/>
    <n v="71852.001953125"/>
  </r>
  <r>
    <s v="TRD-10382"/>
    <x v="1"/>
    <x v="0"/>
    <n v="1700"/>
    <n v="1700"/>
    <n v="257.63000488281301"/>
    <n v="257.63000488281301"/>
    <n v="0"/>
  </r>
  <r>
    <s v="TRD-10383"/>
    <x v="0"/>
    <x v="0"/>
    <n v="2050"/>
    <n v="2050"/>
    <n v="233.13999938964801"/>
    <n v="233.13999938964801"/>
    <n v="0"/>
  </r>
  <r>
    <s v="TRD-10384"/>
    <x v="2"/>
    <x v="0"/>
    <n v="2700"/>
    <n v="2700"/>
    <n v="232.60000610351599"/>
    <n v="232.60000610351599"/>
    <n v="0"/>
  </r>
  <r>
    <s v="TRD-10385"/>
    <x v="2"/>
    <x v="0"/>
    <n v="4150"/>
    <n v="4150"/>
    <n v="536.54998779296898"/>
    <n v="536.54998779296898"/>
    <n v="0"/>
  </r>
  <r>
    <s v="TRD-10386"/>
    <x v="0"/>
    <x v="3"/>
    <n v="1650"/>
    <n v="1600"/>
    <n v="189.69000244140599"/>
    <n v="189.69000244140599"/>
    <n v="9484.5001220702998"/>
  </r>
  <r>
    <s v="TRD-10387"/>
    <x v="2"/>
    <x v="0"/>
    <n v="4850"/>
    <n v="4850"/>
    <n v="269.260009765625"/>
    <n v="269.260009765625"/>
    <n v="0"/>
  </r>
  <r>
    <s v="TRD-10388"/>
    <x v="2"/>
    <x v="0"/>
    <n v="3600"/>
    <n v="3600"/>
    <n v="483.36999511718801"/>
    <n v="483.36999511718801"/>
    <n v="0"/>
  </r>
  <r>
    <s v="TRD-10389"/>
    <x v="1"/>
    <x v="3"/>
    <n v="1200"/>
    <n v="1150"/>
    <n v="396.33999633789102"/>
    <n v="396.33999633789102"/>
    <n v="19816.999816894549"/>
  </r>
  <r>
    <s v="TRD-10390"/>
    <x v="3"/>
    <x v="0"/>
    <n v="4400"/>
    <n v="4400"/>
    <n v="202.94000244140599"/>
    <n v="202.94000244140599"/>
    <n v="0"/>
  </r>
  <r>
    <s v="TRD-10391"/>
    <x v="3"/>
    <x v="0"/>
    <n v="4550"/>
    <n v="4550"/>
    <n v="598.17999267578102"/>
    <n v="598.17999267578102"/>
    <n v="0"/>
  </r>
  <r>
    <s v="TRD-10392"/>
    <x v="2"/>
    <x v="0"/>
    <n v="1550"/>
    <n v="1550"/>
    <n v="414.79998779296898"/>
    <n v="414.79998779296898"/>
    <n v="0"/>
  </r>
  <r>
    <s v="TRD-10393"/>
    <x v="0"/>
    <x v="0"/>
    <n v="2100"/>
    <n v="2100"/>
    <n v="325.17999267578102"/>
    <n v="325.17999267578102"/>
    <n v="0"/>
  </r>
  <r>
    <s v="TRD-10394"/>
    <x v="0"/>
    <x v="1"/>
    <n v="1600"/>
    <n v="0"/>
    <n v="529.54998779296898"/>
    <n v="0"/>
    <n v="847279.98046875"/>
  </r>
  <r>
    <s v="TRD-10395"/>
    <x v="3"/>
    <x v="0"/>
    <n v="4400"/>
    <n v="4400"/>
    <n v="477.45001220703102"/>
    <n v="477.45001220703102"/>
    <n v="0"/>
  </r>
  <r>
    <s v="TRD-10396"/>
    <x v="4"/>
    <x v="0"/>
    <n v="3150"/>
    <n v="3150"/>
    <n v="294.239990234375"/>
    <n v="294.239990234375"/>
    <n v="0"/>
  </r>
  <r>
    <s v="TRD-10397"/>
    <x v="2"/>
    <x v="2"/>
    <n v="4700"/>
    <n v="4700"/>
    <n v="209.52000427246099"/>
    <n v="208.96000427007701"/>
    <n v="2632.0000112047383"/>
  </r>
  <r>
    <s v="TRD-10398"/>
    <x v="2"/>
    <x v="0"/>
    <n v="2600"/>
    <n v="2600"/>
    <n v="506.260009765625"/>
    <n v="506.260009765625"/>
    <n v="0"/>
  </r>
  <r>
    <s v="TRD-10399"/>
    <x v="0"/>
    <x v="0"/>
    <n v="2100"/>
    <n v="2100"/>
    <n v="356.70999145507801"/>
    <n v="356.70999145507801"/>
    <n v="0"/>
  </r>
  <r>
    <s v="TRD-10400"/>
    <x v="2"/>
    <x v="0"/>
    <n v="1250"/>
    <n v="1250"/>
    <n v="389.89001464843801"/>
    <n v="389.89001464843801"/>
    <n v="0"/>
  </r>
  <r>
    <s v="TRD-10401"/>
    <x v="0"/>
    <x v="0"/>
    <n v="3600"/>
    <n v="3600"/>
    <n v="221.72000122070301"/>
    <n v="221.72000122070301"/>
    <n v="0"/>
  </r>
  <r>
    <s v="TRD-10402"/>
    <x v="0"/>
    <x v="0"/>
    <n v="1950"/>
    <n v="1950"/>
    <n v="249.77000427246099"/>
    <n v="249.77000427246099"/>
    <n v="0"/>
  </r>
  <r>
    <s v="TRD-10403"/>
    <x v="2"/>
    <x v="0"/>
    <n v="4950"/>
    <n v="4950"/>
    <n v="379.60998535156301"/>
    <n v="379.60998535156301"/>
    <n v="0"/>
  </r>
  <r>
    <s v="TRD-10404"/>
    <x v="4"/>
    <x v="0"/>
    <n v="4850"/>
    <n v="4850"/>
    <n v="510.80999755859398"/>
    <n v="510.80999755859398"/>
    <n v="0"/>
  </r>
  <r>
    <s v="TRD-10405"/>
    <x v="3"/>
    <x v="0"/>
    <n v="3450"/>
    <n v="3450"/>
    <n v="392.239990234375"/>
    <n v="392.239990234375"/>
    <n v="0"/>
  </r>
  <r>
    <s v="TRD-10406"/>
    <x v="2"/>
    <x v="0"/>
    <n v="1800"/>
    <n v="1800"/>
    <n v="580.78997802734398"/>
    <n v="580.78997802734398"/>
    <n v="0"/>
  </r>
  <r>
    <s v="TRD-10407"/>
    <x v="2"/>
    <x v="0"/>
    <n v="2750"/>
    <n v="2750"/>
    <n v="362.989990234375"/>
    <n v="362.989990234375"/>
    <n v="0"/>
  </r>
  <r>
    <s v="TRD-10408"/>
    <x v="1"/>
    <x v="0"/>
    <n v="3900"/>
    <n v="3900"/>
    <n v="623.89001464843795"/>
    <n v="623.89001464843795"/>
    <n v="0"/>
  </r>
  <r>
    <s v="TRD-10409"/>
    <x v="2"/>
    <x v="0"/>
    <n v="3700"/>
    <n v="3700"/>
    <n v="272.64001464843801"/>
    <n v="272.64001464843801"/>
    <n v="0"/>
  </r>
  <r>
    <s v="TRD-10410"/>
    <x v="4"/>
    <x v="0"/>
    <n v="4900"/>
    <n v="4900"/>
    <n v="459.02999877929699"/>
    <n v="459.02999877929699"/>
    <n v="0"/>
  </r>
  <r>
    <s v="TRD-10411"/>
    <x v="1"/>
    <x v="0"/>
    <n v="900"/>
    <n v="900"/>
    <n v="440.39999389648398"/>
    <n v="440.39999389648398"/>
    <n v="0"/>
  </r>
  <r>
    <s v="TRD-10412"/>
    <x v="3"/>
    <x v="0"/>
    <n v="1400"/>
    <n v="1400"/>
    <n v="583.38000488281295"/>
    <n v="583.38000488281295"/>
    <n v="0"/>
  </r>
  <r>
    <s v="TRD-10413"/>
    <x v="4"/>
    <x v="1"/>
    <n v="950"/>
    <n v="0"/>
    <n v="609.75"/>
    <n v="0"/>
    <n v="579262.5"/>
  </r>
  <r>
    <s v="TRD-10414"/>
    <x v="0"/>
    <x v="0"/>
    <n v="3900"/>
    <n v="3900"/>
    <n v="320.76998901367199"/>
    <n v="320.76998901367199"/>
    <n v="0"/>
  </r>
  <r>
    <s v="TRD-10415"/>
    <x v="4"/>
    <x v="0"/>
    <n v="1700"/>
    <n v="1700"/>
    <n v="159.44999694824199"/>
    <n v="159.44999694824199"/>
    <n v="0"/>
  </r>
  <r>
    <s v="TRD-10416"/>
    <x v="3"/>
    <x v="0"/>
    <n v="4200"/>
    <n v="4200"/>
    <n v="595.09997558593795"/>
    <n v="595.09997558593795"/>
    <n v="0"/>
  </r>
  <r>
    <s v="TRD-10417"/>
    <x v="3"/>
    <x v="0"/>
    <n v="2650"/>
    <n v="2650"/>
    <n v="439.45001220703102"/>
    <n v="439.45001220703102"/>
    <n v="0"/>
  </r>
  <r>
    <s v="TRD-10418"/>
    <x v="4"/>
    <x v="0"/>
    <n v="4100"/>
    <n v="4100"/>
    <n v="328.83999633789102"/>
    <n v="328.83999633789102"/>
    <n v="0"/>
  </r>
  <r>
    <s v="TRD-10419"/>
    <x v="3"/>
    <x v="3"/>
    <n v="1950"/>
    <n v="1900"/>
    <n v="231.80999755859401"/>
    <n v="231.80999755859401"/>
    <n v="11590.4998779297"/>
  </r>
  <r>
    <s v="TRD-10420"/>
    <x v="2"/>
    <x v="0"/>
    <n v="350"/>
    <n v="350"/>
    <n v="466.41000366210898"/>
    <n v="466.41000366210898"/>
    <n v="0"/>
  </r>
  <r>
    <s v="TRD-10421"/>
    <x v="2"/>
    <x v="0"/>
    <n v="4350"/>
    <n v="4350"/>
    <n v="336.69000244140602"/>
    <n v="336.69000244140602"/>
    <n v="0"/>
  </r>
  <r>
    <s v="TRD-10422"/>
    <x v="0"/>
    <x v="0"/>
    <n v="850"/>
    <n v="850"/>
    <n v="622.65997314453102"/>
    <n v="622.65997314453102"/>
    <n v="0"/>
  </r>
  <r>
    <s v="TRD-10423"/>
    <x v="2"/>
    <x v="0"/>
    <n v="450"/>
    <n v="450"/>
    <n v="283.22000122070301"/>
    <n v="283.22000122070301"/>
    <n v="0"/>
  </r>
  <r>
    <s v="TRD-10424"/>
    <x v="2"/>
    <x v="0"/>
    <n v="1950"/>
    <n v="1950"/>
    <n v="356.260009765625"/>
    <n v="356.260009765625"/>
    <n v="0"/>
  </r>
  <r>
    <s v="TRD-10425"/>
    <x v="3"/>
    <x v="0"/>
    <n v="2350"/>
    <n v="2350"/>
    <n v="165.47999572753901"/>
    <n v="165.47999572753901"/>
    <n v="0"/>
  </r>
  <r>
    <s v="TRD-10426"/>
    <x v="4"/>
    <x v="0"/>
    <n v="2150"/>
    <n v="2150"/>
    <n v="568.19000244140602"/>
    <n v="568.19000244140602"/>
    <n v="0"/>
  </r>
  <r>
    <s v="TRD-10427"/>
    <x v="3"/>
    <x v="0"/>
    <n v="400"/>
    <n v="400"/>
    <n v="603.46002197265602"/>
    <n v="603.46002197265602"/>
    <n v="0"/>
  </r>
  <r>
    <s v="TRD-10428"/>
    <x v="2"/>
    <x v="0"/>
    <n v="2200"/>
    <n v="2200"/>
    <n v="525.13000488281295"/>
    <n v="525.13000488281295"/>
    <n v="0"/>
  </r>
  <r>
    <s v="TRD-10429"/>
    <x v="0"/>
    <x v="1"/>
    <n v="1150"/>
    <n v="0"/>
    <n v="328.91000366210898"/>
    <n v="0"/>
    <n v="378246.50421142601"/>
  </r>
  <r>
    <s v="TRD-10430"/>
    <x v="0"/>
    <x v="0"/>
    <n v="1000"/>
    <n v="1000"/>
    <n v="507.95999145507801"/>
    <n v="507.95999145507801"/>
    <n v="0"/>
  </r>
  <r>
    <s v="TRD-10431"/>
    <x v="4"/>
    <x v="0"/>
    <n v="1900"/>
    <n v="1900"/>
    <n v="396.39001464843801"/>
    <n v="396.39001464843801"/>
    <n v="0"/>
  </r>
  <r>
    <s v="TRD-10432"/>
    <x v="4"/>
    <x v="0"/>
    <n v="3250"/>
    <n v="3250"/>
    <n v="585.09997558593795"/>
    <n v="585.09997558593795"/>
    <n v="0"/>
  </r>
  <r>
    <s v="TRD-10433"/>
    <x v="2"/>
    <x v="0"/>
    <n v="900"/>
    <n v="900"/>
    <n v="519.11999511718795"/>
    <n v="519.11999511718795"/>
    <n v="0"/>
  </r>
  <r>
    <s v="TRD-10434"/>
    <x v="2"/>
    <x v="0"/>
    <n v="3000"/>
    <n v="3000"/>
    <n v="511.05999755859398"/>
    <n v="511.05999755859398"/>
    <n v="0"/>
  </r>
  <r>
    <s v="TRD-10435"/>
    <x v="4"/>
    <x v="0"/>
    <n v="4550"/>
    <n v="4550"/>
    <n v="529.94000244140602"/>
    <n v="529.94000244140602"/>
    <n v="0"/>
  </r>
  <r>
    <s v="TRD-10436"/>
    <x v="1"/>
    <x v="0"/>
    <n v="3550"/>
    <n v="3550"/>
    <n v="249.77999877929699"/>
    <n v="249.77999877929699"/>
    <n v="0"/>
  </r>
  <r>
    <s v="TRD-10437"/>
    <x v="0"/>
    <x v="0"/>
    <n v="50"/>
    <n v="50"/>
    <n v="467.29000854492199"/>
    <n v="467.29000854492199"/>
    <n v="0"/>
  </r>
  <r>
    <s v="TRD-10438"/>
    <x v="4"/>
    <x v="0"/>
    <n v="3800"/>
    <n v="3800"/>
    <n v="623.14001464843795"/>
    <n v="623.14001464843795"/>
    <n v="0"/>
  </r>
  <r>
    <s v="TRD-10439"/>
    <x v="0"/>
    <x v="0"/>
    <n v="5000"/>
    <n v="5000"/>
    <n v="286.08999633789102"/>
    <n v="286.08999633789102"/>
    <n v="0"/>
  </r>
  <r>
    <s v="TRD-10440"/>
    <x v="2"/>
    <x v="0"/>
    <n v="400"/>
    <n v="400"/>
    <n v="584.35998535156295"/>
    <n v="584.35998535156295"/>
    <n v="0"/>
  </r>
  <r>
    <s v="TRD-10441"/>
    <x v="4"/>
    <x v="0"/>
    <n v="2700"/>
    <n v="2700"/>
    <n v="193.69999694824199"/>
    <n v="193.69999694824199"/>
    <n v="0"/>
  </r>
  <r>
    <s v="TRD-10442"/>
    <x v="4"/>
    <x v="0"/>
    <n v="1700"/>
    <n v="1700"/>
    <n v="616.42999267578102"/>
    <n v="616.42999267578102"/>
    <n v="0"/>
  </r>
  <r>
    <s v="TRD-10443"/>
    <x v="4"/>
    <x v="0"/>
    <n v="4150"/>
    <n v="4150"/>
    <n v="610.88000488281295"/>
    <n v="610.88000488281295"/>
    <n v="0"/>
  </r>
  <r>
    <s v="TRD-10444"/>
    <x v="1"/>
    <x v="0"/>
    <n v="2450"/>
    <n v="2450"/>
    <n v="255.580001831055"/>
    <n v="255.580001831055"/>
    <n v="0"/>
  </r>
  <r>
    <s v="TRD-10445"/>
    <x v="2"/>
    <x v="1"/>
    <n v="1100"/>
    <n v="0"/>
    <n v="257.67001342773398"/>
    <n v="0"/>
    <n v="283437.01477050799"/>
  </r>
  <r>
    <s v="TRD-10446"/>
    <x v="2"/>
    <x v="0"/>
    <n v="50"/>
    <n v="50"/>
    <n v="239.69999694824199"/>
    <n v="239.69999694824199"/>
    <n v="0"/>
  </r>
  <r>
    <s v="TRD-10447"/>
    <x v="4"/>
    <x v="0"/>
    <n v="50"/>
    <n v="50"/>
    <n v="364.41000366210898"/>
    <n v="364.41000366210898"/>
    <n v="0"/>
  </r>
  <r>
    <s v="TRD-10448"/>
    <x v="2"/>
    <x v="0"/>
    <n v="2050"/>
    <n v="2050"/>
    <n v="281.76998901367199"/>
    <n v="281.76998901367199"/>
    <n v="0"/>
  </r>
  <r>
    <s v="TRD-10449"/>
    <x v="3"/>
    <x v="0"/>
    <n v="3250"/>
    <n v="3250"/>
    <n v="507.60000610351602"/>
    <n v="507.60000610351602"/>
    <n v="0"/>
  </r>
  <r>
    <s v="TRD-10450"/>
    <x v="3"/>
    <x v="0"/>
    <n v="4700"/>
    <n v="4700"/>
    <n v="468.29998779296898"/>
    <n v="468.29998779296898"/>
    <n v="0"/>
  </r>
  <r>
    <s v="TRD-10451"/>
    <x v="0"/>
    <x v="0"/>
    <n v="100"/>
    <n v="100"/>
    <n v="570.86999511718795"/>
    <n v="570.86999511718795"/>
    <n v="0"/>
  </r>
  <r>
    <s v="TRD-10452"/>
    <x v="1"/>
    <x v="2"/>
    <n v="3000"/>
    <n v="3000"/>
    <n v="282.77999877929699"/>
    <n v="282.75999877974402"/>
    <n v="59.999998658895493"/>
  </r>
  <r>
    <s v="TRD-10453"/>
    <x v="0"/>
    <x v="0"/>
    <n v="1850"/>
    <n v="1850"/>
    <n v="280.61999511718801"/>
    <n v="280.61999511718801"/>
    <n v="0"/>
  </r>
  <r>
    <s v="TRD-10454"/>
    <x v="3"/>
    <x v="0"/>
    <n v="1050"/>
    <n v="1050"/>
    <n v="254.63000488281301"/>
    <n v="254.63000488281301"/>
    <n v="0"/>
  </r>
  <r>
    <s v="TRD-10455"/>
    <x v="2"/>
    <x v="0"/>
    <n v="200"/>
    <n v="200"/>
    <n v="214.61999511718801"/>
    <n v="214.61999511718801"/>
    <n v="0"/>
  </r>
  <r>
    <s v="TRD-10456"/>
    <x v="3"/>
    <x v="0"/>
    <n v="850"/>
    <n v="850"/>
    <n v="188.5"/>
    <n v="188.5"/>
    <n v="0"/>
  </r>
  <r>
    <s v="TRD-10457"/>
    <x v="2"/>
    <x v="0"/>
    <n v="2550"/>
    <n v="2550"/>
    <n v="432.70999145507801"/>
    <n v="432.70999145507801"/>
    <n v="0"/>
  </r>
  <r>
    <s v="TRD-10458"/>
    <x v="1"/>
    <x v="0"/>
    <n v="1300"/>
    <n v="1300"/>
    <n v="251.36000061035199"/>
    <n v="251.36000061035199"/>
    <n v="0"/>
  </r>
  <r>
    <s v="TRD-10459"/>
    <x v="3"/>
    <x v="0"/>
    <n v="1100"/>
    <n v="1100"/>
    <n v="614.07000732421898"/>
    <n v="614.07000732421898"/>
    <n v="0"/>
  </r>
  <r>
    <s v="TRD-10460"/>
    <x v="3"/>
    <x v="0"/>
    <n v="500"/>
    <n v="500"/>
    <n v="619.67999267578102"/>
    <n v="619.67999267578102"/>
    <n v="0"/>
  </r>
  <r>
    <s v="TRD-10461"/>
    <x v="1"/>
    <x v="0"/>
    <n v="2950"/>
    <n v="2950"/>
    <n v="477.39999389648398"/>
    <n v="477.39999389648398"/>
    <n v="0"/>
  </r>
  <r>
    <s v="TRD-10462"/>
    <x v="1"/>
    <x v="1"/>
    <n v="400"/>
    <n v="0"/>
    <n v="302.47000122070301"/>
    <n v="0"/>
    <n v="120988.000488281"/>
  </r>
  <r>
    <s v="TRD-10463"/>
    <x v="4"/>
    <x v="0"/>
    <n v="2150"/>
    <n v="2150"/>
    <n v="648.15997314453102"/>
    <n v="648.15997314453102"/>
    <n v="0"/>
  </r>
  <r>
    <s v="TRD-10464"/>
    <x v="0"/>
    <x v="3"/>
    <n v="4600"/>
    <n v="4550"/>
    <n v="320.95001220703102"/>
    <n v="320.95001220703102"/>
    <n v="16047.500610351552"/>
  </r>
  <r>
    <s v="TRD-10465"/>
    <x v="2"/>
    <x v="0"/>
    <n v="3050"/>
    <n v="3050"/>
    <n v="150.75"/>
    <n v="150.75"/>
    <n v="0"/>
  </r>
  <r>
    <s v="TRD-10466"/>
    <x v="2"/>
    <x v="0"/>
    <n v="2250"/>
    <n v="2250"/>
    <n v="513.20001220703102"/>
    <n v="513.20001220703102"/>
    <n v="0"/>
  </r>
  <r>
    <s v="TRD-10467"/>
    <x v="1"/>
    <x v="0"/>
    <n v="50"/>
    <n v="50"/>
    <n v="525.65002441406295"/>
    <n v="525.65002441406295"/>
    <n v="0"/>
  </r>
  <r>
    <s v="TRD-10468"/>
    <x v="1"/>
    <x v="2"/>
    <n v="3400"/>
    <n v="3400"/>
    <n v="463.92999267578102"/>
    <n v="463.13999265432398"/>
    <n v="2686.0000729539593"/>
  </r>
  <r>
    <s v="TRD-10469"/>
    <x v="1"/>
    <x v="0"/>
    <n v="4250"/>
    <n v="4250"/>
    <n v="483.51998901367199"/>
    <n v="483.51998901367199"/>
    <n v="0"/>
  </r>
  <r>
    <s v="TRD-10470"/>
    <x v="4"/>
    <x v="0"/>
    <n v="4100"/>
    <n v="4100"/>
    <n v="579.55999755859398"/>
    <n v="579.55999755859398"/>
    <n v="0"/>
  </r>
  <r>
    <s v="TRD-10471"/>
    <x v="0"/>
    <x v="2"/>
    <n v="650"/>
    <n v="650"/>
    <n v="234.92999267578099"/>
    <n v="234.54999268054999"/>
    <n v="246.99999690015204"/>
  </r>
  <r>
    <s v="TRD-10472"/>
    <x v="0"/>
    <x v="0"/>
    <n v="4200"/>
    <n v="4200"/>
    <n v="206.03999328613301"/>
    <n v="206.03999328613301"/>
    <n v="0"/>
  </r>
  <r>
    <s v="TRD-10474"/>
    <x v="3"/>
    <x v="0"/>
    <n v="1500"/>
    <n v="1500"/>
    <n v="263.32998657226602"/>
    <n v="263.32998657226602"/>
    <n v="0"/>
  </r>
  <r>
    <s v="TRD-10475"/>
    <x v="0"/>
    <x v="0"/>
    <n v="4350"/>
    <n v="4350"/>
    <n v="490.239990234375"/>
    <n v="490.239990234375"/>
    <n v="0"/>
  </r>
  <r>
    <s v="TRD-10476"/>
    <x v="1"/>
    <x v="0"/>
    <n v="2400"/>
    <n v="2400"/>
    <n v="376.23001098632801"/>
    <n v="376.23001098632801"/>
    <n v="0"/>
  </r>
  <r>
    <s v="TRD-10477"/>
    <x v="2"/>
    <x v="0"/>
    <n v="3800"/>
    <n v="3800"/>
    <n v="462.86999511718801"/>
    <n v="462.86999511718801"/>
    <n v="0"/>
  </r>
  <r>
    <s v="TRD-10478"/>
    <x v="0"/>
    <x v="0"/>
    <n v="4950"/>
    <n v="4950"/>
    <n v="473.41000366210898"/>
    <n v="473.41000366210898"/>
    <n v="0"/>
  </r>
  <r>
    <s v="TRD-10479"/>
    <x v="2"/>
    <x v="0"/>
    <n v="2400"/>
    <n v="2400"/>
    <n v="506.86999511718801"/>
    <n v="506.86999511718801"/>
    <n v="0"/>
  </r>
  <r>
    <s v="TRD-10480"/>
    <x v="0"/>
    <x v="0"/>
    <n v="3700"/>
    <n v="3700"/>
    <n v="530.92999267578102"/>
    <n v="530.92999267578102"/>
    <n v="0"/>
  </r>
  <r>
    <s v="TRD-10481"/>
    <x v="2"/>
    <x v="0"/>
    <n v="1950"/>
    <n v="1950"/>
    <n v="220.58999633789099"/>
    <n v="220.58999633789099"/>
    <n v="0"/>
  </r>
  <r>
    <s v="TRD-10482"/>
    <x v="4"/>
    <x v="0"/>
    <n v="600"/>
    <n v="600"/>
    <n v="314.35998535156301"/>
    <n v="314.35998535156301"/>
    <n v="0"/>
  </r>
  <r>
    <s v="TRD-10483"/>
    <x v="2"/>
    <x v="0"/>
    <n v="350"/>
    <n v="350"/>
    <n v="284.91000366210898"/>
    <n v="284.91000366210898"/>
    <n v="0"/>
  </r>
  <r>
    <s v="TRD-10484"/>
    <x v="2"/>
    <x v="0"/>
    <n v="2000"/>
    <n v="2000"/>
    <n v="246.05000305175801"/>
    <n v="246.05000305175801"/>
    <n v="0"/>
  </r>
  <r>
    <s v="TRD-10485"/>
    <x v="2"/>
    <x v="0"/>
    <n v="4900"/>
    <n v="4900"/>
    <n v="642.91998291015602"/>
    <n v="642.91998291015602"/>
    <n v="0"/>
  </r>
  <r>
    <s v="TRD-10486"/>
    <x v="4"/>
    <x v="0"/>
    <n v="2250"/>
    <n v="2250"/>
    <n v="397.260009765625"/>
    <n v="397.260009765625"/>
    <n v="0"/>
  </r>
  <r>
    <s v="TRD-10487"/>
    <x v="3"/>
    <x v="0"/>
    <n v="750"/>
    <n v="750"/>
    <n v="304.60000610351602"/>
    <n v="304.60000610351602"/>
    <n v="0"/>
  </r>
  <r>
    <s v="TRD-10488"/>
    <x v="2"/>
    <x v="0"/>
    <n v="2900"/>
    <n v="2900"/>
    <n v="605.34997558593795"/>
    <n v="605.34997558593795"/>
    <n v="0"/>
  </r>
  <r>
    <s v="TRD-10489"/>
    <x v="4"/>
    <x v="0"/>
    <n v="1650"/>
    <n v="1650"/>
    <n v="276.510009765625"/>
    <n v="276.510009765625"/>
    <n v="0"/>
  </r>
  <r>
    <s v="TRD-10490"/>
    <x v="2"/>
    <x v="0"/>
    <n v="4050"/>
    <n v="4050"/>
    <n v="216.00999450683599"/>
    <n v="216.00999450683599"/>
    <n v="0"/>
  </r>
  <r>
    <s v="TRD-10491"/>
    <x v="2"/>
    <x v="0"/>
    <n v="950"/>
    <n v="950"/>
    <n v="616.47998046875"/>
    <n v="616.47998046875"/>
    <n v="0"/>
  </r>
  <r>
    <s v="TRD-10492"/>
    <x v="1"/>
    <x v="2"/>
    <n v="1050"/>
    <n v="1050"/>
    <n v="450.38000488281301"/>
    <n v="450.40000488236501"/>
    <n v="20.999999529598767"/>
  </r>
  <r>
    <s v="TRD-10493"/>
    <x v="4"/>
    <x v="1"/>
    <n v="4650"/>
    <n v="0"/>
    <n v="242.02000427246099"/>
    <n v="0"/>
    <n v="1125393.0198669401"/>
  </r>
  <r>
    <s v="TRD-10494"/>
    <x v="3"/>
    <x v="0"/>
    <n v="2500"/>
    <n v="2500"/>
    <n v="410.66000366210898"/>
    <n v="410.66000366210898"/>
    <n v="0"/>
  </r>
  <r>
    <s v="TRD-10495"/>
    <x v="2"/>
    <x v="0"/>
    <n v="4450"/>
    <n v="4450"/>
    <n v="537.10998535156295"/>
    <n v="537.10998535156295"/>
    <n v="0"/>
  </r>
  <r>
    <s v="TRD-10496"/>
    <x v="4"/>
    <x v="0"/>
    <n v="4850"/>
    <n v="4850"/>
    <n v="171.91000366210901"/>
    <n v="171.91000366210901"/>
    <n v="0"/>
  </r>
  <r>
    <s v="TRD-10497"/>
    <x v="3"/>
    <x v="0"/>
    <n v="1950"/>
    <n v="1950"/>
    <n v="474.14999389648398"/>
    <n v="474.14999389648398"/>
    <n v="0"/>
  </r>
  <r>
    <s v="TRD-10498"/>
    <x v="1"/>
    <x v="0"/>
    <n v="3050"/>
    <n v="3050"/>
    <n v="424.10000610351602"/>
    <n v="424.10000610351602"/>
    <n v="0"/>
  </r>
  <r>
    <s v="TRD-10499"/>
    <x v="2"/>
    <x v="1"/>
    <n v="250"/>
    <n v="0"/>
    <n v="342.52999877929699"/>
    <n v="0"/>
    <n v="85632.499694824204"/>
  </r>
  <r>
    <s v="TRD-10500"/>
    <x v="2"/>
    <x v="0"/>
    <n v="1050"/>
    <n v="1050"/>
    <n v="451"/>
    <n v="451"/>
    <n v="0"/>
  </r>
  <r>
    <s v="TRD-10007"/>
    <x v="0"/>
    <x v="4"/>
    <n v="0"/>
    <n v="2700"/>
    <n v="0"/>
    <n v="203.17999267578099"/>
    <n v="548585.98022460903"/>
  </r>
  <r>
    <s v="TRD-10031"/>
    <x v="0"/>
    <x v="4"/>
    <n v="0"/>
    <n v="2400"/>
    <n v="0"/>
    <n v="259.70001220703102"/>
    <n v="623280.029296875"/>
  </r>
  <r>
    <s v="TRD-10033"/>
    <x v="3"/>
    <x v="4"/>
    <n v="0"/>
    <n v="3400"/>
    <n v="0"/>
    <n v="510.95001220703102"/>
    <n v="1737230.04150391"/>
  </r>
  <r>
    <s v="TRD-10051"/>
    <x v="1"/>
    <x v="4"/>
    <n v="0"/>
    <n v="4050"/>
    <n v="0"/>
    <n v="312.60000610351602"/>
    <n v="1266030.0247192399"/>
  </r>
  <r>
    <s v="TRD-10075"/>
    <x v="3"/>
    <x v="4"/>
    <n v="0"/>
    <n v="2750"/>
    <n v="0"/>
    <n v="253.24000549316401"/>
    <n v="696410.01510620106"/>
  </r>
  <r>
    <s v="TRD-10076"/>
    <x v="2"/>
    <x v="4"/>
    <n v="0"/>
    <n v="2050"/>
    <n v="0"/>
    <n v="552.64001464843795"/>
    <n v="1132912.0300292999"/>
  </r>
  <r>
    <s v="TRD-10085"/>
    <x v="3"/>
    <x v="4"/>
    <n v="0"/>
    <n v="2050"/>
    <n v="0"/>
    <n v="622.53997802734398"/>
    <n v="1276206.95495605"/>
  </r>
  <r>
    <s v="TRD-10136"/>
    <x v="3"/>
    <x v="4"/>
    <n v="0"/>
    <n v="2500"/>
    <n v="0"/>
    <n v="216.580001831055"/>
    <n v="541450.00457763695"/>
  </r>
  <r>
    <s v="TRD-10155"/>
    <x v="3"/>
    <x v="4"/>
    <n v="0"/>
    <n v="350"/>
    <n v="0"/>
    <n v="216.57000732421901"/>
    <n v="75799.502563476606"/>
  </r>
  <r>
    <s v="TRD-10214"/>
    <x v="1"/>
    <x v="4"/>
    <n v="0"/>
    <n v="4000"/>
    <n v="0"/>
    <n v="365.30999755859398"/>
    <n v="1461239.9902343799"/>
  </r>
  <r>
    <s v="TRD-10215"/>
    <x v="1"/>
    <x v="4"/>
    <n v="0"/>
    <n v="3700"/>
    <n v="0"/>
    <n v="398.22000122070301"/>
    <n v="1473414.0045165999"/>
  </r>
  <r>
    <s v="TRD-10252"/>
    <x v="1"/>
    <x v="4"/>
    <n v="0"/>
    <n v="300"/>
    <n v="0"/>
    <n v="631.40997314453102"/>
    <n v="189422.991943359"/>
  </r>
  <r>
    <s v="TRD-10263"/>
    <x v="0"/>
    <x v="4"/>
    <n v="0"/>
    <n v="1400"/>
    <n v="0"/>
    <n v="392.39999389648398"/>
    <n v="549359.99145507801"/>
  </r>
  <r>
    <s v="TRD-10279"/>
    <x v="4"/>
    <x v="4"/>
    <n v="0"/>
    <n v="4550"/>
    <n v="0"/>
    <n v="460.17001342773398"/>
    <n v="2093773.56109619"/>
  </r>
  <r>
    <s v="TRD-10291"/>
    <x v="0"/>
    <x v="4"/>
    <n v="0"/>
    <n v="1650"/>
    <n v="0"/>
    <n v="515.19000244140602"/>
    <n v="850063.50402831996"/>
  </r>
  <r>
    <s v="TRD-10304"/>
    <x v="2"/>
    <x v="4"/>
    <n v="0"/>
    <n v="1850"/>
    <n v="0"/>
    <n v="533.58001708984398"/>
    <n v="987123.03161621105"/>
  </r>
  <r>
    <s v="TRD-10354"/>
    <x v="4"/>
    <x v="4"/>
    <n v="0"/>
    <n v="3700"/>
    <n v="0"/>
    <n v="586.84997558593795"/>
    <n v="2171344.9096679701"/>
  </r>
  <r>
    <s v="TRD-10368"/>
    <x v="4"/>
    <x v="4"/>
    <n v="0"/>
    <n v="750"/>
    <n v="0"/>
    <n v="588.03997802734398"/>
    <n v="441029.98352050799"/>
  </r>
  <r>
    <s v="TRD-10473"/>
    <x v="3"/>
    <x v="4"/>
    <n v="0"/>
    <n v="2400"/>
    <n v="0"/>
    <n v="518.46002197265602"/>
    <n v="1244304.05273437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E3664D-B15A-45D4-8BDC-9A288819BC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8" firstHeaderRow="1" firstDataRow="1" firstDataCol="1"/>
  <pivotFields count="8">
    <pivotField showAll="0"/>
    <pivotField showAll="0">
      <items count="6">
        <item h="1" x="1"/>
        <item h="1" x="4"/>
        <item h="1" x="3"/>
        <item x="0"/>
        <item h="1" x="2"/>
        <item t="default"/>
      </items>
    </pivotField>
    <pivotField axis="axisRow" showAll="0">
      <items count="6">
        <item h="1" x="0"/>
        <item x="4"/>
        <item x="1"/>
        <item x="2"/>
        <item x="3"/>
        <item t="default"/>
      </items>
    </pivotField>
    <pivotField numFmtId="3" showAll="0"/>
    <pivotField numFmtId="3" showAll="0"/>
    <pivotField numFmtId="165" showAll="0"/>
    <pivotField numFmtId="165" showAll="0"/>
    <pivotField dataField="1" numFmtId="165" showAll="0"/>
  </pivotFields>
  <rowFields count="1">
    <field x="2"/>
  </rowFields>
  <rowItems count="5">
    <i>
      <x v="1"/>
    </i>
    <i>
      <x v="2"/>
    </i>
    <i>
      <x v="3"/>
    </i>
    <i>
      <x v="4"/>
    </i>
    <i t="grand">
      <x/>
    </i>
  </rowItems>
  <colItems count="1">
    <i/>
  </colItems>
  <dataFields count="1">
    <dataField name="Sum of Net Exposure Diff (INR)" fld="7" baseField="0" baseItem="0" numFmtId="165"/>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CFD609-EBCD-49F7-968A-CAEC290CA2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8">
    <pivotField dataField="1" showAll="0"/>
    <pivotField showAll="0">
      <items count="6">
        <item h="1" x="1"/>
        <item h="1" x="4"/>
        <item h="1" x="3"/>
        <item x="0"/>
        <item h="1" x="2"/>
        <item t="default"/>
      </items>
    </pivotField>
    <pivotField axis="axisRow" showAll="0">
      <items count="6">
        <item x="0"/>
        <item x="4"/>
        <item x="1"/>
        <item x="2"/>
        <item x="3"/>
        <item t="default"/>
      </items>
    </pivotField>
    <pivotField numFmtId="3" showAll="0"/>
    <pivotField numFmtId="3" showAll="0"/>
    <pivotField numFmtId="165" showAll="0"/>
    <pivotField numFmtId="165" showAll="0"/>
    <pivotField numFmtId="165" showAll="0"/>
  </pivotFields>
  <rowFields count="1">
    <field x="2"/>
  </rowFields>
  <rowItems count="6">
    <i>
      <x/>
    </i>
    <i>
      <x v="1"/>
    </i>
    <i>
      <x v="2"/>
    </i>
    <i>
      <x v="3"/>
    </i>
    <i>
      <x v="4"/>
    </i>
    <i t="grand">
      <x/>
    </i>
  </rowItems>
  <colItems count="1">
    <i/>
  </colItems>
  <dataFields count="1">
    <dataField name="Count of Trade ID"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IN" xr10:uid="{7D1A7AE8-4E3D-49D7-AFA6-F564986A3F0F}" sourceName="ISIN">
  <pivotTables>
    <pivotTable tabId="6" name="PivotTable1"/>
    <pivotTable tabId="6" name="PivotTable2"/>
  </pivotTables>
  <data>
    <tabular pivotCacheId="1252186612">
      <items count="5">
        <i x="1"/>
        <i x="4"/>
        <i x="3"/>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IN" xr10:uid="{F5299E0A-2123-45B7-A7A7-FDB7CCD5E7E4}" cache="Slicer_ISIN" caption="ISI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BFB7-8535-4578-AA85-1E5C4A8F4FCC}">
  <sheetPr codeName="Sheet2"/>
  <dimension ref="A1:G482"/>
  <sheetViews>
    <sheetView topLeftCell="A456" workbookViewId="0">
      <selection activeCell="A2" sqref="A2:A482"/>
    </sheetView>
  </sheetViews>
  <sheetFormatPr defaultRowHeight="14.4" x14ac:dyDescent="0.3"/>
  <cols>
    <col min="1" max="1" width="9.88671875" bestFit="1" customWidth="1"/>
    <col min="2" max="2" width="12.88671875" bestFit="1" customWidth="1"/>
    <col min="3" max="3" width="11.33203125" style="3" bestFit="1" customWidth="1"/>
    <col min="4" max="4" width="8.6640625" bestFit="1" customWidth="1"/>
    <col min="5" max="5" width="8.109375" style="5" bestFit="1" customWidth="1"/>
    <col min="6" max="6" width="9.77734375" style="7" bestFit="1" customWidth="1"/>
    <col min="7" max="7" width="15" style="7" bestFit="1" customWidth="1"/>
  </cols>
  <sheetData>
    <row r="1" spans="1:7" x14ac:dyDescent="0.3">
      <c r="A1" s="1" t="s">
        <v>0</v>
      </c>
      <c r="B1" s="1" t="s">
        <v>1</v>
      </c>
      <c r="C1" s="2" t="s">
        <v>2</v>
      </c>
      <c r="D1" s="1" t="s">
        <v>3</v>
      </c>
      <c r="E1" s="4" t="s">
        <v>4</v>
      </c>
      <c r="F1" s="6" t="s">
        <v>5</v>
      </c>
      <c r="G1" s="6" t="s">
        <v>6</v>
      </c>
    </row>
    <row r="2" spans="1:7" x14ac:dyDescent="0.3">
      <c r="A2" t="s">
        <v>7</v>
      </c>
      <c r="B2" t="s">
        <v>8</v>
      </c>
      <c r="C2" s="3">
        <v>46257</v>
      </c>
      <c r="D2" t="s">
        <v>9</v>
      </c>
      <c r="E2" s="5">
        <v>1450</v>
      </c>
      <c r="F2" s="7">
        <v>300.97000122070313</v>
      </c>
      <c r="G2" s="7">
        <v>436406.50177001953</v>
      </c>
    </row>
    <row r="3" spans="1:7" x14ac:dyDescent="0.3">
      <c r="A3" t="s">
        <v>10</v>
      </c>
      <c r="B3" t="s">
        <v>11</v>
      </c>
      <c r="C3" s="3">
        <v>46256</v>
      </c>
      <c r="D3" t="s">
        <v>9</v>
      </c>
      <c r="E3" s="5">
        <v>3550</v>
      </c>
      <c r="F3" s="7">
        <v>172.67999267578125</v>
      </c>
      <c r="G3" s="7">
        <v>613013.97399902344</v>
      </c>
    </row>
    <row r="4" spans="1:7" x14ac:dyDescent="0.3">
      <c r="A4" t="s">
        <v>12</v>
      </c>
      <c r="B4" t="s">
        <v>13</v>
      </c>
      <c r="C4" s="3">
        <v>46256</v>
      </c>
      <c r="D4" t="s">
        <v>14</v>
      </c>
      <c r="E4" s="5">
        <v>4850</v>
      </c>
      <c r="F4" s="7">
        <v>585.719970703125</v>
      </c>
      <c r="G4" s="7">
        <v>2840741.8579101563</v>
      </c>
    </row>
    <row r="5" spans="1:7" x14ac:dyDescent="0.3">
      <c r="A5" t="s">
        <v>15</v>
      </c>
      <c r="B5" t="s">
        <v>13</v>
      </c>
      <c r="C5" s="3">
        <v>46258</v>
      </c>
      <c r="D5" t="s">
        <v>9</v>
      </c>
      <c r="E5" s="5">
        <v>3850</v>
      </c>
      <c r="F5" s="7">
        <v>176.75</v>
      </c>
      <c r="G5" s="7">
        <v>680487.5</v>
      </c>
    </row>
    <row r="6" spans="1:7" x14ac:dyDescent="0.3">
      <c r="A6" t="s">
        <v>16</v>
      </c>
      <c r="B6" t="s">
        <v>17</v>
      </c>
      <c r="C6" s="3">
        <v>46258</v>
      </c>
      <c r="D6" t="s">
        <v>9</v>
      </c>
      <c r="E6" s="5">
        <v>3250</v>
      </c>
      <c r="F6" s="7">
        <v>281.89999389648438</v>
      </c>
      <c r="G6" s="7">
        <v>916174.98016357422</v>
      </c>
    </row>
    <row r="7" spans="1:7" x14ac:dyDescent="0.3">
      <c r="A7" t="s">
        <v>18</v>
      </c>
      <c r="B7" t="s">
        <v>13</v>
      </c>
      <c r="C7" s="3">
        <v>46255</v>
      </c>
      <c r="D7" t="s">
        <v>9</v>
      </c>
      <c r="E7" s="5">
        <v>4950</v>
      </c>
      <c r="F7" s="7">
        <v>605.47998046875</v>
      </c>
      <c r="G7" s="7">
        <v>2997125.9033203125</v>
      </c>
    </row>
    <row r="8" spans="1:7" x14ac:dyDescent="0.3">
      <c r="A8" t="s">
        <v>20</v>
      </c>
      <c r="B8" t="s">
        <v>8</v>
      </c>
      <c r="C8" s="3">
        <v>46259</v>
      </c>
      <c r="D8" t="s">
        <v>9</v>
      </c>
      <c r="E8" s="5">
        <v>550</v>
      </c>
      <c r="F8" s="7">
        <v>201.50999450683594</v>
      </c>
      <c r="G8" s="7">
        <v>110830.49697875977</v>
      </c>
    </row>
    <row r="9" spans="1:7" x14ac:dyDescent="0.3">
      <c r="A9" t="s">
        <v>21</v>
      </c>
      <c r="B9" t="s">
        <v>22</v>
      </c>
      <c r="C9" s="3">
        <v>46259</v>
      </c>
      <c r="D9" t="s">
        <v>14</v>
      </c>
      <c r="E9" s="5">
        <v>1950</v>
      </c>
      <c r="F9" s="7">
        <v>300.489990234375</v>
      </c>
      <c r="G9" s="7">
        <v>585955.48095703125</v>
      </c>
    </row>
    <row r="10" spans="1:7" x14ac:dyDescent="0.3">
      <c r="A10" t="s">
        <v>23</v>
      </c>
      <c r="B10" t="s">
        <v>13</v>
      </c>
      <c r="C10" s="3">
        <v>46257</v>
      </c>
      <c r="D10" t="s">
        <v>14</v>
      </c>
      <c r="E10" s="5">
        <v>850</v>
      </c>
      <c r="F10" s="7">
        <v>231.41000366210938</v>
      </c>
      <c r="G10" s="7">
        <v>196698.50311279297</v>
      </c>
    </row>
    <row r="11" spans="1:7" x14ac:dyDescent="0.3">
      <c r="A11" t="s">
        <v>24</v>
      </c>
      <c r="B11" t="s">
        <v>17</v>
      </c>
      <c r="C11" s="3">
        <v>46257</v>
      </c>
      <c r="D11" t="s">
        <v>9</v>
      </c>
      <c r="E11" s="5">
        <v>1650</v>
      </c>
      <c r="F11" s="7">
        <v>466.58999633789063</v>
      </c>
      <c r="G11" s="7">
        <v>769873.49395751953</v>
      </c>
    </row>
    <row r="12" spans="1:7" x14ac:dyDescent="0.3">
      <c r="A12" t="s">
        <v>25</v>
      </c>
      <c r="B12" t="s">
        <v>11</v>
      </c>
      <c r="C12" s="3">
        <v>46257</v>
      </c>
      <c r="D12" t="s">
        <v>14</v>
      </c>
      <c r="E12" s="5">
        <v>2300</v>
      </c>
      <c r="F12" s="7">
        <v>602.8599853515625</v>
      </c>
      <c r="G12" s="7">
        <v>1386577.9663085938</v>
      </c>
    </row>
    <row r="13" spans="1:7" x14ac:dyDescent="0.3">
      <c r="A13" t="s">
        <v>26</v>
      </c>
      <c r="B13" t="s">
        <v>8</v>
      </c>
      <c r="C13" s="3">
        <v>46258</v>
      </c>
      <c r="D13" t="s">
        <v>14</v>
      </c>
      <c r="E13" s="5">
        <v>4600</v>
      </c>
      <c r="F13" s="7">
        <v>465.8699951171875</v>
      </c>
      <c r="G13" s="7">
        <v>2143001.9775390625</v>
      </c>
    </row>
    <row r="14" spans="1:7" x14ac:dyDescent="0.3">
      <c r="A14" t="s">
        <v>27</v>
      </c>
      <c r="B14" t="s">
        <v>17</v>
      </c>
      <c r="C14" s="3">
        <v>46259</v>
      </c>
      <c r="D14" t="s">
        <v>9</v>
      </c>
      <c r="E14" s="5">
        <v>3500</v>
      </c>
      <c r="F14" s="7">
        <v>606.8599853515625</v>
      </c>
      <c r="G14" s="7">
        <v>2124009.9487304688</v>
      </c>
    </row>
    <row r="15" spans="1:7" x14ac:dyDescent="0.3">
      <c r="A15" t="s">
        <v>28</v>
      </c>
      <c r="B15" t="s">
        <v>17</v>
      </c>
      <c r="C15" s="3">
        <v>46255</v>
      </c>
      <c r="D15" t="s">
        <v>14</v>
      </c>
      <c r="E15" s="5">
        <v>3400</v>
      </c>
      <c r="F15" s="7">
        <v>401.23001098632813</v>
      </c>
      <c r="G15" s="7">
        <v>1364182.0373535156</v>
      </c>
    </row>
    <row r="16" spans="1:7" x14ac:dyDescent="0.3">
      <c r="A16" t="s">
        <v>29</v>
      </c>
      <c r="B16" t="s">
        <v>17</v>
      </c>
      <c r="C16" s="3">
        <v>46258</v>
      </c>
      <c r="D16" t="s">
        <v>14</v>
      </c>
      <c r="E16" s="5">
        <v>1350</v>
      </c>
      <c r="F16" s="7">
        <v>177.80000305175781</v>
      </c>
      <c r="G16" s="7">
        <v>240030.00411987305</v>
      </c>
    </row>
    <row r="17" spans="1:7" x14ac:dyDescent="0.3">
      <c r="A17" t="s">
        <v>30</v>
      </c>
      <c r="B17" t="s">
        <v>13</v>
      </c>
      <c r="C17" s="3">
        <v>46259</v>
      </c>
      <c r="D17" t="s">
        <v>14</v>
      </c>
      <c r="E17" s="5">
        <v>1850</v>
      </c>
      <c r="F17" s="7">
        <v>394.95001220703125</v>
      </c>
      <c r="G17" s="7">
        <v>730657.52258300781</v>
      </c>
    </row>
    <row r="18" spans="1:7" x14ac:dyDescent="0.3">
      <c r="A18" t="s">
        <v>31</v>
      </c>
      <c r="B18" t="s">
        <v>17</v>
      </c>
      <c r="C18" s="3">
        <v>46258</v>
      </c>
      <c r="D18" t="s">
        <v>9</v>
      </c>
      <c r="E18" s="5">
        <v>2750</v>
      </c>
      <c r="F18" s="7">
        <v>228.14999389648438</v>
      </c>
      <c r="G18" s="7">
        <v>627412.48321533203</v>
      </c>
    </row>
    <row r="19" spans="1:7" x14ac:dyDescent="0.3">
      <c r="A19" t="s">
        <v>32</v>
      </c>
      <c r="B19" t="s">
        <v>8</v>
      </c>
      <c r="C19" s="3">
        <v>46257</v>
      </c>
      <c r="D19" t="s">
        <v>14</v>
      </c>
      <c r="E19" s="5">
        <v>550</v>
      </c>
      <c r="F19" s="7">
        <v>542</v>
      </c>
      <c r="G19" s="7">
        <v>298100</v>
      </c>
    </row>
    <row r="20" spans="1:7" x14ac:dyDescent="0.3">
      <c r="A20" t="s">
        <v>33</v>
      </c>
      <c r="B20" t="s">
        <v>8</v>
      </c>
      <c r="C20" s="3">
        <v>46257</v>
      </c>
      <c r="D20" t="s">
        <v>9</v>
      </c>
      <c r="E20" s="5">
        <v>100</v>
      </c>
      <c r="F20" s="7">
        <v>255.17999267578125</v>
      </c>
      <c r="G20" s="7">
        <v>25517.999267578125</v>
      </c>
    </row>
    <row r="21" spans="1:7" x14ac:dyDescent="0.3">
      <c r="A21" t="s">
        <v>34</v>
      </c>
      <c r="B21" t="s">
        <v>11</v>
      </c>
      <c r="C21" s="3">
        <v>46258</v>
      </c>
      <c r="D21" t="s">
        <v>14</v>
      </c>
      <c r="E21" s="5">
        <v>50</v>
      </c>
      <c r="F21" s="7">
        <v>418.39999389648438</v>
      </c>
      <c r="G21" s="7">
        <v>20919.999694824219</v>
      </c>
    </row>
    <row r="22" spans="1:7" x14ac:dyDescent="0.3">
      <c r="A22" t="s">
        <v>35</v>
      </c>
      <c r="B22" t="s">
        <v>17</v>
      </c>
      <c r="C22" s="3">
        <v>46255</v>
      </c>
      <c r="D22" t="s">
        <v>14</v>
      </c>
      <c r="E22" s="5">
        <v>1000</v>
      </c>
      <c r="F22" s="7">
        <v>489.45999145507813</v>
      </c>
      <c r="G22" s="7">
        <v>489459.99145507813</v>
      </c>
    </row>
    <row r="23" spans="1:7" x14ac:dyDescent="0.3">
      <c r="A23" t="s">
        <v>36</v>
      </c>
      <c r="B23" t="s">
        <v>22</v>
      </c>
      <c r="C23" s="3">
        <v>46259</v>
      </c>
      <c r="D23" t="s">
        <v>9</v>
      </c>
      <c r="E23" s="5">
        <v>4650</v>
      </c>
      <c r="F23" s="7">
        <v>415.1099853515625</v>
      </c>
      <c r="G23" s="7">
        <v>1930261.4318847656</v>
      </c>
    </row>
    <row r="24" spans="1:7" x14ac:dyDescent="0.3">
      <c r="A24" t="s">
        <v>37</v>
      </c>
      <c r="B24" t="s">
        <v>8</v>
      </c>
      <c r="C24" s="3">
        <v>46257</v>
      </c>
      <c r="D24" t="s">
        <v>14</v>
      </c>
      <c r="E24" s="5">
        <v>2500</v>
      </c>
      <c r="F24" s="7">
        <v>253.80999755859375</v>
      </c>
      <c r="G24" s="7">
        <v>634524.99389648438</v>
      </c>
    </row>
    <row r="25" spans="1:7" x14ac:dyDescent="0.3">
      <c r="A25" t="s">
        <v>38</v>
      </c>
      <c r="B25" t="s">
        <v>11</v>
      </c>
      <c r="C25" s="3">
        <v>46257</v>
      </c>
      <c r="D25" t="s">
        <v>14</v>
      </c>
      <c r="E25" s="5">
        <v>4650</v>
      </c>
      <c r="F25" s="7">
        <v>198.96000671386719</v>
      </c>
      <c r="G25" s="7">
        <v>925164.03121948242</v>
      </c>
    </row>
    <row r="26" spans="1:7" x14ac:dyDescent="0.3">
      <c r="A26" t="s">
        <v>39</v>
      </c>
      <c r="B26" t="s">
        <v>22</v>
      </c>
      <c r="C26" s="3">
        <v>46255</v>
      </c>
      <c r="D26" t="s">
        <v>9</v>
      </c>
      <c r="E26" s="5">
        <v>1400</v>
      </c>
      <c r="F26" s="7">
        <v>486.82000732421875</v>
      </c>
      <c r="G26" s="7">
        <v>681548.01025390625</v>
      </c>
    </row>
    <row r="27" spans="1:7" x14ac:dyDescent="0.3">
      <c r="A27" t="s">
        <v>40</v>
      </c>
      <c r="B27" t="s">
        <v>11</v>
      </c>
      <c r="C27" s="3">
        <v>46259</v>
      </c>
      <c r="D27" t="s">
        <v>14</v>
      </c>
      <c r="E27" s="5">
        <v>4000</v>
      </c>
      <c r="F27" s="7">
        <v>298.6300048828125</v>
      </c>
      <c r="G27" s="7">
        <v>1194520.01953125</v>
      </c>
    </row>
    <row r="28" spans="1:7" x14ac:dyDescent="0.3">
      <c r="A28" t="s">
        <v>41</v>
      </c>
      <c r="B28" t="s">
        <v>17</v>
      </c>
      <c r="C28" s="3">
        <v>46258</v>
      </c>
      <c r="D28" t="s">
        <v>14</v>
      </c>
      <c r="E28" s="5">
        <v>250</v>
      </c>
      <c r="F28" s="7">
        <v>391.20999145507813</v>
      </c>
      <c r="G28" s="7">
        <v>97802.497863769531</v>
      </c>
    </row>
    <row r="29" spans="1:7" x14ac:dyDescent="0.3">
      <c r="A29" t="s">
        <v>42</v>
      </c>
      <c r="B29" t="s">
        <v>13</v>
      </c>
      <c r="C29" s="3">
        <v>46257</v>
      </c>
      <c r="D29" t="s">
        <v>9</v>
      </c>
      <c r="E29" s="5">
        <v>4650</v>
      </c>
      <c r="F29" s="7">
        <v>315.510009765625</v>
      </c>
      <c r="G29" s="7">
        <v>1467121.5454101563</v>
      </c>
    </row>
    <row r="30" spans="1:7" x14ac:dyDescent="0.3">
      <c r="A30" t="s">
        <v>43</v>
      </c>
      <c r="B30" t="s">
        <v>11</v>
      </c>
      <c r="C30" s="3">
        <v>46256</v>
      </c>
      <c r="D30" t="s">
        <v>14</v>
      </c>
      <c r="E30" s="5">
        <v>4850</v>
      </c>
      <c r="F30" s="7">
        <v>207.30999755859375</v>
      </c>
      <c r="G30" s="7">
        <v>1005453.4881591797</v>
      </c>
    </row>
    <row r="31" spans="1:7" x14ac:dyDescent="0.3">
      <c r="A31" t="s">
        <v>45</v>
      </c>
      <c r="B31" t="s">
        <v>11</v>
      </c>
      <c r="C31" s="3">
        <v>46259</v>
      </c>
      <c r="D31" t="s">
        <v>14</v>
      </c>
      <c r="E31" s="5">
        <v>2750</v>
      </c>
      <c r="F31" s="7">
        <v>611.47998046875</v>
      </c>
      <c r="G31" s="7">
        <v>1681569.9462890625</v>
      </c>
    </row>
    <row r="32" spans="1:7" x14ac:dyDescent="0.3">
      <c r="A32" t="s">
        <v>47</v>
      </c>
      <c r="B32" t="s">
        <v>22</v>
      </c>
      <c r="C32" s="3">
        <v>46257</v>
      </c>
      <c r="D32" t="s">
        <v>14</v>
      </c>
      <c r="E32" s="5">
        <v>3500</v>
      </c>
      <c r="F32" s="7">
        <v>239.53999328613281</v>
      </c>
      <c r="G32" s="7">
        <v>838389.97650146484</v>
      </c>
    </row>
    <row r="33" spans="1:7" x14ac:dyDescent="0.3">
      <c r="A33" t="s">
        <v>48</v>
      </c>
      <c r="B33" t="s">
        <v>17</v>
      </c>
      <c r="C33" s="3">
        <v>46255</v>
      </c>
      <c r="D33" t="s">
        <v>9</v>
      </c>
      <c r="E33" s="5">
        <v>2150</v>
      </c>
      <c r="F33" s="7">
        <v>404.52999877929688</v>
      </c>
      <c r="G33" s="7">
        <v>869739.49737548828</v>
      </c>
    </row>
    <row r="34" spans="1:7" x14ac:dyDescent="0.3">
      <c r="A34" t="s">
        <v>49</v>
      </c>
      <c r="B34" t="s">
        <v>8</v>
      </c>
      <c r="C34" s="3">
        <v>46257</v>
      </c>
      <c r="D34" t="s">
        <v>9</v>
      </c>
      <c r="E34" s="5">
        <v>4450</v>
      </c>
      <c r="F34" s="7">
        <v>335.260009765625</v>
      </c>
      <c r="G34" s="7">
        <v>1491907.0434570313</v>
      </c>
    </row>
    <row r="35" spans="1:7" x14ac:dyDescent="0.3">
      <c r="A35" t="s">
        <v>50</v>
      </c>
      <c r="B35" t="s">
        <v>22</v>
      </c>
      <c r="C35" s="3">
        <v>46259</v>
      </c>
      <c r="D35" t="s">
        <v>9</v>
      </c>
      <c r="E35" s="5">
        <v>1150</v>
      </c>
      <c r="F35" s="7">
        <v>442.260009765625</v>
      </c>
      <c r="G35" s="7">
        <v>508599.01123046875</v>
      </c>
    </row>
    <row r="36" spans="1:7" x14ac:dyDescent="0.3">
      <c r="A36" t="s">
        <v>51</v>
      </c>
      <c r="B36" t="s">
        <v>13</v>
      </c>
      <c r="C36" s="3">
        <v>46257</v>
      </c>
      <c r="D36" t="s">
        <v>14</v>
      </c>
      <c r="E36" s="5">
        <v>3450</v>
      </c>
      <c r="F36" s="7">
        <v>523.71002197265625</v>
      </c>
      <c r="G36" s="7">
        <v>1806799.5758056641</v>
      </c>
    </row>
    <row r="37" spans="1:7" x14ac:dyDescent="0.3">
      <c r="A37" t="s">
        <v>52</v>
      </c>
      <c r="B37" t="s">
        <v>8</v>
      </c>
      <c r="C37" s="3">
        <v>46259</v>
      </c>
      <c r="D37" t="s">
        <v>9</v>
      </c>
      <c r="E37" s="5">
        <v>1050</v>
      </c>
      <c r="F37" s="7">
        <v>628.3800048828125</v>
      </c>
      <c r="G37" s="7">
        <v>659799.00512695313</v>
      </c>
    </row>
    <row r="38" spans="1:7" x14ac:dyDescent="0.3">
      <c r="A38" t="s">
        <v>53</v>
      </c>
      <c r="B38" t="s">
        <v>11</v>
      </c>
      <c r="C38" s="3">
        <v>46256</v>
      </c>
      <c r="D38" t="s">
        <v>14</v>
      </c>
      <c r="E38" s="5">
        <v>2350</v>
      </c>
      <c r="F38" s="7">
        <v>209.77000427246094</v>
      </c>
      <c r="G38" s="7">
        <v>492959.5100402832</v>
      </c>
    </row>
    <row r="39" spans="1:7" x14ac:dyDescent="0.3">
      <c r="A39" t="s">
        <v>54</v>
      </c>
      <c r="B39" t="s">
        <v>11</v>
      </c>
      <c r="C39" s="3">
        <v>46259</v>
      </c>
      <c r="D39" t="s">
        <v>9</v>
      </c>
      <c r="E39" s="5">
        <v>2700</v>
      </c>
      <c r="F39" s="7">
        <v>430.5</v>
      </c>
      <c r="G39" s="7">
        <v>1162350</v>
      </c>
    </row>
    <row r="40" spans="1:7" x14ac:dyDescent="0.3">
      <c r="A40" t="s">
        <v>55</v>
      </c>
      <c r="B40" t="s">
        <v>17</v>
      </c>
      <c r="C40" s="3">
        <v>46256</v>
      </c>
      <c r="D40" t="s">
        <v>9</v>
      </c>
      <c r="E40" s="5">
        <v>2000</v>
      </c>
      <c r="F40" s="7">
        <v>601.54998779296875</v>
      </c>
      <c r="G40" s="7">
        <v>1203099.9755859375</v>
      </c>
    </row>
    <row r="41" spans="1:7" x14ac:dyDescent="0.3">
      <c r="A41" t="s">
        <v>56</v>
      </c>
      <c r="B41" t="s">
        <v>11</v>
      </c>
      <c r="C41" s="3">
        <v>46256</v>
      </c>
      <c r="D41" t="s">
        <v>9</v>
      </c>
      <c r="E41" s="5">
        <v>100</v>
      </c>
      <c r="F41" s="7">
        <v>365.57000732421875</v>
      </c>
      <c r="G41" s="7">
        <v>36557.000732421875</v>
      </c>
    </row>
    <row r="42" spans="1:7" x14ac:dyDescent="0.3">
      <c r="A42" t="s">
        <v>57</v>
      </c>
      <c r="B42" t="s">
        <v>22</v>
      </c>
      <c r="C42" s="3">
        <v>46255</v>
      </c>
      <c r="D42" t="s">
        <v>9</v>
      </c>
      <c r="E42" s="5">
        <v>3500</v>
      </c>
      <c r="F42" s="7">
        <v>358.79998779296875</v>
      </c>
      <c r="G42" s="7">
        <v>1255799.9572753906</v>
      </c>
    </row>
    <row r="43" spans="1:7" x14ac:dyDescent="0.3">
      <c r="A43" t="s">
        <v>58</v>
      </c>
      <c r="B43" t="s">
        <v>22</v>
      </c>
      <c r="C43" s="3">
        <v>46258</v>
      </c>
      <c r="D43" t="s">
        <v>14</v>
      </c>
      <c r="E43" s="5">
        <v>4750</v>
      </c>
      <c r="F43" s="7">
        <v>210.77000427246094</v>
      </c>
      <c r="G43" s="7">
        <v>1001157.5202941895</v>
      </c>
    </row>
    <row r="44" spans="1:7" x14ac:dyDescent="0.3">
      <c r="A44" t="s">
        <v>59</v>
      </c>
      <c r="B44" t="s">
        <v>22</v>
      </c>
      <c r="C44" s="3">
        <v>46259</v>
      </c>
      <c r="D44" t="s">
        <v>14</v>
      </c>
      <c r="E44" s="5">
        <v>400</v>
      </c>
      <c r="F44" s="7">
        <v>366.3800048828125</v>
      </c>
      <c r="G44" s="7">
        <v>146552.001953125</v>
      </c>
    </row>
    <row r="45" spans="1:7" x14ac:dyDescent="0.3">
      <c r="A45" t="s">
        <v>60</v>
      </c>
      <c r="B45" t="s">
        <v>17</v>
      </c>
      <c r="C45" s="3">
        <v>46257</v>
      </c>
      <c r="D45" t="s">
        <v>9</v>
      </c>
      <c r="E45" s="5">
        <v>1100</v>
      </c>
      <c r="F45" s="7">
        <v>339.5</v>
      </c>
      <c r="G45" s="7">
        <v>373450</v>
      </c>
    </row>
    <row r="46" spans="1:7" x14ac:dyDescent="0.3">
      <c r="A46" t="s">
        <v>61</v>
      </c>
      <c r="B46" t="s">
        <v>22</v>
      </c>
      <c r="C46" s="3">
        <v>46257</v>
      </c>
      <c r="D46" t="s">
        <v>14</v>
      </c>
      <c r="E46" s="5">
        <v>2600</v>
      </c>
      <c r="F46" s="7">
        <v>632.67999267578125</v>
      </c>
      <c r="G46" s="7">
        <v>1644967.9809570313</v>
      </c>
    </row>
    <row r="47" spans="1:7" x14ac:dyDescent="0.3">
      <c r="A47" t="s">
        <v>62</v>
      </c>
      <c r="B47" t="s">
        <v>13</v>
      </c>
      <c r="C47" s="3">
        <v>46256</v>
      </c>
      <c r="D47" t="s">
        <v>14</v>
      </c>
      <c r="E47" s="5">
        <v>3500</v>
      </c>
      <c r="F47" s="7">
        <v>182.25</v>
      </c>
      <c r="G47" s="7">
        <v>637875</v>
      </c>
    </row>
    <row r="48" spans="1:7" x14ac:dyDescent="0.3">
      <c r="A48" t="s">
        <v>63</v>
      </c>
      <c r="B48" t="s">
        <v>8</v>
      </c>
      <c r="C48" s="3">
        <v>46257</v>
      </c>
      <c r="D48" t="s">
        <v>14</v>
      </c>
      <c r="E48" s="5">
        <v>1150</v>
      </c>
      <c r="F48" s="7">
        <v>313.07000732421875</v>
      </c>
      <c r="G48" s="7">
        <v>360030.50842285156</v>
      </c>
    </row>
    <row r="49" spans="1:7" x14ac:dyDescent="0.3">
      <c r="A49" t="s">
        <v>65</v>
      </c>
      <c r="B49" t="s">
        <v>13</v>
      </c>
      <c r="C49" s="3">
        <v>46256</v>
      </c>
      <c r="D49" t="s">
        <v>9</v>
      </c>
      <c r="E49" s="5">
        <v>4400</v>
      </c>
      <c r="F49" s="7">
        <v>358.32000732421875</v>
      </c>
      <c r="G49" s="7">
        <v>1576608.0322265625</v>
      </c>
    </row>
    <row r="50" spans="1:7" x14ac:dyDescent="0.3">
      <c r="A50" t="s">
        <v>66</v>
      </c>
      <c r="B50" t="s">
        <v>13</v>
      </c>
      <c r="C50" s="3">
        <v>46256</v>
      </c>
      <c r="D50" t="s">
        <v>9</v>
      </c>
      <c r="E50" s="5">
        <v>2050</v>
      </c>
      <c r="F50" s="7">
        <v>158.14999389648438</v>
      </c>
      <c r="G50" s="7">
        <v>324207.48748779297</v>
      </c>
    </row>
    <row r="51" spans="1:7" x14ac:dyDescent="0.3">
      <c r="A51" t="s">
        <v>67</v>
      </c>
      <c r="B51" t="s">
        <v>11</v>
      </c>
      <c r="C51" s="3">
        <v>46257</v>
      </c>
      <c r="D51" t="s">
        <v>14</v>
      </c>
      <c r="E51" s="5">
        <v>550</v>
      </c>
      <c r="F51" s="7">
        <v>288.05999755859375</v>
      </c>
      <c r="G51" s="7">
        <v>158432.99865722656</v>
      </c>
    </row>
    <row r="52" spans="1:7" x14ac:dyDescent="0.3">
      <c r="A52" t="s">
        <v>68</v>
      </c>
      <c r="B52" t="s">
        <v>13</v>
      </c>
      <c r="C52" s="3">
        <v>46257</v>
      </c>
      <c r="D52" t="s">
        <v>14</v>
      </c>
      <c r="E52" s="5">
        <v>4500</v>
      </c>
      <c r="F52" s="7">
        <v>336.41000366210938</v>
      </c>
      <c r="G52" s="7">
        <v>1513845.0164794922</v>
      </c>
    </row>
    <row r="53" spans="1:7" x14ac:dyDescent="0.3">
      <c r="A53" t="s">
        <v>69</v>
      </c>
      <c r="B53" t="s">
        <v>8</v>
      </c>
      <c r="C53" s="3">
        <v>46258</v>
      </c>
      <c r="D53" t="s">
        <v>14</v>
      </c>
      <c r="E53" s="5">
        <v>1200</v>
      </c>
      <c r="F53" s="7">
        <v>589.19000244140625</v>
      </c>
      <c r="G53" s="7">
        <v>707028.0029296875</v>
      </c>
    </row>
    <row r="54" spans="1:7" x14ac:dyDescent="0.3">
      <c r="A54" t="s">
        <v>70</v>
      </c>
      <c r="B54" t="s">
        <v>22</v>
      </c>
      <c r="C54" s="3">
        <v>46258</v>
      </c>
      <c r="D54" t="s">
        <v>9</v>
      </c>
      <c r="E54" s="5">
        <v>2950</v>
      </c>
      <c r="F54" s="7">
        <v>615.780029296875</v>
      </c>
      <c r="G54" s="7">
        <v>1816551.0864257813</v>
      </c>
    </row>
    <row r="55" spans="1:7" x14ac:dyDescent="0.3">
      <c r="A55" t="s">
        <v>71</v>
      </c>
      <c r="B55" t="s">
        <v>22</v>
      </c>
      <c r="C55" s="3">
        <v>46255</v>
      </c>
      <c r="D55" t="s">
        <v>14</v>
      </c>
      <c r="E55" s="5">
        <v>1300</v>
      </c>
      <c r="F55" s="7">
        <v>239.35000610351563</v>
      </c>
      <c r="G55" s="7">
        <v>311155.00793457031</v>
      </c>
    </row>
    <row r="56" spans="1:7" x14ac:dyDescent="0.3">
      <c r="A56" t="s">
        <v>72</v>
      </c>
      <c r="B56" t="s">
        <v>11</v>
      </c>
      <c r="C56" s="3">
        <v>46256</v>
      </c>
      <c r="D56" t="s">
        <v>9</v>
      </c>
      <c r="E56" s="5">
        <v>1400</v>
      </c>
      <c r="F56" s="7">
        <v>501.489990234375</v>
      </c>
      <c r="G56" s="7">
        <v>702085.986328125</v>
      </c>
    </row>
    <row r="57" spans="1:7" x14ac:dyDescent="0.3">
      <c r="A57" t="s">
        <v>73</v>
      </c>
      <c r="B57" t="s">
        <v>13</v>
      </c>
      <c r="C57" s="3">
        <v>46256</v>
      </c>
      <c r="D57" t="s">
        <v>14</v>
      </c>
      <c r="E57" s="5">
        <v>400</v>
      </c>
      <c r="F57" s="7">
        <v>355.32000732421875</v>
      </c>
      <c r="G57" s="7">
        <v>142128.0029296875</v>
      </c>
    </row>
    <row r="58" spans="1:7" x14ac:dyDescent="0.3">
      <c r="A58" t="s">
        <v>74</v>
      </c>
      <c r="B58" t="s">
        <v>8</v>
      </c>
      <c r="C58" s="3">
        <v>46258</v>
      </c>
      <c r="D58" t="s">
        <v>9</v>
      </c>
      <c r="E58" s="5">
        <v>800</v>
      </c>
      <c r="F58" s="7">
        <v>446.5</v>
      </c>
      <c r="G58" s="7">
        <v>357200</v>
      </c>
    </row>
    <row r="59" spans="1:7" x14ac:dyDescent="0.3">
      <c r="A59" t="s">
        <v>75</v>
      </c>
      <c r="B59" t="s">
        <v>22</v>
      </c>
      <c r="C59" s="3">
        <v>46255</v>
      </c>
      <c r="D59" t="s">
        <v>14</v>
      </c>
      <c r="E59" s="5">
        <v>4950</v>
      </c>
      <c r="F59" s="7">
        <v>466.489990234375</v>
      </c>
      <c r="G59" s="7">
        <v>2309125.4516601563</v>
      </c>
    </row>
    <row r="60" spans="1:7" x14ac:dyDescent="0.3">
      <c r="A60" t="s">
        <v>76</v>
      </c>
      <c r="B60" t="s">
        <v>13</v>
      </c>
      <c r="C60" s="3">
        <v>46257</v>
      </c>
      <c r="D60" t="s">
        <v>14</v>
      </c>
      <c r="E60" s="5">
        <v>4350</v>
      </c>
      <c r="F60" s="7">
        <v>187.47999572753906</v>
      </c>
      <c r="G60" s="7">
        <v>815537.98141479492</v>
      </c>
    </row>
    <row r="61" spans="1:7" x14ac:dyDescent="0.3">
      <c r="A61" t="s">
        <v>77</v>
      </c>
      <c r="B61" t="s">
        <v>8</v>
      </c>
      <c r="C61" s="3">
        <v>46258</v>
      </c>
      <c r="D61" t="s">
        <v>14</v>
      </c>
      <c r="E61" s="5">
        <v>2000</v>
      </c>
      <c r="F61" s="7">
        <v>413.29000854492188</v>
      </c>
      <c r="G61" s="7">
        <v>826580.01708984375</v>
      </c>
    </row>
    <row r="62" spans="1:7" x14ac:dyDescent="0.3">
      <c r="A62" t="s">
        <v>78</v>
      </c>
      <c r="B62" t="s">
        <v>17</v>
      </c>
      <c r="C62" s="3">
        <v>46258</v>
      </c>
      <c r="D62" t="s">
        <v>14</v>
      </c>
      <c r="E62" s="5">
        <v>4500</v>
      </c>
      <c r="F62" s="7">
        <v>205.72000122070313</v>
      </c>
      <c r="G62" s="7">
        <v>925740.00549316406</v>
      </c>
    </row>
    <row r="63" spans="1:7" x14ac:dyDescent="0.3">
      <c r="A63" t="s">
        <v>79</v>
      </c>
      <c r="B63" t="s">
        <v>13</v>
      </c>
      <c r="C63" s="3">
        <v>46258</v>
      </c>
      <c r="D63" t="s">
        <v>9</v>
      </c>
      <c r="E63" s="5">
        <v>4250</v>
      </c>
      <c r="F63" s="7">
        <v>370.6099853515625</v>
      </c>
      <c r="G63" s="7">
        <v>1575092.4377441406</v>
      </c>
    </row>
    <row r="64" spans="1:7" x14ac:dyDescent="0.3">
      <c r="A64" t="s">
        <v>80</v>
      </c>
      <c r="B64" t="s">
        <v>8</v>
      </c>
      <c r="C64" s="3">
        <v>46255</v>
      </c>
      <c r="D64" t="s">
        <v>14</v>
      </c>
      <c r="E64" s="5">
        <v>1000</v>
      </c>
      <c r="F64" s="7">
        <v>313.07998657226563</v>
      </c>
      <c r="G64" s="7">
        <v>313079.98657226563</v>
      </c>
    </row>
    <row r="65" spans="1:7" x14ac:dyDescent="0.3">
      <c r="A65" t="s">
        <v>81</v>
      </c>
      <c r="B65" t="s">
        <v>11</v>
      </c>
      <c r="C65" s="3">
        <v>46256</v>
      </c>
      <c r="D65" t="s">
        <v>14</v>
      </c>
      <c r="E65" s="5">
        <v>1050</v>
      </c>
      <c r="F65" s="7">
        <v>496.260009765625</v>
      </c>
      <c r="G65" s="7">
        <v>521073.01025390625</v>
      </c>
    </row>
    <row r="66" spans="1:7" x14ac:dyDescent="0.3">
      <c r="A66" t="s">
        <v>82</v>
      </c>
      <c r="B66" t="s">
        <v>11</v>
      </c>
      <c r="C66" s="3">
        <v>46255</v>
      </c>
      <c r="D66" t="s">
        <v>14</v>
      </c>
      <c r="E66" s="5">
        <v>50</v>
      </c>
      <c r="F66" s="7">
        <v>362.92001342773438</v>
      </c>
      <c r="G66" s="7">
        <v>18146.000671386719</v>
      </c>
    </row>
    <row r="67" spans="1:7" x14ac:dyDescent="0.3">
      <c r="A67" t="s">
        <v>83</v>
      </c>
      <c r="B67" t="s">
        <v>8</v>
      </c>
      <c r="C67" s="3">
        <v>46255</v>
      </c>
      <c r="D67" t="s">
        <v>9</v>
      </c>
      <c r="E67" s="5">
        <v>900</v>
      </c>
      <c r="F67" s="7">
        <v>204.38999938964844</v>
      </c>
      <c r="G67" s="7">
        <v>183950.99945068359</v>
      </c>
    </row>
    <row r="68" spans="1:7" x14ac:dyDescent="0.3">
      <c r="A68" t="s">
        <v>84</v>
      </c>
      <c r="B68" t="s">
        <v>11</v>
      </c>
      <c r="C68" s="3">
        <v>46258</v>
      </c>
      <c r="D68" t="s">
        <v>14</v>
      </c>
      <c r="E68" s="5">
        <v>4900</v>
      </c>
      <c r="F68" s="7">
        <v>586.05999755859375</v>
      </c>
      <c r="G68" s="7">
        <v>2871693.9880371094</v>
      </c>
    </row>
    <row r="69" spans="1:7" x14ac:dyDescent="0.3">
      <c r="A69" t="s">
        <v>85</v>
      </c>
      <c r="B69" t="s">
        <v>8</v>
      </c>
      <c r="C69" s="3">
        <v>46259</v>
      </c>
      <c r="D69" t="s">
        <v>14</v>
      </c>
      <c r="E69" s="5">
        <v>150</v>
      </c>
      <c r="F69" s="7">
        <v>563.95001220703125</v>
      </c>
      <c r="G69" s="7">
        <v>84592.501831054688</v>
      </c>
    </row>
    <row r="70" spans="1:7" x14ac:dyDescent="0.3">
      <c r="A70" t="s">
        <v>86</v>
      </c>
      <c r="B70" t="s">
        <v>8</v>
      </c>
      <c r="C70" s="3">
        <v>46258</v>
      </c>
      <c r="D70" t="s">
        <v>14</v>
      </c>
      <c r="E70" s="5">
        <v>2800</v>
      </c>
      <c r="F70" s="7">
        <v>551.66998291015625</v>
      </c>
      <c r="G70" s="7">
        <v>1544675.9521484375</v>
      </c>
    </row>
    <row r="71" spans="1:7" x14ac:dyDescent="0.3">
      <c r="A71" t="s">
        <v>87</v>
      </c>
      <c r="B71" t="s">
        <v>22</v>
      </c>
      <c r="C71" s="3">
        <v>46258</v>
      </c>
      <c r="D71" t="s">
        <v>14</v>
      </c>
      <c r="E71" s="5">
        <v>2900</v>
      </c>
      <c r="F71" s="7">
        <v>322.08999633789063</v>
      </c>
      <c r="G71" s="7">
        <v>934060.98937988281</v>
      </c>
    </row>
    <row r="72" spans="1:7" x14ac:dyDescent="0.3">
      <c r="A72" t="s">
        <v>90</v>
      </c>
      <c r="B72" t="s">
        <v>22</v>
      </c>
      <c r="C72" s="3">
        <v>46259</v>
      </c>
      <c r="D72" t="s">
        <v>9</v>
      </c>
      <c r="E72" s="5">
        <v>100</v>
      </c>
      <c r="F72" s="7">
        <v>319.54998779296875</v>
      </c>
      <c r="G72" s="7">
        <v>31954.998779296875</v>
      </c>
    </row>
    <row r="73" spans="1:7" x14ac:dyDescent="0.3">
      <c r="A73" t="s">
        <v>91</v>
      </c>
      <c r="B73" t="s">
        <v>11</v>
      </c>
      <c r="C73" s="3">
        <v>46259</v>
      </c>
      <c r="D73" t="s">
        <v>14</v>
      </c>
      <c r="E73" s="5">
        <v>2000</v>
      </c>
      <c r="F73" s="7">
        <v>429.510009765625</v>
      </c>
      <c r="G73" s="7">
        <v>859020.01953125</v>
      </c>
    </row>
    <row r="74" spans="1:7" x14ac:dyDescent="0.3">
      <c r="A74" t="s">
        <v>92</v>
      </c>
      <c r="B74" t="s">
        <v>22</v>
      </c>
      <c r="C74" s="3">
        <v>46255</v>
      </c>
      <c r="D74" t="s">
        <v>14</v>
      </c>
      <c r="E74" s="5">
        <v>1900</v>
      </c>
      <c r="F74" s="7">
        <v>350.51998901367188</v>
      </c>
      <c r="G74" s="7">
        <v>665987.97912597656</v>
      </c>
    </row>
    <row r="75" spans="1:7" x14ac:dyDescent="0.3">
      <c r="A75" t="s">
        <v>93</v>
      </c>
      <c r="B75" t="s">
        <v>8</v>
      </c>
      <c r="C75" s="3">
        <v>46256</v>
      </c>
      <c r="D75" t="s">
        <v>14</v>
      </c>
      <c r="E75" s="5">
        <v>4800</v>
      </c>
      <c r="F75" s="7">
        <v>472.79000854492188</v>
      </c>
      <c r="G75" s="7">
        <v>2269392.041015625</v>
      </c>
    </row>
    <row r="76" spans="1:7" x14ac:dyDescent="0.3">
      <c r="A76" t="s">
        <v>94</v>
      </c>
      <c r="B76" t="s">
        <v>22</v>
      </c>
      <c r="C76" s="3">
        <v>46257</v>
      </c>
      <c r="D76" t="s">
        <v>9</v>
      </c>
      <c r="E76" s="5">
        <v>2300</v>
      </c>
      <c r="F76" s="7">
        <v>602.19000244140625</v>
      </c>
      <c r="G76" s="7">
        <v>1385037.0056152344</v>
      </c>
    </row>
    <row r="77" spans="1:7" x14ac:dyDescent="0.3">
      <c r="A77" t="s">
        <v>95</v>
      </c>
      <c r="B77" t="s">
        <v>8</v>
      </c>
      <c r="C77" s="3">
        <v>46255</v>
      </c>
      <c r="D77" t="s">
        <v>14</v>
      </c>
      <c r="E77" s="5">
        <v>1850</v>
      </c>
      <c r="F77" s="7">
        <v>157.11000061035156</v>
      </c>
      <c r="G77" s="7">
        <v>290653.50112915039</v>
      </c>
    </row>
    <row r="78" spans="1:7" x14ac:dyDescent="0.3">
      <c r="A78" t="s">
        <v>96</v>
      </c>
      <c r="B78" t="s">
        <v>13</v>
      </c>
      <c r="C78" s="3">
        <v>46256</v>
      </c>
      <c r="D78" t="s">
        <v>9</v>
      </c>
      <c r="E78" s="5">
        <v>3050</v>
      </c>
      <c r="F78" s="7">
        <v>284.01998901367188</v>
      </c>
      <c r="G78" s="7">
        <v>866260.96649169922</v>
      </c>
    </row>
    <row r="79" spans="1:7" x14ac:dyDescent="0.3">
      <c r="A79" t="s">
        <v>97</v>
      </c>
      <c r="B79" t="s">
        <v>8</v>
      </c>
      <c r="C79" s="3">
        <v>46255</v>
      </c>
      <c r="D79" t="s">
        <v>14</v>
      </c>
      <c r="E79" s="5">
        <v>2750</v>
      </c>
      <c r="F79" s="7">
        <v>357.69000244140625</v>
      </c>
      <c r="G79" s="7">
        <v>983647.50671386719</v>
      </c>
    </row>
    <row r="80" spans="1:7" x14ac:dyDescent="0.3">
      <c r="A80" t="s">
        <v>99</v>
      </c>
      <c r="B80" t="s">
        <v>17</v>
      </c>
      <c r="C80" s="3">
        <v>46257</v>
      </c>
      <c r="D80" t="s">
        <v>9</v>
      </c>
      <c r="E80" s="5">
        <v>450</v>
      </c>
      <c r="F80" s="7">
        <v>242.21000671386719</v>
      </c>
      <c r="G80" s="7">
        <v>108994.50302124023</v>
      </c>
    </row>
    <row r="81" spans="1:7" x14ac:dyDescent="0.3">
      <c r="A81" t="s">
        <v>100</v>
      </c>
      <c r="B81" t="s">
        <v>11</v>
      </c>
      <c r="C81" s="3">
        <v>46259</v>
      </c>
      <c r="D81" t="s">
        <v>14</v>
      </c>
      <c r="E81" s="5">
        <v>2750</v>
      </c>
      <c r="F81" s="7">
        <v>429.22000122070313</v>
      </c>
      <c r="G81" s="7">
        <v>1180355.0033569336</v>
      </c>
    </row>
    <row r="82" spans="1:7" x14ac:dyDescent="0.3">
      <c r="A82" t="s">
        <v>101</v>
      </c>
      <c r="B82" t="s">
        <v>11</v>
      </c>
      <c r="C82" s="3">
        <v>46257</v>
      </c>
      <c r="D82" t="s">
        <v>14</v>
      </c>
      <c r="E82" s="5">
        <v>1600</v>
      </c>
      <c r="F82" s="7">
        <v>451.51998901367188</v>
      </c>
      <c r="G82" s="7">
        <v>722431.982421875</v>
      </c>
    </row>
    <row r="83" spans="1:7" x14ac:dyDescent="0.3">
      <c r="A83" t="s">
        <v>102</v>
      </c>
      <c r="B83" t="s">
        <v>17</v>
      </c>
      <c r="C83" s="3">
        <v>46258</v>
      </c>
      <c r="D83" t="s">
        <v>9</v>
      </c>
      <c r="E83" s="5">
        <v>3900</v>
      </c>
      <c r="F83" s="7">
        <v>437.94000244140625</v>
      </c>
      <c r="G83" s="7">
        <v>1707966.0095214844</v>
      </c>
    </row>
    <row r="84" spans="1:7" x14ac:dyDescent="0.3">
      <c r="A84" t="s">
        <v>103</v>
      </c>
      <c r="B84" t="s">
        <v>8</v>
      </c>
      <c r="C84" s="3">
        <v>46259</v>
      </c>
      <c r="D84" t="s">
        <v>14</v>
      </c>
      <c r="E84" s="5">
        <v>1250</v>
      </c>
      <c r="F84" s="7">
        <v>529.28997802734375</v>
      </c>
      <c r="G84" s="7">
        <v>661612.47253417969</v>
      </c>
    </row>
    <row r="85" spans="1:7" x14ac:dyDescent="0.3">
      <c r="A85" t="s">
        <v>104</v>
      </c>
      <c r="B85" t="s">
        <v>22</v>
      </c>
      <c r="C85" s="3">
        <v>46256</v>
      </c>
      <c r="D85" t="s">
        <v>9</v>
      </c>
      <c r="E85" s="5">
        <v>200</v>
      </c>
      <c r="F85" s="7">
        <v>547.09002685546875</v>
      </c>
      <c r="G85" s="7">
        <v>109418.00537109375</v>
      </c>
    </row>
    <row r="86" spans="1:7" x14ac:dyDescent="0.3">
      <c r="A86" t="s">
        <v>105</v>
      </c>
      <c r="B86" t="s">
        <v>22</v>
      </c>
      <c r="C86" s="3">
        <v>46256</v>
      </c>
      <c r="D86" t="s">
        <v>9</v>
      </c>
      <c r="E86" s="5">
        <v>4750</v>
      </c>
      <c r="F86" s="7">
        <v>476.70001220703125</v>
      </c>
      <c r="G86" s="7">
        <v>2264325.0579833984</v>
      </c>
    </row>
    <row r="87" spans="1:7" x14ac:dyDescent="0.3">
      <c r="A87" t="s">
        <v>106</v>
      </c>
      <c r="B87" t="s">
        <v>8</v>
      </c>
      <c r="C87" s="3">
        <v>46255</v>
      </c>
      <c r="D87" t="s">
        <v>14</v>
      </c>
      <c r="E87" s="5">
        <v>4800</v>
      </c>
      <c r="F87" s="7">
        <v>186.82000732421875</v>
      </c>
      <c r="G87" s="7">
        <v>896736.03515625</v>
      </c>
    </row>
    <row r="88" spans="1:7" x14ac:dyDescent="0.3">
      <c r="A88" t="s">
        <v>107</v>
      </c>
      <c r="B88" t="s">
        <v>17</v>
      </c>
      <c r="C88" s="3">
        <v>46255</v>
      </c>
      <c r="D88" t="s">
        <v>14</v>
      </c>
      <c r="E88" s="5">
        <v>300</v>
      </c>
      <c r="F88" s="7">
        <v>432.14999389648438</v>
      </c>
      <c r="G88" s="7">
        <v>129644.99816894531</v>
      </c>
    </row>
    <row r="89" spans="1:7" x14ac:dyDescent="0.3">
      <c r="A89" t="s">
        <v>108</v>
      </c>
      <c r="B89" t="s">
        <v>17</v>
      </c>
      <c r="C89" s="3">
        <v>46257</v>
      </c>
      <c r="D89" t="s">
        <v>9</v>
      </c>
      <c r="E89" s="5">
        <v>2300</v>
      </c>
      <c r="F89" s="7">
        <v>311.20001220703125</v>
      </c>
      <c r="G89" s="7">
        <v>715760.02807617188</v>
      </c>
    </row>
    <row r="90" spans="1:7" x14ac:dyDescent="0.3">
      <c r="A90" t="s">
        <v>109</v>
      </c>
      <c r="B90" t="s">
        <v>17</v>
      </c>
      <c r="C90" s="3">
        <v>46257</v>
      </c>
      <c r="D90" t="s">
        <v>9</v>
      </c>
      <c r="E90" s="5">
        <v>2950</v>
      </c>
      <c r="F90" s="7">
        <v>475.94000244140625</v>
      </c>
      <c r="G90" s="7">
        <v>1404023.0072021484</v>
      </c>
    </row>
    <row r="91" spans="1:7" x14ac:dyDescent="0.3">
      <c r="A91" t="s">
        <v>110</v>
      </c>
      <c r="B91" t="s">
        <v>8</v>
      </c>
      <c r="C91" s="3">
        <v>46256</v>
      </c>
      <c r="D91" t="s">
        <v>9</v>
      </c>
      <c r="E91" s="5">
        <v>3700</v>
      </c>
      <c r="F91" s="7">
        <v>246.14999389648438</v>
      </c>
      <c r="G91" s="7">
        <v>910754.97741699219</v>
      </c>
    </row>
    <row r="92" spans="1:7" x14ac:dyDescent="0.3">
      <c r="A92" t="s">
        <v>111</v>
      </c>
      <c r="B92" t="s">
        <v>11</v>
      </c>
      <c r="C92" s="3">
        <v>46258</v>
      </c>
      <c r="D92" t="s">
        <v>9</v>
      </c>
      <c r="E92" s="5">
        <v>4100</v>
      </c>
      <c r="F92" s="7">
        <v>259.73001098632813</v>
      </c>
      <c r="G92" s="7">
        <v>1064893.0450439453</v>
      </c>
    </row>
    <row r="93" spans="1:7" x14ac:dyDescent="0.3">
      <c r="A93" t="s">
        <v>112</v>
      </c>
      <c r="B93" t="s">
        <v>22</v>
      </c>
      <c r="C93" s="3">
        <v>46255</v>
      </c>
      <c r="D93" t="s">
        <v>14</v>
      </c>
      <c r="E93" s="5">
        <v>1300</v>
      </c>
      <c r="F93" s="7">
        <v>507.239990234375</v>
      </c>
      <c r="G93" s="7">
        <v>659411.9873046875</v>
      </c>
    </row>
    <row r="94" spans="1:7" x14ac:dyDescent="0.3">
      <c r="A94" t="s">
        <v>113</v>
      </c>
      <c r="B94" t="s">
        <v>8</v>
      </c>
      <c r="C94" s="3">
        <v>46256</v>
      </c>
      <c r="D94" t="s">
        <v>14</v>
      </c>
      <c r="E94" s="5">
        <v>4150</v>
      </c>
      <c r="F94" s="7">
        <v>509.39999389648438</v>
      </c>
      <c r="G94" s="7">
        <v>2114009.9746704102</v>
      </c>
    </row>
    <row r="95" spans="1:7" x14ac:dyDescent="0.3">
      <c r="A95" t="s">
        <v>114</v>
      </c>
      <c r="B95" t="s">
        <v>22</v>
      </c>
      <c r="C95" s="3">
        <v>46258</v>
      </c>
      <c r="D95" t="s">
        <v>9</v>
      </c>
      <c r="E95" s="5">
        <v>1800</v>
      </c>
      <c r="F95" s="7">
        <v>252.14999389648438</v>
      </c>
      <c r="G95" s="7">
        <v>453869.98901367188</v>
      </c>
    </row>
    <row r="96" spans="1:7" x14ac:dyDescent="0.3">
      <c r="A96" t="s">
        <v>115</v>
      </c>
      <c r="B96" t="s">
        <v>8</v>
      </c>
      <c r="C96" s="3">
        <v>46259</v>
      </c>
      <c r="D96" t="s">
        <v>14</v>
      </c>
      <c r="E96" s="5">
        <v>3200</v>
      </c>
      <c r="F96" s="7">
        <v>569.280029296875</v>
      </c>
      <c r="G96" s="7">
        <v>1821696.09375</v>
      </c>
    </row>
    <row r="97" spans="1:7" x14ac:dyDescent="0.3">
      <c r="A97" t="s">
        <v>116</v>
      </c>
      <c r="B97" t="s">
        <v>17</v>
      </c>
      <c r="C97" s="3">
        <v>46259</v>
      </c>
      <c r="D97" t="s">
        <v>14</v>
      </c>
      <c r="E97" s="5">
        <v>4900</v>
      </c>
      <c r="F97" s="7">
        <v>534.67999267578125</v>
      </c>
      <c r="G97" s="7">
        <v>2619931.9641113281</v>
      </c>
    </row>
    <row r="98" spans="1:7" x14ac:dyDescent="0.3">
      <c r="A98" t="s">
        <v>117</v>
      </c>
      <c r="B98" t="s">
        <v>17</v>
      </c>
      <c r="C98" s="3">
        <v>46257</v>
      </c>
      <c r="D98" t="s">
        <v>9</v>
      </c>
      <c r="E98" s="5">
        <v>200</v>
      </c>
      <c r="F98" s="7">
        <v>473.89999389648438</v>
      </c>
      <c r="G98" s="7">
        <v>94779.998779296875</v>
      </c>
    </row>
    <row r="99" spans="1:7" x14ac:dyDescent="0.3">
      <c r="A99" t="s">
        <v>118</v>
      </c>
      <c r="B99" t="s">
        <v>22</v>
      </c>
      <c r="C99" s="3">
        <v>46259</v>
      </c>
      <c r="D99" t="s">
        <v>14</v>
      </c>
      <c r="E99" s="5">
        <v>3900</v>
      </c>
      <c r="F99" s="7">
        <v>329.04998779296875</v>
      </c>
      <c r="G99" s="7">
        <v>1283294.9523925781</v>
      </c>
    </row>
    <row r="100" spans="1:7" x14ac:dyDescent="0.3">
      <c r="A100" t="s">
        <v>119</v>
      </c>
      <c r="B100" t="s">
        <v>8</v>
      </c>
      <c r="C100" s="3">
        <v>46257</v>
      </c>
      <c r="D100" t="s">
        <v>9</v>
      </c>
      <c r="E100" s="5">
        <v>2550</v>
      </c>
      <c r="F100" s="7">
        <v>236.77000427246094</v>
      </c>
      <c r="G100" s="7">
        <v>603763.51089477539</v>
      </c>
    </row>
    <row r="101" spans="1:7" x14ac:dyDescent="0.3">
      <c r="A101" t="s">
        <v>120</v>
      </c>
      <c r="B101" t="s">
        <v>11</v>
      </c>
      <c r="C101" s="3">
        <v>46255</v>
      </c>
      <c r="D101" t="s">
        <v>14</v>
      </c>
      <c r="E101" s="5">
        <v>3100</v>
      </c>
      <c r="F101" s="7">
        <v>303.30999755859375</v>
      </c>
      <c r="G101" s="7">
        <v>940260.99243164063</v>
      </c>
    </row>
    <row r="102" spans="1:7" x14ac:dyDescent="0.3">
      <c r="A102" t="s">
        <v>121</v>
      </c>
      <c r="B102" t="s">
        <v>8</v>
      </c>
      <c r="C102" s="3">
        <v>46259</v>
      </c>
      <c r="D102" t="s">
        <v>14</v>
      </c>
      <c r="E102" s="5">
        <v>400</v>
      </c>
      <c r="F102" s="7">
        <v>396.67999267578125</v>
      </c>
      <c r="G102" s="7">
        <v>158671.9970703125</v>
      </c>
    </row>
    <row r="103" spans="1:7" x14ac:dyDescent="0.3">
      <c r="A103" t="s">
        <v>122</v>
      </c>
      <c r="B103" t="s">
        <v>17</v>
      </c>
      <c r="C103" s="3">
        <v>46259</v>
      </c>
      <c r="D103" t="s">
        <v>14</v>
      </c>
      <c r="E103" s="5">
        <v>700</v>
      </c>
      <c r="F103" s="7">
        <v>313.48001098632813</v>
      </c>
      <c r="G103" s="7">
        <v>219436.00769042969</v>
      </c>
    </row>
    <row r="104" spans="1:7" x14ac:dyDescent="0.3">
      <c r="A104" t="s">
        <v>123</v>
      </c>
      <c r="B104" t="s">
        <v>8</v>
      </c>
      <c r="C104" s="3">
        <v>46255</v>
      </c>
      <c r="D104" t="s">
        <v>9</v>
      </c>
      <c r="E104" s="5">
        <v>2800</v>
      </c>
      <c r="F104" s="7">
        <v>453.42999267578125</v>
      </c>
      <c r="G104" s="7">
        <v>1269603.9794921875</v>
      </c>
    </row>
    <row r="105" spans="1:7" x14ac:dyDescent="0.3">
      <c r="A105" t="s">
        <v>124</v>
      </c>
      <c r="B105" t="s">
        <v>13</v>
      </c>
      <c r="C105" s="3">
        <v>46258</v>
      </c>
      <c r="D105" t="s">
        <v>9</v>
      </c>
      <c r="E105" s="5">
        <v>3000</v>
      </c>
      <c r="F105" s="7">
        <v>533.52001953125</v>
      </c>
      <c r="G105" s="7">
        <v>1600560.05859375</v>
      </c>
    </row>
    <row r="106" spans="1:7" x14ac:dyDescent="0.3">
      <c r="A106" t="s">
        <v>125</v>
      </c>
      <c r="B106" t="s">
        <v>8</v>
      </c>
      <c r="C106" s="3">
        <v>46256</v>
      </c>
      <c r="D106" t="s">
        <v>14</v>
      </c>
      <c r="E106" s="5">
        <v>2750</v>
      </c>
      <c r="F106" s="7">
        <v>404.55999755859375</v>
      </c>
      <c r="G106" s="7">
        <v>1112539.9932861328</v>
      </c>
    </row>
    <row r="107" spans="1:7" x14ac:dyDescent="0.3">
      <c r="A107" t="s">
        <v>126</v>
      </c>
      <c r="B107" t="s">
        <v>22</v>
      </c>
      <c r="C107" s="3">
        <v>46257</v>
      </c>
      <c r="D107" t="s">
        <v>14</v>
      </c>
      <c r="E107" s="5">
        <v>4900</v>
      </c>
      <c r="F107" s="7">
        <v>409.32998657226563</v>
      </c>
      <c r="G107" s="7">
        <v>2005716.9342041016</v>
      </c>
    </row>
    <row r="108" spans="1:7" x14ac:dyDescent="0.3">
      <c r="A108" t="s">
        <v>127</v>
      </c>
      <c r="B108" t="s">
        <v>17</v>
      </c>
      <c r="C108" s="3">
        <v>46259</v>
      </c>
      <c r="D108" t="s">
        <v>14</v>
      </c>
      <c r="E108" s="5">
        <v>700</v>
      </c>
      <c r="F108" s="7">
        <v>477.08999633789063</v>
      </c>
      <c r="G108" s="7">
        <v>333962.99743652344</v>
      </c>
    </row>
    <row r="109" spans="1:7" x14ac:dyDescent="0.3">
      <c r="A109" t="s">
        <v>128</v>
      </c>
      <c r="B109" t="s">
        <v>11</v>
      </c>
      <c r="C109" s="3">
        <v>46258</v>
      </c>
      <c r="D109" t="s">
        <v>14</v>
      </c>
      <c r="E109" s="5">
        <v>3100</v>
      </c>
      <c r="F109" s="7">
        <v>501.20001220703125</v>
      </c>
      <c r="G109" s="7">
        <v>1553720.0378417969</v>
      </c>
    </row>
    <row r="110" spans="1:7" x14ac:dyDescent="0.3">
      <c r="A110" t="s">
        <v>129</v>
      </c>
      <c r="B110" t="s">
        <v>17</v>
      </c>
      <c r="C110" s="3">
        <v>46258</v>
      </c>
      <c r="D110" t="s">
        <v>9</v>
      </c>
      <c r="E110" s="5">
        <v>1100</v>
      </c>
      <c r="F110" s="7">
        <v>171.97000122070313</v>
      </c>
      <c r="G110" s="7">
        <v>189167.00134277344</v>
      </c>
    </row>
    <row r="111" spans="1:7" x14ac:dyDescent="0.3">
      <c r="A111" t="s">
        <v>130</v>
      </c>
      <c r="B111" t="s">
        <v>11</v>
      </c>
      <c r="C111" s="3">
        <v>46257</v>
      </c>
      <c r="D111" t="s">
        <v>9</v>
      </c>
      <c r="E111" s="5">
        <v>3800</v>
      </c>
      <c r="F111" s="7">
        <v>561.28997802734375</v>
      </c>
      <c r="G111" s="7">
        <v>2132901.9165039063</v>
      </c>
    </row>
    <row r="112" spans="1:7" x14ac:dyDescent="0.3">
      <c r="A112" t="s">
        <v>131</v>
      </c>
      <c r="B112" t="s">
        <v>17</v>
      </c>
      <c r="C112" s="3">
        <v>46255</v>
      </c>
      <c r="D112" t="s">
        <v>9</v>
      </c>
      <c r="E112" s="5">
        <v>2100</v>
      </c>
      <c r="F112" s="7">
        <v>381.25</v>
      </c>
      <c r="G112" s="7">
        <v>800625</v>
      </c>
    </row>
    <row r="113" spans="1:7" x14ac:dyDescent="0.3">
      <c r="A113" t="s">
        <v>132</v>
      </c>
      <c r="B113" t="s">
        <v>22</v>
      </c>
      <c r="C113" s="3">
        <v>46255</v>
      </c>
      <c r="D113" t="s">
        <v>9</v>
      </c>
      <c r="E113" s="5">
        <v>2700</v>
      </c>
      <c r="F113" s="7">
        <v>463.33999633789063</v>
      </c>
      <c r="G113" s="7">
        <v>1251017.9901123047</v>
      </c>
    </row>
    <row r="114" spans="1:7" x14ac:dyDescent="0.3">
      <c r="A114" t="s">
        <v>133</v>
      </c>
      <c r="B114" t="s">
        <v>8</v>
      </c>
      <c r="C114" s="3">
        <v>46258</v>
      </c>
      <c r="D114" t="s">
        <v>14</v>
      </c>
      <c r="E114" s="5">
        <v>1400</v>
      </c>
      <c r="F114" s="7">
        <v>630.29998779296875</v>
      </c>
      <c r="G114" s="7">
        <v>882419.98291015625</v>
      </c>
    </row>
    <row r="115" spans="1:7" x14ac:dyDescent="0.3">
      <c r="A115" t="s">
        <v>134</v>
      </c>
      <c r="B115" t="s">
        <v>8</v>
      </c>
      <c r="C115" s="3">
        <v>46258</v>
      </c>
      <c r="D115" t="s">
        <v>14</v>
      </c>
      <c r="E115" s="5">
        <v>1650</v>
      </c>
      <c r="F115" s="7">
        <v>257.3800048828125</v>
      </c>
      <c r="G115" s="7">
        <v>424677.00805664063</v>
      </c>
    </row>
    <row r="116" spans="1:7" x14ac:dyDescent="0.3">
      <c r="A116" t="s">
        <v>135</v>
      </c>
      <c r="B116" t="s">
        <v>17</v>
      </c>
      <c r="C116" s="3">
        <v>46256</v>
      </c>
      <c r="D116" t="s">
        <v>14</v>
      </c>
      <c r="E116" s="5">
        <v>3450</v>
      </c>
      <c r="F116" s="7">
        <v>444.95999145507813</v>
      </c>
      <c r="G116" s="7">
        <v>1535111.9705200195</v>
      </c>
    </row>
    <row r="117" spans="1:7" x14ac:dyDescent="0.3">
      <c r="A117" t="s">
        <v>136</v>
      </c>
      <c r="B117" t="s">
        <v>11</v>
      </c>
      <c r="C117" s="3">
        <v>46259</v>
      </c>
      <c r="D117" t="s">
        <v>14</v>
      </c>
      <c r="E117" s="5">
        <v>1250</v>
      </c>
      <c r="F117" s="7">
        <v>349.3800048828125</v>
      </c>
      <c r="G117" s="7">
        <v>436725.00610351563</v>
      </c>
    </row>
    <row r="118" spans="1:7" x14ac:dyDescent="0.3">
      <c r="A118" t="s">
        <v>137</v>
      </c>
      <c r="B118" t="s">
        <v>22</v>
      </c>
      <c r="C118" s="3">
        <v>46255</v>
      </c>
      <c r="D118" t="s">
        <v>9</v>
      </c>
      <c r="E118" s="5">
        <v>2650</v>
      </c>
      <c r="F118" s="7">
        <v>343.76998901367188</v>
      </c>
      <c r="G118" s="7">
        <v>910990.47088623047</v>
      </c>
    </row>
    <row r="119" spans="1:7" x14ac:dyDescent="0.3">
      <c r="A119" t="s">
        <v>138</v>
      </c>
      <c r="B119" t="s">
        <v>22</v>
      </c>
      <c r="C119" s="3">
        <v>46259</v>
      </c>
      <c r="D119" t="s">
        <v>9</v>
      </c>
      <c r="E119" s="5">
        <v>4950</v>
      </c>
      <c r="F119" s="7">
        <v>305.95999145507813</v>
      </c>
      <c r="G119" s="7">
        <v>1514501.9577026367</v>
      </c>
    </row>
    <row r="120" spans="1:7" x14ac:dyDescent="0.3">
      <c r="A120" t="s">
        <v>139</v>
      </c>
      <c r="B120" t="s">
        <v>13</v>
      </c>
      <c r="C120" s="3">
        <v>46259</v>
      </c>
      <c r="D120" t="s">
        <v>9</v>
      </c>
      <c r="E120" s="5">
        <v>3050</v>
      </c>
      <c r="F120" s="7">
        <v>455.10000610351563</v>
      </c>
      <c r="G120" s="7">
        <v>1388055.0186157227</v>
      </c>
    </row>
    <row r="121" spans="1:7" x14ac:dyDescent="0.3">
      <c r="A121" t="s">
        <v>140</v>
      </c>
      <c r="B121" t="s">
        <v>13</v>
      </c>
      <c r="C121" s="3">
        <v>46259</v>
      </c>
      <c r="D121" t="s">
        <v>14</v>
      </c>
      <c r="E121" s="5">
        <v>4150</v>
      </c>
      <c r="F121" s="7">
        <v>284.07000732421875</v>
      </c>
      <c r="G121" s="7">
        <v>1178890.5303955078</v>
      </c>
    </row>
    <row r="122" spans="1:7" x14ac:dyDescent="0.3">
      <c r="A122" t="s">
        <v>141</v>
      </c>
      <c r="B122" t="s">
        <v>22</v>
      </c>
      <c r="C122" s="3">
        <v>46255</v>
      </c>
      <c r="D122" t="s">
        <v>14</v>
      </c>
      <c r="E122" s="5">
        <v>4200</v>
      </c>
      <c r="F122" s="7">
        <v>259.3900146484375</v>
      </c>
      <c r="G122" s="7">
        <v>1089438.0615234375</v>
      </c>
    </row>
    <row r="123" spans="1:7" x14ac:dyDescent="0.3">
      <c r="A123" t="s">
        <v>142</v>
      </c>
      <c r="B123" t="s">
        <v>13</v>
      </c>
      <c r="C123" s="3">
        <v>46258</v>
      </c>
      <c r="D123" t="s">
        <v>9</v>
      </c>
      <c r="E123" s="5">
        <v>4850</v>
      </c>
      <c r="F123" s="7">
        <v>585.67999267578125</v>
      </c>
      <c r="G123" s="7">
        <v>2840547.9644775391</v>
      </c>
    </row>
    <row r="124" spans="1:7" x14ac:dyDescent="0.3">
      <c r="A124" t="s">
        <v>143</v>
      </c>
      <c r="B124" t="s">
        <v>8</v>
      </c>
      <c r="C124" s="3">
        <v>46257</v>
      </c>
      <c r="D124" t="s">
        <v>14</v>
      </c>
      <c r="E124" s="5">
        <v>3250</v>
      </c>
      <c r="F124" s="7">
        <v>456.32998657226563</v>
      </c>
      <c r="G124" s="7">
        <v>1483072.4563598633</v>
      </c>
    </row>
    <row r="125" spans="1:7" x14ac:dyDescent="0.3">
      <c r="A125" t="s">
        <v>144</v>
      </c>
      <c r="B125" t="s">
        <v>11</v>
      </c>
      <c r="C125" s="3">
        <v>46257</v>
      </c>
      <c r="D125" t="s">
        <v>14</v>
      </c>
      <c r="E125" s="5">
        <v>1900</v>
      </c>
      <c r="F125" s="7">
        <v>375.6199951171875</v>
      </c>
      <c r="G125" s="7">
        <v>713677.99072265625</v>
      </c>
    </row>
    <row r="126" spans="1:7" x14ac:dyDescent="0.3">
      <c r="A126" t="s">
        <v>145</v>
      </c>
      <c r="B126" t="s">
        <v>13</v>
      </c>
      <c r="C126" s="3">
        <v>46259</v>
      </c>
      <c r="D126" t="s">
        <v>9</v>
      </c>
      <c r="E126" s="5">
        <v>3100</v>
      </c>
      <c r="F126" s="7">
        <v>416.6199951171875</v>
      </c>
      <c r="G126" s="7">
        <v>1291521.9848632813</v>
      </c>
    </row>
    <row r="127" spans="1:7" x14ac:dyDescent="0.3">
      <c r="A127" t="s">
        <v>146</v>
      </c>
      <c r="B127" t="s">
        <v>8</v>
      </c>
      <c r="C127" s="3">
        <v>46258</v>
      </c>
      <c r="D127" t="s">
        <v>9</v>
      </c>
      <c r="E127" s="5">
        <v>1500</v>
      </c>
      <c r="F127" s="7">
        <v>332.39999389648438</v>
      </c>
      <c r="G127" s="7">
        <v>498599.99084472656</v>
      </c>
    </row>
    <row r="128" spans="1:7" x14ac:dyDescent="0.3">
      <c r="A128" t="s">
        <v>147</v>
      </c>
      <c r="B128" t="s">
        <v>22</v>
      </c>
      <c r="C128" s="3">
        <v>46258</v>
      </c>
      <c r="D128" t="s">
        <v>9</v>
      </c>
      <c r="E128" s="5">
        <v>3550</v>
      </c>
      <c r="F128" s="7">
        <v>284.08999633789063</v>
      </c>
      <c r="G128" s="7">
        <v>1008519.4869995117</v>
      </c>
    </row>
    <row r="129" spans="1:7" x14ac:dyDescent="0.3">
      <c r="A129" t="s">
        <v>148</v>
      </c>
      <c r="B129" t="s">
        <v>17</v>
      </c>
      <c r="C129" s="3">
        <v>46255</v>
      </c>
      <c r="D129" t="s">
        <v>9</v>
      </c>
      <c r="E129" s="5">
        <v>1250</v>
      </c>
      <c r="F129" s="7">
        <v>555.030029296875</v>
      </c>
      <c r="G129" s="7">
        <v>693787.53662109375</v>
      </c>
    </row>
    <row r="130" spans="1:7" x14ac:dyDescent="0.3">
      <c r="A130" t="s">
        <v>150</v>
      </c>
      <c r="B130" t="s">
        <v>11</v>
      </c>
      <c r="C130" s="3">
        <v>46257</v>
      </c>
      <c r="D130" t="s">
        <v>9</v>
      </c>
      <c r="E130" s="5">
        <v>550</v>
      </c>
      <c r="F130" s="7">
        <v>475.48001098632813</v>
      </c>
      <c r="G130" s="7">
        <v>261514.00604248047</v>
      </c>
    </row>
    <row r="131" spans="1:7" x14ac:dyDescent="0.3">
      <c r="A131" t="s">
        <v>151</v>
      </c>
      <c r="B131" t="s">
        <v>8</v>
      </c>
      <c r="C131" s="3">
        <v>46257</v>
      </c>
      <c r="D131" t="s">
        <v>14</v>
      </c>
      <c r="E131" s="5">
        <v>2500</v>
      </c>
      <c r="F131" s="7">
        <v>437.32998657226563</v>
      </c>
      <c r="G131" s="7">
        <v>1093324.9664306641</v>
      </c>
    </row>
    <row r="132" spans="1:7" x14ac:dyDescent="0.3">
      <c r="A132" t="s">
        <v>152</v>
      </c>
      <c r="B132" t="s">
        <v>17</v>
      </c>
      <c r="C132" s="3">
        <v>46259</v>
      </c>
      <c r="D132" t="s">
        <v>14</v>
      </c>
      <c r="E132" s="5">
        <v>1600</v>
      </c>
      <c r="F132" s="7">
        <v>645.3699951171875</v>
      </c>
      <c r="G132" s="7">
        <v>1032591.9921875</v>
      </c>
    </row>
    <row r="133" spans="1:7" x14ac:dyDescent="0.3">
      <c r="A133" t="s">
        <v>153</v>
      </c>
      <c r="B133" t="s">
        <v>22</v>
      </c>
      <c r="C133" s="3">
        <v>46257</v>
      </c>
      <c r="D133" t="s">
        <v>14</v>
      </c>
      <c r="E133" s="5">
        <v>350</v>
      </c>
      <c r="F133" s="7">
        <v>379.05999755859375</v>
      </c>
      <c r="G133" s="7">
        <v>132670.99914550781</v>
      </c>
    </row>
    <row r="134" spans="1:7" x14ac:dyDescent="0.3">
      <c r="A134" t="s">
        <v>154</v>
      </c>
      <c r="B134" t="s">
        <v>13</v>
      </c>
      <c r="C134" s="3">
        <v>46258</v>
      </c>
      <c r="D134" t="s">
        <v>14</v>
      </c>
      <c r="E134" s="5">
        <v>2550</v>
      </c>
      <c r="F134" s="7">
        <v>321.85000610351563</v>
      </c>
      <c r="G134" s="7">
        <v>820717.51556396484</v>
      </c>
    </row>
    <row r="135" spans="1:7" x14ac:dyDescent="0.3">
      <c r="A135" t="s">
        <v>155</v>
      </c>
      <c r="B135" t="s">
        <v>22</v>
      </c>
      <c r="C135" s="3">
        <v>46258</v>
      </c>
      <c r="D135" t="s">
        <v>14</v>
      </c>
      <c r="E135" s="5">
        <v>3250</v>
      </c>
      <c r="F135" s="7">
        <v>332.3800048828125</v>
      </c>
      <c r="G135" s="7">
        <v>1080235.0158691406</v>
      </c>
    </row>
    <row r="136" spans="1:7" x14ac:dyDescent="0.3">
      <c r="A136" t="s">
        <v>156</v>
      </c>
      <c r="B136" t="s">
        <v>13</v>
      </c>
      <c r="C136" s="3">
        <v>46257</v>
      </c>
      <c r="D136" t="s">
        <v>9</v>
      </c>
      <c r="E136" s="5">
        <v>1950</v>
      </c>
      <c r="F136" s="7">
        <v>178.61000061035156</v>
      </c>
      <c r="G136" s="7">
        <v>348289.50119018555</v>
      </c>
    </row>
    <row r="137" spans="1:7" x14ac:dyDescent="0.3">
      <c r="A137" t="s">
        <v>157</v>
      </c>
      <c r="B137" t="s">
        <v>11</v>
      </c>
      <c r="C137" s="3">
        <v>46259</v>
      </c>
      <c r="D137" t="s">
        <v>9</v>
      </c>
      <c r="E137" s="5">
        <v>1350</v>
      </c>
      <c r="F137" s="7">
        <v>219.25</v>
      </c>
      <c r="G137" s="7">
        <v>295987.5</v>
      </c>
    </row>
    <row r="138" spans="1:7" x14ac:dyDescent="0.3">
      <c r="A138" t="s">
        <v>158</v>
      </c>
      <c r="B138" t="s">
        <v>8</v>
      </c>
      <c r="C138" s="3">
        <v>46255</v>
      </c>
      <c r="D138" t="s">
        <v>9</v>
      </c>
      <c r="E138" s="5">
        <v>4050</v>
      </c>
      <c r="F138" s="7">
        <v>641.77001953125</v>
      </c>
      <c r="G138" s="7">
        <v>2599168.5791015625</v>
      </c>
    </row>
    <row r="139" spans="1:7" x14ac:dyDescent="0.3">
      <c r="A139" t="s">
        <v>159</v>
      </c>
      <c r="B139" t="s">
        <v>11</v>
      </c>
      <c r="C139" s="3">
        <v>46256</v>
      </c>
      <c r="D139" t="s">
        <v>14</v>
      </c>
      <c r="E139" s="5">
        <v>1400</v>
      </c>
      <c r="F139" s="7">
        <v>491.44000244140625</v>
      </c>
      <c r="G139" s="7">
        <v>688016.00341796875</v>
      </c>
    </row>
    <row r="140" spans="1:7" x14ac:dyDescent="0.3">
      <c r="A140" t="s">
        <v>160</v>
      </c>
      <c r="B140" t="s">
        <v>22</v>
      </c>
      <c r="C140" s="3">
        <v>46258</v>
      </c>
      <c r="D140" t="s">
        <v>9</v>
      </c>
      <c r="E140" s="5">
        <v>800</v>
      </c>
      <c r="F140" s="7">
        <v>350.80999755859375</v>
      </c>
      <c r="G140" s="7">
        <v>280647.998046875</v>
      </c>
    </row>
    <row r="141" spans="1:7" x14ac:dyDescent="0.3">
      <c r="A141" t="s">
        <v>161</v>
      </c>
      <c r="B141" t="s">
        <v>17</v>
      </c>
      <c r="C141" s="3">
        <v>46256</v>
      </c>
      <c r="D141" t="s">
        <v>14</v>
      </c>
      <c r="E141" s="5">
        <v>1650</v>
      </c>
      <c r="F141" s="7">
        <v>153.91000366210938</v>
      </c>
      <c r="G141" s="7">
        <v>253951.50604248047</v>
      </c>
    </row>
    <row r="142" spans="1:7" x14ac:dyDescent="0.3">
      <c r="A142" t="s">
        <v>162</v>
      </c>
      <c r="B142" t="s">
        <v>13</v>
      </c>
      <c r="C142" s="3">
        <v>46258</v>
      </c>
      <c r="D142" t="s">
        <v>14</v>
      </c>
      <c r="E142" s="5">
        <v>4800</v>
      </c>
      <c r="F142" s="7">
        <v>244.55999755859375</v>
      </c>
      <c r="G142" s="7">
        <v>1173887.98828125</v>
      </c>
    </row>
    <row r="143" spans="1:7" x14ac:dyDescent="0.3">
      <c r="A143" t="s">
        <v>163</v>
      </c>
      <c r="B143" t="s">
        <v>22</v>
      </c>
      <c r="C143" s="3">
        <v>46258</v>
      </c>
      <c r="D143" t="s">
        <v>9</v>
      </c>
      <c r="E143" s="5">
        <v>2900</v>
      </c>
      <c r="F143" s="7">
        <v>413.29000854492188</v>
      </c>
      <c r="G143" s="7">
        <v>1198541.0247802734</v>
      </c>
    </row>
    <row r="144" spans="1:7" x14ac:dyDescent="0.3">
      <c r="A144" t="s">
        <v>164</v>
      </c>
      <c r="B144" t="s">
        <v>13</v>
      </c>
      <c r="C144" s="3">
        <v>46259</v>
      </c>
      <c r="D144" t="s">
        <v>9</v>
      </c>
      <c r="E144" s="5">
        <v>3600</v>
      </c>
      <c r="F144" s="7">
        <v>272.07000732421875</v>
      </c>
      <c r="G144" s="7">
        <v>979452.0263671875</v>
      </c>
    </row>
    <row r="145" spans="1:7" x14ac:dyDescent="0.3">
      <c r="A145" t="s">
        <v>165</v>
      </c>
      <c r="B145" t="s">
        <v>17</v>
      </c>
      <c r="C145" s="3">
        <v>46256</v>
      </c>
      <c r="D145" t="s">
        <v>14</v>
      </c>
      <c r="E145" s="5">
        <v>1200</v>
      </c>
      <c r="F145" s="7">
        <v>451.32998657226563</v>
      </c>
      <c r="G145" s="7">
        <v>541595.98388671875</v>
      </c>
    </row>
    <row r="146" spans="1:7" x14ac:dyDescent="0.3">
      <c r="A146" t="s">
        <v>166</v>
      </c>
      <c r="B146" t="s">
        <v>17</v>
      </c>
      <c r="C146" s="3">
        <v>46256</v>
      </c>
      <c r="D146" t="s">
        <v>9</v>
      </c>
      <c r="E146" s="5">
        <v>350</v>
      </c>
      <c r="F146" s="7">
        <v>228.61000061035156</v>
      </c>
      <c r="G146" s="7">
        <v>80013.500213623047</v>
      </c>
    </row>
    <row r="147" spans="1:7" x14ac:dyDescent="0.3">
      <c r="A147" t="s">
        <v>167</v>
      </c>
      <c r="B147" t="s">
        <v>11</v>
      </c>
      <c r="C147" s="3">
        <v>46257</v>
      </c>
      <c r="D147" t="s">
        <v>9</v>
      </c>
      <c r="E147" s="5">
        <v>1150</v>
      </c>
      <c r="F147" s="7">
        <v>323.27999877929688</v>
      </c>
      <c r="G147" s="7">
        <v>371771.99859619141</v>
      </c>
    </row>
    <row r="148" spans="1:7" x14ac:dyDescent="0.3">
      <c r="A148" t="s">
        <v>169</v>
      </c>
      <c r="B148" t="s">
        <v>13</v>
      </c>
      <c r="C148" s="3">
        <v>46255</v>
      </c>
      <c r="D148" t="s">
        <v>9</v>
      </c>
      <c r="E148" s="5">
        <v>1200</v>
      </c>
      <c r="F148" s="7">
        <v>481.39999389648438</v>
      </c>
      <c r="G148" s="7">
        <v>577679.99267578125</v>
      </c>
    </row>
    <row r="149" spans="1:7" x14ac:dyDescent="0.3">
      <c r="A149" t="s">
        <v>170</v>
      </c>
      <c r="B149" t="s">
        <v>13</v>
      </c>
      <c r="C149" s="3">
        <v>46257</v>
      </c>
      <c r="D149" t="s">
        <v>14</v>
      </c>
      <c r="E149" s="5">
        <v>4400</v>
      </c>
      <c r="F149" s="7">
        <v>231.3800048828125</v>
      </c>
      <c r="G149" s="7">
        <v>1018072.021484375</v>
      </c>
    </row>
    <row r="150" spans="1:7" x14ac:dyDescent="0.3">
      <c r="A150" t="s">
        <v>171</v>
      </c>
      <c r="B150" t="s">
        <v>8</v>
      </c>
      <c r="C150" s="3">
        <v>46258</v>
      </c>
      <c r="D150" t="s">
        <v>9</v>
      </c>
      <c r="E150" s="5">
        <v>4600</v>
      </c>
      <c r="F150" s="7">
        <v>423.32000732421875</v>
      </c>
      <c r="G150" s="7">
        <v>1947272.0336914063</v>
      </c>
    </row>
    <row r="151" spans="1:7" x14ac:dyDescent="0.3">
      <c r="A151" t="s">
        <v>172</v>
      </c>
      <c r="B151" t="s">
        <v>8</v>
      </c>
      <c r="C151" s="3">
        <v>46257</v>
      </c>
      <c r="D151" t="s">
        <v>9</v>
      </c>
      <c r="E151" s="5">
        <v>2900</v>
      </c>
      <c r="F151" s="7">
        <v>372.51998901367188</v>
      </c>
      <c r="G151" s="7">
        <v>1080307.9681396484</v>
      </c>
    </row>
    <row r="152" spans="1:7" x14ac:dyDescent="0.3">
      <c r="A152" t="s">
        <v>173</v>
      </c>
      <c r="B152" t="s">
        <v>11</v>
      </c>
      <c r="C152" s="3">
        <v>46258</v>
      </c>
      <c r="D152" t="s">
        <v>14</v>
      </c>
      <c r="E152" s="5">
        <v>1850</v>
      </c>
      <c r="F152" s="7">
        <v>465.54000854492188</v>
      </c>
      <c r="G152" s="7">
        <v>861249.01580810547</v>
      </c>
    </row>
    <row r="153" spans="1:7" x14ac:dyDescent="0.3">
      <c r="A153" t="s">
        <v>174</v>
      </c>
      <c r="B153" t="s">
        <v>17</v>
      </c>
      <c r="C153" s="3">
        <v>46259</v>
      </c>
      <c r="D153" t="s">
        <v>9</v>
      </c>
      <c r="E153" s="5">
        <v>1400</v>
      </c>
      <c r="F153" s="7">
        <v>179.3800048828125</v>
      </c>
      <c r="G153" s="7">
        <v>251132.0068359375</v>
      </c>
    </row>
    <row r="154" spans="1:7" x14ac:dyDescent="0.3">
      <c r="A154" t="s">
        <v>175</v>
      </c>
      <c r="B154" t="s">
        <v>22</v>
      </c>
      <c r="C154" s="3">
        <v>46256</v>
      </c>
      <c r="D154" t="s">
        <v>9</v>
      </c>
      <c r="E154" s="5">
        <v>4950</v>
      </c>
      <c r="F154" s="7">
        <v>285.510009765625</v>
      </c>
      <c r="G154" s="7">
        <v>1413274.5483398438</v>
      </c>
    </row>
    <row r="155" spans="1:7" x14ac:dyDescent="0.3">
      <c r="A155" t="s">
        <v>176</v>
      </c>
      <c r="B155" t="s">
        <v>13</v>
      </c>
      <c r="C155" s="3">
        <v>46255</v>
      </c>
      <c r="D155" t="s">
        <v>9</v>
      </c>
      <c r="E155" s="5">
        <v>4450</v>
      </c>
      <c r="F155" s="7">
        <v>436.25</v>
      </c>
      <c r="G155" s="7">
        <v>1941312.5</v>
      </c>
    </row>
    <row r="156" spans="1:7" x14ac:dyDescent="0.3">
      <c r="A156" t="s">
        <v>177</v>
      </c>
      <c r="B156" t="s">
        <v>13</v>
      </c>
      <c r="C156" s="3">
        <v>46256</v>
      </c>
      <c r="D156" t="s">
        <v>9</v>
      </c>
      <c r="E156" s="5">
        <v>800</v>
      </c>
      <c r="F156" s="7">
        <v>537.010009765625</v>
      </c>
      <c r="G156" s="7">
        <v>429608.0078125</v>
      </c>
    </row>
    <row r="157" spans="1:7" x14ac:dyDescent="0.3">
      <c r="A157" t="s">
        <v>178</v>
      </c>
      <c r="B157" t="s">
        <v>13</v>
      </c>
      <c r="C157" s="3">
        <v>46255</v>
      </c>
      <c r="D157" t="s">
        <v>9</v>
      </c>
      <c r="E157" s="5">
        <v>3900</v>
      </c>
      <c r="F157" s="7">
        <v>386.8599853515625</v>
      </c>
      <c r="G157" s="7">
        <v>1508753.9428710938</v>
      </c>
    </row>
    <row r="158" spans="1:7" x14ac:dyDescent="0.3">
      <c r="A158" t="s">
        <v>179</v>
      </c>
      <c r="B158" t="s">
        <v>17</v>
      </c>
      <c r="C158" s="3">
        <v>46259</v>
      </c>
      <c r="D158" t="s">
        <v>14</v>
      </c>
      <c r="E158" s="5">
        <v>2350</v>
      </c>
      <c r="F158" s="7">
        <v>597.1300048828125</v>
      </c>
      <c r="G158" s="7">
        <v>1403255.5114746094</v>
      </c>
    </row>
    <row r="159" spans="1:7" x14ac:dyDescent="0.3">
      <c r="A159" t="s">
        <v>180</v>
      </c>
      <c r="B159" t="s">
        <v>22</v>
      </c>
      <c r="C159" s="3">
        <v>46255</v>
      </c>
      <c r="D159" t="s">
        <v>9</v>
      </c>
      <c r="E159" s="5">
        <v>4950</v>
      </c>
      <c r="F159" s="7">
        <v>373.42001342773438</v>
      </c>
      <c r="G159" s="7">
        <v>1848429.0664672852</v>
      </c>
    </row>
    <row r="160" spans="1:7" x14ac:dyDescent="0.3">
      <c r="A160" t="s">
        <v>181</v>
      </c>
      <c r="B160" t="s">
        <v>22</v>
      </c>
      <c r="C160" s="3">
        <v>46259</v>
      </c>
      <c r="D160" t="s">
        <v>9</v>
      </c>
      <c r="E160" s="5">
        <v>2900</v>
      </c>
      <c r="F160" s="7">
        <v>580.80999755859375</v>
      </c>
      <c r="G160" s="7">
        <v>1684348.9929199219</v>
      </c>
    </row>
    <row r="161" spans="1:7" x14ac:dyDescent="0.3">
      <c r="A161" t="s">
        <v>182</v>
      </c>
      <c r="B161" t="s">
        <v>13</v>
      </c>
      <c r="C161" s="3">
        <v>46259</v>
      </c>
      <c r="D161" t="s">
        <v>9</v>
      </c>
      <c r="E161" s="5">
        <v>1150</v>
      </c>
      <c r="F161" s="7">
        <v>287.42001342773438</v>
      </c>
      <c r="G161" s="7">
        <v>330533.01544189453</v>
      </c>
    </row>
    <row r="162" spans="1:7" x14ac:dyDescent="0.3">
      <c r="A162" t="s">
        <v>183</v>
      </c>
      <c r="B162" t="s">
        <v>13</v>
      </c>
      <c r="C162" s="3">
        <v>46255</v>
      </c>
      <c r="D162" t="s">
        <v>14</v>
      </c>
      <c r="E162" s="5">
        <v>2700</v>
      </c>
      <c r="F162" s="7">
        <v>321.52999877929688</v>
      </c>
      <c r="G162" s="7">
        <v>868130.99670410156</v>
      </c>
    </row>
    <row r="163" spans="1:7" x14ac:dyDescent="0.3">
      <c r="A163" t="s">
        <v>184</v>
      </c>
      <c r="B163" t="s">
        <v>22</v>
      </c>
      <c r="C163" s="3">
        <v>46259</v>
      </c>
      <c r="D163" t="s">
        <v>9</v>
      </c>
      <c r="E163" s="5">
        <v>2950</v>
      </c>
      <c r="F163" s="7">
        <v>578.489990234375</v>
      </c>
      <c r="G163" s="7">
        <v>1706545.4711914063</v>
      </c>
    </row>
    <row r="164" spans="1:7" x14ac:dyDescent="0.3">
      <c r="A164" t="s">
        <v>185</v>
      </c>
      <c r="B164" t="s">
        <v>22</v>
      </c>
      <c r="C164" s="3">
        <v>46256</v>
      </c>
      <c r="D164" t="s">
        <v>14</v>
      </c>
      <c r="E164" s="5">
        <v>1450</v>
      </c>
      <c r="F164" s="7">
        <v>566.75</v>
      </c>
      <c r="G164" s="7">
        <v>821787.5</v>
      </c>
    </row>
    <row r="165" spans="1:7" x14ac:dyDescent="0.3">
      <c r="A165" t="s">
        <v>186</v>
      </c>
      <c r="B165" t="s">
        <v>13</v>
      </c>
      <c r="C165" s="3">
        <v>46258</v>
      </c>
      <c r="D165" t="s">
        <v>9</v>
      </c>
      <c r="E165" s="5">
        <v>4050</v>
      </c>
      <c r="F165" s="7">
        <v>453.8699951171875</v>
      </c>
      <c r="G165" s="7">
        <v>1838173.4802246094</v>
      </c>
    </row>
    <row r="166" spans="1:7" x14ac:dyDescent="0.3">
      <c r="A166" t="s">
        <v>187</v>
      </c>
      <c r="B166" t="s">
        <v>17</v>
      </c>
      <c r="C166" s="3">
        <v>46256</v>
      </c>
      <c r="D166" t="s">
        <v>9</v>
      </c>
      <c r="E166" s="5">
        <v>300</v>
      </c>
      <c r="F166" s="7">
        <v>570.1099853515625</v>
      </c>
      <c r="G166" s="7">
        <v>171032.99560546875</v>
      </c>
    </row>
    <row r="167" spans="1:7" x14ac:dyDescent="0.3">
      <c r="A167" t="s">
        <v>188</v>
      </c>
      <c r="B167" t="s">
        <v>11</v>
      </c>
      <c r="C167" s="3">
        <v>46258</v>
      </c>
      <c r="D167" t="s">
        <v>14</v>
      </c>
      <c r="E167" s="5">
        <v>2150</v>
      </c>
      <c r="F167" s="7">
        <v>578.20001220703125</v>
      </c>
      <c r="G167" s="7">
        <v>1243130.0262451172</v>
      </c>
    </row>
    <row r="168" spans="1:7" x14ac:dyDescent="0.3">
      <c r="A168" t="s">
        <v>189</v>
      </c>
      <c r="B168" t="s">
        <v>13</v>
      </c>
      <c r="C168" s="3">
        <v>46258</v>
      </c>
      <c r="D168" t="s">
        <v>14</v>
      </c>
      <c r="E168" s="5">
        <v>3950</v>
      </c>
      <c r="F168" s="7">
        <v>168.35000610351563</v>
      </c>
      <c r="G168" s="7">
        <v>664982.52410888672</v>
      </c>
    </row>
    <row r="169" spans="1:7" x14ac:dyDescent="0.3">
      <c r="A169" t="s">
        <v>190</v>
      </c>
      <c r="B169" t="s">
        <v>8</v>
      </c>
      <c r="C169" s="3">
        <v>46258</v>
      </c>
      <c r="D169" t="s">
        <v>9</v>
      </c>
      <c r="E169" s="5">
        <v>1100</v>
      </c>
      <c r="F169" s="7">
        <v>263.1099853515625</v>
      </c>
      <c r="G169" s="7">
        <v>289420.98388671875</v>
      </c>
    </row>
    <row r="170" spans="1:7" x14ac:dyDescent="0.3">
      <c r="A170" t="s">
        <v>191</v>
      </c>
      <c r="B170" t="s">
        <v>8</v>
      </c>
      <c r="C170" s="3">
        <v>46256</v>
      </c>
      <c r="D170" t="s">
        <v>14</v>
      </c>
      <c r="E170" s="5">
        <v>4750</v>
      </c>
      <c r="F170" s="7">
        <v>341.30999755859375</v>
      </c>
      <c r="G170" s="7">
        <v>1621222.4884033203</v>
      </c>
    </row>
    <row r="171" spans="1:7" x14ac:dyDescent="0.3">
      <c r="A171" t="s">
        <v>192</v>
      </c>
      <c r="B171" t="s">
        <v>11</v>
      </c>
      <c r="C171" s="3">
        <v>46255</v>
      </c>
      <c r="D171" t="s">
        <v>14</v>
      </c>
      <c r="E171" s="5">
        <v>2050</v>
      </c>
      <c r="F171" s="7">
        <v>615.6099853515625</v>
      </c>
      <c r="G171" s="7">
        <v>1262000.4699707031</v>
      </c>
    </row>
    <row r="172" spans="1:7" x14ac:dyDescent="0.3">
      <c r="A172" t="s">
        <v>193</v>
      </c>
      <c r="B172" t="s">
        <v>17</v>
      </c>
      <c r="C172" s="3">
        <v>46259</v>
      </c>
      <c r="D172" t="s">
        <v>9</v>
      </c>
      <c r="E172" s="5">
        <v>2350</v>
      </c>
      <c r="F172" s="7">
        <v>422.82000732421875</v>
      </c>
      <c r="G172" s="7">
        <v>993627.01721191406</v>
      </c>
    </row>
    <row r="173" spans="1:7" x14ac:dyDescent="0.3">
      <c r="A173" t="s">
        <v>194</v>
      </c>
      <c r="B173" t="s">
        <v>11</v>
      </c>
      <c r="C173" s="3">
        <v>46256</v>
      </c>
      <c r="D173" t="s">
        <v>14</v>
      </c>
      <c r="E173" s="5">
        <v>1100</v>
      </c>
      <c r="F173" s="7">
        <v>311.57998657226563</v>
      </c>
      <c r="G173" s="7">
        <v>342737.98522949219</v>
      </c>
    </row>
    <row r="174" spans="1:7" x14ac:dyDescent="0.3">
      <c r="A174" t="s">
        <v>195</v>
      </c>
      <c r="B174" t="s">
        <v>8</v>
      </c>
      <c r="C174" s="3">
        <v>46259</v>
      </c>
      <c r="D174" t="s">
        <v>14</v>
      </c>
      <c r="E174" s="5">
        <v>4150</v>
      </c>
      <c r="F174" s="7">
        <v>436.64999389648438</v>
      </c>
      <c r="G174" s="7">
        <v>1812097.4746704102</v>
      </c>
    </row>
    <row r="175" spans="1:7" x14ac:dyDescent="0.3">
      <c r="A175" t="s">
        <v>196</v>
      </c>
      <c r="B175" t="s">
        <v>22</v>
      </c>
      <c r="C175" s="3">
        <v>46259</v>
      </c>
      <c r="D175" t="s">
        <v>9</v>
      </c>
      <c r="E175" s="5">
        <v>2550</v>
      </c>
      <c r="F175" s="7">
        <v>494.17999267578125</v>
      </c>
      <c r="G175" s="7">
        <v>1260158.9813232422</v>
      </c>
    </row>
    <row r="176" spans="1:7" x14ac:dyDescent="0.3">
      <c r="A176" t="s">
        <v>197</v>
      </c>
      <c r="B176" t="s">
        <v>8</v>
      </c>
      <c r="C176" s="3">
        <v>46259</v>
      </c>
      <c r="D176" t="s">
        <v>9</v>
      </c>
      <c r="E176" s="5">
        <v>1850</v>
      </c>
      <c r="F176" s="7">
        <v>557.45001220703125</v>
      </c>
      <c r="G176" s="7">
        <v>1031282.5225830078</v>
      </c>
    </row>
    <row r="177" spans="1:7" x14ac:dyDescent="0.3">
      <c r="A177" t="s">
        <v>198</v>
      </c>
      <c r="B177" t="s">
        <v>17</v>
      </c>
      <c r="C177" s="3">
        <v>46259</v>
      </c>
      <c r="D177" t="s">
        <v>9</v>
      </c>
      <c r="E177" s="5">
        <v>4250</v>
      </c>
      <c r="F177" s="7">
        <v>297.29000854492188</v>
      </c>
      <c r="G177" s="7">
        <v>1263482.536315918</v>
      </c>
    </row>
    <row r="178" spans="1:7" x14ac:dyDescent="0.3">
      <c r="A178" t="s">
        <v>199</v>
      </c>
      <c r="B178" t="s">
        <v>17</v>
      </c>
      <c r="C178" s="3">
        <v>46259</v>
      </c>
      <c r="D178" t="s">
        <v>9</v>
      </c>
      <c r="E178" s="5">
        <v>4900</v>
      </c>
      <c r="F178" s="7">
        <v>196.69999694824219</v>
      </c>
      <c r="G178" s="7">
        <v>963829.98504638672</v>
      </c>
    </row>
    <row r="179" spans="1:7" x14ac:dyDescent="0.3">
      <c r="A179" t="s">
        <v>200</v>
      </c>
      <c r="B179" t="s">
        <v>11</v>
      </c>
      <c r="C179" s="3">
        <v>46255</v>
      </c>
      <c r="D179" t="s">
        <v>9</v>
      </c>
      <c r="E179" s="5">
        <v>3450</v>
      </c>
      <c r="F179" s="7">
        <v>493.95001220703125</v>
      </c>
      <c r="G179" s="7">
        <v>1704127.5421142578</v>
      </c>
    </row>
    <row r="180" spans="1:7" x14ac:dyDescent="0.3">
      <c r="A180" t="s">
        <v>201</v>
      </c>
      <c r="B180" t="s">
        <v>11</v>
      </c>
      <c r="C180" s="3">
        <v>46255</v>
      </c>
      <c r="D180" t="s">
        <v>9</v>
      </c>
      <c r="E180" s="5">
        <v>4450</v>
      </c>
      <c r="F180" s="7">
        <v>213.61000061035156</v>
      </c>
      <c r="G180" s="7">
        <v>950564.50271606445</v>
      </c>
    </row>
    <row r="181" spans="1:7" x14ac:dyDescent="0.3">
      <c r="A181" t="s">
        <v>202</v>
      </c>
      <c r="B181" t="s">
        <v>22</v>
      </c>
      <c r="C181" s="3">
        <v>46259</v>
      </c>
      <c r="D181" t="s">
        <v>14</v>
      </c>
      <c r="E181" s="5">
        <v>4550</v>
      </c>
      <c r="F181" s="7">
        <v>269.79000854492188</v>
      </c>
      <c r="G181" s="7">
        <v>1227544.5388793945</v>
      </c>
    </row>
    <row r="182" spans="1:7" x14ac:dyDescent="0.3">
      <c r="A182" t="s">
        <v>203</v>
      </c>
      <c r="B182" t="s">
        <v>13</v>
      </c>
      <c r="C182" s="3">
        <v>46259</v>
      </c>
      <c r="D182" t="s">
        <v>9</v>
      </c>
      <c r="E182" s="5">
        <v>4100</v>
      </c>
      <c r="F182" s="7">
        <v>251.10000610351563</v>
      </c>
      <c r="G182" s="7">
        <v>1029510.0250244141</v>
      </c>
    </row>
    <row r="183" spans="1:7" x14ac:dyDescent="0.3">
      <c r="A183" t="s">
        <v>204</v>
      </c>
      <c r="B183" t="s">
        <v>8</v>
      </c>
      <c r="C183" s="3">
        <v>46259</v>
      </c>
      <c r="D183" t="s">
        <v>9</v>
      </c>
      <c r="E183" s="5">
        <v>2350</v>
      </c>
      <c r="F183" s="7">
        <v>621.5</v>
      </c>
      <c r="G183" s="7">
        <v>1460525</v>
      </c>
    </row>
    <row r="184" spans="1:7" x14ac:dyDescent="0.3">
      <c r="A184" t="s">
        <v>205</v>
      </c>
      <c r="B184" t="s">
        <v>22</v>
      </c>
      <c r="C184" s="3">
        <v>46256</v>
      </c>
      <c r="D184" t="s">
        <v>14</v>
      </c>
      <c r="E184" s="5">
        <v>1600</v>
      </c>
      <c r="F184" s="7">
        <v>196.71000671386719</v>
      </c>
      <c r="G184" s="7">
        <v>314736.0107421875</v>
      </c>
    </row>
    <row r="185" spans="1:7" x14ac:dyDescent="0.3">
      <c r="A185" t="s">
        <v>206</v>
      </c>
      <c r="B185" t="s">
        <v>13</v>
      </c>
      <c r="C185" s="3">
        <v>46256</v>
      </c>
      <c r="D185" t="s">
        <v>14</v>
      </c>
      <c r="E185" s="5">
        <v>2300</v>
      </c>
      <c r="F185" s="7">
        <v>380.20999145507813</v>
      </c>
      <c r="G185" s="7">
        <v>874482.98034667969</v>
      </c>
    </row>
    <row r="186" spans="1:7" x14ac:dyDescent="0.3">
      <c r="A186" t="s">
        <v>207</v>
      </c>
      <c r="B186" t="s">
        <v>8</v>
      </c>
      <c r="C186" s="3">
        <v>46258</v>
      </c>
      <c r="D186" t="s">
        <v>14</v>
      </c>
      <c r="E186" s="5">
        <v>1200</v>
      </c>
      <c r="F186" s="7">
        <v>263.64999389648438</v>
      </c>
      <c r="G186" s="7">
        <v>316379.99267578125</v>
      </c>
    </row>
    <row r="187" spans="1:7" x14ac:dyDescent="0.3">
      <c r="A187" t="s">
        <v>208</v>
      </c>
      <c r="B187" t="s">
        <v>8</v>
      </c>
      <c r="C187" s="3">
        <v>46255</v>
      </c>
      <c r="D187" t="s">
        <v>14</v>
      </c>
      <c r="E187" s="5">
        <v>2100</v>
      </c>
      <c r="F187" s="7">
        <v>646.969970703125</v>
      </c>
      <c r="G187" s="7">
        <v>1358636.9384765625</v>
      </c>
    </row>
    <row r="188" spans="1:7" x14ac:dyDescent="0.3">
      <c r="A188" t="s">
        <v>209</v>
      </c>
      <c r="B188" t="s">
        <v>17</v>
      </c>
      <c r="C188" s="3">
        <v>46255</v>
      </c>
      <c r="D188" t="s">
        <v>14</v>
      </c>
      <c r="E188" s="5">
        <v>800</v>
      </c>
      <c r="F188" s="7">
        <v>602.8800048828125</v>
      </c>
      <c r="G188" s="7">
        <v>482304.00390625</v>
      </c>
    </row>
    <row r="189" spans="1:7" x14ac:dyDescent="0.3">
      <c r="A189" t="s">
        <v>210</v>
      </c>
      <c r="B189" t="s">
        <v>8</v>
      </c>
      <c r="C189" s="3">
        <v>46256</v>
      </c>
      <c r="D189" t="s">
        <v>14</v>
      </c>
      <c r="E189" s="5">
        <v>4850</v>
      </c>
      <c r="F189" s="7">
        <v>335.55999755859375</v>
      </c>
      <c r="G189" s="7">
        <v>1627465.9881591797</v>
      </c>
    </row>
    <row r="190" spans="1:7" x14ac:dyDescent="0.3">
      <c r="A190" t="s">
        <v>211</v>
      </c>
      <c r="B190" t="s">
        <v>22</v>
      </c>
      <c r="C190" s="3">
        <v>46256</v>
      </c>
      <c r="D190" t="s">
        <v>9</v>
      </c>
      <c r="E190" s="5">
        <v>600</v>
      </c>
      <c r="F190" s="7">
        <v>601.94000244140625</v>
      </c>
      <c r="G190" s="7">
        <v>361164.00146484375</v>
      </c>
    </row>
    <row r="191" spans="1:7" x14ac:dyDescent="0.3">
      <c r="A191" t="s">
        <v>212</v>
      </c>
      <c r="B191" t="s">
        <v>13</v>
      </c>
      <c r="C191" s="3">
        <v>46256</v>
      </c>
      <c r="D191" t="s">
        <v>14</v>
      </c>
      <c r="E191" s="5">
        <v>2700</v>
      </c>
      <c r="F191" s="7">
        <v>562.07000732421875</v>
      </c>
      <c r="G191" s="7">
        <v>1517589.0197753906</v>
      </c>
    </row>
    <row r="192" spans="1:7" x14ac:dyDescent="0.3">
      <c r="A192" t="s">
        <v>213</v>
      </c>
      <c r="B192" t="s">
        <v>8</v>
      </c>
      <c r="C192" s="3">
        <v>46257</v>
      </c>
      <c r="D192" t="s">
        <v>9</v>
      </c>
      <c r="E192" s="5">
        <v>400</v>
      </c>
      <c r="F192" s="7">
        <v>178.25999450683594</v>
      </c>
      <c r="G192" s="7">
        <v>71303.997802734375</v>
      </c>
    </row>
    <row r="193" spans="1:7" x14ac:dyDescent="0.3">
      <c r="A193" t="s">
        <v>214</v>
      </c>
      <c r="B193" t="s">
        <v>11</v>
      </c>
      <c r="C193" s="3">
        <v>46256</v>
      </c>
      <c r="D193" t="s">
        <v>9</v>
      </c>
      <c r="E193" s="5">
        <v>650</v>
      </c>
      <c r="F193" s="7">
        <v>342.260009765625</v>
      </c>
      <c r="G193" s="7">
        <v>222469.00634765625</v>
      </c>
    </row>
    <row r="194" spans="1:7" x14ac:dyDescent="0.3">
      <c r="A194" t="s">
        <v>215</v>
      </c>
      <c r="B194" t="s">
        <v>13</v>
      </c>
      <c r="C194" s="3">
        <v>46259</v>
      </c>
      <c r="D194" t="s">
        <v>9</v>
      </c>
      <c r="E194" s="5">
        <v>3300</v>
      </c>
      <c r="F194" s="7">
        <v>261.1400146484375</v>
      </c>
      <c r="G194" s="7">
        <v>861762.04833984375</v>
      </c>
    </row>
    <row r="195" spans="1:7" x14ac:dyDescent="0.3">
      <c r="A195" t="s">
        <v>216</v>
      </c>
      <c r="B195" t="s">
        <v>13</v>
      </c>
      <c r="C195" s="3">
        <v>46257</v>
      </c>
      <c r="D195" t="s">
        <v>9</v>
      </c>
      <c r="E195" s="5">
        <v>350</v>
      </c>
      <c r="F195" s="7">
        <v>156.80999755859375</v>
      </c>
      <c r="G195" s="7">
        <v>54883.499145507813</v>
      </c>
    </row>
    <row r="196" spans="1:7" x14ac:dyDescent="0.3">
      <c r="A196" t="s">
        <v>217</v>
      </c>
      <c r="B196" t="s">
        <v>22</v>
      </c>
      <c r="C196" s="3">
        <v>46255</v>
      </c>
      <c r="D196" t="s">
        <v>14</v>
      </c>
      <c r="E196" s="5">
        <v>850</v>
      </c>
      <c r="F196" s="7">
        <v>293.77999877929688</v>
      </c>
      <c r="G196" s="7">
        <v>249712.99896240234</v>
      </c>
    </row>
    <row r="197" spans="1:7" x14ac:dyDescent="0.3">
      <c r="A197" t="s">
        <v>218</v>
      </c>
      <c r="B197" t="s">
        <v>13</v>
      </c>
      <c r="C197" s="3">
        <v>46258</v>
      </c>
      <c r="D197" t="s">
        <v>14</v>
      </c>
      <c r="E197" s="5">
        <v>4350</v>
      </c>
      <c r="F197" s="7">
        <v>579.30999755859375</v>
      </c>
      <c r="G197" s="7">
        <v>2519998.4893798828</v>
      </c>
    </row>
    <row r="198" spans="1:7" x14ac:dyDescent="0.3">
      <c r="A198" t="s">
        <v>219</v>
      </c>
      <c r="B198" t="s">
        <v>17</v>
      </c>
      <c r="C198" s="3">
        <v>46259</v>
      </c>
      <c r="D198" t="s">
        <v>9</v>
      </c>
      <c r="E198" s="5">
        <v>1300</v>
      </c>
      <c r="F198" s="7">
        <v>158.83999633789063</v>
      </c>
      <c r="G198" s="7">
        <v>206491.99523925781</v>
      </c>
    </row>
    <row r="199" spans="1:7" x14ac:dyDescent="0.3">
      <c r="A199" t="s">
        <v>220</v>
      </c>
      <c r="B199" t="s">
        <v>8</v>
      </c>
      <c r="C199" s="3">
        <v>46258</v>
      </c>
      <c r="D199" t="s">
        <v>9</v>
      </c>
      <c r="E199" s="5">
        <v>3750</v>
      </c>
      <c r="F199" s="7">
        <v>505.60000610351563</v>
      </c>
      <c r="G199" s="7">
        <v>1896000.0228881836</v>
      </c>
    </row>
    <row r="200" spans="1:7" x14ac:dyDescent="0.3">
      <c r="A200" t="s">
        <v>221</v>
      </c>
      <c r="B200" t="s">
        <v>11</v>
      </c>
      <c r="C200" s="3">
        <v>46258</v>
      </c>
      <c r="D200" t="s">
        <v>14</v>
      </c>
      <c r="E200" s="5">
        <v>4900</v>
      </c>
      <c r="F200" s="7">
        <v>238.72999572753906</v>
      </c>
      <c r="G200" s="7">
        <v>1169776.9790649414</v>
      </c>
    </row>
    <row r="201" spans="1:7" x14ac:dyDescent="0.3">
      <c r="A201" t="s">
        <v>222</v>
      </c>
      <c r="B201" t="s">
        <v>13</v>
      </c>
      <c r="C201" s="3">
        <v>46258</v>
      </c>
      <c r="D201" t="s">
        <v>14</v>
      </c>
      <c r="E201" s="5">
        <v>3900</v>
      </c>
      <c r="F201" s="7">
        <v>529.28997802734375</v>
      </c>
      <c r="G201" s="7">
        <v>2064230.9143066406</v>
      </c>
    </row>
    <row r="202" spans="1:7" x14ac:dyDescent="0.3">
      <c r="A202" t="s">
        <v>223</v>
      </c>
      <c r="B202" t="s">
        <v>11</v>
      </c>
      <c r="C202" s="3">
        <v>46257</v>
      </c>
      <c r="D202" t="s">
        <v>14</v>
      </c>
      <c r="E202" s="5">
        <v>1400</v>
      </c>
      <c r="F202" s="7">
        <v>578.47998046875</v>
      </c>
      <c r="G202" s="7">
        <v>809871.97265625</v>
      </c>
    </row>
    <row r="203" spans="1:7" x14ac:dyDescent="0.3">
      <c r="A203" t="s">
        <v>224</v>
      </c>
      <c r="B203" t="s">
        <v>17</v>
      </c>
      <c r="C203" s="3">
        <v>46257</v>
      </c>
      <c r="D203" t="s">
        <v>14</v>
      </c>
      <c r="E203" s="5">
        <v>100</v>
      </c>
      <c r="F203" s="7">
        <v>277.64999389648438</v>
      </c>
      <c r="G203" s="7">
        <v>27764.999389648438</v>
      </c>
    </row>
    <row r="204" spans="1:7" x14ac:dyDescent="0.3">
      <c r="A204" t="s">
        <v>225</v>
      </c>
      <c r="B204" t="s">
        <v>11</v>
      </c>
      <c r="C204" s="3">
        <v>46255</v>
      </c>
      <c r="D204" t="s">
        <v>14</v>
      </c>
      <c r="E204" s="5">
        <v>3650</v>
      </c>
      <c r="F204" s="7">
        <v>284.1300048828125</v>
      </c>
      <c r="G204" s="7">
        <v>1037074.5178222656</v>
      </c>
    </row>
    <row r="205" spans="1:7" x14ac:dyDescent="0.3">
      <c r="A205" t="s">
        <v>226</v>
      </c>
      <c r="B205" t="s">
        <v>11</v>
      </c>
      <c r="C205" s="3">
        <v>46257</v>
      </c>
      <c r="D205" t="s">
        <v>14</v>
      </c>
      <c r="E205" s="5">
        <v>4400</v>
      </c>
      <c r="F205" s="7">
        <v>372.6099853515625</v>
      </c>
      <c r="G205" s="7">
        <v>1639483.935546875</v>
      </c>
    </row>
    <row r="206" spans="1:7" x14ac:dyDescent="0.3">
      <c r="A206" t="s">
        <v>229</v>
      </c>
      <c r="B206" t="s">
        <v>13</v>
      </c>
      <c r="C206" s="3">
        <v>46259</v>
      </c>
      <c r="D206" t="s">
        <v>9</v>
      </c>
      <c r="E206" s="5">
        <v>1400</v>
      </c>
      <c r="F206" s="7">
        <v>585.219970703125</v>
      </c>
      <c r="G206" s="7">
        <v>819307.958984375</v>
      </c>
    </row>
    <row r="207" spans="1:7" x14ac:dyDescent="0.3">
      <c r="A207" t="s">
        <v>230</v>
      </c>
      <c r="B207" t="s">
        <v>22</v>
      </c>
      <c r="C207" s="3">
        <v>46259</v>
      </c>
      <c r="D207" t="s">
        <v>9</v>
      </c>
      <c r="E207" s="5">
        <v>550</v>
      </c>
      <c r="F207" s="7">
        <v>486.66000366210938</v>
      </c>
      <c r="G207" s="7">
        <v>267663.00201416016</v>
      </c>
    </row>
    <row r="208" spans="1:7" x14ac:dyDescent="0.3">
      <c r="A208" t="s">
        <v>231</v>
      </c>
      <c r="B208" t="s">
        <v>11</v>
      </c>
      <c r="C208" s="3">
        <v>46256</v>
      </c>
      <c r="D208" t="s">
        <v>9</v>
      </c>
      <c r="E208" s="5">
        <v>2900</v>
      </c>
      <c r="F208" s="7">
        <v>570.3800048828125</v>
      </c>
      <c r="G208" s="7">
        <v>1654102.0141601563</v>
      </c>
    </row>
    <row r="209" spans="1:7" x14ac:dyDescent="0.3">
      <c r="A209" t="s">
        <v>232</v>
      </c>
      <c r="B209" t="s">
        <v>22</v>
      </c>
      <c r="C209" s="3">
        <v>46259</v>
      </c>
      <c r="D209" t="s">
        <v>9</v>
      </c>
      <c r="E209" s="5">
        <v>4100</v>
      </c>
      <c r="F209" s="7">
        <v>310.1199951171875</v>
      </c>
      <c r="G209" s="7">
        <v>1271491.9799804688</v>
      </c>
    </row>
    <row r="210" spans="1:7" x14ac:dyDescent="0.3">
      <c r="A210" t="s">
        <v>233</v>
      </c>
      <c r="B210" t="s">
        <v>22</v>
      </c>
      <c r="C210" s="3">
        <v>46257</v>
      </c>
      <c r="D210" t="s">
        <v>14</v>
      </c>
      <c r="E210" s="5">
        <v>2650</v>
      </c>
      <c r="F210" s="7">
        <v>387.33999633789063</v>
      </c>
      <c r="G210" s="7">
        <v>1026450.9902954102</v>
      </c>
    </row>
    <row r="211" spans="1:7" x14ac:dyDescent="0.3">
      <c r="A211" t="s">
        <v>234</v>
      </c>
      <c r="B211" t="s">
        <v>8</v>
      </c>
      <c r="C211" s="3">
        <v>46258</v>
      </c>
      <c r="D211" t="s">
        <v>14</v>
      </c>
      <c r="E211" s="5">
        <v>4350</v>
      </c>
      <c r="F211" s="7">
        <v>279.5</v>
      </c>
      <c r="G211" s="7">
        <v>1215825</v>
      </c>
    </row>
    <row r="212" spans="1:7" x14ac:dyDescent="0.3">
      <c r="A212" t="s">
        <v>235</v>
      </c>
      <c r="B212" t="s">
        <v>11</v>
      </c>
      <c r="C212" s="3">
        <v>46258</v>
      </c>
      <c r="D212" t="s">
        <v>14</v>
      </c>
      <c r="E212" s="5">
        <v>2650</v>
      </c>
      <c r="F212" s="7">
        <v>630.84002685546875</v>
      </c>
      <c r="G212" s="7">
        <v>1671726.0711669922</v>
      </c>
    </row>
    <row r="213" spans="1:7" x14ac:dyDescent="0.3">
      <c r="A213" t="s">
        <v>236</v>
      </c>
      <c r="B213" t="s">
        <v>22</v>
      </c>
      <c r="C213" s="3">
        <v>46256</v>
      </c>
      <c r="D213" t="s">
        <v>14</v>
      </c>
      <c r="E213" s="5">
        <v>3500</v>
      </c>
      <c r="F213" s="7">
        <v>314.22000122070313</v>
      </c>
      <c r="G213" s="7">
        <v>1099770.0042724609</v>
      </c>
    </row>
    <row r="214" spans="1:7" x14ac:dyDescent="0.3">
      <c r="A214" t="s">
        <v>237</v>
      </c>
      <c r="B214" t="s">
        <v>13</v>
      </c>
      <c r="C214" s="3">
        <v>46258</v>
      </c>
      <c r="D214" t="s">
        <v>9</v>
      </c>
      <c r="E214" s="5">
        <v>5000</v>
      </c>
      <c r="F214" s="7">
        <v>339.8599853515625</v>
      </c>
      <c r="G214" s="7">
        <v>1699299.9267578125</v>
      </c>
    </row>
    <row r="215" spans="1:7" x14ac:dyDescent="0.3">
      <c r="A215" t="s">
        <v>238</v>
      </c>
      <c r="B215" t="s">
        <v>17</v>
      </c>
      <c r="C215" s="3">
        <v>46256</v>
      </c>
      <c r="D215" t="s">
        <v>14</v>
      </c>
      <c r="E215" s="5">
        <v>4400</v>
      </c>
      <c r="F215" s="7">
        <v>540.6400146484375</v>
      </c>
      <c r="G215" s="7">
        <v>2378816.064453125</v>
      </c>
    </row>
    <row r="216" spans="1:7" x14ac:dyDescent="0.3">
      <c r="A216" t="s">
        <v>239</v>
      </c>
      <c r="B216" t="s">
        <v>11</v>
      </c>
      <c r="C216" s="3">
        <v>46259</v>
      </c>
      <c r="D216" t="s">
        <v>14</v>
      </c>
      <c r="E216" s="5">
        <v>5000</v>
      </c>
      <c r="F216" s="7">
        <v>157.80000305175781</v>
      </c>
      <c r="G216" s="7">
        <v>789000.01525878906</v>
      </c>
    </row>
    <row r="217" spans="1:7" x14ac:dyDescent="0.3">
      <c r="A217" t="s">
        <v>240</v>
      </c>
      <c r="B217" t="s">
        <v>8</v>
      </c>
      <c r="C217" s="3">
        <v>46258</v>
      </c>
      <c r="D217" t="s">
        <v>14</v>
      </c>
      <c r="E217" s="5">
        <v>750</v>
      </c>
      <c r="F217" s="7">
        <v>311.39999389648438</v>
      </c>
      <c r="G217" s="7">
        <v>233549.99542236328</v>
      </c>
    </row>
    <row r="218" spans="1:7" x14ac:dyDescent="0.3">
      <c r="A218" t="s">
        <v>241</v>
      </c>
      <c r="B218" t="s">
        <v>13</v>
      </c>
      <c r="C218" s="3">
        <v>46259</v>
      </c>
      <c r="D218" t="s">
        <v>9</v>
      </c>
      <c r="E218" s="5">
        <v>400</v>
      </c>
      <c r="F218" s="7">
        <v>464.8900146484375</v>
      </c>
      <c r="G218" s="7">
        <v>185956.005859375</v>
      </c>
    </row>
    <row r="219" spans="1:7" x14ac:dyDescent="0.3">
      <c r="A219" t="s">
        <v>242</v>
      </c>
      <c r="B219" t="s">
        <v>8</v>
      </c>
      <c r="C219" s="3">
        <v>46257</v>
      </c>
      <c r="D219" t="s">
        <v>9</v>
      </c>
      <c r="E219" s="5">
        <v>900</v>
      </c>
      <c r="F219" s="7">
        <v>618.28997802734375</v>
      </c>
      <c r="G219" s="7">
        <v>556460.98022460938</v>
      </c>
    </row>
    <row r="220" spans="1:7" x14ac:dyDescent="0.3">
      <c r="A220" t="s">
        <v>243</v>
      </c>
      <c r="B220" t="s">
        <v>11</v>
      </c>
      <c r="C220" s="3">
        <v>46258</v>
      </c>
      <c r="D220" t="s">
        <v>9</v>
      </c>
      <c r="E220" s="5">
        <v>850</v>
      </c>
      <c r="F220" s="7">
        <v>589.0999755859375</v>
      </c>
      <c r="G220" s="7">
        <v>500734.97924804688</v>
      </c>
    </row>
    <row r="221" spans="1:7" x14ac:dyDescent="0.3">
      <c r="A221" t="s">
        <v>244</v>
      </c>
      <c r="B221" t="s">
        <v>17</v>
      </c>
      <c r="C221" s="3">
        <v>46255</v>
      </c>
      <c r="D221" t="s">
        <v>14</v>
      </c>
      <c r="E221" s="5">
        <v>4950</v>
      </c>
      <c r="F221" s="7">
        <v>365.69000244140625</v>
      </c>
      <c r="G221" s="7">
        <v>1810165.5120849609</v>
      </c>
    </row>
    <row r="222" spans="1:7" x14ac:dyDescent="0.3">
      <c r="A222" t="s">
        <v>245</v>
      </c>
      <c r="B222" t="s">
        <v>8</v>
      </c>
      <c r="C222" s="3">
        <v>46258</v>
      </c>
      <c r="D222" t="s">
        <v>14</v>
      </c>
      <c r="E222" s="5">
        <v>3350</v>
      </c>
      <c r="F222" s="7">
        <v>642.0999755859375</v>
      </c>
      <c r="G222" s="7">
        <v>2151034.9182128906</v>
      </c>
    </row>
    <row r="223" spans="1:7" x14ac:dyDescent="0.3">
      <c r="A223" t="s">
        <v>246</v>
      </c>
      <c r="B223" t="s">
        <v>17</v>
      </c>
      <c r="C223" s="3">
        <v>46258</v>
      </c>
      <c r="D223" t="s">
        <v>14</v>
      </c>
      <c r="E223" s="5">
        <v>3850</v>
      </c>
      <c r="F223" s="7">
        <v>269.02999877929688</v>
      </c>
      <c r="G223" s="7">
        <v>1035765.495300293</v>
      </c>
    </row>
    <row r="224" spans="1:7" x14ac:dyDescent="0.3">
      <c r="A224" t="s">
        <v>247</v>
      </c>
      <c r="B224" t="s">
        <v>8</v>
      </c>
      <c r="C224" s="3">
        <v>46259</v>
      </c>
      <c r="D224" t="s">
        <v>9</v>
      </c>
      <c r="E224" s="5">
        <v>4100</v>
      </c>
      <c r="F224" s="7">
        <v>480.16000366210938</v>
      </c>
      <c r="G224" s="7">
        <v>1968656.0150146484</v>
      </c>
    </row>
    <row r="225" spans="1:7" x14ac:dyDescent="0.3">
      <c r="A225" t="s">
        <v>248</v>
      </c>
      <c r="B225" t="s">
        <v>17</v>
      </c>
      <c r="C225" s="3">
        <v>46259</v>
      </c>
      <c r="D225" t="s">
        <v>9</v>
      </c>
      <c r="E225" s="5">
        <v>3900</v>
      </c>
      <c r="F225" s="7">
        <v>378.20999145507813</v>
      </c>
      <c r="G225" s="7">
        <v>1475018.9666748047</v>
      </c>
    </row>
    <row r="226" spans="1:7" x14ac:dyDescent="0.3">
      <c r="A226" t="s">
        <v>249</v>
      </c>
      <c r="B226" t="s">
        <v>17</v>
      </c>
      <c r="C226" s="3">
        <v>46256</v>
      </c>
      <c r="D226" t="s">
        <v>9</v>
      </c>
      <c r="E226" s="5">
        <v>1600</v>
      </c>
      <c r="F226" s="7">
        <v>290.16000366210938</v>
      </c>
      <c r="G226" s="7">
        <v>464256.005859375</v>
      </c>
    </row>
    <row r="227" spans="1:7" x14ac:dyDescent="0.3">
      <c r="A227" t="s">
        <v>250</v>
      </c>
      <c r="B227" t="s">
        <v>22</v>
      </c>
      <c r="C227" s="3">
        <v>46257</v>
      </c>
      <c r="D227" t="s">
        <v>9</v>
      </c>
      <c r="E227" s="5">
        <v>3300</v>
      </c>
      <c r="F227" s="7">
        <v>226.02999877929688</v>
      </c>
      <c r="G227" s="7">
        <v>745898.99597167969</v>
      </c>
    </row>
    <row r="228" spans="1:7" x14ac:dyDescent="0.3">
      <c r="A228" t="s">
        <v>251</v>
      </c>
      <c r="B228" t="s">
        <v>13</v>
      </c>
      <c r="C228" s="3">
        <v>46256</v>
      </c>
      <c r="D228" t="s">
        <v>9</v>
      </c>
      <c r="E228" s="5">
        <v>750</v>
      </c>
      <c r="F228" s="7">
        <v>300.45999145507813</v>
      </c>
      <c r="G228" s="7">
        <v>225344.99359130859</v>
      </c>
    </row>
    <row r="229" spans="1:7" x14ac:dyDescent="0.3">
      <c r="A229" t="s">
        <v>252</v>
      </c>
      <c r="B229" t="s">
        <v>22</v>
      </c>
      <c r="C229" s="3">
        <v>46255</v>
      </c>
      <c r="D229" t="s">
        <v>9</v>
      </c>
      <c r="E229" s="5">
        <v>4250</v>
      </c>
      <c r="F229" s="7">
        <v>601.6400146484375</v>
      </c>
      <c r="G229" s="7">
        <v>2556970.0622558594</v>
      </c>
    </row>
    <row r="230" spans="1:7" x14ac:dyDescent="0.3">
      <c r="A230" t="s">
        <v>253</v>
      </c>
      <c r="B230" t="s">
        <v>13</v>
      </c>
      <c r="C230" s="3">
        <v>46259</v>
      </c>
      <c r="D230" t="s">
        <v>9</v>
      </c>
      <c r="E230" s="5">
        <v>3650</v>
      </c>
      <c r="F230" s="7">
        <v>616.8499755859375</v>
      </c>
      <c r="G230" s="7">
        <v>2251502.4108886719</v>
      </c>
    </row>
    <row r="231" spans="1:7" x14ac:dyDescent="0.3">
      <c r="A231" t="s">
        <v>254</v>
      </c>
      <c r="B231" t="s">
        <v>13</v>
      </c>
      <c r="C231" s="3">
        <v>46259</v>
      </c>
      <c r="D231" t="s">
        <v>14</v>
      </c>
      <c r="E231" s="5">
        <v>1900</v>
      </c>
      <c r="F231" s="7">
        <v>448.989990234375</v>
      </c>
      <c r="G231" s="7">
        <v>853080.9814453125</v>
      </c>
    </row>
    <row r="232" spans="1:7" x14ac:dyDescent="0.3">
      <c r="A232" t="s">
        <v>255</v>
      </c>
      <c r="B232" t="s">
        <v>22</v>
      </c>
      <c r="C232" s="3">
        <v>46256</v>
      </c>
      <c r="D232" t="s">
        <v>14</v>
      </c>
      <c r="E232" s="5">
        <v>1200</v>
      </c>
      <c r="F232" s="7">
        <v>183.52999877929688</v>
      </c>
      <c r="G232" s="7">
        <v>220235.99853515625</v>
      </c>
    </row>
    <row r="233" spans="1:7" x14ac:dyDescent="0.3">
      <c r="A233" t="s">
        <v>256</v>
      </c>
      <c r="B233" t="s">
        <v>8</v>
      </c>
      <c r="C233" s="3">
        <v>46255</v>
      </c>
      <c r="D233" t="s">
        <v>9</v>
      </c>
      <c r="E233" s="5">
        <v>2450</v>
      </c>
      <c r="F233" s="7">
        <v>490.92999267578125</v>
      </c>
      <c r="G233" s="7">
        <v>1202778.4820556641</v>
      </c>
    </row>
    <row r="234" spans="1:7" x14ac:dyDescent="0.3">
      <c r="A234" t="s">
        <v>257</v>
      </c>
      <c r="B234" t="s">
        <v>11</v>
      </c>
      <c r="C234" s="3">
        <v>46258</v>
      </c>
      <c r="D234" t="s">
        <v>14</v>
      </c>
      <c r="E234" s="5">
        <v>2200</v>
      </c>
      <c r="F234" s="7">
        <v>315.32998657226563</v>
      </c>
      <c r="G234" s="7">
        <v>693725.97045898438</v>
      </c>
    </row>
    <row r="235" spans="1:7" x14ac:dyDescent="0.3">
      <c r="A235" t="s">
        <v>258</v>
      </c>
      <c r="B235" t="s">
        <v>17</v>
      </c>
      <c r="C235" s="3">
        <v>46255</v>
      </c>
      <c r="D235" t="s">
        <v>14</v>
      </c>
      <c r="E235" s="5">
        <v>2250</v>
      </c>
      <c r="F235" s="7">
        <v>461.26998901367188</v>
      </c>
      <c r="G235" s="7">
        <v>1037857.4752807617</v>
      </c>
    </row>
    <row r="236" spans="1:7" x14ac:dyDescent="0.3">
      <c r="A236" t="s">
        <v>259</v>
      </c>
      <c r="B236" t="s">
        <v>13</v>
      </c>
      <c r="C236" s="3">
        <v>46259</v>
      </c>
      <c r="D236" t="s">
        <v>9</v>
      </c>
      <c r="E236" s="5">
        <v>300</v>
      </c>
      <c r="F236" s="7">
        <v>455.17001342773438</v>
      </c>
      <c r="G236" s="7">
        <v>136551.00402832031</v>
      </c>
    </row>
    <row r="237" spans="1:7" x14ac:dyDescent="0.3">
      <c r="A237" t="s">
        <v>260</v>
      </c>
      <c r="B237" t="s">
        <v>17</v>
      </c>
      <c r="C237" s="3">
        <v>46257</v>
      </c>
      <c r="D237" t="s">
        <v>9</v>
      </c>
      <c r="E237" s="5">
        <v>3000</v>
      </c>
      <c r="F237" s="7">
        <v>525.84002685546875</v>
      </c>
      <c r="G237" s="7">
        <v>1577520.0805664063</v>
      </c>
    </row>
    <row r="238" spans="1:7" x14ac:dyDescent="0.3">
      <c r="A238" t="s">
        <v>261</v>
      </c>
      <c r="B238" t="s">
        <v>13</v>
      </c>
      <c r="C238" s="3">
        <v>46255</v>
      </c>
      <c r="D238" t="s">
        <v>14</v>
      </c>
      <c r="E238" s="5">
        <v>4350</v>
      </c>
      <c r="F238" s="7">
        <v>406.07000732421875</v>
      </c>
      <c r="G238" s="7">
        <v>1766404.5318603516</v>
      </c>
    </row>
    <row r="239" spans="1:7" x14ac:dyDescent="0.3">
      <c r="A239" t="s">
        <v>262</v>
      </c>
      <c r="B239" t="s">
        <v>13</v>
      </c>
      <c r="C239" s="3">
        <v>46257</v>
      </c>
      <c r="D239" t="s">
        <v>9</v>
      </c>
      <c r="E239" s="5">
        <v>150</v>
      </c>
      <c r="F239" s="7">
        <v>636.02001953125</v>
      </c>
      <c r="G239" s="7">
        <v>95403.0029296875</v>
      </c>
    </row>
    <row r="240" spans="1:7" x14ac:dyDescent="0.3">
      <c r="A240" t="s">
        <v>263</v>
      </c>
      <c r="B240" t="s">
        <v>22</v>
      </c>
      <c r="C240" s="3">
        <v>46257</v>
      </c>
      <c r="D240" t="s">
        <v>9</v>
      </c>
      <c r="E240" s="5">
        <v>1450</v>
      </c>
      <c r="F240" s="7">
        <v>632.5999755859375</v>
      </c>
      <c r="G240" s="7">
        <v>917269.96459960938</v>
      </c>
    </row>
    <row r="241" spans="1:7" x14ac:dyDescent="0.3">
      <c r="A241" t="s">
        <v>264</v>
      </c>
      <c r="B241" t="s">
        <v>8</v>
      </c>
      <c r="C241" s="3">
        <v>46259</v>
      </c>
      <c r="D241" t="s">
        <v>9</v>
      </c>
      <c r="E241" s="5">
        <v>300</v>
      </c>
      <c r="F241" s="7">
        <v>393.05999755859375</v>
      </c>
      <c r="G241" s="7">
        <v>117917.99926757813</v>
      </c>
    </row>
    <row r="242" spans="1:7" x14ac:dyDescent="0.3">
      <c r="A242" t="s">
        <v>266</v>
      </c>
      <c r="B242" t="s">
        <v>17</v>
      </c>
      <c r="C242" s="3">
        <v>46259</v>
      </c>
      <c r="D242" t="s">
        <v>9</v>
      </c>
      <c r="E242" s="5">
        <v>3750</v>
      </c>
      <c r="F242" s="7">
        <v>344.42999267578125</v>
      </c>
      <c r="G242" s="7">
        <v>1291612.4725341797</v>
      </c>
    </row>
    <row r="243" spans="1:7" x14ac:dyDescent="0.3">
      <c r="A243" t="s">
        <v>267</v>
      </c>
      <c r="B243" t="s">
        <v>11</v>
      </c>
      <c r="C243" s="3">
        <v>46256</v>
      </c>
      <c r="D243" t="s">
        <v>14</v>
      </c>
      <c r="E243" s="5">
        <v>3000</v>
      </c>
      <c r="F243" s="7">
        <v>576.19000244140625</v>
      </c>
      <c r="G243" s="7">
        <v>1728570.0073242188</v>
      </c>
    </row>
    <row r="244" spans="1:7" x14ac:dyDescent="0.3">
      <c r="A244" t="s">
        <v>268</v>
      </c>
      <c r="B244" t="s">
        <v>13</v>
      </c>
      <c r="C244" s="3">
        <v>46258</v>
      </c>
      <c r="D244" t="s">
        <v>9</v>
      </c>
      <c r="E244" s="5">
        <v>700</v>
      </c>
      <c r="F244" s="7">
        <v>519.3499755859375</v>
      </c>
      <c r="G244" s="7">
        <v>363544.98291015625</v>
      </c>
    </row>
    <row r="245" spans="1:7" x14ac:dyDescent="0.3">
      <c r="A245" t="s">
        <v>269</v>
      </c>
      <c r="B245" t="s">
        <v>13</v>
      </c>
      <c r="C245" s="3">
        <v>46255</v>
      </c>
      <c r="D245" t="s">
        <v>9</v>
      </c>
      <c r="E245" s="5">
        <v>1400</v>
      </c>
      <c r="F245" s="7">
        <v>376.23001098632813</v>
      </c>
      <c r="G245" s="7">
        <v>526722.01538085938</v>
      </c>
    </row>
    <row r="246" spans="1:7" x14ac:dyDescent="0.3">
      <c r="A246" t="s">
        <v>270</v>
      </c>
      <c r="B246" t="s">
        <v>11</v>
      </c>
      <c r="C246" s="3">
        <v>46259</v>
      </c>
      <c r="D246" t="s">
        <v>9</v>
      </c>
      <c r="E246" s="5">
        <v>1300</v>
      </c>
      <c r="F246" s="7">
        <v>589.04998779296875</v>
      </c>
      <c r="G246" s="7">
        <v>765764.98413085938</v>
      </c>
    </row>
    <row r="247" spans="1:7" x14ac:dyDescent="0.3">
      <c r="A247" t="s">
        <v>271</v>
      </c>
      <c r="B247" t="s">
        <v>11</v>
      </c>
      <c r="C247" s="3">
        <v>46255</v>
      </c>
      <c r="D247" t="s">
        <v>14</v>
      </c>
      <c r="E247" s="5">
        <v>1550</v>
      </c>
      <c r="F247" s="7">
        <v>173.69000244140625</v>
      </c>
      <c r="G247" s="7">
        <v>269219.50378417969</v>
      </c>
    </row>
    <row r="248" spans="1:7" x14ac:dyDescent="0.3">
      <c r="A248" t="s">
        <v>272</v>
      </c>
      <c r="B248" t="s">
        <v>22</v>
      </c>
      <c r="C248" s="3">
        <v>46256</v>
      </c>
      <c r="D248" t="s">
        <v>14</v>
      </c>
      <c r="E248" s="5">
        <v>4700</v>
      </c>
      <c r="F248" s="7">
        <v>516.280029296875</v>
      </c>
      <c r="G248" s="7">
        <v>2426516.1376953125</v>
      </c>
    </row>
    <row r="249" spans="1:7" x14ac:dyDescent="0.3">
      <c r="A249" t="s">
        <v>273</v>
      </c>
      <c r="B249" t="s">
        <v>22</v>
      </c>
      <c r="C249" s="3">
        <v>46258</v>
      </c>
      <c r="D249" t="s">
        <v>9</v>
      </c>
      <c r="E249" s="5">
        <v>1250</v>
      </c>
      <c r="F249" s="7">
        <v>617.1199951171875</v>
      </c>
      <c r="G249" s="7">
        <v>771399.99389648438</v>
      </c>
    </row>
    <row r="250" spans="1:7" x14ac:dyDescent="0.3">
      <c r="A250" t="s">
        <v>274</v>
      </c>
      <c r="B250" t="s">
        <v>22</v>
      </c>
      <c r="C250" s="3">
        <v>46255</v>
      </c>
      <c r="D250" t="s">
        <v>9</v>
      </c>
      <c r="E250" s="5">
        <v>4700</v>
      </c>
      <c r="F250" s="7">
        <v>391.20999145507813</v>
      </c>
      <c r="G250" s="7">
        <v>1838686.9598388672</v>
      </c>
    </row>
    <row r="251" spans="1:7" x14ac:dyDescent="0.3">
      <c r="A251" t="s">
        <v>275</v>
      </c>
      <c r="B251" t="s">
        <v>13</v>
      </c>
      <c r="C251" s="3">
        <v>46259</v>
      </c>
      <c r="D251" t="s">
        <v>14</v>
      </c>
      <c r="E251" s="5">
        <v>3550</v>
      </c>
      <c r="F251" s="7">
        <v>259.82000732421875</v>
      </c>
      <c r="G251" s="7">
        <v>922361.02600097656</v>
      </c>
    </row>
    <row r="252" spans="1:7" x14ac:dyDescent="0.3">
      <c r="A252" t="s">
        <v>277</v>
      </c>
      <c r="B252" t="s">
        <v>8</v>
      </c>
      <c r="C252" s="3">
        <v>46255</v>
      </c>
      <c r="D252" t="s">
        <v>14</v>
      </c>
      <c r="E252" s="5">
        <v>1650</v>
      </c>
      <c r="F252" s="7">
        <v>583.32000732421875</v>
      </c>
      <c r="G252" s="7">
        <v>962478.01208496094</v>
      </c>
    </row>
    <row r="253" spans="1:7" x14ac:dyDescent="0.3">
      <c r="A253" t="s">
        <v>278</v>
      </c>
      <c r="B253" t="s">
        <v>22</v>
      </c>
      <c r="C253" s="3">
        <v>46257</v>
      </c>
      <c r="D253" t="s">
        <v>14</v>
      </c>
      <c r="E253" s="5">
        <v>4400</v>
      </c>
      <c r="F253" s="7">
        <v>372.72000122070313</v>
      </c>
      <c r="G253" s="7">
        <v>1639968.0053710938</v>
      </c>
    </row>
    <row r="254" spans="1:7" x14ac:dyDescent="0.3">
      <c r="A254" t="s">
        <v>279</v>
      </c>
      <c r="B254" t="s">
        <v>11</v>
      </c>
      <c r="C254" s="3">
        <v>46259</v>
      </c>
      <c r="D254" t="s">
        <v>9</v>
      </c>
      <c r="E254" s="5">
        <v>350</v>
      </c>
      <c r="F254" s="7">
        <v>645.84002685546875</v>
      </c>
      <c r="G254" s="7">
        <v>226044.00939941406</v>
      </c>
    </row>
    <row r="255" spans="1:7" x14ac:dyDescent="0.3">
      <c r="A255" t="s">
        <v>280</v>
      </c>
      <c r="B255" t="s">
        <v>13</v>
      </c>
      <c r="C255" s="3">
        <v>46255</v>
      </c>
      <c r="D255" t="s">
        <v>9</v>
      </c>
      <c r="E255" s="5">
        <v>1950</v>
      </c>
      <c r="F255" s="7">
        <v>570.30999755859375</v>
      </c>
      <c r="G255" s="7">
        <v>1112104.4952392578</v>
      </c>
    </row>
    <row r="256" spans="1:7" x14ac:dyDescent="0.3">
      <c r="A256" t="s">
        <v>281</v>
      </c>
      <c r="B256" t="s">
        <v>17</v>
      </c>
      <c r="C256" s="3">
        <v>46255</v>
      </c>
      <c r="D256" t="s">
        <v>9</v>
      </c>
      <c r="E256" s="5">
        <v>3150</v>
      </c>
      <c r="F256" s="7">
        <v>355.66000366210938</v>
      </c>
      <c r="G256" s="7">
        <v>1120329.0115356445</v>
      </c>
    </row>
    <row r="257" spans="1:7" x14ac:dyDescent="0.3">
      <c r="A257" t="s">
        <v>282</v>
      </c>
      <c r="B257" t="s">
        <v>8</v>
      </c>
      <c r="C257" s="3">
        <v>46259</v>
      </c>
      <c r="D257" t="s">
        <v>14</v>
      </c>
      <c r="E257" s="5">
        <v>1550</v>
      </c>
      <c r="F257" s="7">
        <v>444.489990234375</v>
      </c>
      <c r="G257" s="7">
        <v>688959.48486328125</v>
      </c>
    </row>
    <row r="258" spans="1:7" x14ac:dyDescent="0.3">
      <c r="A258" t="s">
        <v>283</v>
      </c>
      <c r="B258" t="s">
        <v>8</v>
      </c>
      <c r="C258" s="3">
        <v>46257</v>
      </c>
      <c r="D258" t="s">
        <v>14</v>
      </c>
      <c r="E258" s="5">
        <v>1100</v>
      </c>
      <c r="F258" s="7">
        <v>369.6099853515625</v>
      </c>
      <c r="G258" s="7">
        <v>406570.98388671875</v>
      </c>
    </row>
    <row r="259" spans="1:7" x14ac:dyDescent="0.3">
      <c r="A259" t="s">
        <v>284</v>
      </c>
      <c r="B259" t="s">
        <v>22</v>
      </c>
      <c r="C259" s="3">
        <v>46255</v>
      </c>
      <c r="D259" t="s">
        <v>14</v>
      </c>
      <c r="E259" s="5">
        <v>1850</v>
      </c>
      <c r="F259" s="7">
        <v>636.69000244140625</v>
      </c>
      <c r="G259" s="7">
        <v>1177876.5045166016</v>
      </c>
    </row>
    <row r="260" spans="1:7" x14ac:dyDescent="0.3">
      <c r="A260" t="s">
        <v>285</v>
      </c>
      <c r="B260" t="s">
        <v>22</v>
      </c>
      <c r="C260" s="3">
        <v>46258</v>
      </c>
      <c r="D260" t="s">
        <v>9</v>
      </c>
      <c r="E260" s="5">
        <v>2650</v>
      </c>
      <c r="F260" s="7">
        <v>616.5</v>
      </c>
      <c r="G260" s="7">
        <v>1633725</v>
      </c>
    </row>
    <row r="261" spans="1:7" x14ac:dyDescent="0.3">
      <c r="A261" t="s">
        <v>286</v>
      </c>
      <c r="B261" t="s">
        <v>17</v>
      </c>
      <c r="C261" s="3">
        <v>46258</v>
      </c>
      <c r="D261" t="s">
        <v>14</v>
      </c>
      <c r="E261" s="5">
        <v>450</v>
      </c>
      <c r="F261" s="7">
        <v>556.45001220703125</v>
      </c>
      <c r="G261" s="7">
        <v>250402.50549316406</v>
      </c>
    </row>
    <row r="262" spans="1:7" x14ac:dyDescent="0.3">
      <c r="A262" t="s">
        <v>287</v>
      </c>
      <c r="B262" t="s">
        <v>17</v>
      </c>
      <c r="C262" s="3">
        <v>46258</v>
      </c>
      <c r="D262" t="s">
        <v>14</v>
      </c>
      <c r="E262" s="5">
        <v>4850</v>
      </c>
      <c r="F262" s="7">
        <v>445.54000854492188</v>
      </c>
      <c r="G262" s="7">
        <v>2160869.0414428711</v>
      </c>
    </row>
    <row r="263" spans="1:7" x14ac:dyDescent="0.3">
      <c r="A263" t="s">
        <v>288</v>
      </c>
      <c r="B263" t="s">
        <v>17</v>
      </c>
      <c r="C263" s="3">
        <v>46258</v>
      </c>
      <c r="D263" t="s">
        <v>9</v>
      </c>
      <c r="E263" s="5">
        <v>3550</v>
      </c>
      <c r="F263" s="7">
        <v>592.27001953125</v>
      </c>
      <c r="G263" s="7">
        <v>2102558.5693359375</v>
      </c>
    </row>
    <row r="264" spans="1:7" x14ac:dyDescent="0.3">
      <c r="A264" t="s">
        <v>289</v>
      </c>
      <c r="B264" t="s">
        <v>11</v>
      </c>
      <c r="C264" s="3">
        <v>46257</v>
      </c>
      <c r="D264" t="s">
        <v>14</v>
      </c>
      <c r="E264" s="5">
        <v>800</v>
      </c>
      <c r="F264" s="7">
        <v>399.77999877929688</v>
      </c>
      <c r="G264" s="7">
        <v>319823.9990234375</v>
      </c>
    </row>
    <row r="265" spans="1:7" x14ac:dyDescent="0.3">
      <c r="A265" t="s">
        <v>290</v>
      </c>
      <c r="B265" t="s">
        <v>8</v>
      </c>
      <c r="C265" s="3">
        <v>46259</v>
      </c>
      <c r="D265" t="s">
        <v>14</v>
      </c>
      <c r="E265" s="5">
        <v>3000</v>
      </c>
      <c r="F265" s="7">
        <v>644.1500244140625</v>
      </c>
      <c r="G265" s="7">
        <v>1932450.0732421875</v>
      </c>
    </row>
    <row r="266" spans="1:7" x14ac:dyDescent="0.3">
      <c r="A266" t="s">
        <v>291</v>
      </c>
      <c r="B266" t="s">
        <v>11</v>
      </c>
      <c r="C266" s="3">
        <v>46256</v>
      </c>
      <c r="D266" t="s">
        <v>9</v>
      </c>
      <c r="E266" s="5">
        <v>4650</v>
      </c>
      <c r="F266" s="7">
        <v>404.45001220703125</v>
      </c>
      <c r="G266" s="7">
        <v>1880692.5567626953</v>
      </c>
    </row>
    <row r="267" spans="1:7" x14ac:dyDescent="0.3">
      <c r="A267" t="s">
        <v>293</v>
      </c>
      <c r="B267" t="s">
        <v>11</v>
      </c>
      <c r="C267" s="3">
        <v>46255</v>
      </c>
      <c r="D267" t="s">
        <v>9</v>
      </c>
      <c r="E267" s="5">
        <v>1950</v>
      </c>
      <c r="F267" s="7">
        <v>637.66998291015625</v>
      </c>
      <c r="G267" s="7">
        <v>1243456.4666748047</v>
      </c>
    </row>
    <row r="268" spans="1:7" x14ac:dyDescent="0.3">
      <c r="A268" t="s">
        <v>294</v>
      </c>
      <c r="B268" t="s">
        <v>8</v>
      </c>
      <c r="C268" s="3">
        <v>46257</v>
      </c>
      <c r="D268" t="s">
        <v>14</v>
      </c>
      <c r="E268" s="5">
        <v>2500</v>
      </c>
      <c r="F268" s="7">
        <v>522.1400146484375</v>
      </c>
      <c r="G268" s="7">
        <v>1305350.0366210938</v>
      </c>
    </row>
    <row r="269" spans="1:7" x14ac:dyDescent="0.3">
      <c r="A269" t="s">
        <v>295</v>
      </c>
      <c r="B269" t="s">
        <v>17</v>
      </c>
      <c r="C269" s="3">
        <v>46259</v>
      </c>
      <c r="D269" t="s">
        <v>9</v>
      </c>
      <c r="E269" s="5">
        <v>4450</v>
      </c>
      <c r="F269" s="7">
        <v>315.739990234375</v>
      </c>
      <c r="G269" s="7">
        <v>1405042.9565429688</v>
      </c>
    </row>
    <row r="270" spans="1:7" x14ac:dyDescent="0.3">
      <c r="A270" t="s">
        <v>296</v>
      </c>
      <c r="B270" t="s">
        <v>13</v>
      </c>
      <c r="C270" s="3">
        <v>46257</v>
      </c>
      <c r="D270" t="s">
        <v>14</v>
      </c>
      <c r="E270" s="5">
        <v>950</v>
      </c>
      <c r="F270" s="7">
        <v>432.07998657226563</v>
      </c>
      <c r="G270" s="7">
        <v>410475.98724365234</v>
      </c>
    </row>
    <row r="271" spans="1:7" x14ac:dyDescent="0.3">
      <c r="A271" t="s">
        <v>297</v>
      </c>
      <c r="B271" t="s">
        <v>17</v>
      </c>
      <c r="C271" s="3">
        <v>46256</v>
      </c>
      <c r="D271" t="s">
        <v>14</v>
      </c>
      <c r="E271" s="5">
        <v>2800</v>
      </c>
      <c r="F271" s="7">
        <v>373.91000366210938</v>
      </c>
      <c r="G271" s="7">
        <v>1046948.0102539063</v>
      </c>
    </row>
    <row r="272" spans="1:7" x14ac:dyDescent="0.3">
      <c r="A272" t="s">
        <v>298</v>
      </c>
      <c r="B272" t="s">
        <v>22</v>
      </c>
      <c r="C272" s="3">
        <v>46256</v>
      </c>
      <c r="D272" t="s">
        <v>14</v>
      </c>
      <c r="E272" s="5">
        <v>3200</v>
      </c>
      <c r="F272" s="7">
        <v>565.91998291015625</v>
      </c>
      <c r="G272" s="7">
        <v>1810943.9453125</v>
      </c>
    </row>
    <row r="273" spans="1:7" x14ac:dyDescent="0.3">
      <c r="A273" t="s">
        <v>299</v>
      </c>
      <c r="B273" t="s">
        <v>22</v>
      </c>
      <c r="C273" s="3">
        <v>46259</v>
      </c>
      <c r="D273" t="s">
        <v>9</v>
      </c>
      <c r="E273" s="5">
        <v>1800</v>
      </c>
      <c r="F273" s="7">
        <v>439.3699951171875</v>
      </c>
      <c r="G273" s="7">
        <v>790865.9912109375</v>
      </c>
    </row>
    <row r="274" spans="1:7" x14ac:dyDescent="0.3">
      <c r="A274" t="s">
        <v>300</v>
      </c>
      <c r="B274" t="s">
        <v>22</v>
      </c>
      <c r="C274" s="3">
        <v>46255</v>
      </c>
      <c r="D274" t="s">
        <v>14</v>
      </c>
      <c r="E274" s="5">
        <v>1150</v>
      </c>
      <c r="F274" s="7">
        <v>190.72999572753906</v>
      </c>
      <c r="G274" s="7">
        <v>219339.49508666992</v>
      </c>
    </row>
    <row r="275" spans="1:7" x14ac:dyDescent="0.3">
      <c r="A275" t="s">
        <v>301</v>
      </c>
      <c r="B275" t="s">
        <v>13</v>
      </c>
      <c r="C275" s="3">
        <v>46259</v>
      </c>
      <c r="D275" t="s">
        <v>9</v>
      </c>
      <c r="E275" s="5">
        <v>1000</v>
      </c>
      <c r="F275" s="7">
        <v>260.8599853515625</v>
      </c>
      <c r="G275" s="7">
        <v>260859.9853515625</v>
      </c>
    </row>
    <row r="276" spans="1:7" x14ac:dyDescent="0.3">
      <c r="A276" t="s">
        <v>302</v>
      </c>
      <c r="B276" t="s">
        <v>11</v>
      </c>
      <c r="C276" s="3">
        <v>46256</v>
      </c>
      <c r="D276" t="s">
        <v>9</v>
      </c>
      <c r="E276" s="5">
        <v>1250</v>
      </c>
      <c r="F276" s="7">
        <v>206.8699951171875</v>
      </c>
      <c r="G276" s="7">
        <v>258587.49389648438</v>
      </c>
    </row>
    <row r="277" spans="1:7" x14ac:dyDescent="0.3">
      <c r="A277" t="s">
        <v>303</v>
      </c>
      <c r="B277" t="s">
        <v>11</v>
      </c>
      <c r="C277" s="3">
        <v>46259</v>
      </c>
      <c r="D277" t="s">
        <v>14</v>
      </c>
      <c r="E277" s="5">
        <v>900</v>
      </c>
      <c r="F277" s="7">
        <v>263.3900146484375</v>
      </c>
      <c r="G277" s="7">
        <v>237051.01318359375</v>
      </c>
    </row>
    <row r="278" spans="1:7" x14ac:dyDescent="0.3">
      <c r="A278" t="s">
        <v>305</v>
      </c>
      <c r="B278" t="s">
        <v>17</v>
      </c>
      <c r="C278" s="3">
        <v>46259</v>
      </c>
      <c r="D278" t="s">
        <v>9</v>
      </c>
      <c r="E278" s="5">
        <v>950</v>
      </c>
      <c r="F278" s="7">
        <v>227.94999694824219</v>
      </c>
      <c r="G278" s="7">
        <v>216552.49710083008</v>
      </c>
    </row>
    <row r="279" spans="1:7" x14ac:dyDescent="0.3">
      <c r="A279" t="s">
        <v>306</v>
      </c>
      <c r="B279" t="s">
        <v>22</v>
      </c>
      <c r="C279" s="3">
        <v>46255</v>
      </c>
      <c r="D279" t="s">
        <v>14</v>
      </c>
      <c r="E279" s="5">
        <v>550</v>
      </c>
      <c r="F279" s="7">
        <v>509.20001220703125</v>
      </c>
      <c r="G279" s="7">
        <v>280060.00671386719</v>
      </c>
    </row>
    <row r="280" spans="1:7" x14ac:dyDescent="0.3">
      <c r="A280" t="s">
        <v>307</v>
      </c>
      <c r="B280" t="s">
        <v>11</v>
      </c>
      <c r="C280" s="3">
        <v>46256</v>
      </c>
      <c r="D280" t="s">
        <v>9</v>
      </c>
      <c r="E280" s="5">
        <v>4500</v>
      </c>
      <c r="F280" s="7">
        <v>556.02001953125</v>
      </c>
      <c r="G280" s="7">
        <v>2502090.087890625</v>
      </c>
    </row>
    <row r="281" spans="1:7" x14ac:dyDescent="0.3">
      <c r="A281" t="s">
        <v>308</v>
      </c>
      <c r="B281" t="s">
        <v>13</v>
      </c>
      <c r="C281" s="3">
        <v>46255</v>
      </c>
      <c r="D281" t="s">
        <v>14</v>
      </c>
      <c r="E281" s="5">
        <v>450</v>
      </c>
      <c r="F281" s="7">
        <v>191.53999328613281</v>
      </c>
      <c r="G281" s="7">
        <v>86192.996978759766</v>
      </c>
    </row>
    <row r="282" spans="1:7" x14ac:dyDescent="0.3">
      <c r="A282" t="s">
        <v>309</v>
      </c>
      <c r="B282" t="s">
        <v>22</v>
      </c>
      <c r="C282" s="3">
        <v>46259</v>
      </c>
      <c r="D282" t="s">
        <v>9</v>
      </c>
      <c r="E282" s="5">
        <v>2500</v>
      </c>
      <c r="F282" s="7">
        <v>297.83999633789063</v>
      </c>
      <c r="G282" s="7">
        <v>744599.99084472656</v>
      </c>
    </row>
    <row r="283" spans="1:7" x14ac:dyDescent="0.3">
      <c r="A283" t="s">
        <v>310</v>
      </c>
      <c r="B283" t="s">
        <v>11</v>
      </c>
      <c r="C283" s="3">
        <v>46257</v>
      </c>
      <c r="D283" t="s">
        <v>14</v>
      </c>
      <c r="E283" s="5">
        <v>2700</v>
      </c>
      <c r="F283" s="7">
        <v>440.16000366210938</v>
      </c>
      <c r="G283" s="7">
        <v>1188432.0098876953</v>
      </c>
    </row>
    <row r="284" spans="1:7" x14ac:dyDescent="0.3">
      <c r="A284" t="s">
        <v>311</v>
      </c>
      <c r="B284" t="s">
        <v>17</v>
      </c>
      <c r="C284" s="3">
        <v>46258</v>
      </c>
      <c r="D284" t="s">
        <v>9</v>
      </c>
      <c r="E284" s="5">
        <v>1700</v>
      </c>
      <c r="F284" s="7">
        <v>375.79000854492188</v>
      </c>
      <c r="G284" s="7">
        <v>638843.01452636719</v>
      </c>
    </row>
    <row r="285" spans="1:7" x14ac:dyDescent="0.3">
      <c r="A285" t="s">
        <v>312</v>
      </c>
      <c r="B285" t="s">
        <v>17</v>
      </c>
      <c r="C285" s="3">
        <v>46256</v>
      </c>
      <c r="D285" t="s">
        <v>14</v>
      </c>
      <c r="E285" s="5">
        <v>1200</v>
      </c>
      <c r="F285" s="7">
        <v>551.8699951171875</v>
      </c>
      <c r="G285" s="7">
        <v>662243.994140625</v>
      </c>
    </row>
    <row r="286" spans="1:7" x14ac:dyDescent="0.3">
      <c r="A286" t="s">
        <v>313</v>
      </c>
      <c r="B286" t="s">
        <v>22</v>
      </c>
      <c r="C286" s="3">
        <v>46259</v>
      </c>
      <c r="D286" t="s">
        <v>14</v>
      </c>
      <c r="E286" s="5">
        <v>2000</v>
      </c>
      <c r="F286" s="7">
        <v>503.57998657226563</v>
      </c>
      <c r="G286" s="7">
        <v>1007159.9731445313</v>
      </c>
    </row>
    <row r="287" spans="1:7" x14ac:dyDescent="0.3">
      <c r="A287" t="s">
        <v>314</v>
      </c>
      <c r="B287" t="s">
        <v>13</v>
      </c>
      <c r="C287" s="3">
        <v>46256</v>
      </c>
      <c r="D287" t="s">
        <v>9</v>
      </c>
      <c r="E287" s="5">
        <v>3700</v>
      </c>
      <c r="F287" s="7">
        <v>637.1099853515625</v>
      </c>
      <c r="G287" s="7">
        <v>2357306.9458007813</v>
      </c>
    </row>
    <row r="288" spans="1:7" x14ac:dyDescent="0.3">
      <c r="A288" t="s">
        <v>315</v>
      </c>
      <c r="B288" t="s">
        <v>22</v>
      </c>
      <c r="C288" s="3">
        <v>46257</v>
      </c>
      <c r="D288" t="s">
        <v>9</v>
      </c>
      <c r="E288" s="5">
        <v>4750</v>
      </c>
      <c r="F288" s="7">
        <v>506.75</v>
      </c>
      <c r="G288" s="7">
        <v>2407062.5</v>
      </c>
    </row>
    <row r="289" spans="1:7" x14ac:dyDescent="0.3">
      <c r="A289" t="s">
        <v>316</v>
      </c>
      <c r="B289" t="s">
        <v>11</v>
      </c>
      <c r="C289" s="3">
        <v>46257</v>
      </c>
      <c r="D289" t="s">
        <v>14</v>
      </c>
      <c r="E289" s="5">
        <v>1450</v>
      </c>
      <c r="F289" s="7">
        <v>320.489990234375</v>
      </c>
      <c r="G289" s="7">
        <v>464710.48583984375</v>
      </c>
    </row>
    <row r="290" spans="1:7" x14ac:dyDescent="0.3">
      <c r="A290" t="s">
        <v>318</v>
      </c>
      <c r="B290" t="s">
        <v>8</v>
      </c>
      <c r="C290" s="3">
        <v>46257</v>
      </c>
      <c r="D290" t="s">
        <v>14</v>
      </c>
      <c r="E290" s="5">
        <v>1200</v>
      </c>
      <c r="F290" s="7">
        <v>514.219970703125</v>
      </c>
      <c r="G290" s="7">
        <v>617063.96484375</v>
      </c>
    </row>
    <row r="291" spans="1:7" x14ac:dyDescent="0.3">
      <c r="A291" t="s">
        <v>319</v>
      </c>
      <c r="B291" t="s">
        <v>11</v>
      </c>
      <c r="C291" s="3">
        <v>46256</v>
      </c>
      <c r="D291" t="s">
        <v>14</v>
      </c>
      <c r="E291" s="5">
        <v>1400</v>
      </c>
      <c r="F291" s="7">
        <v>391.04000854492188</v>
      </c>
      <c r="G291" s="7">
        <v>547456.01196289063</v>
      </c>
    </row>
    <row r="292" spans="1:7" x14ac:dyDescent="0.3">
      <c r="A292" t="s">
        <v>320</v>
      </c>
      <c r="B292" t="s">
        <v>13</v>
      </c>
      <c r="C292" s="3">
        <v>46256</v>
      </c>
      <c r="D292" t="s">
        <v>9</v>
      </c>
      <c r="E292" s="5">
        <v>4300</v>
      </c>
      <c r="F292" s="7">
        <v>316.510009765625</v>
      </c>
      <c r="G292" s="7">
        <v>1360993.0419921875</v>
      </c>
    </row>
    <row r="293" spans="1:7" x14ac:dyDescent="0.3">
      <c r="A293" t="s">
        <v>321</v>
      </c>
      <c r="B293" t="s">
        <v>13</v>
      </c>
      <c r="C293" s="3">
        <v>46255</v>
      </c>
      <c r="D293" t="s">
        <v>9</v>
      </c>
      <c r="E293" s="5">
        <v>4250</v>
      </c>
      <c r="F293" s="7">
        <v>505.75</v>
      </c>
      <c r="G293" s="7">
        <v>2149437.5</v>
      </c>
    </row>
    <row r="294" spans="1:7" x14ac:dyDescent="0.3">
      <c r="A294" t="s">
        <v>322</v>
      </c>
      <c r="B294" t="s">
        <v>22</v>
      </c>
      <c r="C294" s="3">
        <v>46256</v>
      </c>
      <c r="D294" t="s">
        <v>14</v>
      </c>
      <c r="E294" s="5">
        <v>1200</v>
      </c>
      <c r="F294" s="7">
        <v>535.0999755859375</v>
      </c>
      <c r="G294" s="7">
        <v>642119.970703125</v>
      </c>
    </row>
    <row r="295" spans="1:7" x14ac:dyDescent="0.3">
      <c r="A295" t="s">
        <v>323</v>
      </c>
      <c r="B295" t="s">
        <v>22</v>
      </c>
      <c r="C295" s="3">
        <v>46259</v>
      </c>
      <c r="D295" t="s">
        <v>9</v>
      </c>
      <c r="E295" s="5">
        <v>2450</v>
      </c>
      <c r="F295" s="7">
        <v>509.8699951171875</v>
      </c>
      <c r="G295" s="7">
        <v>1249181.4880371094</v>
      </c>
    </row>
    <row r="296" spans="1:7" x14ac:dyDescent="0.3">
      <c r="A296" t="s">
        <v>324</v>
      </c>
      <c r="B296" t="s">
        <v>17</v>
      </c>
      <c r="C296" s="3">
        <v>46256</v>
      </c>
      <c r="D296" t="s">
        <v>9</v>
      </c>
      <c r="E296" s="5">
        <v>2900</v>
      </c>
      <c r="F296" s="7">
        <v>335.57998657226563</v>
      </c>
      <c r="G296" s="7">
        <v>973181.96105957031</v>
      </c>
    </row>
    <row r="297" spans="1:7" x14ac:dyDescent="0.3">
      <c r="A297" t="s">
        <v>325</v>
      </c>
      <c r="B297" t="s">
        <v>17</v>
      </c>
      <c r="C297" s="3">
        <v>46257</v>
      </c>
      <c r="D297" t="s">
        <v>14</v>
      </c>
      <c r="E297" s="5">
        <v>3200</v>
      </c>
      <c r="F297" s="7">
        <v>452.07998657226563</v>
      </c>
      <c r="G297" s="7">
        <v>1446655.95703125</v>
      </c>
    </row>
    <row r="298" spans="1:7" x14ac:dyDescent="0.3">
      <c r="A298" t="s">
        <v>326</v>
      </c>
      <c r="B298" t="s">
        <v>8</v>
      </c>
      <c r="C298" s="3">
        <v>46259</v>
      </c>
      <c r="D298" t="s">
        <v>14</v>
      </c>
      <c r="E298" s="5">
        <v>3400</v>
      </c>
      <c r="F298" s="7">
        <v>514.94000244140625</v>
      </c>
      <c r="G298" s="7">
        <v>1750796.0083007813</v>
      </c>
    </row>
    <row r="299" spans="1:7" x14ac:dyDescent="0.3">
      <c r="A299" t="s">
        <v>327</v>
      </c>
      <c r="B299" t="s">
        <v>11</v>
      </c>
      <c r="C299" s="3">
        <v>46256</v>
      </c>
      <c r="D299" t="s">
        <v>9</v>
      </c>
      <c r="E299" s="5">
        <v>4850</v>
      </c>
      <c r="F299" s="7">
        <v>468.3599853515625</v>
      </c>
      <c r="G299" s="7">
        <v>2271545.9289550781</v>
      </c>
    </row>
    <row r="300" spans="1:7" x14ac:dyDescent="0.3">
      <c r="A300" t="s">
        <v>328</v>
      </c>
      <c r="B300" t="s">
        <v>8</v>
      </c>
      <c r="C300" s="3">
        <v>46258</v>
      </c>
      <c r="D300" t="s">
        <v>9</v>
      </c>
      <c r="E300" s="5">
        <v>2500</v>
      </c>
      <c r="F300" s="7">
        <v>406.83999633789063</v>
      </c>
      <c r="G300" s="7">
        <v>1017099.9908447266</v>
      </c>
    </row>
    <row r="301" spans="1:7" x14ac:dyDescent="0.3">
      <c r="A301" t="s">
        <v>329</v>
      </c>
      <c r="B301" t="s">
        <v>22</v>
      </c>
      <c r="C301" s="3">
        <v>46258</v>
      </c>
      <c r="D301" t="s">
        <v>14</v>
      </c>
      <c r="E301" s="5">
        <v>4200</v>
      </c>
      <c r="F301" s="7">
        <v>332.30999755859375</v>
      </c>
      <c r="G301" s="7">
        <v>1395701.9897460938</v>
      </c>
    </row>
    <row r="302" spans="1:7" x14ac:dyDescent="0.3">
      <c r="A302" t="s">
        <v>330</v>
      </c>
      <c r="B302" t="s">
        <v>8</v>
      </c>
      <c r="C302" s="3">
        <v>46256</v>
      </c>
      <c r="D302" t="s">
        <v>9</v>
      </c>
      <c r="E302" s="5">
        <v>2250</v>
      </c>
      <c r="F302" s="7">
        <v>173.21000671386719</v>
      </c>
      <c r="G302" s="7">
        <v>389722.51510620117</v>
      </c>
    </row>
    <row r="303" spans="1:7" x14ac:dyDescent="0.3">
      <c r="A303" t="s">
        <v>331</v>
      </c>
      <c r="B303" t="s">
        <v>8</v>
      </c>
      <c r="C303" s="3">
        <v>46257</v>
      </c>
      <c r="D303" t="s">
        <v>9</v>
      </c>
      <c r="E303" s="5">
        <v>4250</v>
      </c>
      <c r="F303" s="7">
        <v>409.739990234375</v>
      </c>
      <c r="G303" s="7">
        <v>1741394.9584960938</v>
      </c>
    </row>
    <row r="304" spans="1:7" x14ac:dyDescent="0.3">
      <c r="A304" t="s">
        <v>332</v>
      </c>
      <c r="B304" t="s">
        <v>22</v>
      </c>
      <c r="C304" s="3">
        <v>46259</v>
      </c>
      <c r="D304" t="s">
        <v>14</v>
      </c>
      <c r="E304" s="5">
        <v>3600</v>
      </c>
      <c r="F304" s="7">
        <v>213.28999328613281</v>
      </c>
      <c r="G304" s="7">
        <v>767843.97583007813</v>
      </c>
    </row>
    <row r="305" spans="1:7" x14ac:dyDescent="0.3">
      <c r="A305" t="s">
        <v>333</v>
      </c>
      <c r="B305" t="s">
        <v>11</v>
      </c>
      <c r="C305" s="3">
        <v>46257</v>
      </c>
      <c r="D305" t="s">
        <v>14</v>
      </c>
      <c r="E305" s="5">
        <v>3200</v>
      </c>
      <c r="F305" s="7">
        <v>572.19000244140625</v>
      </c>
      <c r="G305" s="7">
        <v>1831008.0078125</v>
      </c>
    </row>
    <row r="306" spans="1:7" x14ac:dyDescent="0.3">
      <c r="A306" t="s">
        <v>334</v>
      </c>
      <c r="B306" t="s">
        <v>13</v>
      </c>
      <c r="C306" s="3">
        <v>46255</v>
      </c>
      <c r="D306" t="s">
        <v>9</v>
      </c>
      <c r="E306" s="5">
        <v>2250</v>
      </c>
      <c r="F306" s="7">
        <v>450.6199951171875</v>
      </c>
      <c r="G306" s="7">
        <v>1013894.9890136719</v>
      </c>
    </row>
    <row r="307" spans="1:7" x14ac:dyDescent="0.3">
      <c r="A307" t="s">
        <v>335</v>
      </c>
      <c r="B307" t="s">
        <v>22</v>
      </c>
      <c r="C307" s="3">
        <v>46255</v>
      </c>
      <c r="D307" t="s">
        <v>14</v>
      </c>
      <c r="E307" s="5">
        <v>2750</v>
      </c>
      <c r="F307" s="7">
        <v>152.63999938964844</v>
      </c>
      <c r="G307" s="7">
        <v>419759.9983215332</v>
      </c>
    </row>
    <row r="308" spans="1:7" x14ac:dyDescent="0.3">
      <c r="A308" t="s">
        <v>336</v>
      </c>
      <c r="B308" t="s">
        <v>13</v>
      </c>
      <c r="C308" s="3">
        <v>46257</v>
      </c>
      <c r="D308" t="s">
        <v>9</v>
      </c>
      <c r="E308" s="5">
        <v>2400</v>
      </c>
      <c r="F308" s="7">
        <v>188.14999389648438</v>
      </c>
      <c r="G308" s="7">
        <v>451559.9853515625</v>
      </c>
    </row>
    <row r="309" spans="1:7" x14ac:dyDescent="0.3">
      <c r="A309" t="s">
        <v>337</v>
      </c>
      <c r="B309" t="s">
        <v>11</v>
      </c>
      <c r="C309" s="3">
        <v>46258</v>
      </c>
      <c r="D309" t="s">
        <v>14</v>
      </c>
      <c r="E309" s="5">
        <v>2700</v>
      </c>
      <c r="F309" s="7">
        <v>562.69000244140625</v>
      </c>
      <c r="G309" s="7">
        <v>1519263.0065917969</v>
      </c>
    </row>
    <row r="310" spans="1:7" x14ac:dyDescent="0.3">
      <c r="A310" t="s">
        <v>338</v>
      </c>
      <c r="B310" t="s">
        <v>8</v>
      </c>
      <c r="C310" s="3">
        <v>46256</v>
      </c>
      <c r="D310" t="s">
        <v>14</v>
      </c>
      <c r="E310" s="5">
        <v>2350</v>
      </c>
      <c r="F310" s="7">
        <v>537.90997314453125</v>
      </c>
      <c r="G310" s="7">
        <v>1264088.4368896484</v>
      </c>
    </row>
    <row r="311" spans="1:7" x14ac:dyDescent="0.3">
      <c r="A311" t="s">
        <v>339</v>
      </c>
      <c r="B311" t="s">
        <v>17</v>
      </c>
      <c r="C311" s="3">
        <v>46258</v>
      </c>
      <c r="D311" t="s">
        <v>14</v>
      </c>
      <c r="E311" s="5">
        <v>3850</v>
      </c>
      <c r="F311" s="7">
        <v>579.739990234375</v>
      </c>
      <c r="G311" s="7">
        <v>2231998.9624023438</v>
      </c>
    </row>
    <row r="312" spans="1:7" x14ac:dyDescent="0.3">
      <c r="A312" t="s">
        <v>340</v>
      </c>
      <c r="B312" t="s">
        <v>17</v>
      </c>
      <c r="C312" s="3">
        <v>46258</v>
      </c>
      <c r="D312" t="s">
        <v>14</v>
      </c>
      <c r="E312" s="5">
        <v>3300</v>
      </c>
      <c r="F312" s="7">
        <v>150.99000549316406</v>
      </c>
      <c r="G312" s="7">
        <v>498267.01812744141</v>
      </c>
    </row>
    <row r="313" spans="1:7" x14ac:dyDescent="0.3">
      <c r="A313" t="s">
        <v>341</v>
      </c>
      <c r="B313" t="s">
        <v>17</v>
      </c>
      <c r="C313" s="3">
        <v>46255</v>
      </c>
      <c r="D313" t="s">
        <v>9</v>
      </c>
      <c r="E313" s="5">
        <v>3400</v>
      </c>
      <c r="F313" s="7">
        <v>626.6099853515625</v>
      </c>
      <c r="G313" s="7">
        <v>2130473.9501953125</v>
      </c>
    </row>
    <row r="314" spans="1:7" x14ac:dyDescent="0.3">
      <c r="A314" t="s">
        <v>342</v>
      </c>
      <c r="B314" t="s">
        <v>22</v>
      </c>
      <c r="C314" s="3">
        <v>46255</v>
      </c>
      <c r="D314" t="s">
        <v>9</v>
      </c>
      <c r="E314" s="5">
        <v>3750</v>
      </c>
      <c r="F314" s="7">
        <v>180.67999267578125</v>
      </c>
      <c r="G314" s="7">
        <v>677549.97253417969</v>
      </c>
    </row>
    <row r="315" spans="1:7" x14ac:dyDescent="0.3">
      <c r="A315" t="s">
        <v>343</v>
      </c>
      <c r="B315" t="s">
        <v>22</v>
      </c>
      <c r="C315" s="3">
        <v>46259</v>
      </c>
      <c r="D315" t="s">
        <v>14</v>
      </c>
      <c r="E315" s="5">
        <v>3800</v>
      </c>
      <c r="F315" s="7">
        <v>489.17001342773438</v>
      </c>
      <c r="G315" s="7">
        <v>1858846.0510253906</v>
      </c>
    </row>
    <row r="316" spans="1:7" x14ac:dyDescent="0.3">
      <c r="A316" t="s">
        <v>344</v>
      </c>
      <c r="B316" t="s">
        <v>11</v>
      </c>
      <c r="C316" s="3">
        <v>46255</v>
      </c>
      <c r="D316" t="s">
        <v>9</v>
      </c>
      <c r="E316" s="5">
        <v>3950</v>
      </c>
      <c r="F316" s="7">
        <v>272.6300048828125</v>
      </c>
      <c r="G316" s="7">
        <v>1076888.5192871094</v>
      </c>
    </row>
    <row r="317" spans="1:7" x14ac:dyDescent="0.3">
      <c r="A317" t="s">
        <v>345</v>
      </c>
      <c r="B317" t="s">
        <v>17</v>
      </c>
      <c r="C317" s="3">
        <v>46259</v>
      </c>
      <c r="D317" t="s">
        <v>14</v>
      </c>
      <c r="E317" s="5">
        <v>3950</v>
      </c>
      <c r="F317" s="7">
        <v>442.42999267578125</v>
      </c>
      <c r="G317" s="7">
        <v>1747598.4710693359</v>
      </c>
    </row>
    <row r="318" spans="1:7" x14ac:dyDescent="0.3">
      <c r="A318" t="s">
        <v>346</v>
      </c>
      <c r="B318" t="s">
        <v>13</v>
      </c>
      <c r="C318" s="3">
        <v>46256</v>
      </c>
      <c r="D318" t="s">
        <v>9</v>
      </c>
      <c r="E318" s="5">
        <v>350</v>
      </c>
      <c r="F318" s="7">
        <v>209.89999389648438</v>
      </c>
      <c r="G318" s="7">
        <v>73464.997863769531</v>
      </c>
    </row>
    <row r="319" spans="1:7" x14ac:dyDescent="0.3">
      <c r="A319" t="s">
        <v>347</v>
      </c>
      <c r="B319" t="s">
        <v>17</v>
      </c>
      <c r="C319" s="3">
        <v>46258</v>
      </c>
      <c r="D319" t="s">
        <v>9</v>
      </c>
      <c r="E319" s="5">
        <v>3350</v>
      </c>
      <c r="F319" s="7">
        <v>642.719970703125</v>
      </c>
      <c r="G319" s="7">
        <v>2153111.9018554688</v>
      </c>
    </row>
    <row r="320" spans="1:7" x14ac:dyDescent="0.3">
      <c r="A320" t="s">
        <v>348</v>
      </c>
      <c r="B320" t="s">
        <v>11</v>
      </c>
      <c r="C320" s="3">
        <v>46255</v>
      </c>
      <c r="D320" t="s">
        <v>9</v>
      </c>
      <c r="E320" s="5">
        <v>2700</v>
      </c>
      <c r="F320" s="7">
        <v>277.97000122070313</v>
      </c>
      <c r="G320" s="7">
        <v>750519.00329589844</v>
      </c>
    </row>
    <row r="321" spans="1:7" x14ac:dyDescent="0.3">
      <c r="A321" t="s">
        <v>349</v>
      </c>
      <c r="B321" t="s">
        <v>11</v>
      </c>
      <c r="C321" s="3">
        <v>46256</v>
      </c>
      <c r="D321" t="s">
        <v>9</v>
      </c>
      <c r="E321" s="5">
        <v>300</v>
      </c>
      <c r="F321" s="7">
        <v>526.16998291015625</v>
      </c>
      <c r="G321" s="7">
        <v>157850.99487304688</v>
      </c>
    </row>
    <row r="322" spans="1:7" x14ac:dyDescent="0.3">
      <c r="A322" t="s">
        <v>350</v>
      </c>
      <c r="B322" t="s">
        <v>17</v>
      </c>
      <c r="C322" s="3">
        <v>46256</v>
      </c>
      <c r="D322" t="s">
        <v>9</v>
      </c>
      <c r="E322" s="5">
        <v>950</v>
      </c>
      <c r="F322" s="7">
        <v>225.72000122070313</v>
      </c>
      <c r="G322" s="7">
        <v>214434.00115966797</v>
      </c>
    </row>
    <row r="323" spans="1:7" x14ac:dyDescent="0.3">
      <c r="A323" t="s">
        <v>351</v>
      </c>
      <c r="B323" t="s">
        <v>17</v>
      </c>
      <c r="C323" s="3">
        <v>46256</v>
      </c>
      <c r="D323" t="s">
        <v>14</v>
      </c>
      <c r="E323" s="5">
        <v>1850</v>
      </c>
      <c r="F323" s="7">
        <v>323.44000244140625</v>
      </c>
      <c r="G323" s="7">
        <v>598364.00451660156</v>
      </c>
    </row>
    <row r="324" spans="1:7" x14ac:dyDescent="0.3">
      <c r="A324" t="s">
        <v>352</v>
      </c>
      <c r="B324" t="s">
        <v>8</v>
      </c>
      <c r="C324" s="3">
        <v>46256</v>
      </c>
      <c r="D324" t="s">
        <v>9</v>
      </c>
      <c r="E324" s="5">
        <v>2050</v>
      </c>
      <c r="F324" s="7">
        <v>198.3699951171875</v>
      </c>
      <c r="G324" s="7">
        <v>406658.48999023438</v>
      </c>
    </row>
    <row r="325" spans="1:7" x14ac:dyDescent="0.3">
      <c r="A325" t="s">
        <v>353</v>
      </c>
      <c r="B325" t="s">
        <v>22</v>
      </c>
      <c r="C325" s="3">
        <v>46256</v>
      </c>
      <c r="D325" t="s">
        <v>14</v>
      </c>
      <c r="E325" s="5">
        <v>1050</v>
      </c>
      <c r="F325" s="7">
        <v>455.989990234375</v>
      </c>
      <c r="G325" s="7">
        <v>478789.48974609375</v>
      </c>
    </row>
    <row r="326" spans="1:7" x14ac:dyDescent="0.3">
      <c r="A326" t="s">
        <v>354</v>
      </c>
      <c r="B326" t="s">
        <v>17</v>
      </c>
      <c r="C326" s="3">
        <v>46256</v>
      </c>
      <c r="D326" t="s">
        <v>9</v>
      </c>
      <c r="E326" s="5">
        <v>650</v>
      </c>
      <c r="F326" s="7">
        <v>395.17999267578125</v>
      </c>
      <c r="G326" s="7">
        <v>256866.99523925781</v>
      </c>
    </row>
    <row r="327" spans="1:7" x14ac:dyDescent="0.3">
      <c r="A327" t="s">
        <v>355</v>
      </c>
      <c r="B327" t="s">
        <v>11</v>
      </c>
      <c r="C327" s="3">
        <v>46256</v>
      </c>
      <c r="D327" t="s">
        <v>9</v>
      </c>
      <c r="E327" s="5">
        <v>550</v>
      </c>
      <c r="F327" s="7">
        <v>368.79000854492188</v>
      </c>
      <c r="G327" s="7">
        <v>202834.50469970703</v>
      </c>
    </row>
    <row r="328" spans="1:7" x14ac:dyDescent="0.3">
      <c r="A328" t="s">
        <v>356</v>
      </c>
      <c r="B328" t="s">
        <v>17</v>
      </c>
      <c r="C328" s="3">
        <v>46255</v>
      </c>
      <c r="D328" t="s">
        <v>9</v>
      </c>
      <c r="E328" s="5">
        <v>3200</v>
      </c>
      <c r="F328" s="7">
        <v>522.69000244140625</v>
      </c>
      <c r="G328" s="7">
        <v>1672608.0078125</v>
      </c>
    </row>
    <row r="329" spans="1:7" x14ac:dyDescent="0.3">
      <c r="A329" t="s">
        <v>357</v>
      </c>
      <c r="B329" t="s">
        <v>8</v>
      </c>
      <c r="C329" s="3">
        <v>46255</v>
      </c>
      <c r="D329" t="s">
        <v>14</v>
      </c>
      <c r="E329" s="5">
        <v>700</v>
      </c>
      <c r="F329" s="7">
        <v>536.67999267578125</v>
      </c>
      <c r="G329" s="7">
        <v>375675.99487304688</v>
      </c>
    </row>
    <row r="330" spans="1:7" x14ac:dyDescent="0.3">
      <c r="A330" t="s">
        <v>358</v>
      </c>
      <c r="B330" t="s">
        <v>13</v>
      </c>
      <c r="C330" s="3">
        <v>46259</v>
      </c>
      <c r="D330" t="s">
        <v>14</v>
      </c>
      <c r="E330" s="5">
        <v>1750</v>
      </c>
      <c r="F330" s="7">
        <v>289.3599853515625</v>
      </c>
      <c r="G330" s="7">
        <v>506379.97436523438</v>
      </c>
    </row>
    <row r="331" spans="1:7" x14ac:dyDescent="0.3">
      <c r="A331" t="s">
        <v>359</v>
      </c>
      <c r="B331" t="s">
        <v>8</v>
      </c>
      <c r="C331" s="3">
        <v>46255</v>
      </c>
      <c r="D331" t="s">
        <v>9</v>
      </c>
      <c r="E331" s="5">
        <v>3450</v>
      </c>
      <c r="F331" s="7">
        <v>493.55999755859375</v>
      </c>
      <c r="G331" s="7">
        <v>1702781.9915771484</v>
      </c>
    </row>
    <row r="332" spans="1:7" x14ac:dyDescent="0.3">
      <c r="A332" t="s">
        <v>360</v>
      </c>
      <c r="B332" t="s">
        <v>22</v>
      </c>
      <c r="C332" s="3">
        <v>46256</v>
      </c>
      <c r="D332" t="s">
        <v>9</v>
      </c>
      <c r="E332" s="5">
        <v>4850</v>
      </c>
      <c r="F332" s="7">
        <v>474.45999145507813</v>
      </c>
      <c r="G332" s="7">
        <v>2301130.9585571289</v>
      </c>
    </row>
    <row r="333" spans="1:7" x14ac:dyDescent="0.3">
      <c r="A333" t="s">
        <v>361</v>
      </c>
      <c r="B333" t="s">
        <v>8</v>
      </c>
      <c r="C333" s="3">
        <v>46258</v>
      </c>
      <c r="D333" t="s">
        <v>14</v>
      </c>
      <c r="E333" s="5">
        <v>3600</v>
      </c>
      <c r="F333" s="7">
        <v>387.10000610351563</v>
      </c>
      <c r="G333" s="7">
        <v>1393560.0219726563</v>
      </c>
    </row>
    <row r="334" spans="1:7" x14ac:dyDescent="0.3">
      <c r="A334" t="s">
        <v>362</v>
      </c>
      <c r="B334" t="s">
        <v>11</v>
      </c>
      <c r="C334" s="3">
        <v>46258</v>
      </c>
      <c r="D334" t="s">
        <v>9</v>
      </c>
      <c r="E334" s="5">
        <v>4650</v>
      </c>
      <c r="F334" s="7">
        <v>295.239990234375</v>
      </c>
      <c r="G334" s="7">
        <v>1372865.9545898438</v>
      </c>
    </row>
    <row r="335" spans="1:7" x14ac:dyDescent="0.3">
      <c r="A335" t="s">
        <v>363</v>
      </c>
      <c r="B335" t="s">
        <v>11</v>
      </c>
      <c r="C335" s="3">
        <v>46257</v>
      </c>
      <c r="D335" t="s">
        <v>14</v>
      </c>
      <c r="E335" s="5">
        <v>1600</v>
      </c>
      <c r="F335" s="7">
        <v>158.44000244140625</v>
      </c>
      <c r="G335" s="7">
        <v>253504.00390625</v>
      </c>
    </row>
    <row r="336" spans="1:7" x14ac:dyDescent="0.3">
      <c r="A336" t="s">
        <v>364</v>
      </c>
      <c r="B336" t="s">
        <v>17</v>
      </c>
      <c r="C336" s="3">
        <v>46255</v>
      </c>
      <c r="D336" t="s">
        <v>14</v>
      </c>
      <c r="E336" s="5">
        <v>100</v>
      </c>
      <c r="F336" s="7">
        <v>399.1400146484375</v>
      </c>
      <c r="G336" s="7">
        <v>39914.00146484375</v>
      </c>
    </row>
    <row r="337" spans="1:7" x14ac:dyDescent="0.3">
      <c r="A337" t="s">
        <v>365</v>
      </c>
      <c r="B337" t="s">
        <v>8</v>
      </c>
      <c r="C337" s="3">
        <v>46255</v>
      </c>
      <c r="D337" t="s">
        <v>9</v>
      </c>
      <c r="E337" s="5">
        <v>2650</v>
      </c>
      <c r="F337" s="7">
        <v>346.83999633789063</v>
      </c>
      <c r="G337" s="7">
        <v>919125.99029541016</v>
      </c>
    </row>
    <row r="338" spans="1:7" x14ac:dyDescent="0.3">
      <c r="A338" t="s">
        <v>366</v>
      </c>
      <c r="B338" t="s">
        <v>22</v>
      </c>
      <c r="C338" s="3">
        <v>46255</v>
      </c>
      <c r="D338" t="s">
        <v>14</v>
      </c>
      <c r="E338" s="5">
        <v>3350</v>
      </c>
      <c r="F338" s="7">
        <v>559.03997802734375</v>
      </c>
      <c r="G338" s="7">
        <v>1872783.9263916016</v>
      </c>
    </row>
    <row r="339" spans="1:7" x14ac:dyDescent="0.3">
      <c r="A339" t="s">
        <v>368</v>
      </c>
      <c r="B339" t="s">
        <v>17</v>
      </c>
      <c r="C339" s="3">
        <v>46255</v>
      </c>
      <c r="D339" t="s">
        <v>14</v>
      </c>
      <c r="E339" s="5">
        <v>3800</v>
      </c>
      <c r="F339" s="7">
        <v>624.02001953125</v>
      </c>
      <c r="G339" s="7">
        <v>2371276.07421875</v>
      </c>
    </row>
    <row r="340" spans="1:7" x14ac:dyDescent="0.3">
      <c r="A340" t="s">
        <v>369</v>
      </c>
      <c r="B340" t="s">
        <v>17</v>
      </c>
      <c r="C340" s="3">
        <v>46259</v>
      </c>
      <c r="D340" t="s">
        <v>14</v>
      </c>
      <c r="E340" s="5">
        <v>4900</v>
      </c>
      <c r="F340" s="7">
        <v>470.66000366210938</v>
      </c>
      <c r="G340" s="7">
        <v>2306234.0179443359</v>
      </c>
    </row>
    <row r="341" spans="1:7" x14ac:dyDescent="0.3">
      <c r="A341" t="s">
        <v>370</v>
      </c>
      <c r="B341" t="s">
        <v>11</v>
      </c>
      <c r="C341" s="3">
        <v>46255</v>
      </c>
      <c r="D341" t="s">
        <v>14</v>
      </c>
      <c r="E341" s="5">
        <v>2000</v>
      </c>
      <c r="F341" s="7">
        <v>252.82000732421875</v>
      </c>
      <c r="G341" s="7">
        <v>505640.0146484375</v>
      </c>
    </row>
    <row r="342" spans="1:7" x14ac:dyDescent="0.3">
      <c r="A342" t="s">
        <v>371</v>
      </c>
      <c r="B342" t="s">
        <v>17</v>
      </c>
      <c r="C342" s="3">
        <v>46255</v>
      </c>
      <c r="D342" t="s">
        <v>14</v>
      </c>
      <c r="E342" s="5">
        <v>400</v>
      </c>
      <c r="F342" s="7">
        <v>352.55999755859375</v>
      </c>
      <c r="G342" s="7">
        <v>141023.9990234375</v>
      </c>
    </row>
    <row r="343" spans="1:7" x14ac:dyDescent="0.3">
      <c r="A343" t="s">
        <v>372</v>
      </c>
      <c r="B343" t="s">
        <v>13</v>
      </c>
      <c r="C343" s="3">
        <v>46257</v>
      </c>
      <c r="D343" t="s">
        <v>14</v>
      </c>
      <c r="E343" s="5">
        <v>1850</v>
      </c>
      <c r="F343" s="7">
        <v>350.6199951171875</v>
      </c>
      <c r="G343" s="7">
        <v>648646.99096679688</v>
      </c>
    </row>
    <row r="344" spans="1:7" x14ac:dyDescent="0.3">
      <c r="A344" t="s">
        <v>373</v>
      </c>
      <c r="B344" t="s">
        <v>17</v>
      </c>
      <c r="C344" s="3">
        <v>46257</v>
      </c>
      <c r="D344" t="s">
        <v>9</v>
      </c>
      <c r="E344" s="5">
        <v>3850</v>
      </c>
      <c r="F344" s="7">
        <v>285.82000732421875</v>
      </c>
      <c r="G344" s="7">
        <v>1100407.0281982422</v>
      </c>
    </row>
    <row r="345" spans="1:7" x14ac:dyDescent="0.3">
      <c r="A345" t="s">
        <v>374</v>
      </c>
      <c r="B345" t="s">
        <v>17</v>
      </c>
      <c r="C345" s="3">
        <v>46259</v>
      </c>
      <c r="D345" t="s">
        <v>14</v>
      </c>
      <c r="E345" s="5">
        <v>2300</v>
      </c>
      <c r="F345" s="7">
        <v>544.3900146484375</v>
      </c>
      <c r="G345" s="7">
        <v>1252097.0336914063</v>
      </c>
    </row>
    <row r="346" spans="1:7" x14ac:dyDescent="0.3">
      <c r="A346" t="s">
        <v>375</v>
      </c>
      <c r="B346" t="s">
        <v>11</v>
      </c>
      <c r="C346" s="3">
        <v>46257</v>
      </c>
      <c r="D346" t="s">
        <v>9</v>
      </c>
      <c r="E346" s="5">
        <v>3100</v>
      </c>
      <c r="F346" s="7">
        <v>235.74000549316406</v>
      </c>
      <c r="G346" s="7">
        <v>730794.01702880859</v>
      </c>
    </row>
    <row r="347" spans="1:7" x14ac:dyDescent="0.3">
      <c r="A347" t="s">
        <v>376</v>
      </c>
      <c r="B347" t="s">
        <v>8</v>
      </c>
      <c r="C347" s="3">
        <v>46256</v>
      </c>
      <c r="D347" t="s">
        <v>14</v>
      </c>
      <c r="E347" s="5">
        <v>1100</v>
      </c>
      <c r="F347" s="7">
        <v>601.41998291015625</v>
      </c>
      <c r="G347" s="7">
        <v>661561.98120117188</v>
      </c>
    </row>
    <row r="348" spans="1:7" x14ac:dyDescent="0.3">
      <c r="A348" t="s">
        <v>377</v>
      </c>
      <c r="B348" t="s">
        <v>17</v>
      </c>
      <c r="C348" s="3">
        <v>46255</v>
      </c>
      <c r="D348" t="s">
        <v>14</v>
      </c>
      <c r="E348" s="5">
        <v>4500</v>
      </c>
      <c r="F348" s="7">
        <v>629.05999755859375</v>
      </c>
      <c r="G348" s="7">
        <v>2830769.9890136719</v>
      </c>
    </row>
    <row r="349" spans="1:7" x14ac:dyDescent="0.3">
      <c r="A349" t="s">
        <v>378</v>
      </c>
      <c r="B349" t="s">
        <v>8</v>
      </c>
      <c r="C349" s="3">
        <v>46257</v>
      </c>
      <c r="D349" t="s">
        <v>14</v>
      </c>
      <c r="E349" s="5">
        <v>4750</v>
      </c>
      <c r="F349" s="7">
        <v>168.41999816894531</v>
      </c>
      <c r="G349" s="7">
        <v>799994.99130249023</v>
      </c>
    </row>
    <row r="350" spans="1:7" x14ac:dyDescent="0.3">
      <c r="A350" t="s">
        <v>379</v>
      </c>
      <c r="B350" t="s">
        <v>8</v>
      </c>
      <c r="C350" s="3">
        <v>46256</v>
      </c>
      <c r="D350" t="s">
        <v>9</v>
      </c>
      <c r="E350" s="5">
        <v>2600</v>
      </c>
      <c r="F350" s="7">
        <v>471.1099853515625</v>
      </c>
      <c r="G350" s="7">
        <v>1224885.9619140625</v>
      </c>
    </row>
    <row r="351" spans="1:7" x14ac:dyDescent="0.3">
      <c r="A351" t="s">
        <v>380</v>
      </c>
      <c r="B351" t="s">
        <v>13</v>
      </c>
      <c r="C351" s="3">
        <v>46256</v>
      </c>
      <c r="D351" t="s">
        <v>14</v>
      </c>
      <c r="E351" s="5">
        <v>3700</v>
      </c>
      <c r="F351" s="7">
        <v>201.16000366210938</v>
      </c>
      <c r="G351" s="7">
        <v>744292.01354980469</v>
      </c>
    </row>
    <row r="352" spans="1:7" x14ac:dyDescent="0.3">
      <c r="A352" t="s">
        <v>382</v>
      </c>
      <c r="B352" t="s">
        <v>17</v>
      </c>
      <c r="C352" s="3">
        <v>46256</v>
      </c>
      <c r="D352" t="s">
        <v>14</v>
      </c>
      <c r="E352" s="5">
        <v>3900</v>
      </c>
      <c r="F352" s="7">
        <v>519.20001220703125</v>
      </c>
      <c r="G352" s="7">
        <v>2024880.0476074219</v>
      </c>
    </row>
    <row r="353" spans="1:7" x14ac:dyDescent="0.3">
      <c r="A353" t="s">
        <v>383</v>
      </c>
      <c r="B353" t="s">
        <v>17</v>
      </c>
      <c r="C353" s="3">
        <v>46259</v>
      </c>
      <c r="D353" t="s">
        <v>14</v>
      </c>
      <c r="E353" s="5">
        <v>3400</v>
      </c>
      <c r="F353" s="7">
        <v>493.95999145507813</v>
      </c>
      <c r="G353" s="7">
        <v>1679463.9709472656</v>
      </c>
    </row>
    <row r="354" spans="1:7" x14ac:dyDescent="0.3">
      <c r="A354" t="s">
        <v>384</v>
      </c>
      <c r="B354" t="s">
        <v>11</v>
      </c>
      <c r="C354" s="3">
        <v>46257</v>
      </c>
      <c r="D354" t="s">
        <v>9</v>
      </c>
      <c r="E354" s="5">
        <v>4350</v>
      </c>
      <c r="F354" s="7">
        <v>485.54000854492188</v>
      </c>
      <c r="G354" s="7">
        <v>2112099.0371704102</v>
      </c>
    </row>
    <row r="355" spans="1:7" x14ac:dyDescent="0.3">
      <c r="A355" t="s">
        <v>385</v>
      </c>
      <c r="B355" t="s">
        <v>22</v>
      </c>
      <c r="C355" s="3">
        <v>46258</v>
      </c>
      <c r="D355" t="s">
        <v>9</v>
      </c>
      <c r="E355" s="5">
        <v>4350</v>
      </c>
      <c r="F355" s="7">
        <v>383.20001220703125</v>
      </c>
      <c r="G355" s="7">
        <v>1666920.0531005859</v>
      </c>
    </row>
    <row r="356" spans="1:7" x14ac:dyDescent="0.3">
      <c r="A356" t="s">
        <v>386</v>
      </c>
      <c r="B356" t="s">
        <v>8</v>
      </c>
      <c r="C356" s="3">
        <v>46257</v>
      </c>
      <c r="D356" t="s">
        <v>9</v>
      </c>
      <c r="E356" s="5">
        <v>1450</v>
      </c>
      <c r="F356" s="7">
        <v>311.33999633789063</v>
      </c>
      <c r="G356" s="7">
        <v>451442.99468994141</v>
      </c>
    </row>
    <row r="357" spans="1:7" x14ac:dyDescent="0.3">
      <c r="A357" t="s">
        <v>387</v>
      </c>
      <c r="B357" t="s">
        <v>17</v>
      </c>
      <c r="C357" s="3">
        <v>46258</v>
      </c>
      <c r="D357" t="s">
        <v>14</v>
      </c>
      <c r="E357" s="5">
        <v>1450</v>
      </c>
      <c r="F357" s="7">
        <v>247.41000366210938</v>
      </c>
      <c r="G357" s="7">
        <v>358744.50531005859</v>
      </c>
    </row>
    <row r="358" spans="1:7" x14ac:dyDescent="0.3">
      <c r="A358" t="s">
        <v>388</v>
      </c>
      <c r="B358" t="s">
        <v>22</v>
      </c>
      <c r="C358" s="3">
        <v>46255</v>
      </c>
      <c r="D358" t="s">
        <v>9</v>
      </c>
      <c r="E358" s="5">
        <v>3800</v>
      </c>
      <c r="F358" s="7">
        <v>485.57000732421875</v>
      </c>
      <c r="G358" s="7">
        <v>1845166.0278320313</v>
      </c>
    </row>
    <row r="359" spans="1:7" x14ac:dyDescent="0.3">
      <c r="A359" t="s">
        <v>389</v>
      </c>
      <c r="B359" t="s">
        <v>8</v>
      </c>
      <c r="C359" s="3">
        <v>46256</v>
      </c>
      <c r="D359" t="s">
        <v>14</v>
      </c>
      <c r="E359" s="5">
        <v>2450</v>
      </c>
      <c r="F359" s="7">
        <v>617.82000732421875</v>
      </c>
      <c r="G359" s="7">
        <v>1513659.0179443359</v>
      </c>
    </row>
    <row r="360" spans="1:7" x14ac:dyDescent="0.3">
      <c r="A360" t="s">
        <v>390</v>
      </c>
      <c r="B360" t="s">
        <v>11</v>
      </c>
      <c r="C360" s="3">
        <v>46255</v>
      </c>
      <c r="D360" t="s">
        <v>14</v>
      </c>
      <c r="E360" s="5">
        <v>4000</v>
      </c>
      <c r="F360" s="7">
        <v>329.739990234375</v>
      </c>
      <c r="G360" s="7">
        <v>1318959.9609375</v>
      </c>
    </row>
    <row r="361" spans="1:7" x14ac:dyDescent="0.3">
      <c r="A361" t="s">
        <v>391</v>
      </c>
      <c r="B361" t="s">
        <v>8</v>
      </c>
      <c r="C361" s="3">
        <v>46256</v>
      </c>
      <c r="D361" t="s">
        <v>9</v>
      </c>
      <c r="E361" s="5">
        <v>1950</v>
      </c>
      <c r="F361" s="7">
        <v>432.3900146484375</v>
      </c>
      <c r="G361" s="7">
        <v>843160.52856445313</v>
      </c>
    </row>
    <row r="362" spans="1:7" x14ac:dyDescent="0.3">
      <c r="A362" t="s">
        <v>392</v>
      </c>
      <c r="B362" t="s">
        <v>22</v>
      </c>
      <c r="C362" s="3">
        <v>46258</v>
      </c>
      <c r="D362" t="s">
        <v>9</v>
      </c>
      <c r="E362" s="5">
        <v>1250</v>
      </c>
      <c r="F362" s="7">
        <v>177.55999755859375</v>
      </c>
      <c r="G362" s="7">
        <v>221949.99694824219</v>
      </c>
    </row>
    <row r="363" spans="1:7" x14ac:dyDescent="0.3">
      <c r="A363" t="s">
        <v>393</v>
      </c>
      <c r="B363" t="s">
        <v>11</v>
      </c>
      <c r="C363" s="3">
        <v>46258</v>
      </c>
      <c r="D363" t="s">
        <v>9</v>
      </c>
      <c r="E363" s="5">
        <v>50</v>
      </c>
      <c r="F363" s="7">
        <v>527.989990234375</v>
      </c>
      <c r="G363" s="7">
        <v>26399.49951171875</v>
      </c>
    </row>
    <row r="364" spans="1:7" x14ac:dyDescent="0.3">
      <c r="A364" t="s">
        <v>394</v>
      </c>
      <c r="B364" t="s">
        <v>22</v>
      </c>
      <c r="C364" s="3">
        <v>46258</v>
      </c>
      <c r="D364" t="s">
        <v>14</v>
      </c>
      <c r="E364" s="5">
        <v>400</v>
      </c>
      <c r="F364" s="7">
        <v>179.6300048828125</v>
      </c>
      <c r="G364" s="7">
        <v>71852.001953125</v>
      </c>
    </row>
    <row r="365" spans="1:7" x14ac:dyDescent="0.3">
      <c r="A365" t="s">
        <v>395</v>
      </c>
      <c r="B365" t="s">
        <v>11</v>
      </c>
      <c r="C365" s="3">
        <v>46255</v>
      </c>
      <c r="D365" t="s">
        <v>14</v>
      </c>
      <c r="E365" s="5">
        <v>1700</v>
      </c>
      <c r="F365" s="7">
        <v>257.6300048828125</v>
      </c>
      <c r="G365" s="7">
        <v>437971.00830078125</v>
      </c>
    </row>
    <row r="366" spans="1:7" x14ac:dyDescent="0.3">
      <c r="A366" t="s">
        <v>396</v>
      </c>
      <c r="B366" t="s">
        <v>8</v>
      </c>
      <c r="C366" s="3">
        <v>46259</v>
      </c>
      <c r="D366" t="s">
        <v>9</v>
      </c>
      <c r="E366" s="5">
        <v>2050</v>
      </c>
      <c r="F366" s="7">
        <v>233.13999938964844</v>
      </c>
      <c r="G366" s="7">
        <v>477936.9987487793</v>
      </c>
    </row>
    <row r="367" spans="1:7" x14ac:dyDescent="0.3">
      <c r="A367" t="s">
        <v>397</v>
      </c>
      <c r="B367" t="s">
        <v>13</v>
      </c>
      <c r="C367" s="3">
        <v>46258</v>
      </c>
      <c r="D367" t="s">
        <v>9</v>
      </c>
      <c r="E367" s="5">
        <v>2700</v>
      </c>
      <c r="F367" s="7">
        <v>232.60000610351563</v>
      </c>
      <c r="G367" s="7">
        <v>628020.01647949219</v>
      </c>
    </row>
    <row r="368" spans="1:7" x14ac:dyDescent="0.3">
      <c r="A368" t="s">
        <v>398</v>
      </c>
      <c r="B368" t="s">
        <v>13</v>
      </c>
      <c r="C368" s="3">
        <v>46259</v>
      </c>
      <c r="D368" t="s">
        <v>14</v>
      </c>
      <c r="E368" s="5">
        <v>4150</v>
      </c>
      <c r="F368" s="7">
        <v>536.54998779296875</v>
      </c>
      <c r="G368" s="7">
        <v>2226682.4493408203</v>
      </c>
    </row>
    <row r="369" spans="1:7" x14ac:dyDescent="0.3">
      <c r="A369" t="s">
        <v>399</v>
      </c>
      <c r="B369" t="s">
        <v>8</v>
      </c>
      <c r="C369" s="3">
        <v>46259</v>
      </c>
      <c r="D369" t="s">
        <v>9</v>
      </c>
      <c r="E369" s="5">
        <v>1650</v>
      </c>
      <c r="F369" s="7">
        <v>189.69000244140625</v>
      </c>
      <c r="G369" s="7">
        <v>312988.50402832031</v>
      </c>
    </row>
    <row r="370" spans="1:7" x14ac:dyDescent="0.3">
      <c r="A370" t="s">
        <v>400</v>
      </c>
      <c r="B370" t="s">
        <v>13</v>
      </c>
      <c r="C370" s="3">
        <v>46256</v>
      </c>
      <c r="D370" t="s">
        <v>9</v>
      </c>
      <c r="E370" s="5">
        <v>4850</v>
      </c>
      <c r="F370" s="7">
        <v>269.260009765625</v>
      </c>
      <c r="G370" s="7">
        <v>1305911.0473632813</v>
      </c>
    </row>
    <row r="371" spans="1:7" x14ac:dyDescent="0.3">
      <c r="A371" t="s">
        <v>401</v>
      </c>
      <c r="B371" t="s">
        <v>13</v>
      </c>
      <c r="C371" s="3">
        <v>46255</v>
      </c>
      <c r="D371" t="s">
        <v>14</v>
      </c>
      <c r="E371" s="5">
        <v>3600</v>
      </c>
      <c r="F371" s="7">
        <v>483.3699951171875</v>
      </c>
      <c r="G371" s="7">
        <v>1740131.982421875</v>
      </c>
    </row>
    <row r="372" spans="1:7" x14ac:dyDescent="0.3">
      <c r="A372" t="s">
        <v>402</v>
      </c>
      <c r="B372" t="s">
        <v>11</v>
      </c>
      <c r="C372" s="3">
        <v>46255</v>
      </c>
      <c r="D372" t="s">
        <v>9</v>
      </c>
      <c r="E372" s="5">
        <v>1200</v>
      </c>
      <c r="F372" s="7">
        <v>396.33999633789063</v>
      </c>
      <c r="G372" s="7">
        <v>475607.99560546875</v>
      </c>
    </row>
    <row r="373" spans="1:7" x14ac:dyDescent="0.3">
      <c r="A373" t="s">
        <v>403</v>
      </c>
      <c r="B373" t="s">
        <v>17</v>
      </c>
      <c r="C373" s="3">
        <v>46255</v>
      </c>
      <c r="D373" t="s">
        <v>14</v>
      </c>
      <c r="E373" s="5">
        <v>4400</v>
      </c>
      <c r="F373" s="7">
        <v>202.94000244140625</v>
      </c>
      <c r="G373" s="7">
        <v>892936.0107421875</v>
      </c>
    </row>
    <row r="374" spans="1:7" x14ac:dyDescent="0.3">
      <c r="A374" t="s">
        <v>404</v>
      </c>
      <c r="B374" t="s">
        <v>17</v>
      </c>
      <c r="C374" s="3">
        <v>46256</v>
      </c>
      <c r="D374" t="s">
        <v>9</v>
      </c>
      <c r="E374" s="5">
        <v>4550</v>
      </c>
      <c r="F374" s="7">
        <v>598.17999267578125</v>
      </c>
      <c r="G374" s="7">
        <v>2721718.9666748047</v>
      </c>
    </row>
    <row r="375" spans="1:7" x14ac:dyDescent="0.3">
      <c r="A375" t="s">
        <v>405</v>
      </c>
      <c r="B375" t="s">
        <v>13</v>
      </c>
      <c r="C375" s="3">
        <v>46256</v>
      </c>
      <c r="D375" t="s">
        <v>14</v>
      </c>
      <c r="E375" s="5">
        <v>1550</v>
      </c>
      <c r="F375" s="7">
        <v>414.79998779296875</v>
      </c>
      <c r="G375" s="7">
        <v>642939.98107910156</v>
      </c>
    </row>
    <row r="376" spans="1:7" x14ac:dyDescent="0.3">
      <c r="A376" t="s">
        <v>406</v>
      </c>
      <c r="B376" t="s">
        <v>8</v>
      </c>
      <c r="C376" s="3">
        <v>46258</v>
      </c>
      <c r="D376" t="s">
        <v>14</v>
      </c>
      <c r="E376" s="5">
        <v>2100</v>
      </c>
      <c r="F376" s="7">
        <v>325.17999267578125</v>
      </c>
      <c r="G376" s="7">
        <v>682877.98461914063</v>
      </c>
    </row>
    <row r="377" spans="1:7" x14ac:dyDescent="0.3">
      <c r="A377" t="s">
        <v>407</v>
      </c>
      <c r="B377" t="s">
        <v>8</v>
      </c>
      <c r="C377" s="3">
        <v>46258</v>
      </c>
      <c r="D377" t="s">
        <v>14</v>
      </c>
      <c r="E377" s="5">
        <v>1600</v>
      </c>
      <c r="F377" s="7">
        <v>529.54998779296875</v>
      </c>
      <c r="G377" s="7">
        <v>847279.98046875</v>
      </c>
    </row>
    <row r="378" spans="1:7" x14ac:dyDescent="0.3">
      <c r="A378" t="s">
        <v>408</v>
      </c>
      <c r="B378" t="s">
        <v>17</v>
      </c>
      <c r="C378" s="3">
        <v>46259</v>
      </c>
      <c r="D378" t="s">
        <v>14</v>
      </c>
      <c r="E378" s="5">
        <v>4400</v>
      </c>
      <c r="F378" s="7">
        <v>477.45001220703125</v>
      </c>
      <c r="G378" s="7">
        <v>2100780.0537109375</v>
      </c>
    </row>
    <row r="379" spans="1:7" x14ac:dyDescent="0.3">
      <c r="A379" t="s">
        <v>409</v>
      </c>
      <c r="B379" t="s">
        <v>22</v>
      </c>
      <c r="C379" s="3">
        <v>46258</v>
      </c>
      <c r="D379" t="s">
        <v>9</v>
      </c>
      <c r="E379" s="5">
        <v>3150</v>
      </c>
      <c r="F379" s="7">
        <v>294.239990234375</v>
      </c>
      <c r="G379" s="7">
        <v>926855.96923828125</v>
      </c>
    </row>
    <row r="380" spans="1:7" x14ac:dyDescent="0.3">
      <c r="A380" t="s">
        <v>410</v>
      </c>
      <c r="B380" t="s">
        <v>13</v>
      </c>
      <c r="C380" s="3">
        <v>46259</v>
      </c>
      <c r="D380" t="s">
        <v>9</v>
      </c>
      <c r="E380" s="5">
        <v>4700</v>
      </c>
      <c r="F380" s="7">
        <v>209.52000427246094</v>
      </c>
      <c r="G380" s="7">
        <v>984744.02008056641</v>
      </c>
    </row>
    <row r="381" spans="1:7" x14ac:dyDescent="0.3">
      <c r="A381" t="s">
        <v>411</v>
      </c>
      <c r="B381" t="s">
        <v>13</v>
      </c>
      <c r="C381" s="3">
        <v>46258</v>
      </c>
      <c r="D381" t="s">
        <v>14</v>
      </c>
      <c r="E381" s="5">
        <v>2600</v>
      </c>
      <c r="F381" s="7">
        <v>506.260009765625</v>
      </c>
      <c r="G381" s="7">
        <v>1316276.025390625</v>
      </c>
    </row>
    <row r="382" spans="1:7" x14ac:dyDescent="0.3">
      <c r="A382" t="s">
        <v>412</v>
      </c>
      <c r="B382" t="s">
        <v>8</v>
      </c>
      <c r="C382" s="3">
        <v>46257</v>
      </c>
      <c r="D382" t="s">
        <v>9</v>
      </c>
      <c r="E382" s="5">
        <v>2100</v>
      </c>
      <c r="F382" s="7">
        <v>356.70999145507813</v>
      </c>
      <c r="G382" s="7">
        <v>749090.98205566406</v>
      </c>
    </row>
    <row r="383" spans="1:7" x14ac:dyDescent="0.3">
      <c r="A383" t="s">
        <v>413</v>
      </c>
      <c r="B383" t="s">
        <v>13</v>
      </c>
      <c r="C383" s="3">
        <v>46259</v>
      </c>
      <c r="D383" t="s">
        <v>14</v>
      </c>
      <c r="E383" s="5">
        <v>1250</v>
      </c>
      <c r="F383" s="7">
        <v>389.8900146484375</v>
      </c>
      <c r="G383" s="7">
        <v>487362.51831054688</v>
      </c>
    </row>
    <row r="384" spans="1:7" x14ac:dyDescent="0.3">
      <c r="A384" t="s">
        <v>414</v>
      </c>
      <c r="B384" t="s">
        <v>8</v>
      </c>
      <c r="C384" s="3">
        <v>46259</v>
      </c>
      <c r="D384" t="s">
        <v>14</v>
      </c>
      <c r="E384" s="5">
        <v>3600</v>
      </c>
      <c r="F384" s="7">
        <v>221.72000122070313</v>
      </c>
      <c r="G384" s="7">
        <v>798192.00439453125</v>
      </c>
    </row>
    <row r="385" spans="1:7" x14ac:dyDescent="0.3">
      <c r="A385" t="s">
        <v>415</v>
      </c>
      <c r="B385" t="s">
        <v>8</v>
      </c>
      <c r="C385" s="3">
        <v>46256</v>
      </c>
      <c r="D385" t="s">
        <v>14</v>
      </c>
      <c r="E385" s="5">
        <v>1950</v>
      </c>
      <c r="F385" s="7">
        <v>249.77000427246094</v>
      </c>
      <c r="G385" s="7">
        <v>487051.50833129883</v>
      </c>
    </row>
    <row r="386" spans="1:7" x14ac:dyDescent="0.3">
      <c r="A386" t="s">
        <v>416</v>
      </c>
      <c r="B386" t="s">
        <v>13</v>
      </c>
      <c r="C386" s="3">
        <v>46257</v>
      </c>
      <c r="D386" t="s">
        <v>14</v>
      </c>
      <c r="E386" s="5">
        <v>4950</v>
      </c>
      <c r="F386" s="7">
        <v>379.6099853515625</v>
      </c>
      <c r="G386" s="7">
        <v>1879069.4274902344</v>
      </c>
    </row>
    <row r="387" spans="1:7" x14ac:dyDescent="0.3">
      <c r="A387" t="s">
        <v>417</v>
      </c>
      <c r="B387" t="s">
        <v>22</v>
      </c>
      <c r="C387" s="3">
        <v>46258</v>
      </c>
      <c r="D387" t="s">
        <v>9</v>
      </c>
      <c r="E387" s="5">
        <v>4850</v>
      </c>
      <c r="F387" s="7">
        <v>510.80999755859375</v>
      </c>
      <c r="G387" s="7">
        <v>2477428.4881591797</v>
      </c>
    </row>
    <row r="388" spans="1:7" x14ac:dyDescent="0.3">
      <c r="A388" t="s">
        <v>418</v>
      </c>
      <c r="B388" t="s">
        <v>17</v>
      </c>
      <c r="C388" s="3">
        <v>46256</v>
      </c>
      <c r="D388" t="s">
        <v>9</v>
      </c>
      <c r="E388" s="5">
        <v>3450</v>
      </c>
      <c r="F388" s="7">
        <v>392.239990234375</v>
      </c>
      <c r="G388" s="7">
        <v>1353227.9663085938</v>
      </c>
    </row>
    <row r="389" spans="1:7" x14ac:dyDescent="0.3">
      <c r="A389" t="s">
        <v>419</v>
      </c>
      <c r="B389" t="s">
        <v>13</v>
      </c>
      <c r="C389" s="3">
        <v>46256</v>
      </c>
      <c r="D389" t="s">
        <v>14</v>
      </c>
      <c r="E389" s="5">
        <v>1800</v>
      </c>
      <c r="F389" s="7">
        <v>580.78997802734375</v>
      </c>
      <c r="G389" s="7">
        <v>1045421.9604492188</v>
      </c>
    </row>
    <row r="390" spans="1:7" x14ac:dyDescent="0.3">
      <c r="A390" t="s">
        <v>420</v>
      </c>
      <c r="B390" t="s">
        <v>13</v>
      </c>
      <c r="C390" s="3">
        <v>46255</v>
      </c>
      <c r="D390" t="s">
        <v>9</v>
      </c>
      <c r="E390" s="5">
        <v>2750</v>
      </c>
      <c r="F390" s="7">
        <v>362.989990234375</v>
      </c>
      <c r="G390" s="7">
        <v>998222.47314453125</v>
      </c>
    </row>
    <row r="391" spans="1:7" x14ac:dyDescent="0.3">
      <c r="A391" t="s">
        <v>421</v>
      </c>
      <c r="B391" t="s">
        <v>11</v>
      </c>
      <c r="C391" s="3">
        <v>46258</v>
      </c>
      <c r="D391" t="s">
        <v>14</v>
      </c>
      <c r="E391" s="5">
        <v>3900</v>
      </c>
      <c r="F391" s="7">
        <v>623.8900146484375</v>
      </c>
      <c r="G391" s="7">
        <v>2433171.0571289063</v>
      </c>
    </row>
    <row r="392" spans="1:7" x14ac:dyDescent="0.3">
      <c r="A392" t="s">
        <v>422</v>
      </c>
      <c r="B392" t="s">
        <v>13</v>
      </c>
      <c r="C392" s="3">
        <v>46259</v>
      </c>
      <c r="D392" t="s">
        <v>9</v>
      </c>
      <c r="E392" s="5">
        <v>3700</v>
      </c>
      <c r="F392" s="7">
        <v>272.6400146484375</v>
      </c>
      <c r="G392" s="7">
        <v>1008768.0541992188</v>
      </c>
    </row>
    <row r="393" spans="1:7" x14ac:dyDescent="0.3">
      <c r="A393" t="s">
        <v>423</v>
      </c>
      <c r="B393" t="s">
        <v>22</v>
      </c>
      <c r="C393" s="3">
        <v>46257</v>
      </c>
      <c r="D393" t="s">
        <v>9</v>
      </c>
      <c r="E393" s="5">
        <v>4900</v>
      </c>
      <c r="F393" s="7">
        <v>459.02999877929688</v>
      </c>
      <c r="G393" s="7">
        <v>2249246.9940185547</v>
      </c>
    </row>
    <row r="394" spans="1:7" x14ac:dyDescent="0.3">
      <c r="A394" t="s">
        <v>424</v>
      </c>
      <c r="B394" t="s">
        <v>11</v>
      </c>
      <c r="C394" s="3">
        <v>46258</v>
      </c>
      <c r="D394" t="s">
        <v>9</v>
      </c>
      <c r="E394" s="5">
        <v>900</v>
      </c>
      <c r="F394" s="7">
        <v>440.39999389648438</v>
      </c>
      <c r="G394" s="7">
        <v>396359.99450683594</v>
      </c>
    </row>
    <row r="395" spans="1:7" x14ac:dyDescent="0.3">
      <c r="A395" t="s">
        <v>425</v>
      </c>
      <c r="B395" t="s">
        <v>17</v>
      </c>
      <c r="C395" s="3">
        <v>46257</v>
      </c>
      <c r="D395" t="s">
        <v>9</v>
      </c>
      <c r="E395" s="5">
        <v>1400</v>
      </c>
      <c r="F395" s="7">
        <v>583.3800048828125</v>
      </c>
      <c r="G395" s="7">
        <v>816732.0068359375</v>
      </c>
    </row>
    <row r="396" spans="1:7" x14ac:dyDescent="0.3">
      <c r="A396" t="s">
        <v>426</v>
      </c>
      <c r="B396" t="s">
        <v>22</v>
      </c>
      <c r="C396" s="3">
        <v>46255</v>
      </c>
      <c r="D396" t="s">
        <v>9</v>
      </c>
      <c r="E396" s="5">
        <v>950</v>
      </c>
      <c r="F396" s="7">
        <v>609.75</v>
      </c>
      <c r="G396" s="7">
        <v>579262.5</v>
      </c>
    </row>
    <row r="397" spans="1:7" x14ac:dyDescent="0.3">
      <c r="A397" t="s">
        <v>427</v>
      </c>
      <c r="B397" t="s">
        <v>8</v>
      </c>
      <c r="C397" s="3">
        <v>46259</v>
      </c>
      <c r="D397" t="s">
        <v>14</v>
      </c>
      <c r="E397" s="5">
        <v>3900</v>
      </c>
      <c r="F397" s="7">
        <v>320.76998901367188</v>
      </c>
      <c r="G397" s="7">
        <v>1251002.9571533203</v>
      </c>
    </row>
    <row r="398" spans="1:7" x14ac:dyDescent="0.3">
      <c r="A398" t="s">
        <v>428</v>
      </c>
      <c r="B398" t="s">
        <v>22</v>
      </c>
      <c r="C398" s="3">
        <v>46259</v>
      </c>
      <c r="D398" t="s">
        <v>9</v>
      </c>
      <c r="E398" s="5">
        <v>1700</v>
      </c>
      <c r="F398" s="7">
        <v>159.44999694824219</v>
      </c>
      <c r="G398" s="7">
        <v>271064.99481201172</v>
      </c>
    </row>
    <row r="399" spans="1:7" x14ac:dyDescent="0.3">
      <c r="A399" t="s">
        <v>429</v>
      </c>
      <c r="B399" t="s">
        <v>17</v>
      </c>
      <c r="C399" s="3">
        <v>46259</v>
      </c>
      <c r="D399" t="s">
        <v>9</v>
      </c>
      <c r="E399" s="5">
        <v>4200</v>
      </c>
      <c r="F399" s="7">
        <v>595.0999755859375</v>
      </c>
      <c r="G399" s="7">
        <v>2499419.8974609375</v>
      </c>
    </row>
    <row r="400" spans="1:7" x14ac:dyDescent="0.3">
      <c r="A400" t="s">
        <v>430</v>
      </c>
      <c r="B400" t="s">
        <v>17</v>
      </c>
      <c r="C400" s="3">
        <v>46258</v>
      </c>
      <c r="D400" t="s">
        <v>9</v>
      </c>
      <c r="E400" s="5">
        <v>2650</v>
      </c>
      <c r="F400" s="7">
        <v>439.45001220703125</v>
      </c>
      <c r="G400" s="7">
        <v>1164542.5323486328</v>
      </c>
    </row>
    <row r="401" spans="1:7" x14ac:dyDescent="0.3">
      <c r="A401" t="s">
        <v>431</v>
      </c>
      <c r="B401" t="s">
        <v>22</v>
      </c>
      <c r="C401" s="3">
        <v>46258</v>
      </c>
      <c r="D401" t="s">
        <v>9</v>
      </c>
      <c r="E401" s="5">
        <v>4100</v>
      </c>
      <c r="F401" s="7">
        <v>328.83999633789063</v>
      </c>
      <c r="G401" s="7">
        <v>1348243.9849853516</v>
      </c>
    </row>
    <row r="402" spans="1:7" x14ac:dyDescent="0.3">
      <c r="A402" t="s">
        <v>432</v>
      </c>
      <c r="B402" t="s">
        <v>17</v>
      </c>
      <c r="C402" s="3">
        <v>46257</v>
      </c>
      <c r="D402" t="s">
        <v>14</v>
      </c>
      <c r="E402" s="5">
        <v>1950</v>
      </c>
      <c r="F402" s="7">
        <v>231.80999755859375</v>
      </c>
      <c r="G402" s="7">
        <v>452029.49523925781</v>
      </c>
    </row>
    <row r="403" spans="1:7" x14ac:dyDescent="0.3">
      <c r="A403" t="s">
        <v>433</v>
      </c>
      <c r="B403" t="s">
        <v>13</v>
      </c>
      <c r="C403" s="3">
        <v>46255</v>
      </c>
      <c r="D403" t="s">
        <v>9</v>
      </c>
      <c r="E403" s="5">
        <v>350</v>
      </c>
      <c r="F403" s="7">
        <v>466.41000366210938</v>
      </c>
      <c r="G403" s="7">
        <v>163243.50128173828</v>
      </c>
    </row>
    <row r="404" spans="1:7" x14ac:dyDescent="0.3">
      <c r="A404" t="s">
        <v>434</v>
      </c>
      <c r="B404" t="s">
        <v>13</v>
      </c>
      <c r="C404" s="3">
        <v>46258</v>
      </c>
      <c r="D404" t="s">
        <v>9</v>
      </c>
      <c r="E404" s="5">
        <v>4350</v>
      </c>
      <c r="F404" s="7">
        <v>336.69000244140625</v>
      </c>
      <c r="G404" s="7">
        <v>1464601.5106201172</v>
      </c>
    </row>
    <row r="405" spans="1:7" x14ac:dyDescent="0.3">
      <c r="A405" t="s">
        <v>435</v>
      </c>
      <c r="B405" t="s">
        <v>8</v>
      </c>
      <c r="C405" s="3">
        <v>46257</v>
      </c>
      <c r="D405" t="s">
        <v>9</v>
      </c>
      <c r="E405" s="5">
        <v>850</v>
      </c>
      <c r="F405" s="7">
        <v>622.65997314453125</v>
      </c>
      <c r="G405" s="7">
        <v>529260.97717285156</v>
      </c>
    </row>
    <row r="406" spans="1:7" x14ac:dyDescent="0.3">
      <c r="A406" t="s">
        <v>436</v>
      </c>
      <c r="B406" t="s">
        <v>13</v>
      </c>
      <c r="C406" s="3">
        <v>46255</v>
      </c>
      <c r="D406" t="s">
        <v>9</v>
      </c>
      <c r="E406" s="5">
        <v>450</v>
      </c>
      <c r="F406" s="7">
        <v>283.22000122070313</v>
      </c>
      <c r="G406" s="7">
        <v>127449.00054931641</v>
      </c>
    </row>
    <row r="407" spans="1:7" x14ac:dyDescent="0.3">
      <c r="A407" t="s">
        <v>437</v>
      </c>
      <c r="B407" t="s">
        <v>13</v>
      </c>
      <c r="C407" s="3">
        <v>46256</v>
      </c>
      <c r="D407" t="s">
        <v>9</v>
      </c>
      <c r="E407" s="5">
        <v>1950</v>
      </c>
      <c r="F407" s="7">
        <v>356.260009765625</v>
      </c>
      <c r="G407" s="7">
        <v>694707.01904296875</v>
      </c>
    </row>
    <row r="408" spans="1:7" x14ac:dyDescent="0.3">
      <c r="A408" t="s">
        <v>438</v>
      </c>
      <c r="B408" t="s">
        <v>17</v>
      </c>
      <c r="C408" s="3">
        <v>46256</v>
      </c>
      <c r="D408" t="s">
        <v>9</v>
      </c>
      <c r="E408" s="5">
        <v>2350</v>
      </c>
      <c r="F408" s="7">
        <v>165.47999572753906</v>
      </c>
      <c r="G408" s="7">
        <v>388877.9899597168</v>
      </c>
    </row>
    <row r="409" spans="1:7" x14ac:dyDescent="0.3">
      <c r="A409" t="s">
        <v>439</v>
      </c>
      <c r="B409" t="s">
        <v>22</v>
      </c>
      <c r="C409" s="3">
        <v>46258</v>
      </c>
      <c r="D409" t="s">
        <v>9</v>
      </c>
      <c r="E409" s="5">
        <v>2150</v>
      </c>
      <c r="F409" s="7">
        <v>568.19000244140625</v>
      </c>
      <c r="G409" s="7">
        <v>1221608.5052490234</v>
      </c>
    </row>
    <row r="410" spans="1:7" x14ac:dyDescent="0.3">
      <c r="A410" t="s">
        <v>440</v>
      </c>
      <c r="B410" t="s">
        <v>17</v>
      </c>
      <c r="C410" s="3">
        <v>46255</v>
      </c>
      <c r="D410" t="s">
        <v>14</v>
      </c>
      <c r="E410" s="5">
        <v>400</v>
      </c>
      <c r="F410" s="7">
        <v>603.46002197265625</v>
      </c>
      <c r="G410" s="7">
        <v>241384.0087890625</v>
      </c>
    </row>
    <row r="411" spans="1:7" x14ac:dyDescent="0.3">
      <c r="A411" t="s">
        <v>441</v>
      </c>
      <c r="B411" t="s">
        <v>13</v>
      </c>
      <c r="C411" s="3">
        <v>46257</v>
      </c>
      <c r="D411" t="s">
        <v>9</v>
      </c>
      <c r="E411" s="5">
        <v>2200</v>
      </c>
      <c r="F411" s="7">
        <v>525.1300048828125</v>
      </c>
      <c r="G411" s="7">
        <v>1155286.0107421875</v>
      </c>
    </row>
    <row r="412" spans="1:7" x14ac:dyDescent="0.3">
      <c r="A412" t="s">
        <v>442</v>
      </c>
      <c r="B412" t="s">
        <v>8</v>
      </c>
      <c r="C412" s="3">
        <v>46259</v>
      </c>
      <c r="D412" t="s">
        <v>14</v>
      </c>
      <c r="E412" s="5">
        <v>1150</v>
      </c>
      <c r="F412" s="7">
        <v>328.91000366210938</v>
      </c>
      <c r="G412" s="7">
        <v>378246.50421142578</v>
      </c>
    </row>
    <row r="413" spans="1:7" x14ac:dyDescent="0.3">
      <c r="A413" t="s">
        <v>443</v>
      </c>
      <c r="B413" t="s">
        <v>8</v>
      </c>
      <c r="C413" s="3">
        <v>46255</v>
      </c>
      <c r="D413" t="s">
        <v>14</v>
      </c>
      <c r="E413" s="5">
        <v>1000</v>
      </c>
      <c r="F413" s="7">
        <v>507.95999145507813</v>
      </c>
      <c r="G413" s="7">
        <v>507959.99145507813</v>
      </c>
    </row>
    <row r="414" spans="1:7" x14ac:dyDescent="0.3">
      <c r="A414" t="s">
        <v>444</v>
      </c>
      <c r="B414" t="s">
        <v>22</v>
      </c>
      <c r="C414" s="3">
        <v>46258</v>
      </c>
      <c r="D414" t="s">
        <v>9</v>
      </c>
      <c r="E414" s="5">
        <v>1900</v>
      </c>
      <c r="F414" s="7">
        <v>396.3900146484375</v>
      </c>
      <c r="G414" s="7">
        <v>753141.02783203125</v>
      </c>
    </row>
    <row r="415" spans="1:7" x14ac:dyDescent="0.3">
      <c r="A415" t="s">
        <v>445</v>
      </c>
      <c r="B415" t="s">
        <v>22</v>
      </c>
      <c r="C415" s="3">
        <v>46258</v>
      </c>
      <c r="D415" t="s">
        <v>9</v>
      </c>
      <c r="E415" s="5">
        <v>3250</v>
      </c>
      <c r="F415" s="7">
        <v>585.0999755859375</v>
      </c>
      <c r="G415" s="7">
        <v>1901574.9206542969</v>
      </c>
    </row>
    <row r="416" spans="1:7" x14ac:dyDescent="0.3">
      <c r="A416" t="s">
        <v>446</v>
      </c>
      <c r="B416" t="s">
        <v>13</v>
      </c>
      <c r="C416" s="3">
        <v>46256</v>
      </c>
      <c r="D416" t="s">
        <v>14</v>
      </c>
      <c r="E416" s="5">
        <v>900</v>
      </c>
      <c r="F416" s="7">
        <v>519.1199951171875</v>
      </c>
      <c r="G416" s="7">
        <v>467207.99560546875</v>
      </c>
    </row>
    <row r="417" spans="1:7" x14ac:dyDescent="0.3">
      <c r="A417" t="s">
        <v>447</v>
      </c>
      <c r="B417" t="s">
        <v>13</v>
      </c>
      <c r="C417" s="3">
        <v>46259</v>
      </c>
      <c r="D417" t="s">
        <v>14</v>
      </c>
      <c r="E417" s="5">
        <v>3000</v>
      </c>
      <c r="F417" s="7">
        <v>511.05999755859375</v>
      </c>
      <c r="G417" s="7">
        <v>1533179.9926757813</v>
      </c>
    </row>
    <row r="418" spans="1:7" x14ac:dyDescent="0.3">
      <c r="A418" t="s">
        <v>448</v>
      </c>
      <c r="B418" t="s">
        <v>22</v>
      </c>
      <c r="C418" s="3">
        <v>46255</v>
      </c>
      <c r="D418" t="s">
        <v>9</v>
      </c>
      <c r="E418" s="5">
        <v>4550</v>
      </c>
      <c r="F418" s="7">
        <v>529.94000244140625</v>
      </c>
      <c r="G418" s="7">
        <v>2411227.0111083984</v>
      </c>
    </row>
    <row r="419" spans="1:7" x14ac:dyDescent="0.3">
      <c r="A419" t="s">
        <v>449</v>
      </c>
      <c r="B419" t="s">
        <v>11</v>
      </c>
      <c r="C419" s="3">
        <v>46258</v>
      </c>
      <c r="D419" t="s">
        <v>9</v>
      </c>
      <c r="E419" s="5">
        <v>3550</v>
      </c>
      <c r="F419" s="7">
        <v>249.77999877929688</v>
      </c>
      <c r="G419" s="7">
        <v>886718.99566650391</v>
      </c>
    </row>
    <row r="420" spans="1:7" x14ac:dyDescent="0.3">
      <c r="A420" t="s">
        <v>450</v>
      </c>
      <c r="B420" t="s">
        <v>8</v>
      </c>
      <c r="C420" s="3">
        <v>46255</v>
      </c>
      <c r="D420" t="s">
        <v>9</v>
      </c>
      <c r="E420" s="5">
        <v>50</v>
      </c>
      <c r="F420" s="7">
        <v>467.29000854492188</v>
      </c>
      <c r="G420" s="7">
        <v>23364.500427246094</v>
      </c>
    </row>
    <row r="421" spans="1:7" x14ac:dyDescent="0.3">
      <c r="A421" t="s">
        <v>451</v>
      </c>
      <c r="B421" t="s">
        <v>22</v>
      </c>
      <c r="C421" s="3">
        <v>46255</v>
      </c>
      <c r="D421" t="s">
        <v>9</v>
      </c>
      <c r="E421" s="5">
        <v>3800</v>
      </c>
      <c r="F421" s="7">
        <v>623.1400146484375</v>
      </c>
      <c r="G421" s="7">
        <v>2367932.0556640625</v>
      </c>
    </row>
    <row r="422" spans="1:7" x14ac:dyDescent="0.3">
      <c r="A422" t="s">
        <v>452</v>
      </c>
      <c r="B422" t="s">
        <v>8</v>
      </c>
      <c r="C422" s="3">
        <v>46259</v>
      </c>
      <c r="D422" t="s">
        <v>14</v>
      </c>
      <c r="E422" s="5">
        <v>5000</v>
      </c>
      <c r="F422" s="7">
        <v>286.08999633789063</v>
      </c>
      <c r="G422" s="7">
        <v>1430449.9816894531</v>
      </c>
    </row>
    <row r="423" spans="1:7" x14ac:dyDescent="0.3">
      <c r="A423" t="s">
        <v>453</v>
      </c>
      <c r="B423" t="s">
        <v>13</v>
      </c>
      <c r="C423" s="3">
        <v>46257</v>
      </c>
      <c r="D423" t="s">
        <v>14</v>
      </c>
      <c r="E423" s="5">
        <v>400</v>
      </c>
      <c r="F423" s="7">
        <v>584.3599853515625</v>
      </c>
      <c r="G423" s="7">
        <v>233743.994140625</v>
      </c>
    </row>
    <row r="424" spans="1:7" x14ac:dyDescent="0.3">
      <c r="A424" t="s">
        <v>454</v>
      </c>
      <c r="B424" t="s">
        <v>22</v>
      </c>
      <c r="C424" s="3">
        <v>46258</v>
      </c>
      <c r="D424" t="s">
        <v>14</v>
      </c>
      <c r="E424" s="5">
        <v>2700</v>
      </c>
      <c r="F424" s="7">
        <v>193.69999694824219</v>
      </c>
      <c r="G424" s="7">
        <v>522989.99176025391</v>
      </c>
    </row>
    <row r="425" spans="1:7" x14ac:dyDescent="0.3">
      <c r="A425" t="s">
        <v>455</v>
      </c>
      <c r="B425" t="s">
        <v>22</v>
      </c>
      <c r="C425" s="3">
        <v>46256</v>
      </c>
      <c r="D425" t="s">
        <v>9</v>
      </c>
      <c r="E425" s="5">
        <v>1700</v>
      </c>
      <c r="F425" s="7">
        <v>616.42999267578125</v>
      </c>
      <c r="G425" s="7">
        <v>1047930.9875488281</v>
      </c>
    </row>
    <row r="426" spans="1:7" x14ac:dyDescent="0.3">
      <c r="A426" t="s">
        <v>456</v>
      </c>
      <c r="B426" t="s">
        <v>22</v>
      </c>
      <c r="C426" s="3">
        <v>46258</v>
      </c>
      <c r="D426" t="s">
        <v>9</v>
      </c>
      <c r="E426" s="5">
        <v>4150</v>
      </c>
      <c r="F426" s="7">
        <v>610.8800048828125</v>
      </c>
      <c r="G426" s="7">
        <v>2535152.0202636719</v>
      </c>
    </row>
    <row r="427" spans="1:7" x14ac:dyDescent="0.3">
      <c r="A427" t="s">
        <v>457</v>
      </c>
      <c r="B427" t="s">
        <v>11</v>
      </c>
      <c r="C427" s="3">
        <v>46258</v>
      </c>
      <c r="D427" t="s">
        <v>14</v>
      </c>
      <c r="E427" s="5">
        <v>2450</v>
      </c>
      <c r="F427" s="7">
        <v>255.58000183105469</v>
      </c>
      <c r="G427" s="7">
        <v>626171.00448608398</v>
      </c>
    </row>
    <row r="428" spans="1:7" x14ac:dyDescent="0.3">
      <c r="A428" t="s">
        <v>458</v>
      </c>
      <c r="B428" t="s">
        <v>13</v>
      </c>
      <c r="C428" s="3">
        <v>46258</v>
      </c>
      <c r="D428" t="s">
        <v>14</v>
      </c>
      <c r="E428" s="5">
        <v>1100</v>
      </c>
      <c r="F428" s="7">
        <v>257.67001342773438</v>
      </c>
      <c r="G428" s="7">
        <v>283437.01477050781</v>
      </c>
    </row>
    <row r="429" spans="1:7" x14ac:dyDescent="0.3">
      <c r="A429" t="s">
        <v>459</v>
      </c>
      <c r="B429" t="s">
        <v>13</v>
      </c>
      <c r="C429" s="3">
        <v>46259</v>
      </c>
      <c r="D429" t="s">
        <v>14</v>
      </c>
      <c r="E429" s="5">
        <v>50</v>
      </c>
      <c r="F429" s="7">
        <v>239.69999694824219</v>
      </c>
      <c r="G429" s="7">
        <v>11984.999847412109</v>
      </c>
    </row>
    <row r="430" spans="1:7" x14ac:dyDescent="0.3">
      <c r="A430" t="s">
        <v>460</v>
      </c>
      <c r="B430" t="s">
        <v>22</v>
      </c>
      <c r="C430" s="3">
        <v>46256</v>
      </c>
      <c r="D430" t="s">
        <v>14</v>
      </c>
      <c r="E430" s="5">
        <v>50</v>
      </c>
      <c r="F430" s="7">
        <v>364.41000366210938</v>
      </c>
      <c r="G430" s="7">
        <v>18220.500183105469</v>
      </c>
    </row>
    <row r="431" spans="1:7" x14ac:dyDescent="0.3">
      <c r="A431" t="s">
        <v>461</v>
      </c>
      <c r="B431" t="s">
        <v>13</v>
      </c>
      <c r="C431" s="3">
        <v>46255</v>
      </c>
      <c r="D431" t="s">
        <v>9</v>
      </c>
      <c r="E431" s="5">
        <v>2050</v>
      </c>
      <c r="F431" s="7">
        <v>281.76998901367188</v>
      </c>
      <c r="G431" s="7">
        <v>577628.47747802734</v>
      </c>
    </row>
    <row r="432" spans="1:7" x14ac:dyDescent="0.3">
      <c r="A432" t="s">
        <v>462</v>
      </c>
      <c r="B432" t="s">
        <v>17</v>
      </c>
      <c r="C432" s="3">
        <v>46255</v>
      </c>
      <c r="D432" t="s">
        <v>9</v>
      </c>
      <c r="E432" s="5">
        <v>3250</v>
      </c>
      <c r="F432" s="7">
        <v>507.60000610351563</v>
      </c>
      <c r="G432" s="7">
        <v>1649700.0198364258</v>
      </c>
    </row>
    <row r="433" spans="1:7" x14ac:dyDescent="0.3">
      <c r="A433" t="s">
        <v>463</v>
      </c>
      <c r="B433" t="s">
        <v>17</v>
      </c>
      <c r="C433" s="3">
        <v>46257</v>
      </c>
      <c r="D433" t="s">
        <v>14</v>
      </c>
      <c r="E433" s="5">
        <v>4700</v>
      </c>
      <c r="F433" s="7">
        <v>468.29998779296875</v>
      </c>
      <c r="G433" s="7">
        <v>2201009.9426269531</v>
      </c>
    </row>
    <row r="434" spans="1:7" x14ac:dyDescent="0.3">
      <c r="A434" t="s">
        <v>464</v>
      </c>
      <c r="B434" t="s">
        <v>8</v>
      </c>
      <c r="C434" s="3">
        <v>46258</v>
      </c>
      <c r="D434" t="s">
        <v>14</v>
      </c>
      <c r="E434" s="5">
        <v>100</v>
      </c>
      <c r="F434" s="7">
        <v>570.8699951171875</v>
      </c>
      <c r="G434" s="7">
        <v>57086.99951171875</v>
      </c>
    </row>
    <row r="435" spans="1:7" x14ac:dyDescent="0.3">
      <c r="A435" t="s">
        <v>465</v>
      </c>
      <c r="B435" t="s">
        <v>11</v>
      </c>
      <c r="C435" s="3">
        <v>46258</v>
      </c>
      <c r="D435" t="s">
        <v>9</v>
      </c>
      <c r="E435" s="5">
        <v>3000</v>
      </c>
      <c r="F435" s="7">
        <v>282.77999877929688</v>
      </c>
      <c r="G435" s="7">
        <v>848339.99633789063</v>
      </c>
    </row>
    <row r="436" spans="1:7" x14ac:dyDescent="0.3">
      <c r="A436" t="s">
        <v>466</v>
      </c>
      <c r="B436" t="s">
        <v>8</v>
      </c>
      <c r="C436" s="3">
        <v>46257</v>
      </c>
      <c r="D436" t="s">
        <v>14</v>
      </c>
      <c r="E436" s="5">
        <v>1850</v>
      </c>
      <c r="F436" s="7">
        <v>280.6199951171875</v>
      </c>
      <c r="G436" s="7">
        <v>519146.99096679688</v>
      </c>
    </row>
    <row r="437" spans="1:7" x14ac:dyDescent="0.3">
      <c r="A437" t="s">
        <v>467</v>
      </c>
      <c r="B437" t="s">
        <v>17</v>
      </c>
      <c r="C437" s="3">
        <v>46255</v>
      </c>
      <c r="D437" t="s">
        <v>14</v>
      </c>
      <c r="E437" s="5">
        <v>1050</v>
      </c>
      <c r="F437" s="7">
        <v>254.6300048828125</v>
      </c>
      <c r="G437" s="7">
        <v>267361.50512695313</v>
      </c>
    </row>
    <row r="438" spans="1:7" x14ac:dyDescent="0.3">
      <c r="A438" t="s">
        <v>468</v>
      </c>
      <c r="B438" t="s">
        <v>13</v>
      </c>
      <c r="C438" s="3">
        <v>46259</v>
      </c>
      <c r="D438" t="s">
        <v>9</v>
      </c>
      <c r="E438" s="5">
        <v>200</v>
      </c>
      <c r="F438" s="7">
        <v>214.6199951171875</v>
      </c>
      <c r="G438" s="7">
        <v>42923.9990234375</v>
      </c>
    </row>
    <row r="439" spans="1:7" x14ac:dyDescent="0.3">
      <c r="A439" t="s">
        <v>469</v>
      </c>
      <c r="B439" t="s">
        <v>17</v>
      </c>
      <c r="C439" s="3">
        <v>46257</v>
      </c>
      <c r="D439" t="s">
        <v>9</v>
      </c>
      <c r="E439" s="5">
        <v>850</v>
      </c>
      <c r="F439" s="7">
        <v>188.5</v>
      </c>
      <c r="G439" s="7">
        <v>160225</v>
      </c>
    </row>
    <row r="440" spans="1:7" x14ac:dyDescent="0.3">
      <c r="A440" t="s">
        <v>470</v>
      </c>
      <c r="B440" t="s">
        <v>13</v>
      </c>
      <c r="C440" s="3">
        <v>46257</v>
      </c>
      <c r="D440" t="s">
        <v>9</v>
      </c>
      <c r="E440" s="5">
        <v>2550</v>
      </c>
      <c r="F440" s="7">
        <v>432.70999145507813</v>
      </c>
      <c r="G440" s="7">
        <v>1103410.4782104492</v>
      </c>
    </row>
    <row r="441" spans="1:7" x14ac:dyDescent="0.3">
      <c r="A441" t="s">
        <v>471</v>
      </c>
      <c r="B441" t="s">
        <v>11</v>
      </c>
      <c r="C441" s="3">
        <v>46258</v>
      </c>
      <c r="D441" t="s">
        <v>9</v>
      </c>
      <c r="E441" s="5">
        <v>1300</v>
      </c>
      <c r="F441" s="7">
        <v>251.36000061035156</v>
      </c>
      <c r="G441" s="7">
        <v>326768.00079345703</v>
      </c>
    </row>
    <row r="442" spans="1:7" x14ac:dyDescent="0.3">
      <c r="A442" t="s">
        <v>472</v>
      </c>
      <c r="B442" t="s">
        <v>17</v>
      </c>
      <c r="C442" s="3">
        <v>46258</v>
      </c>
      <c r="D442" t="s">
        <v>9</v>
      </c>
      <c r="E442" s="5">
        <v>1100</v>
      </c>
      <c r="F442" s="7">
        <v>614.07000732421875</v>
      </c>
      <c r="G442" s="7">
        <v>675477.00805664063</v>
      </c>
    </row>
    <row r="443" spans="1:7" x14ac:dyDescent="0.3">
      <c r="A443" t="s">
        <v>473</v>
      </c>
      <c r="B443" t="s">
        <v>17</v>
      </c>
      <c r="C443" s="3">
        <v>46259</v>
      </c>
      <c r="D443" t="s">
        <v>14</v>
      </c>
      <c r="E443" s="5">
        <v>500</v>
      </c>
      <c r="F443" s="7">
        <v>619.67999267578125</v>
      </c>
      <c r="G443" s="7">
        <v>309839.99633789063</v>
      </c>
    </row>
    <row r="444" spans="1:7" x14ac:dyDescent="0.3">
      <c r="A444" t="s">
        <v>474</v>
      </c>
      <c r="B444" t="s">
        <v>11</v>
      </c>
      <c r="C444" s="3">
        <v>46256</v>
      </c>
      <c r="D444" t="s">
        <v>14</v>
      </c>
      <c r="E444" s="5">
        <v>2950</v>
      </c>
      <c r="F444" s="7">
        <v>477.39999389648438</v>
      </c>
      <c r="G444" s="7">
        <v>1408329.9819946289</v>
      </c>
    </row>
    <row r="445" spans="1:7" x14ac:dyDescent="0.3">
      <c r="A445" t="s">
        <v>475</v>
      </c>
      <c r="B445" t="s">
        <v>11</v>
      </c>
      <c r="C445" s="3">
        <v>46255</v>
      </c>
      <c r="D445" t="s">
        <v>14</v>
      </c>
      <c r="E445" s="5">
        <v>400</v>
      </c>
      <c r="F445" s="7">
        <v>302.47000122070313</v>
      </c>
      <c r="G445" s="7">
        <v>120988.00048828125</v>
      </c>
    </row>
    <row r="446" spans="1:7" x14ac:dyDescent="0.3">
      <c r="A446" t="s">
        <v>476</v>
      </c>
      <c r="B446" t="s">
        <v>22</v>
      </c>
      <c r="C446" s="3">
        <v>46255</v>
      </c>
      <c r="D446" t="s">
        <v>9</v>
      </c>
      <c r="E446" s="5">
        <v>2150</v>
      </c>
      <c r="F446" s="7">
        <v>648.15997314453125</v>
      </c>
      <c r="G446" s="7">
        <v>1393543.9422607422</v>
      </c>
    </row>
    <row r="447" spans="1:7" x14ac:dyDescent="0.3">
      <c r="A447" t="s">
        <v>477</v>
      </c>
      <c r="B447" t="s">
        <v>8</v>
      </c>
      <c r="C447" s="3">
        <v>46256</v>
      </c>
      <c r="D447" t="s">
        <v>9</v>
      </c>
      <c r="E447" s="5">
        <v>4600</v>
      </c>
      <c r="F447" s="7">
        <v>320.95001220703125</v>
      </c>
      <c r="G447" s="7">
        <v>1476370.0561523438</v>
      </c>
    </row>
    <row r="448" spans="1:7" x14ac:dyDescent="0.3">
      <c r="A448" t="s">
        <v>478</v>
      </c>
      <c r="B448" t="s">
        <v>13</v>
      </c>
      <c r="C448" s="3">
        <v>46256</v>
      </c>
      <c r="D448" t="s">
        <v>9</v>
      </c>
      <c r="E448" s="5">
        <v>3050</v>
      </c>
      <c r="F448" s="7">
        <v>150.75</v>
      </c>
      <c r="G448" s="7">
        <v>459787.5</v>
      </c>
    </row>
    <row r="449" spans="1:7" x14ac:dyDescent="0.3">
      <c r="A449" t="s">
        <v>479</v>
      </c>
      <c r="B449" t="s">
        <v>13</v>
      </c>
      <c r="C449" s="3">
        <v>46259</v>
      </c>
      <c r="D449" t="s">
        <v>14</v>
      </c>
      <c r="E449" s="5">
        <v>2250</v>
      </c>
      <c r="F449" s="7">
        <v>513.20001220703125</v>
      </c>
      <c r="G449" s="7">
        <v>1154700.0274658203</v>
      </c>
    </row>
    <row r="450" spans="1:7" x14ac:dyDescent="0.3">
      <c r="A450" t="s">
        <v>480</v>
      </c>
      <c r="B450" t="s">
        <v>11</v>
      </c>
      <c r="C450" s="3">
        <v>46256</v>
      </c>
      <c r="D450" t="s">
        <v>14</v>
      </c>
      <c r="E450" s="5">
        <v>50</v>
      </c>
      <c r="F450" s="7">
        <v>525.6500244140625</v>
      </c>
      <c r="G450" s="7">
        <v>26282.501220703125</v>
      </c>
    </row>
    <row r="451" spans="1:7" x14ac:dyDescent="0.3">
      <c r="A451" t="s">
        <v>481</v>
      </c>
      <c r="B451" t="s">
        <v>11</v>
      </c>
      <c r="C451" s="3">
        <v>46256</v>
      </c>
      <c r="D451" t="s">
        <v>14</v>
      </c>
      <c r="E451" s="5">
        <v>3400</v>
      </c>
      <c r="F451" s="7">
        <v>463.92999267578125</v>
      </c>
      <c r="G451" s="7">
        <v>1577361.9750976563</v>
      </c>
    </row>
    <row r="452" spans="1:7" x14ac:dyDescent="0.3">
      <c r="A452" t="s">
        <v>482</v>
      </c>
      <c r="B452" t="s">
        <v>11</v>
      </c>
      <c r="C452" s="3">
        <v>46259</v>
      </c>
      <c r="D452" t="s">
        <v>9</v>
      </c>
      <c r="E452" s="5">
        <v>4250</v>
      </c>
      <c r="F452" s="7">
        <v>483.51998901367188</v>
      </c>
      <c r="G452" s="7">
        <v>2054959.9533081055</v>
      </c>
    </row>
    <row r="453" spans="1:7" x14ac:dyDescent="0.3">
      <c r="A453" t="s">
        <v>483</v>
      </c>
      <c r="B453" t="s">
        <v>22</v>
      </c>
      <c r="C453" s="3">
        <v>46259</v>
      </c>
      <c r="D453" t="s">
        <v>14</v>
      </c>
      <c r="E453" s="5">
        <v>4100</v>
      </c>
      <c r="F453" s="7">
        <v>579.55999755859375</v>
      </c>
      <c r="G453" s="7">
        <v>2376195.9899902344</v>
      </c>
    </row>
    <row r="454" spans="1:7" x14ac:dyDescent="0.3">
      <c r="A454" t="s">
        <v>484</v>
      </c>
      <c r="B454" t="s">
        <v>8</v>
      </c>
      <c r="C454" s="3">
        <v>46256</v>
      </c>
      <c r="D454" t="s">
        <v>14</v>
      </c>
      <c r="E454" s="5">
        <v>650</v>
      </c>
      <c r="F454" s="7">
        <v>234.92999267578125</v>
      </c>
      <c r="G454" s="7">
        <v>152704.49523925781</v>
      </c>
    </row>
    <row r="455" spans="1:7" x14ac:dyDescent="0.3">
      <c r="A455" t="s">
        <v>485</v>
      </c>
      <c r="B455" t="s">
        <v>8</v>
      </c>
      <c r="C455" s="3">
        <v>46259</v>
      </c>
      <c r="D455" t="s">
        <v>14</v>
      </c>
      <c r="E455" s="5">
        <v>4200</v>
      </c>
      <c r="F455" s="7">
        <v>206.03999328613281</v>
      </c>
      <c r="G455" s="7">
        <v>865367.97180175781</v>
      </c>
    </row>
    <row r="456" spans="1:7" x14ac:dyDescent="0.3">
      <c r="A456" t="s">
        <v>487</v>
      </c>
      <c r="B456" t="s">
        <v>17</v>
      </c>
      <c r="C456" s="3">
        <v>46259</v>
      </c>
      <c r="D456" t="s">
        <v>9</v>
      </c>
      <c r="E456" s="5">
        <v>1500</v>
      </c>
      <c r="F456" s="7">
        <v>263.32998657226563</v>
      </c>
      <c r="G456" s="7">
        <v>394994.97985839844</v>
      </c>
    </row>
    <row r="457" spans="1:7" x14ac:dyDescent="0.3">
      <c r="A457" t="s">
        <v>488</v>
      </c>
      <c r="B457" t="s">
        <v>8</v>
      </c>
      <c r="C457" s="3">
        <v>46258</v>
      </c>
      <c r="D457" t="s">
        <v>14</v>
      </c>
      <c r="E457" s="5">
        <v>4350</v>
      </c>
      <c r="F457" s="7">
        <v>490.239990234375</v>
      </c>
      <c r="G457" s="7">
        <v>2132543.9575195313</v>
      </c>
    </row>
    <row r="458" spans="1:7" x14ac:dyDescent="0.3">
      <c r="A458" t="s">
        <v>489</v>
      </c>
      <c r="B458" t="s">
        <v>11</v>
      </c>
      <c r="C458" s="3">
        <v>46258</v>
      </c>
      <c r="D458" t="s">
        <v>14</v>
      </c>
      <c r="E458" s="5">
        <v>2400</v>
      </c>
      <c r="F458" s="7">
        <v>376.23001098632813</v>
      </c>
      <c r="G458" s="7">
        <v>902952.0263671875</v>
      </c>
    </row>
    <row r="459" spans="1:7" x14ac:dyDescent="0.3">
      <c r="A459" t="s">
        <v>490</v>
      </c>
      <c r="B459" t="s">
        <v>13</v>
      </c>
      <c r="C459" s="3">
        <v>46257</v>
      </c>
      <c r="D459" t="s">
        <v>9</v>
      </c>
      <c r="E459" s="5">
        <v>3800</v>
      </c>
      <c r="F459" s="7">
        <v>462.8699951171875</v>
      </c>
      <c r="G459" s="7">
        <v>1758905.9814453125</v>
      </c>
    </row>
    <row r="460" spans="1:7" x14ac:dyDescent="0.3">
      <c r="A460" t="s">
        <v>491</v>
      </c>
      <c r="B460" t="s">
        <v>8</v>
      </c>
      <c r="C460" s="3">
        <v>46256</v>
      </c>
      <c r="D460" t="s">
        <v>14</v>
      </c>
      <c r="E460" s="5">
        <v>4950</v>
      </c>
      <c r="F460" s="7">
        <v>473.41000366210938</v>
      </c>
      <c r="G460" s="7">
        <v>2343379.5181274414</v>
      </c>
    </row>
    <row r="461" spans="1:7" x14ac:dyDescent="0.3">
      <c r="A461" t="s">
        <v>492</v>
      </c>
      <c r="B461" t="s">
        <v>13</v>
      </c>
      <c r="C461" s="3">
        <v>46259</v>
      </c>
      <c r="D461" t="s">
        <v>14</v>
      </c>
      <c r="E461" s="5">
        <v>2400</v>
      </c>
      <c r="F461" s="7">
        <v>506.8699951171875</v>
      </c>
      <c r="G461" s="7">
        <v>1216487.98828125</v>
      </c>
    </row>
    <row r="462" spans="1:7" x14ac:dyDescent="0.3">
      <c r="A462" t="s">
        <v>493</v>
      </c>
      <c r="B462" t="s">
        <v>8</v>
      </c>
      <c r="C462" s="3">
        <v>46256</v>
      </c>
      <c r="D462" t="s">
        <v>9</v>
      </c>
      <c r="E462" s="5">
        <v>3700</v>
      </c>
      <c r="F462" s="7">
        <v>530.92999267578125</v>
      </c>
      <c r="G462" s="7">
        <v>1964440.9729003906</v>
      </c>
    </row>
    <row r="463" spans="1:7" x14ac:dyDescent="0.3">
      <c r="A463" t="s">
        <v>494</v>
      </c>
      <c r="B463" t="s">
        <v>13</v>
      </c>
      <c r="C463" s="3">
        <v>46257</v>
      </c>
      <c r="D463" t="s">
        <v>9</v>
      </c>
      <c r="E463" s="5">
        <v>1950</v>
      </c>
      <c r="F463" s="7">
        <v>220.58999633789063</v>
      </c>
      <c r="G463" s="7">
        <v>430150.49285888672</v>
      </c>
    </row>
    <row r="464" spans="1:7" x14ac:dyDescent="0.3">
      <c r="A464" t="s">
        <v>495</v>
      </c>
      <c r="B464" t="s">
        <v>22</v>
      </c>
      <c r="C464" s="3">
        <v>46257</v>
      </c>
      <c r="D464" t="s">
        <v>14</v>
      </c>
      <c r="E464" s="5">
        <v>600</v>
      </c>
      <c r="F464" s="7">
        <v>314.3599853515625</v>
      </c>
      <c r="G464" s="7">
        <v>188615.9912109375</v>
      </c>
    </row>
    <row r="465" spans="1:7" x14ac:dyDescent="0.3">
      <c r="A465" t="s">
        <v>496</v>
      </c>
      <c r="B465" t="s">
        <v>13</v>
      </c>
      <c r="C465" s="3">
        <v>46255</v>
      </c>
      <c r="D465" t="s">
        <v>9</v>
      </c>
      <c r="E465" s="5">
        <v>350</v>
      </c>
      <c r="F465" s="7">
        <v>284.91000366210938</v>
      </c>
      <c r="G465" s="7">
        <v>99718.501281738281</v>
      </c>
    </row>
    <row r="466" spans="1:7" x14ac:dyDescent="0.3">
      <c r="A466" t="s">
        <v>497</v>
      </c>
      <c r="B466" t="s">
        <v>13</v>
      </c>
      <c r="C466" s="3">
        <v>46258</v>
      </c>
      <c r="D466" t="s">
        <v>14</v>
      </c>
      <c r="E466" s="5">
        <v>2000</v>
      </c>
      <c r="F466" s="7">
        <v>246.05000305175781</v>
      </c>
      <c r="G466" s="7">
        <v>492100.00610351563</v>
      </c>
    </row>
    <row r="467" spans="1:7" x14ac:dyDescent="0.3">
      <c r="A467" t="s">
        <v>498</v>
      </c>
      <c r="B467" t="s">
        <v>13</v>
      </c>
      <c r="C467" s="3">
        <v>46257</v>
      </c>
      <c r="D467" t="s">
        <v>9</v>
      </c>
      <c r="E467" s="5">
        <v>4900</v>
      </c>
      <c r="F467" s="7">
        <v>642.91998291015625</v>
      </c>
      <c r="G467" s="7">
        <v>3150307.9162597656</v>
      </c>
    </row>
    <row r="468" spans="1:7" x14ac:dyDescent="0.3">
      <c r="A468" t="s">
        <v>499</v>
      </c>
      <c r="B468" t="s">
        <v>22</v>
      </c>
      <c r="C468" s="3">
        <v>46255</v>
      </c>
      <c r="D468" t="s">
        <v>9</v>
      </c>
      <c r="E468" s="5">
        <v>2250</v>
      </c>
      <c r="F468" s="7">
        <v>397.260009765625</v>
      </c>
      <c r="G468" s="7">
        <v>893835.02197265625</v>
      </c>
    </row>
    <row r="469" spans="1:7" x14ac:dyDescent="0.3">
      <c r="A469" t="s">
        <v>500</v>
      </c>
      <c r="B469" t="s">
        <v>17</v>
      </c>
      <c r="C469" s="3">
        <v>46258</v>
      </c>
      <c r="D469" t="s">
        <v>9</v>
      </c>
      <c r="E469" s="5">
        <v>750</v>
      </c>
      <c r="F469" s="7">
        <v>304.60000610351563</v>
      </c>
      <c r="G469" s="7">
        <v>228450.00457763672</v>
      </c>
    </row>
    <row r="470" spans="1:7" x14ac:dyDescent="0.3">
      <c r="A470" t="s">
        <v>501</v>
      </c>
      <c r="B470" t="s">
        <v>13</v>
      </c>
      <c r="C470" s="3">
        <v>46256</v>
      </c>
      <c r="D470" t="s">
        <v>9</v>
      </c>
      <c r="E470" s="5">
        <v>2900</v>
      </c>
      <c r="F470" s="7">
        <v>605.3499755859375</v>
      </c>
      <c r="G470" s="7">
        <v>1755514.9291992188</v>
      </c>
    </row>
    <row r="471" spans="1:7" x14ac:dyDescent="0.3">
      <c r="A471" t="s">
        <v>502</v>
      </c>
      <c r="B471" t="s">
        <v>22</v>
      </c>
      <c r="C471" s="3">
        <v>46255</v>
      </c>
      <c r="D471" t="s">
        <v>14</v>
      </c>
      <c r="E471" s="5">
        <v>1650</v>
      </c>
      <c r="F471" s="7">
        <v>276.510009765625</v>
      </c>
      <c r="G471" s="7">
        <v>456241.51611328125</v>
      </c>
    </row>
    <row r="472" spans="1:7" x14ac:dyDescent="0.3">
      <c r="A472" t="s">
        <v>503</v>
      </c>
      <c r="B472" t="s">
        <v>13</v>
      </c>
      <c r="C472" s="3">
        <v>46255</v>
      </c>
      <c r="D472" t="s">
        <v>14</v>
      </c>
      <c r="E472" s="5">
        <v>4050</v>
      </c>
      <c r="F472" s="7">
        <v>216.00999450683594</v>
      </c>
      <c r="G472" s="7">
        <v>874840.47775268555</v>
      </c>
    </row>
    <row r="473" spans="1:7" x14ac:dyDescent="0.3">
      <c r="A473" t="s">
        <v>504</v>
      </c>
      <c r="B473" t="s">
        <v>13</v>
      </c>
      <c r="C473" s="3">
        <v>46259</v>
      </c>
      <c r="D473" t="s">
        <v>14</v>
      </c>
      <c r="E473" s="5">
        <v>950</v>
      </c>
      <c r="F473" s="7">
        <v>616.47998046875</v>
      </c>
      <c r="G473" s="7">
        <v>585655.9814453125</v>
      </c>
    </row>
    <row r="474" spans="1:7" x14ac:dyDescent="0.3">
      <c r="A474" t="s">
        <v>505</v>
      </c>
      <c r="B474" t="s">
        <v>11</v>
      </c>
      <c r="C474" s="3">
        <v>46257</v>
      </c>
      <c r="D474" t="s">
        <v>14</v>
      </c>
      <c r="E474" s="5">
        <v>1050</v>
      </c>
      <c r="F474" s="7">
        <v>450.3800048828125</v>
      </c>
      <c r="G474" s="7">
        <v>472899.00512695313</v>
      </c>
    </row>
    <row r="475" spans="1:7" x14ac:dyDescent="0.3">
      <c r="A475" t="s">
        <v>506</v>
      </c>
      <c r="B475" t="s">
        <v>22</v>
      </c>
      <c r="C475" s="3">
        <v>46259</v>
      </c>
      <c r="D475" t="s">
        <v>9</v>
      </c>
      <c r="E475" s="5">
        <v>4650</v>
      </c>
      <c r="F475" s="7">
        <v>242.02000427246094</v>
      </c>
      <c r="G475" s="7">
        <v>1125393.0198669434</v>
      </c>
    </row>
    <row r="476" spans="1:7" x14ac:dyDescent="0.3">
      <c r="A476" t="s">
        <v>507</v>
      </c>
      <c r="B476" t="s">
        <v>17</v>
      </c>
      <c r="C476" s="3">
        <v>46255</v>
      </c>
      <c r="D476" t="s">
        <v>9</v>
      </c>
      <c r="E476" s="5">
        <v>2500</v>
      </c>
      <c r="F476" s="7">
        <v>410.66000366210938</v>
      </c>
      <c r="G476" s="7">
        <v>1026650.0091552734</v>
      </c>
    </row>
    <row r="477" spans="1:7" x14ac:dyDescent="0.3">
      <c r="A477" t="s">
        <v>508</v>
      </c>
      <c r="B477" t="s">
        <v>13</v>
      </c>
      <c r="C477" s="3">
        <v>46256</v>
      </c>
      <c r="D477" t="s">
        <v>14</v>
      </c>
      <c r="E477" s="5">
        <v>4450</v>
      </c>
      <c r="F477" s="7">
        <v>537.1099853515625</v>
      </c>
      <c r="G477" s="7">
        <v>2390139.4348144531</v>
      </c>
    </row>
    <row r="478" spans="1:7" x14ac:dyDescent="0.3">
      <c r="A478" t="s">
        <v>509</v>
      </c>
      <c r="B478" t="s">
        <v>22</v>
      </c>
      <c r="C478" s="3">
        <v>46258</v>
      </c>
      <c r="D478" t="s">
        <v>9</v>
      </c>
      <c r="E478" s="5">
        <v>4850</v>
      </c>
      <c r="F478" s="7">
        <v>171.91000366210938</v>
      </c>
      <c r="G478" s="7">
        <v>833763.51776123047</v>
      </c>
    </row>
    <row r="479" spans="1:7" x14ac:dyDescent="0.3">
      <c r="A479" t="s">
        <v>510</v>
      </c>
      <c r="B479" t="s">
        <v>17</v>
      </c>
      <c r="C479" s="3">
        <v>46258</v>
      </c>
      <c r="D479" t="s">
        <v>9</v>
      </c>
      <c r="E479" s="5">
        <v>1950</v>
      </c>
      <c r="F479" s="7">
        <v>474.14999389648438</v>
      </c>
      <c r="G479" s="7">
        <v>924592.48809814453</v>
      </c>
    </row>
    <row r="480" spans="1:7" x14ac:dyDescent="0.3">
      <c r="A480" t="s">
        <v>511</v>
      </c>
      <c r="B480" t="s">
        <v>11</v>
      </c>
      <c r="C480" s="3">
        <v>46258</v>
      </c>
      <c r="D480" t="s">
        <v>14</v>
      </c>
      <c r="E480" s="5">
        <v>3050</v>
      </c>
      <c r="F480" s="7">
        <v>424.10000610351563</v>
      </c>
      <c r="G480" s="7">
        <v>1293505.0186157227</v>
      </c>
    </row>
    <row r="481" spans="1:7" x14ac:dyDescent="0.3">
      <c r="A481" t="s">
        <v>512</v>
      </c>
      <c r="B481" t="s">
        <v>13</v>
      </c>
      <c r="C481" s="3">
        <v>46256</v>
      </c>
      <c r="D481" t="s">
        <v>9</v>
      </c>
      <c r="E481" s="5">
        <v>250</v>
      </c>
      <c r="F481" s="7">
        <v>342.52999877929688</v>
      </c>
      <c r="G481" s="7">
        <v>85632.499694824219</v>
      </c>
    </row>
    <row r="482" spans="1:7" x14ac:dyDescent="0.3">
      <c r="A482" t="s">
        <v>513</v>
      </c>
      <c r="B482" t="s">
        <v>13</v>
      </c>
      <c r="C482" s="3">
        <v>46255</v>
      </c>
      <c r="D482" t="s">
        <v>9</v>
      </c>
      <c r="E482" s="5">
        <v>1050</v>
      </c>
      <c r="F482" s="7">
        <v>451</v>
      </c>
      <c r="G482" s="7">
        <v>473550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42622-7937-4B4F-9A25-6210210CCA5C}">
  <sheetPr codeName="Sheet3"/>
  <dimension ref="A1:G476"/>
  <sheetViews>
    <sheetView topLeftCell="A450" workbookViewId="0">
      <selection activeCell="A2" sqref="A2:A476"/>
    </sheetView>
  </sheetViews>
  <sheetFormatPr defaultRowHeight="14.4" x14ac:dyDescent="0.3"/>
  <cols>
    <col min="1" max="1" width="9.88671875" bestFit="1" customWidth="1"/>
    <col min="2" max="2" width="12.88671875" bestFit="1" customWidth="1"/>
    <col min="3" max="3" width="11.33203125" style="3" bestFit="1" customWidth="1"/>
    <col min="4" max="4" width="8.6640625" bestFit="1" customWidth="1"/>
    <col min="5" max="5" width="8.109375" style="5" bestFit="1" customWidth="1"/>
    <col min="6" max="6" width="9.77734375" style="7" bestFit="1" customWidth="1"/>
    <col min="7" max="7" width="15" style="7" bestFit="1" customWidth="1"/>
  </cols>
  <sheetData>
    <row r="1" spans="1:7" x14ac:dyDescent="0.3">
      <c r="A1" s="1" t="s">
        <v>0</v>
      </c>
      <c r="B1" s="1" t="s">
        <v>1</v>
      </c>
      <c r="C1" s="2" t="s">
        <v>2</v>
      </c>
      <c r="D1" s="1" t="s">
        <v>3</v>
      </c>
      <c r="E1" s="4" t="s">
        <v>4</v>
      </c>
      <c r="F1" s="6" t="s">
        <v>5</v>
      </c>
      <c r="G1" s="6" t="s">
        <v>6</v>
      </c>
    </row>
    <row r="2" spans="1:7" x14ac:dyDescent="0.3">
      <c r="A2" t="s">
        <v>7</v>
      </c>
      <c r="B2" t="s">
        <v>8</v>
      </c>
      <c r="C2" s="3">
        <v>46257</v>
      </c>
      <c r="D2" t="s">
        <v>9</v>
      </c>
      <c r="E2" s="5">
        <v>1450</v>
      </c>
      <c r="F2" s="7">
        <v>300.97000122070313</v>
      </c>
      <c r="G2" s="7">
        <v>436406.50177001953</v>
      </c>
    </row>
    <row r="3" spans="1:7" x14ac:dyDescent="0.3">
      <c r="A3" t="s">
        <v>10</v>
      </c>
      <c r="B3" t="s">
        <v>11</v>
      </c>
      <c r="C3" s="3">
        <v>46256</v>
      </c>
      <c r="D3" t="s">
        <v>9</v>
      </c>
      <c r="E3" s="5">
        <v>3550</v>
      </c>
      <c r="F3" s="7">
        <v>172.67999267578125</v>
      </c>
      <c r="G3" s="7">
        <v>613013.97399902344</v>
      </c>
    </row>
    <row r="4" spans="1:7" x14ac:dyDescent="0.3">
      <c r="A4" t="s">
        <v>12</v>
      </c>
      <c r="B4" t="s">
        <v>13</v>
      </c>
      <c r="C4" s="3">
        <v>46256</v>
      </c>
      <c r="D4" t="s">
        <v>14</v>
      </c>
      <c r="E4" s="5">
        <v>4850</v>
      </c>
      <c r="F4" s="7">
        <v>585.719970703125</v>
      </c>
      <c r="G4" s="7">
        <v>2840741.8579101563</v>
      </c>
    </row>
    <row r="5" spans="1:7" x14ac:dyDescent="0.3">
      <c r="A5" t="s">
        <v>15</v>
      </c>
      <c r="B5" t="s">
        <v>13</v>
      </c>
      <c r="C5" s="3">
        <v>46258</v>
      </c>
      <c r="D5" t="s">
        <v>9</v>
      </c>
      <c r="E5" s="5">
        <v>3850</v>
      </c>
      <c r="F5" s="7">
        <v>176.75</v>
      </c>
      <c r="G5" s="7">
        <v>680487.5</v>
      </c>
    </row>
    <row r="6" spans="1:7" x14ac:dyDescent="0.3">
      <c r="A6" t="s">
        <v>16</v>
      </c>
      <c r="B6" t="s">
        <v>17</v>
      </c>
      <c r="C6" s="3">
        <v>46258</v>
      </c>
      <c r="D6" t="s">
        <v>9</v>
      </c>
      <c r="E6" s="5">
        <v>3250</v>
      </c>
      <c r="F6" s="7">
        <v>281.89999389648438</v>
      </c>
      <c r="G6" s="7">
        <v>916174.98016357422</v>
      </c>
    </row>
    <row r="7" spans="1:7" x14ac:dyDescent="0.3">
      <c r="A7" t="s">
        <v>18</v>
      </c>
      <c r="B7" t="s">
        <v>13</v>
      </c>
      <c r="C7" s="3">
        <v>46255</v>
      </c>
      <c r="D7" t="s">
        <v>9</v>
      </c>
      <c r="E7" s="5">
        <v>4950</v>
      </c>
      <c r="F7" s="7">
        <v>605.47998046875</v>
      </c>
      <c r="G7" s="7">
        <v>2997125.9033203125</v>
      </c>
    </row>
    <row r="8" spans="1:7" x14ac:dyDescent="0.3">
      <c r="A8" t="s">
        <v>19</v>
      </c>
      <c r="B8" t="s">
        <v>8</v>
      </c>
      <c r="C8" s="3">
        <v>46255</v>
      </c>
      <c r="D8" t="s">
        <v>14</v>
      </c>
      <c r="E8" s="5">
        <v>2700</v>
      </c>
      <c r="F8" s="7">
        <v>203.17999267578125</v>
      </c>
      <c r="G8" s="7">
        <v>548585.98022460938</v>
      </c>
    </row>
    <row r="9" spans="1:7" x14ac:dyDescent="0.3">
      <c r="A9" t="s">
        <v>20</v>
      </c>
      <c r="B9" t="s">
        <v>8</v>
      </c>
      <c r="C9" s="3">
        <v>46259</v>
      </c>
      <c r="D9" t="s">
        <v>9</v>
      </c>
      <c r="E9" s="5">
        <v>550</v>
      </c>
      <c r="F9" s="7">
        <v>201.50999450683594</v>
      </c>
      <c r="G9" s="7">
        <v>110830.49697875977</v>
      </c>
    </row>
    <row r="10" spans="1:7" x14ac:dyDescent="0.3">
      <c r="A10" t="s">
        <v>23</v>
      </c>
      <c r="B10" t="s">
        <v>13</v>
      </c>
      <c r="C10" s="3">
        <v>46257</v>
      </c>
      <c r="D10" t="s">
        <v>14</v>
      </c>
      <c r="E10" s="5">
        <v>850</v>
      </c>
      <c r="F10" s="7">
        <v>231.41000366210938</v>
      </c>
      <c r="G10" s="7">
        <v>196698.50311279297</v>
      </c>
    </row>
    <row r="11" spans="1:7" x14ac:dyDescent="0.3">
      <c r="A11" t="s">
        <v>24</v>
      </c>
      <c r="B11" t="s">
        <v>17</v>
      </c>
      <c r="C11" s="3">
        <v>46257</v>
      </c>
      <c r="D11" t="s">
        <v>9</v>
      </c>
      <c r="E11" s="5">
        <v>1650</v>
      </c>
      <c r="F11" s="7">
        <v>466.58999633789063</v>
      </c>
      <c r="G11" s="7">
        <v>769873.49395751953</v>
      </c>
    </row>
    <row r="12" spans="1:7" x14ac:dyDescent="0.3">
      <c r="A12" t="s">
        <v>25</v>
      </c>
      <c r="B12" t="s">
        <v>11</v>
      </c>
      <c r="C12" s="3">
        <v>46257</v>
      </c>
      <c r="D12" t="s">
        <v>14</v>
      </c>
      <c r="E12" s="5">
        <v>2300</v>
      </c>
      <c r="F12" s="7">
        <v>602.8599853515625</v>
      </c>
      <c r="G12" s="7">
        <v>1386577.9663085938</v>
      </c>
    </row>
    <row r="13" spans="1:7" x14ac:dyDescent="0.3">
      <c r="A13" t="s">
        <v>26</v>
      </c>
      <c r="B13" t="s">
        <v>8</v>
      </c>
      <c r="C13" s="3">
        <v>46258</v>
      </c>
      <c r="D13" t="s">
        <v>14</v>
      </c>
      <c r="E13" s="5">
        <v>4600</v>
      </c>
      <c r="F13" s="7">
        <v>465.8699951171875</v>
      </c>
      <c r="G13" s="7">
        <v>2143001.9775390625</v>
      </c>
    </row>
    <row r="14" spans="1:7" x14ac:dyDescent="0.3">
      <c r="A14" t="s">
        <v>27</v>
      </c>
      <c r="B14" t="s">
        <v>17</v>
      </c>
      <c r="C14" s="3">
        <v>46259</v>
      </c>
      <c r="D14" t="s">
        <v>9</v>
      </c>
      <c r="E14" s="5">
        <v>3500</v>
      </c>
      <c r="F14" s="7">
        <v>605.90998536348343</v>
      </c>
      <c r="G14" s="7">
        <v>2120684.948772192</v>
      </c>
    </row>
    <row r="15" spans="1:7" x14ac:dyDescent="0.3">
      <c r="A15" t="s">
        <v>28</v>
      </c>
      <c r="B15" t="s">
        <v>17</v>
      </c>
      <c r="C15" s="3">
        <v>46255</v>
      </c>
      <c r="D15" t="s">
        <v>14</v>
      </c>
      <c r="E15" s="5">
        <v>3400</v>
      </c>
      <c r="F15" s="7">
        <v>401.23001098632813</v>
      </c>
      <c r="G15" s="7">
        <v>1364182.0373535156</v>
      </c>
    </row>
    <row r="16" spans="1:7" x14ac:dyDescent="0.3">
      <c r="A16" t="s">
        <v>29</v>
      </c>
      <c r="B16" t="s">
        <v>17</v>
      </c>
      <c r="C16" s="3">
        <v>46258</v>
      </c>
      <c r="D16" t="s">
        <v>14</v>
      </c>
      <c r="E16" s="5">
        <v>1350</v>
      </c>
      <c r="F16" s="7">
        <v>177.80000305175781</v>
      </c>
      <c r="G16" s="7">
        <v>240030.00411987305</v>
      </c>
    </row>
    <row r="17" spans="1:7" x14ac:dyDescent="0.3">
      <c r="A17" t="s">
        <v>30</v>
      </c>
      <c r="B17" t="s">
        <v>13</v>
      </c>
      <c r="C17" s="3">
        <v>46259</v>
      </c>
      <c r="D17" t="s">
        <v>14</v>
      </c>
      <c r="E17" s="5">
        <v>1850</v>
      </c>
      <c r="F17" s="7">
        <v>394.95001220703125</v>
      </c>
      <c r="G17" s="7">
        <v>730657.52258300781</v>
      </c>
    </row>
    <row r="18" spans="1:7" x14ac:dyDescent="0.3">
      <c r="A18" t="s">
        <v>32</v>
      </c>
      <c r="B18" t="s">
        <v>8</v>
      </c>
      <c r="C18" s="3">
        <v>46257</v>
      </c>
      <c r="D18" t="s">
        <v>14</v>
      </c>
      <c r="E18" s="5">
        <v>550</v>
      </c>
      <c r="F18" s="7">
        <v>542</v>
      </c>
      <c r="G18" s="7">
        <v>298100</v>
      </c>
    </row>
    <row r="19" spans="1:7" x14ac:dyDescent="0.3">
      <c r="A19" t="s">
        <v>33</v>
      </c>
      <c r="B19" t="s">
        <v>8</v>
      </c>
      <c r="C19" s="3">
        <v>46257</v>
      </c>
      <c r="D19" t="s">
        <v>9</v>
      </c>
      <c r="E19" s="5">
        <v>100</v>
      </c>
      <c r="F19" s="7">
        <v>255.17999267578125</v>
      </c>
      <c r="G19" s="7">
        <v>25517.999267578125</v>
      </c>
    </row>
    <row r="20" spans="1:7" x14ac:dyDescent="0.3">
      <c r="A20" t="s">
        <v>34</v>
      </c>
      <c r="B20" t="s">
        <v>11</v>
      </c>
      <c r="C20" s="3">
        <v>46258</v>
      </c>
      <c r="D20" t="s">
        <v>14</v>
      </c>
      <c r="E20" s="5">
        <v>50</v>
      </c>
      <c r="F20" s="7">
        <v>418.39999389648438</v>
      </c>
      <c r="G20" s="7">
        <v>20919.999694824219</v>
      </c>
    </row>
    <row r="21" spans="1:7" x14ac:dyDescent="0.3">
      <c r="A21" t="s">
        <v>35</v>
      </c>
      <c r="B21" t="s">
        <v>17</v>
      </c>
      <c r="C21" s="3">
        <v>46255</v>
      </c>
      <c r="D21" t="s">
        <v>14</v>
      </c>
      <c r="E21" s="5">
        <v>1000</v>
      </c>
      <c r="F21" s="7">
        <v>489.45999145507813</v>
      </c>
      <c r="G21" s="7">
        <v>489459.99145507813</v>
      </c>
    </row>
    <row r="22" spans="1:7" x14ac:dyDescent="0.3">
      <c r="A22" t="s">
        <v>36</v>
      </c>
      <c r="B22" t="s">
        <v>22</v>
      </c>
      <c r="C22" s="3">
        <v>46259</v>
      </c>
      <c r="D22" t="s">
        <v>9</v>
      </c>
      <c r="E22" s="5">
        <v>4650</v>
      </c>
      <c r="F22" s="7">
        <v>415.1099853515625</v>
      </c>
      <c r="G22" s="7">
        <v>1930261.4318847656</v>
      </c>
    </row>
    <row r="23" spans="1:7" x14ac:dyDescent="0.3">
      <c r="A23" t="s">
        <v>37</v>
      </c>
      <c r="B23" t="s">
        <v>8</v>
      </c>
      <c r="C23" s="3">
        <v>46257</v>
      </c>
      <c r="D23" t="s">
        <v>14</v>
      </c>
      <c r="E23" s="5">
        <v>2500</v>
      </c>
      <c r="F23" s="7">
        <v>253.80999755859375</v>
      </c>
      <c r="G23" s="7">
        <v>634524.99389648438</v>
      </c>
    </row>
    <row r="24" spans="1:7" x14ac:dyDescent="0.3">
      <c r="A24" t="s">
        <v>38</v>
      </c>
      <c r="B24" t="s">
        <v>11</v>
      </c>
      <c r="C24" s="3">
        <v>46257</v>
      </c>
      <c r="D24" t="s">
        <v>14</v>
      </c>
      <c r="E24" s="5">
        <v>4650</v>
      </c>
      <c r="F24" s="7">
        <v>198.96000671386719</v>
      </c>
      <c r="G24" s="7">
        <v>925164.03121948242</v>
      </c>
    </row>
    <row r="25" spans="1:7" x14ac:dyDescent="0.3">
      <c r="A25" t="s">
        <v>39</v>
      </c>
      <c r="B25" t="s">
        <v>22</v>
      </c>
      <c r="C25" s="3">
        <v>46255</v>
      </c>
      <c r="D25" t="s">
        <v>9</v>
      </c>
      <c r="E25" s="5">
        <v>1400</v>
      </c>
      <c r="F25" s="7">
        <v>486.82000732421875</v>
      </c>
      <c r="G25" s="7">
        <v>681548.01025390625</v>
      </c>
    </row>
    <row r="26" spans="1:7" x14ac:dyDescent="0.3">
      <c r="A26" t="s">
        <v>40</v>
      </c>
      <c r="B26" t="s">
        <v>11</v>
      </c>
      <c r="C26" s="3">
        <v>46259</v>
      </c>
      <c r="D26" t="s">
        <v>14</v>
      </c>
      <c r="E26" s="5">
        <v>4000</v>
      </c>
      <c r="F26" s="7">
        <v>298.6300048828125</v>
      </c>
      <c r="G26" s="7">
        <v>1194520.01953125</v>
      </c>
    </row>
    <row r="27" spans="1:7" x14ac:dyDescent="0.3">
      <c r="A27" t="s">
        <v>41</v>
      </c>
      <c r="B27" t="s">
        <v>17</v>
      </c>
      <c r="C27" s="3">
        <v>46258</v>
      </c>
      <c r="D27" t="s">
        <v>14</v>
      </c>
      <c r="E27" s="5">
        <v>250</v>
      </c>
      <c r="F27" s="7">
        <v>391.20999145507813</v>
      </c>
      <c r="G27" s="7">
        <v>97802.497863769531</v>
      </c>
    </row>
    <row r="28" spans="1:7" x14ac:dyDescent="0.3">
      <c r="A28" t="s">
        <v>42</v>
      </c>
      <c r="B28" t="s">
        <v>13</v>
      </c>
      <c r="C28" s="3">
        <v>46257</v>
      </c>
      <c r="D28" t="s">
        <v>9</v>
      </c>
      <c r="E28" s="5">
        <v>4650</v>
      </c>
      <c r="F28" s="7">
        <v>315.510009765625</v>
      </c>
      <c r="G28" s="7">
        <v>1467121.5454101563</v>
      </c>
    </row>
    <row r="29" spans="1:7" x14ac:dyDescent="0.3">
      <c r="A29" t="s">
        <v>44</v>
      </c>
      <c r="B29" t="s">
        <v>8</v>
      </c>
      <c r="C29" s="3">
        <v>46258</v>
      </c>
      <c r="D29" t="s">
        <v>14</v>
      </c>
      <c r="E29" s="5">
        <v>2400</v>
      </c>
      <c r="F29" s="7">
        <v>259.70001220703125</v>
      </c>
      <c r="G29" s="7">
        <v>623280.029296875</v>
      </c>
    </row>
    <row r="30" spans="1:7" x14ac:dyDescent="0.3">
      <c r="A30" t="s">
        <v>45</v>
      </c>
      <c r="B30" t="s">
        <v>11</v>
      </c>
      <c r="C30" s="3">
        <v>46259</v>
      </c>
      <c r="D30" t="s">
        <v>14</v>
      </c>
      <c r="E30" s="5">
        <v>2750</v>
      </c>
      <c r="F30" s="7">
        <v>611.47998046875</v>
      </c>
      <c r="G30" s="7">
        <v>1681569.9462890625</v>
      </c>
    </row>
    <row r="31" spans="1:7" x14ac:dyDescent="0.3">
      <c r="A31" t="s">
        <v>46</v>
      </c>
      <c r="B31" t="s">
        <v>17</v>
      </c>
      <c r="C31" s="3">
        <v>46255</v>
      </c>
      <c r="D31" t="s">
        <v>9</v>
      </c>
      <c r="E31" s="5">
        <v>3400</v>
      </c>
      <c r="F31" s="7">
        <v>510.95001220703125</v>
      </c>
      <c r="G31" s="7">
        <v>1737230.0415039063</v>
      </c>
    </row>
    <row r="32" spans="1:7" x14ac:dyDescent="0.3">
      <c r="A32" t="s">
        <v>47</v>
      </c>
      <c r="B32" t="s">
        <v>22</v>
      </c>
      <c r="C32" s="3">
        <v>46257</v>
      </c>
      <c r="D32" t="s">
        <v>14</v>
      </c>
      <c r="E32" s="5">
        <v>3500</v>
      </c>
      <c r="F32" s="7">
        <v>239.53999328613281</v>
      </c>
      <c r="G32" s="7">
        <v>838389.97650146484</v>
      </c>
    </row>
    <row r="33" spans="1:7" x14ac:dyDescent="0.3">
      <c r="A33" t="s">
        <v>48</v>
      </c>
      <c r="B33" t="s">
        <v>17</v>
      </c>
      <c r="C33" s="3">
        <v>46255</v>
      </c>
      <c r="D33" t="s">
        <v>9</v>
      </c>
      <c r="E33" s="5">
        <v>2150</v>
      </c>
      <c r="F33" s="7">
        <v>404.52999877929688</v>
      </c>
      <c r="G33" s="7">
        <v>869739.49737548828</v>
      </c>
    </row>
    <row r="34" spans="1:7" x14ac:dyDescent="0.3">
      <c r="A34" t="s">
        <v>49</v>
      </c>
      <c r="B34" t="s">
        <v>8</v>
      </c>
      <c r="C34" s="3">
        <v>46257</v>
      </c>
      <c r="D34" t="s">
        <v>9</v>
      </c>
      <c r="E34" s="5">
        <v>4450</v>
      </c>
      <c r="F34" s="7">
        <v>335.260009765625</v>
      </c>
      <c r="G34" s="7">
        <v>1491907.0434570313</v>
      </c>
    </row>
    <row r="35" spans="1:7" x14ac:dyDescent="0.3">
      <c r="A35" t="s">
        <v>50</v>
      </c>
      <c r="B35" t="s">
        <v>22</v>
      </c>
      <c r="C35" s="3">
        <v>46259</v>
      </c>
      <c r="D35" t="s">
        <v>9</v>
      </c>
      <c r="E35" s="5">
        <v>1150</v>
      </c>
      <c r="F35" s="7">
        <v>442.260009765625</v>
      </c>
      <c r="G35" s="7">
        <v>508599.01123046875</v>
      </c>
    </row>
    <row r="36" spans="1:7" x14ac:dyDescent="0.3">
      <c r="A36" t="s">
        <v>51</v>
      </c>
      <c r="B36" t="s">
        <v>13</v>
      </c>
      <c r="C36" s="3">
        <v>46257</v>
      </c>
      <c r="D36" t="s">
        <v>14</v>
      </c>
      <c r="E36" s="5">
        <v>3450</v>
      </c>
      <c r="F36" s="7">
        <v>523.71002197265625</v>
      </c>
      <c r="G36" s="7">
        <v>1806799.5758056641</v>
      </c>
    </row>
    <row r="37" spans="1:7" x14ac:dyDescent="0.3">
      <c r="A37" t="s">
        <v>52</v>
      </c>
      <c r="B37" t="s">
        <v>8</v>
      </c>
      <c r="C37" s="3">
        <v>46259</v>
      </c>
      <c r="D37" t="s">
        <v>9</v>
      </c>
      <c r="E37" s="5">
        <v>1050</v>
      </c>
      <c r="F37" s="7">
        <v>628.3800048828125</v>
      </c>
      <c r="G37" s="7">
        <v>659799.00512695313</v>
      </c>
    </row>
    <row r="38" spans="1:7" x14ac:dyDescent="0.3">
      <c r="A38" t="s">
        <v>53</v>
      </c>
      <c r="B38" t="s">
        <v>11</v>
      </c>
      <c r="C38" s="3">
        <v>46256</v>
      </c>
      <c r="D38" t="s">
        <v>14</v>
      </c>
      <c r="E38" s="5">
        <v>2350</v>
      </c>
      <c r="F38" s="7">
        <v>209.77000427246094</v>
      </c>
      <c r="G38" s="7">
        <v>492959.5100402832</v>
      </c>
    </row>
    <row r="39" spans="1:7" x14ac:dyDescent="0.3">
      <c r="A39" t="s">
        <v>54</v>
      </c>
      <c r="B39" t="s">
        <v>11</v>
      </c>
      <c r="C39" s="3">
        <v>46259</v>
      </c>
      <c r="D39" t="s">
        <v>9</v>
      </c>
      <c r="E39" s="5">
        <v>2700</v>
      </c>
      <c r="F39" s="7">
        <v>430.5</v>
      </c>
      <c r="G39" s="7">
        <v>1162350</v>
      </c>
    </row>
    <row r="40" spans="1:7" x14ac:dyDescent="0.3">
      <c r="A40" t="s">
        <v>55</v>
      </c>
      <c r="B40" t="s">
        <v>17</v>
      </c>
      <c r="C40" s="3">
        <v>46256</v>
      </c>
      <c r="D40" t="s">
        <v>9</v>
      </c>
      <c r="E40" s="5">
        <v>2000</v>
      </c>
      <c r="F40" s="7">
        <v>601.54998779296875</v>
      </c>
      <c r="G40" s="7">
        <v>1203099.9755859375</v>
      </c>
    </row>
    <row r="41" spans="1:7" x14ac:dyDescent="0.3">
      <c r="A41" t="s">
        <v>56</v>
      </c>
      <c r="B41" t="s">
        <v>11</v>
      </c>
      <c r="C41" s="3">
        <v>46256</v>
      </c>
      <c r="D41" t="s">
        <v>9</v>
      </c>
      <c r="E41" s="5">
        <v>100</v>
      </c>
      <c r="F41" s="7">
        <v>365.57000732421875</v>
      </c>
      <c r="G41" s="7">
        <v>36557.000732421875</v>
      </c>
    </row>
    <row r="42" spans="1:7" x14ac:dyDescent="0.3">
      <c r="A42" t="s">
        <v>57</v>
      </c>
      <c r="B42" t="s">
        <v>22</v>
      </c>
      <c r="C42" s="3">
        <v>46255</v>
      </c>
      <c r="D42" t="s">
        <v>9</v>
      </c>
      <c r="E42" s="5">
        <v>3500</v>
      </c>
      <c r="F42" s="7">
        <v>358.79998779296875</v>
      </c>
      <c r="G42" s="7">
        <v>1255799.9572753906</v>
      </c>
    </row>
    <row r="43" spans="1:7" x14ac:dyDescent="0.3">
      <c r="A43" t="s">
        <v>58</v>
      </c>
      <c r="B43" t="s">
        <v>22</v>
      </c>
      <c r="C43" s="3">
        <v>46258</v>
      </c>
      <c r="D43" t="s">
        <v>14</v>
      </c>
      <c r="E43" s="5">
        <v>4750</v>
      </c>
      <c r="F43" s="7">
        <v>210.77000427246094</v>
      </c>
      <c r="G43" s="7">
        <v>1001157.5202941895</v>
      </c>
    </row>
    <row r="44" spans="1:7" x14ac:dyDescent="0.3">
      <c r="A44" t="s">
        <v>60</v>
      </c>
      <c r="B44" t="s">
        <v>17</v>
      </c>
      <c r="C44" s="3">
        <v>46257</v>
      </c>
      <c r="D44" t="s">
        <v>9</v>
      </c>
      <c r="E44" s="5">
        <v>1100</v>
      </c>
      <c r="F44" s="7">
        <v>339.5</v>
      </c>
      <c r="G44" s="7">
        <v>373450</v>
      </c>
    </row>
    <row r="45" spans="1:7" x14ac:dyDescent="0.3">
      <c r="A45" t="s">
        <v>61</v>
      </c>
      <c r="B45" t="s">
        <v>22</v>
      </c>
      <c r="C45" s="3">
        <v>46257</v>
      </c>
      <c r="D45" t="s">
        <v>14</v>
      </c>
      <c r="E45" s="5">
        <v>2600</v>
      </c>
      <c r="F45" s="7">
        <v>632.67999267578125</v>
      </c>
      <c r="G45" s="7">
        <v>1644967.9809570313</v>
      </c>
    </row>
    <row r="46" spans="1:7" x14ac:dyDescent="0.3">
      <c r="A46" t="s">
        <v>62</v>
      </c>
      <c r="B46" t="s">
        <v>13</v>
      </c>
      <c r="C46" s="3">
        <v>46256</v>
      </c>
      <c r="D46" t="s">
        <v>14</v>
      </c>
      <c r="E46" s="5">
        <v>3500</v>
      </c>
      <c r="F46" s="7">
        <v>182.25</v>
      </c>
      <c r="G46" s="7">
        <v>637875</v>
      </c>
    </row>
    <row r="47" spans="1:7" x14ac:dyDescent="0.3">
      <c r="A47" t="s">
        <v>63</v>
      </c>
      <c r="B47" t="s">
        <v>8</v>
      </c>
      <c r="C47" s="3">
        <v>46257</v>
      </c>
      <c r="D47" t="s">
        <v>14</v>
      </c>
      <c r="E47" s="5">
        <v>1150</v>
      </c>
      <c r="F47" s="7">
        <v>313.07000732421875</v>
      </c>
      <c r="G47" s="7">
        <v>360030.50842285156</v>
      </c>
    </row>
    <row r="48" spans="1:7" x14ac:dyDescent="0.3">
      <c r="A48" t="s">
        <v>64</v>
      </c>
      <c r="B48" t="s">
        <v>11</v>
      </c>
      <c r="C48" s="3">
        <v>46257</v>
      </c>
      <c r="D48" t="s">
        <v>9</v>
      </c>
      <c r="E48" s="5">
        <v>4050</v>
      </c>
      <c r="F48" s="7">
        <v>312.60000610351563</v>
      </c>
      <c r="G48" s="7">
        <v>1266030.0247192383</v>
      </c>
    </row>
    <row r="49" spans="1:7" x14ac:dyDescent="0.3">
      <c r="A49" t="s">
        <v>65</v>
      </c>
      <c r="B49" t="s">
        <v>13</v>
      </c>
      <c r="C49" s="3">
        <v>46256</v>
      </c>
      <c r="D49" t="s">
        <v>9</v>
      </c>
      <c r="E49" s="5">
        <v>4400</v>
      </c>
      <c r="F49" s="7">
        <v>358.32000732421875</v>
      </c>
      <c r="G49" s="7">
        <v>1576608.0322265625</v>
      </c>
    </row>
    <row r="50" spans="1:7" x14ac:dyDescent="0.3">
      <c r="A50" t="s">
        <v>66</v>
      </c>
      <c r="B50" t="s">
        <v>13</v>
      </c>
      <c r="C50" s="3">
        <v>46256</v>
      </c>
      <c r="D50" t="s">
        <v>9</v>
      </c>
      <c r="E50" s="5">
        <v>2050</v>
      </c>
      <c r="F50" s="7">
        <v>158.14999389648438</v>
      </c>
      <c r="G50" s="7">
        <v>324207.48748779297</v>
      </c>
    </row>
    <row r="51" spans="1:7" x14ac:dyDescent="0.3">
      <c r="A51" t="s">
        <v>67</v>
      </c>
      <c r="B51" t="s">
        <v>11</v>
      </c>
      <c r="C51" s="3">
        <v>46257</v>
      </c>
      <c r="D51" t="s">
        <v>14</v>
      </c>
      <c r="E51" s="5">
        <v>550</v>
      </c>
      <c r="F51" s="7">
        <v>288.05999755859375</v>
      </c>
      <c r="G51" s="7">
        <v>158432.99865722656</v>
      </c>
    </row>
    <row r="52" spans="1:7" x14ac:dyDescent="0.3">
      <c r="A52" t="s">
        <v>68</v>
      </c>
      <c r="B52" t="s">
        <v>13</v>
      </c>
      <c r="C52" s="3">
        <v>46257</v>
      </c>
      <c r="D52" t="s">
        <v>14</v>
      </c>
      <c r="E52" s="5">
        <v>4500</v>
      </c>
      <c r="F52" s="7">
        <v>336.41000366210938</v>
      </c>
      <c r="G52" s="7">
        <v>1513845.0164794922</v>
      </c>
    </row>
    <row r="53" spans="1:7" x14ac:dyDescent="0.3">
      <c r="A53" t="s">
        <v>69</v>
      </c>
      <c r="B53" t="s">
        <v>8</v>
      </c>
      <c r="C53" s="3">
        <v>46258</v>
      </c>
      <c r="D53" t="s">
        <v>14</v>
      </c>
      <c r="E53" s="5">
        <v>1200</v>
      </c>
      <c r="F53" s="7">
        <v>589.19000244140625</v>
      </c>
      <c r="G53" s="7">
        <v>707028.0029296875</v>
      </c>
    </row>
    <row r="54" spans="1:7" x14ac:dyDescent="0.3">
      <c r="A54" t="s">
        <v>70</v>
      </c>
      <c r="B54" t="s">
        <v>22</v>
      </c>
      <c r="C54" s="3">
        <v>46258</v>
      </c>
      <c r="D54" t="s">
        <v>9</v>
      </c>
      <c r="E54" s="5">
        <v>2950</v>
      </c>
      <c r="F54" s="7">
        <v>615.780029296875</v>
      </c>
      <c r="G54" s="7">
        <v>1816551.0864257813</v>
      </c>
    </row>
    <row r="55" spans="1:7" x14ac:dyDescent="0.3">
      <c r="A55" t="s">
        <v>71</v>
      </c>
      <c r="B55" t="s">
        <v>22</v>
      </c>
      <c r="C55" s="3">
        <v>46255</v>
      </c>
      <c r="D55" t="s">
        <v>14</v>
      </c>
      <c r="E55" s="5">
        <v>1300</v>
      </c>
      <c r="F55" s="7">
        <v>239.35000610351563</v>
      </c>
      <c r="G55" s="7">
        <v>311155.00793457031</v>
      </c>
    </row>
    <row r="56" spans="1:7" x14ac:dyDescent="0.3">
      <c r="A56" t="s">
        <v>72</v>
      </c>
      <c r="B56" t="s">
        <v>11</v>
      </c>
      <c r="C56" s="3">
        <v>46256</v>
      </c>
      <c r="D56" t="s">
        <v>9</v>
      </c>
      <c r="E56" s="5">
        <v>1400</v>
      </c>
      <c r="F56" s="7">
        <v>501.489990234375</v>
      </c>
      <c r="G56" s="7">
        <v>702085.986328125</v>
      </c>
    </row>
    <row r="57" spans="1:7" x14ac:dyDescent="0.3">
      <c r="A57" t="s">
        <v>73</v>
      </c>
      <c r="B57" t="s">
        <v>13</v>
      </c>
      <c r="C57" s="3">
        <v>46256</v>
      </c>
      <c r="D57" t="s">
        <v>14</v>
      </c>
      <c r="E57" s="5">
        <v>400</v>
      </c>
      <c r="F57" s="7">
        <v>355.32000732421875</v>
      </c>
      <c r="G57" s="7">
        <v>142128.0029296875</v>
      </c>
    </row>
    <row r="58" spans="1:7" x14ac:dyDescent="0.3">
      <c r="A58" t="s">
        <v>75</v>
      </c>
      <c r="B58" t="s">
        <v>22</v>
      </c>
      <c r="C58" s="3">
        <v>46255</v>
      </c>
      <c r="D58" t="s">
        <v>14</v>
      </c>
      <c r="E58" s="5">
        <v>4950</v>
      </c>
      <c r="F58" s="7">
        <v>466.489990234375</v>
      </c>
      <c r="G58" s="7">
        <v>2309125.4516601563</v>
      </c>
    </row>
    <row r="59" spans="1:7" x14ac:dyDescent="0.3">
      <c r="A59" t="s">
        <v>76</v>
      </c>
      <c r="B59" t="s">
        <v>13</v>
      </c>
      <c r="C59" s="3">
        <v>46257</v>
      </c>
      <c r="D59" t="s">
        <v>14</v>
      </c>
      <c r="E59" s="5">
        <v>4350</v>
      </c>
      <c r="F59" s="7">
        <v>187.47999572753906</v>
      </c>
      <c r="G59" s="7">
        <v>815537.98141479492</v>
      </c>
    </row>
    <row r="60" spans="1:7" x14ac:dyDescent="0.3">
      <c r="A60" t="s">
        <v>77</v>
      </c>
      <c r="B60" t="s">
        <v>8</v>
      </c>
      <c r="C60" s="3">
        <v>46258</v>
      </c>
      <c r="D60" t="s">
        <v>14</v>
      </c>
      <c r="E60" s="5">
        <v>2000</v>
      </c>
      <c r="F60" s="7">
        <v>413.29000854492188</v>
      </c>
      <c r="G60" s="7">
        <v>826580.01708984375</v>
      </c>
    </row>
    <row r="61" spans="1:7" x14ac:dyDescent="0.3">
      <c r="A61" t="s">
        <v>78</v>
      </c>
      <c r="B61" t="s">
        <v>17</v>
      </c>
      <c r="C61" s="3">
        <v>46258</v>
      </c>
      <c r="D61" t="s">
        <v>14</v>
      </c>
      <c r="E61" s="5">
        <v>4500</v>
      </c>
      <c r="F61" s="7">
        <v>205.72000122070313</v>
      </c>
      <c r="G61" s="7">
        <v>925740.00549316406</v>
      </c>
    </row>
    <row r="62" spans="1:7" x14ac:dyDescent="0.3">
      <c r="A62" t="s">
        <v>79</v>
      </c>
      <c r="B62" t="s">
        <v>13</v>
      </c>
      <c r="C62" s="3">
        <v>46258</v>
      </c>
      <c r="D62" t="s">
        <v>9</v>
      </c>
      <c r="E62" s="5">
        <v>4250</v>
      </c>
      <c r="F62" s="7">
        <v>370.6099853515625</v>
      </c>
      <c r="G62" s="7">
        <v>1575092.4377441406</v>
      </c>
    </row>
    <row r="63" spans="1:7" x14ac:dyDescent="0.3">
      <c r="A63" t="s">
        <v>80</v>
      </c>
      <c r="B63" t="s">
        <v>8</v>
      </c>
      <c r="C63" s="3">
        <v>46255</v>
      </c>
      <c r="D63" t="s">
        <v>14</v>
      </c>
      <c r="E63" s="5">
        <v>1000</v>
      </c>
      <c r="F63" s="7">
        <v>313.07998657226563</v>
      </c>
      <c r="G63" s="7">
        <v>313079.98657226563</v>
      </c>
    </row>
    <row r="64" spans="1:7" x14ac:dyDescent="0.3">
      <c r="A64" t="s">
        <v>81</v>
      </c>
      <c r="B64" t="s">
        <v>11</v>
      </c>
      <c r="C64" s="3">
        <v>46256</v>
      </c>
      <c r="D64" t="s">
        <v>14</v>
      </c>
      <c r="E64" s="5">
        <v>1050</v>
      </c>
      <c r="F64" s="7">
        <v>496.260009765625</v>
      </c>
      <c r="G64" s="7">
        <v>521073.01025390625</v>
      </c>
    </row>
    <row r="65" spans="1:7" x14ac:dyDescent="0.3">
      <c r="A65" t="s">
        <v>82</v>
      </c>
      <c r="B65" t="s">
        <v>11</v>
      </c>
      <c r="C65" s="3">
        <v>46255</v>
      </c>
      <c r="D65" t="s">
        <v>14</v>
      </c>
      <c r="E65" s="5">
        <v>50</v>
      </c>
      <c r="F65" s="7">
        <v>362.92001342773438</v>
      </c>
      <c r="G65" s="7">
        <v>18146.000671386719</v>
      </c>
    </row>
    <row r="66" spans="1:7" x14ac:dyDescent="0.3">
      <c r="A66" t="s">
        <v>83</v>
      </c>
      <c r="B66" t="s">
        <v>8</v>
      </c>
      <c r="C66" s="3">
        <v>46255</v>
      </c>
      <c r="D66" t="s">
        <v>9</v>
      </c>
      <c r="E66" s="5">
        <v>900</v>
      </c>
      <c r="F66" s="7">
        <v>204.38999938964844</v>
      </c>
      <c r="G66" s="7">
        <v>183950.99945068359</v>
      </c>
    </row>
    <row r="67" spans="1:7" x14ac:dyDescent="0.3">
      <c r="A67" t="s">
        <v>84</v>
      </c>
      <c r="B67" t="s">
        <v>11</v>
      </c>
      <c r="C67" s="3">
        <v>46258</v>
      </c>
      <c r="D67" t="s">
        <v>14</v>
      </c>
      <c r="E67" s="5">
        <v>4900</v>
      </c>
      <c r="F67" s="7">
        <v>586.05999755859375</v>
      </c>
      <c r="G67" s="7">
        <v>2871693.9880371094</v>
      </c>
    </row>
    <row r="68" spans="1:7" x14ac:dyDescent="0.3">
      <c r="A68" t="s">
        <v>85</v>
      </c>
      <c r="B68" t="s">
        <v>8</v>
      </c>
      <c r="C68" s="3">
        <v>46259</v>
      </c>
      <c r="D68" t="s">
        <v>14</v>
      </c>
      <c r="E68" s="5">
        <v>150</v>
      </c>
      <c r="F68" s="7">
        <v>563.95001220703125</v>
      </c>
      <c r="G68" s="7">
        <v>84592.501831054688</v>
      </c>
    </row>
    <row r="69" spans="1:7" x14ac:dyDescent="0.3">
      <c r="A69" t="s">
        <v>86</v>
      </c>
      <c r="B69" t="s">
        <v>8</v>
      </c>
      <c r="C69" s="3">
        <v>46258</v>
      </c>
      <c r="D69" t="s">
        <v>14</v>
      </c>
      <c r="E69" s="5">
        <v>2800</v>
      </c>
      <c r="F69" s="7">
        <v>551.66998291015625</v>
      </c>
      <c r="G69" s="7">
        <v>1544675.9521484375</v>
      </c>
    </row>
    <row r="70" spans="1:7" x14ac:dyDescent="0.3">
      <c r="A70" t="s">
        <v>87</v>
      </c>
      <c r="B70" t="s">
        <v>22</v>
      </c>
      <c r="C70" s="3">
        <v>46258</v>
      </c>
      <c r="D70" t="s">
        <v>14</v>
      </c>
      <c r="E70" s="5">
        <v>2900</v>
      </c>
      <c r="F70" s="7">
        <v>322.08999633789063</v>
      </c>
      <c r="G70" s="7">
        <v>934060.98937988281</v>
      </c>
    </row>
    <row r="71" spans="1:7" x14ac:dyDescent="0.3">
      <c r="A71" t="s">
        <v>88</v>
      </c>
      <c r="B71" t="s">
        <v>17</v>
      </c>
      <c r="C71" s="3">
        <v>46257</v>
      </c>
      <c r="D71" t="s">
        <v>14</v>
      </c>
      <c r="E71" s="5">
        <v>2750</v>
      </c>
      <c r="F71" s="7">
        <v>253.24000549316406</v>
      </c>
      <c r="G71" s="7">
        <v>696410.01510620117</v>
      </c>
    </row>
    <row r="72" spans="1:7" x14ac:dyDescent="0.3">
      <c r="A72" t="s">
        <v>89</v>
      </c>
      <c r="B72" t="s">
        <v>13</v>
      </c>
      <c r="C72" s="3">
        <v>46255</v>
      </c>
      <c r="D72" t="s">
        <v>9</v>
      </c>
      <c r="E72" s="5">
        <v>2050</v>
      </c>
      <c r="F72" s="7">
        <v>552.6400146484375</v>
      </c>
      <c r="G72" s="7">
        <v>1132912.0300292969</v>
      </c>
    </row>
    <row r="73" spans="1:7" x14ac:dyDescent="0.3">
      <c r="A73" t="s">
        <v>90</v>
      </c>
      <c r="B73" t="s">
        <v>22</v>
      </c>
      <c r="C73" s="3">
        <v>46259</v>
      </c>
      <c r="D73" t="s">
        <v>9</v>
      </c>
      <c r="E73" s="5">
        <v>100</v>
      </c>
      <c r="F73" s="7">
        <v>319.54998779296875</v>
      </c>
      <c r="G73" s="7">
        <v>31954.998779296875</v>
      </c>
    </row>
    <row r="74" spans="1:7" x14ac:dyDescent="0.3">
      <c r="A74" t="s">
        <v>91</v>
      </c>
      <c r="B74" t="s">
        <v>11</v>
      </c>
      <c r="C74" s="3">
        <v>46259</v>
      </c>
      <c r="D74" t="s">
        <v>14</v>
      </c>
      <c r="E74" s="5">
        <v>2000</v>
      </c>
      <c r="F74" s="7">
        <v>429.510009765625</v>
      </c>
      <c r="G74" s="7">
        <v>859020.01953125</v>
      </c>
    </row>
    <row r="75" spans="1:7" x14ac:dyDescent="0.3">
      <c r="A75" t="s">
        <v>92</v>
      </c>
      <c r="B75" t="s">
        <v>22</v>
      </c>
      <c r="C75" s="3">
        <v>46255</v>
      </c>
      <c r="D75" t="s">
        <v>14</v>
      </c>
      <c r="E75" s="5">
        <v>1900</v>
      </c>
      <c r="F75" s="7">
        <v>350.33998900651932</v>
      </c>
      <c r="G75" s="7">
        <v>665645.9791123867</v>
      </c>
    </row>
    <row r="76" spans="1:7" x14ac:dyDescent="0.3">
      <c r="A76" t="s">
        <v>93</v>
      </c>
      <c r="B76" t="s">
        <v>8</v>
      </c>
      <c r="C76" s="3">
        <v>46256</v>
      </c>
      <c r="D76" t="s">
        <v>14</v>
      </c>
      <c r="E76" s="5">
        <v>4800</v>
      </c>
      <c r="F76" s="7">
        <v>472.79000854492188</v>
      </c>
      <c r="G76" s="7">
        <v>2269392.041015625</v>
      </c>
    </row>
    <row r="77" spans="1:7" x14ac:dyDescent="0.3">
      <c r="A77" t="s">
        <v>94</v>
      </c>
      <c r="B77" t="s">
        <v>22</v>
      </c>
      <c r="C77" s="3">
        <v>46257</v>
      </c>
      <c r="D77" t="s">
        <v>9</v>
      </c>
      <c r="E77" s="5">
        <v>2300</v>
      </c>
      <c r="F77" s="7">
        <v>602.19000244140625</v>
      </c>
      <c r="G77" s="7">
        <v>1385037.0056152344</v>
      </c>
    </row>
    <row r="78" spans="1:7" x14ac:dyDescent="0.3">
      <c r="A78" t="s">
        <v>95</v>
      </c>
      <c r="B78" t="s">
        <v>8</v>
      </c>
      <c r="C78" s="3">
        <v>46255</v>
      </c>
      <c r="D78" t="s">
        <v>14</v>
      </c>
      <c r="E78" s="5">
        <v>1850</v>
      </c>
      <c r="F78" s="7">
        <v>157.11000061035156</v>
      </c>
      <c r="G78" s="7">
        <v>290653.50112915039</v>
      </c>
    </row>
    <row r="79" spans="1:7" x14ac:dyDescent="0.3">
      <c r="A79" t="s">
        <v>96</v>
      </c>
      <c r="B79" t="s">
        <v>13</v>
      </c>
      <c r="C79" s="3">
        <v>46256</v>
      </c>
      <c r="D79" t="s">
        <v>9</v>
      </c>
      <c r="E79" s="5">
        <v>3050</v>
      </c>
      <c r="F79" s="7">
        <v>284.01998901367188</v>
      </c>
      <c r="G79" s="7">
        <v>866260.96649169922</v>
      </c>
    </row>
    <row r="80" spans="1:7" x14ac:dyDescent="0.3">
      <c r="A80" t="s">
        <v>97</v>
      </c>
      <c r="B80" t="s">
        <v>8</v>
      </c>
      <c r="C80" s="3">
        <v>46255</v>
      </c>
      <c r="D80" t="s">
        <v>14</v>
      </c>
      <c r="E80" s="5">
        <v>2750</v>
      </c>
      <c r="F80" s="7">
        <v>357.69000244140625</v>
      </c>
      <c r="G80" s="7">
        <v>983647.50671386719</v>
      </c>
    </row>
    <row r="81" spans="1:7" x14ac:dyDescent="0.3">
      <c r="A81" t="s">
        <v>98</v>
      </c>
      <c r="B81" t="s">
        <v>17</v>
      </c>
      <c r="C81" s="3">
        <v>46256</v>
      </c>
      <c r="D81" t="s">
        <v>14</v>
      </c>
      <c r="E81" s="5">
        <v>2050</v>
      </c>
      <c r="F81" s="7">
        <v>622.53997802734375</v>
      </c>
      <c r="G81" s="7">
        <v>1276206.9549560547</v>
      </c>
    </row>
    <row r="82" spans="1:7" x14ac:dyDescent="0.3">
      <c r="A82" t="s">
        <v>99</v>
      </c>
      <c r="B82" t="s">
        <v>17</v>
      </c>
      <c r="C82" s="3">
        <v>46257</v>
      </c>
      <c r="D82" t="s">
        <v>9</v>
      </c>
      <c r="E82" s="5">
        <v>450</v>
      </c>
      <c r="F82" s="7">
        <v>242.21000671386719</v>
      </c>
      <c r="G82" s="7">
        <v>108994.50302124023</v>
      </c>
    </row>
    <row r="83" spans="1:7" x14ac:dyDescent="0.3">
      <c r="A83" t="s">
        <v>100</v>
      </c>
      <c r="B83" t="s">
        <v>11</v>
      </c>
      <c r="C83" s="3">
        <v>46259</v>
      </c>
      <c r="D83" t="s">
        <v>14</v>
      </c>
      <c r="E83" s="5">
        <v>2750</v>
      </c>
      <c r="F83" s="7">
        <v>429.22000122070313</v>
      </c>
      <c r="G83" s="7">
        <v>1180355.0033569336</v>
      </c>
    </row>
    <row r="84" spans="1:7" x14ac:dyDescent="0.3">
      <c r="A84" t="s">
        <v>101</v>
      </c>
      <c r="B84" t="s">
        <v>11</v>
      </c>
      <c r="C84" s="3">
        <v>46257</v>
      </c>
      <c r="D84" t="s">
        <v>14</v>
      </c>
      <c r="E84" s="5">
        <v>1600</v>
      </c>
      <c r="F84" s="7">
        <v>451.51998901367188</v>
      </c>
      <c r="G84" s="7">
        <v>722431.982421875</v>
      </c>
    </row>
    <row r="85" spans="1:7" x14ac:dyDescent="0.3">
      <c r="A85" t="s">
        <v>102</v>
      </c>
      <c r="B85" t="s">
        <v>17</v>
      </c>
      <c r="C85" s="3">
        <v>46258</v>
      </c>
      <c r="D85" t="s">
        <v>9</v>
      </c>
      <c r="E85" s="5">
        <v>3900</v>
      </c>
      <c r="F85" s="7">
        <v>437.94000244140625</v>
      </c>
      <c r="G85" s="7">
        <v>1707966.0095214844</v>
      </c>
    </row>
    <row r="86" spans="1:7" x14ac:dyDescent="0.3">
      <c r="A86" t="s">
        <v>104</v>
      </c>
      <c r="B86" t="s">
        <v>22</v>
      </c>
      <c r="C86" s="3">
        <v>46256</v>
      </c>
      <c r="D86" t="s">
        <v>9</v>
      </c>
      <c r="E86" s="5">
        <v>200</v>
      </c>
      <c r="F86" s="7">
        <v>547.09002685546875</v>
      </c>
      <c r="G86" s="7">
        <v>109418.00537109375</v>
      </c>
    </row>
    <row r="87" spans="1:7" x14ac:dyDescent="0.3">
      <c r="A87" t="s">
        <v>105</v>
      </c>
      <c r="B87" t="s">
        <v>22</v>
      </c>
      <c r="C87" s="3">
        <v>46256</v>
      </c>
      <c r="D87" t="s">
        <v>9</v>
      </c>
      <c r="E87" s="5">
        <v>4750</v>
      </c>
      <c r="F87" s="7">
        <v>476.70001220703125</v>
      </c>
      <c r="G87" s="7">
        <v>2264325.0579833984</v>
      </c>
    </row>
    <row r="88" spans="1:7" x14ac:dyDescent="0.3">
      <c r="A88" t="s">
        <v>106</v>
      </c>
      <c r="B88" t="s">
        <v>8</v>
      </c>
      <c r="C88" s="3">
        <v>46255</v>
      </c>
      <c r="D88" t="s">
        <v>14</v>
      </c>
      <c r="E88" s="5">
        <v>4800</v>
      </c>
      <c r="F88" s="7">
        <v>186.82000732421875</v>
      </c>
      <c r="G88" s="7">
        <v>896736.03515625</v>
      </c>
    </row>
    <row r="89" spans="1:7" x14ac:dyDescent="0.3">
      <c r="A89" t="s">
        <v>107</v>
      </c>
      <c r="B89" t="s">
        <v>17</v>
      </c>
      <c r="C89" s="3">
        <v>46255</v>
      </c>
      <c r="D89" t="s">
        <v>14</v>
      </c>
      <c r="E89" s="5">
        <v>300</v>
      </c>
      <c r="F89" s="7">
        <v>432.14999389648438</v>
      </c>
      <c r="G89" s="7">
        <v>129644.99816894531</v>
      </c>
    </row>
    <row r="90" spans="1:7" x14ac:dyDescent="0.3">
      <c r="A90" t="s">
        <v>108</v>
      </c>
      <c r="B90" t="s">
        <v>17</v>
      </c>
      <c r="C90" s="3">
        <v>46257</v>
      </c>
      <c r="D90" t="s">
        <v>9</v>
      </c>
      <c r="E90" s="5">
        <v>2300</v>
      </c>
      <c r="F90" s="7">
        <v>311.20001220703125</v>
      </c>
      <c r="G90" s="7">
        <v>715760.02807617188</v>
      </c>
    </row>
    <row r="91" spans="1:7" x14ac:dyDescent="0.3">
      <c r="A91" t="s">
        <v>109</v>
      </c>
      <c r="B91" t="s">
        <v>17</v>
      </c>
      <c r="C91" s="3">
        <v>46257</v>
      </c>
      <c r="D91" t="s">
        <v>9</v>
      </c>
      <c r="E91" s="5">
        <v>2950</v>
      </c>
      <c r="F91" s="7">
        <v>475.77000243961811</v>
      </c>
      <c r="G91" s="7">
        <v>1403521.5071968734</v>
      </c>
    </row>
    <row r="92" spans="1:7" x14ac:dyDescent="0.3">
      <c r="A92" t="s">
        <v>110</v>
      </c>
      <c r="B92" t="s">
        <v>8</v>
      </c>
      <c r="C92" s="3">
        <v>46256</v>
      </c>
      <c r="D92" t="s">
        <v>9</v>
      </c>
      <c r="E92" s="5">
        <v>3700</v>
      </c>
      <c r="F92" s="7">
        <v>246.14999389648438</v>
      </c>
      <c r="G92" s="7">
        <v>910754.97741699219</v>
      </c>
    </row>
    <row r="93" spans="1:7" x14ac:dyDescent="0.3">
      <c r="A93" t="s">
        <v>111</v>
      </c>
      <c r="B93" t="s">
        <v>11</v>
      </c>
      <c r="C93" s="3">
        <v>46258</v>
      </c>
      <c r="D93" t="s">
        <v>9</v>
      </c>
      <c r="E93" s="5">
        <v>4100</v>
      </c>
      <c r="F93" s="7">
        <v>259.73001098632813</v>
      </c>
      <c r="G93" s="7">
        <v>1064893.0450439453</v>
      </c>
    </row>
    <row r="94" spans="1:7" x14ac:dyDescent="0.3">
      <c r="A94" t="s">
        <v>112</v>
      </c>
      <c r="B94" t="s">
        <v>22</v>
      </c>
      <c r="C94" s="3">
        <v>46255</v>
      </c>
      <c r="D94" t="s">
        <v>14</v>
      </c>
      <c r="E94" s="5">
        <v>1300</v>
      </c>
      <c r="F94" s="7">
        <v>507.239990234375</v>
      </c>
      <c r="G94" s="7">
        <v>659411.9873046875</v>
      </c>
    </row>
    <row r="95" spans="1:7" x14ac:dyDescent="0.3">
      <c r="A95" t="s">
        <v>113</v>
      </c>
      <c r="B95" t="s">
        <v>8</v>
      </c>
      <c r="C95" s="3">
        <v>46256</v>
      </c>
      <c r="D95" t="s">
        <v>14</v>
      </c>
      <c r="E95" s="5">
        <v>4100</v>
      </c>
      <c r="F95" s="7">
        <v>509.39999389648438</v>
      </c>
      <c r="G95" s="7">
        <v>2088539.9749755859</v>
      </c>
    </row>
    <row r="96" spans="1:7" x14ac:dyDescent="0.3">
      <c r="A96" t="s">
        <v>114</v>
      </c>
      <c r="B96" t="s">
        <v>22</v>
      </c>
      <c r="C96" s="3">
        <v>46258</v>
      </c>
      <c r="D96" t="s">
        <v>9</v>
      </c>
      <c r="E96" s="5">
        <v>1800</v>
      </c>
      <c r="F96" s="7">
        <v>252.14999389648438</v>
      </c>
      <c r="G96" s="7">
        <v>453869.98901367188</v>
      </c>
    </row>
    <row r="97" spans="1:7" x14ac:dyDescent="0.3">
      <c r="A97" t="s">
        <v>115</v>
      </c>
      <c r="B97" t="s">
        <v>8</v>
      </c>
      <c r="C97" s="3">
        <v>46259</v>
      </c>
      <c r="D97" t="s">
        <v>14</v>
      </c>
      <c r="E97" s="5">
        <v>3200</v>
      </c>
      <c r="F97" s="7">
        <v>569.280029296875</v>
      </c>
      <c r="G97" s="7">
        <v>1821696.09375</v>
      </c>
    </row>
    <row r="98" spans="1:7" x14ac:dyDescent="0.3">
      <c r="A98" t="s">
        <v>116</v>
      </c>
      <c r="B98" t="s">
        <v>17</v>
      </c>
      <c r="C98" s="3">
        <v>46259</v>
      </c>
      <c r="D98" t="s">
        <v>14</v>
      </c>
      <c r="E98" s="5">
        <v>4900</v>
      </c>
      <c r="F98" s="7">
        <v>534.67999267578125</v>
      </c>
      <c r="G98" s="7">
        <v>2619931.9641113281</v>
      </c>
    </row>
    <row r="99" spans="1:7" x14ac:dyDescent="0.3">
      <c r="A99" t="s">
        <v>117</v>
      </c>
      <c r="B99" t="s">
        <v>17</v>
      </c>
      <c r="C99" s="3">
        <v>46257</v>
      </c>
      <c r="D99" t="s">
        <v>9</v>
      </c>
      <c r="E99" s="5">
        <v>150</v>
      </c>
      <c r="F99" s="7">
        <v>473.89999389648438</v>
      </c>
      <c r="G99" s="7">
        <v>71084.999084472656</v>
      </c>
    </row>
    <row r="100" spans="1:7" x14ac:dyDescent="0.3">
      <c r="A100" t="s">
        <v>118</v>
      </c>
      <c r="B100" t="s">
        <v>22</v>
      </c>
      <c r="C100" s="3">
        <v>46259</v>
      </c>
      <c r="D100" t="s">
        <v>14</v>
      </c>
      <c r="E100" s="5">
        <v>3900</v>
      </c>
      <c r="F100" s="7">
        <v>329.04998779296875</v>
      </c>
      <c r="G100" s="7">
        <v>1283294.9523925781</v>
      </c>
    </row>
    <row r="101" spans="1:7" x14ac:dyDescent="0.3">
      <c r="A101" t="s">
        <v>119</v>
      </c>
      <c r="B101" t="s">
        <v>8</v>
      </c>
      <c r="C101" s="3">
        <v>46257</v>
      </c>
      <c r="D101" t="s">
        <v>9</v>
      </c>
      <c r="E101" s="5">
        <v>2550</v>
      </c>
      <c r="F101" s="7">
        <v>236.77000427246094</v>
      </c>
      <c r="G101" s="7">
        <v>603763.51089477539</v>
      </c>
    </row>
    <row r="102" spans="1:7" x14ac:dyDescent="0.3">
      <c r="A102" t="s">
        <v>120</v>
      </c>
      <c r="B102" t="s">
        <v>11</v>
      </c>
      <c r="C102" s="3">
        <v>46255</v>
      </c>
      <c r="D102" t="s">
        <v>14</v>
      </c>
      <c r="E102" s="5">
        <v>3100</v>
      </c>
      <c r="F102" s="7">
        <v>302.94999754428864</v>
      </c>
      <c r="G102" s="7">
        <v>939144.99238729477</v>
      </c>
    </row>
    <row r="103" spans="1:7" x14ac:dyDescent="0.3">
      <c r="A103" t="s">
        <v>121</v>
      </c>
      <c r="B103" t="s">
        <v>8</v>
      </c>
      <c r="C103" s="3">
        <v>46259</v>
      </c>
      <c r="D103" t="s">
        <v>14</v>
      </c>
      <c r="E103" s="5">
        <v>400</v>
      </c>
      <c r="F103" s="7">
        <v>396.67999267578125</v>
      </c>
      <c r="G103" s="7">
        <v>158671.9970703125</v>
      </c>
    </row>
    <row r="104" spans="1:7" x14ac:dyDescent="0.3">
      <c r="A104" t="s">
        <v>122</v>
      </c>
      <c r="B104" t="s">
        <v>17</v>
      </c>
      <c r="C104" s="3">
        <v>46259</v>
      </c>
      <c r="D104" t="s">
        <v>14</v>
      </c>
      <c r="E104" s="5">
        <v>700</v>
      </c>
      <c r="F104" s="7">
        <v>313.48001098632813</v>
      </c>
      <c r="G104" s="7">
        <v>219436.00769042969</v>
      </c>
    </row>
    <row r="105" spans="1:7" x14ac:dyDescent="0.3">
      <c r="A105" t="s">
        <v>123</v>
      </c>
      <c r="B105" t="s">
        <v>8</v>
      </c>
      <c r="C105" s="3">
        <v>46255</v>
      </c>
      <c r="D105" t="s">
        <v>9</v>
      </c>
      <c r="E105" s="5">
        <v>2800</v>
      </c>
      <c r="F105" s="7">
        <v>453.42999267578125</v>
      </c>
      <c r="G105" s="7">
        <v>1269603.9794921875</v>
      </c>
    </row>
    <row r="106" spans="1:7" x14ac:dyDescent="0.3">
      <c r="A106" t="s">
        <v>124</v>
      </c>
      <c r="B106" t="s">
        <v>13</v>
      </c>
      <c r="C106" s="3">
        <v>46258</v>
      </c>
      <c r="D106" t="s">
        <v>9</v>
      </c>
      <c r="E106" s="5">
        <v>3000</v>
      </c>
      <c r="F106" s="7">
        <v>533.52001953125</v>
      </c>
      <c r="G106" s="7">
        <v>1600560.05859375</v>
      </c>
    </row>
    <row r="107" spans="1:7" x14ac:dyDescent="0.3">
      <c r="A107" t="s">
        <v>125</v>
      </c>
      <c r="B107" t="s">
        <v>8</v>
      </c>
      <c r="C107" s="3">
        <v>46256</v>
      </c>
      <c r="D107" t="s">
        <v>14</v>
      </c>
      <c r="E107" s="5">
        <v>2750</v>
      </c>
      <c r="F107" s="7">
        <v>404.55999755859375</v>
      </c>
      <c r="G107" s="7">
        <v>1112539.9932861328</v>
      </c>
    </row>
    <row r="108" spans="1:7" x14ac:dyDescent="0.3">
      <c r="A108" t="s">
        <v>126</v>
      </c>
      <c r="B108" t="s">
        <v>22</v>
      </c>
      <c r="C108" s="3">
        <v>46257</v>
      </c>
      <c r="D108" t="s">
        <v>14</v>
      </c>
      <c r="E108" s="5">
        <v>4900</v>
      </c>
      <c r="F108" s="7">
        <v>409.32998657226563</v>
      </c>
      <c r="G108" s="7">
        <v>2005716.9342041016</v>
      </c>
    </row>
    <row r="109" spans="1:7" x14ac:dyDescent="0.3">
      <c r="A109" t="s">
        <v>127</v>
      </c>
      <c r="B109" t="s">
        <v>17</v>
      </c>
      <c r="C109" s="3">
        <v>46259</v>
      </c>
      <c r="D109" t="s">
        <v>14</v>
      </c>
      <c r="E109" s="5">
        <v>700</v>
      </c>
      <c r="F109" s="7">
        <v>477.08999633789063</v>
      </c>
      <c r="G109" s="7">
        <v>333962.99743652344</v>
      </c>
    </row>
    <row r="110" spans="1:7" x14ac:dyDescent="0.3">
      <c r="A110" t="s">
        <v>128</v>
      </c>
      <c r="B110" t="s">
        <v>11</v>
      </c>
      <c r="C110" s="3">
        <v>46258</v>
      </c>
      <c r="D110" t="s">
        <v>14</v>
      </c>
      <c r="E110" s="5">
        <v>3100</v>
      </c>
      <c r="F110" s="7">
        <v>501.20001220703125</v>
      </c>
      <c r="G110" s="7">
        <v>1553720.0378417969</v>
      </c>
    </row>
    <row r="111" spans="1:7" x14ac:dyDescent="0.3">
      <c r="A111" t="s">
        <v>129</v>
      </c>
      <c r="B111" t="s">
        <v>17</v>
      </c>
      <c r="C111" s="3">
        <v>46258</v>
      </c>
      <c r="D111" t="s">
        <v>9</v>
      </c>
      <c r="E111" s="5">
        <v>1050</v>
      </c>
      <c r="F111" s="7">
        <v>171.97000122070313</v>
      </c>
      <c r="G111" s="7">
        <v>180568.50128173828</v>
      </c>
    </row>
    <row r="112" spans="1:7" x14ac:dyDescent="0.3">
      <c r="A112" t="s">
        <v>130</v>
      </c>
      <c r="B112" t="s">
        <v>11</v>
      </c>
      <c r="C112" s="3">
        <v>46257</v>
      </c>
      <c r="D112" t="s">
        <v>9</v>
      </c>
      <c r="E112" s="5">
        <v>3800</v>
      </c>
      <c r="F112" s="7">
        <v>561.28997802734375</v>
      </c>
      <c r="G112" s="7">
        <v>2132901.9165039063</v>
      </c>
    </row>
    <row r="113" spans="1:7" x14ac:dyDescent="0.3">
      <c r="A113" t="s">
        <v>131</v>
      </c>
      <c r="B113" t="s">
        <v>17</v>
      </c>
      <c r="C113" s="3">
        <v>46255</v>
      </c>
      <c r="D113" t="s">
        <v>9</v>
      </c>
      <c r="E113" s="5">
        <v>2100</v>
      </c>
      <c r="F113" s="7">
        <v>381.25</v>
      </c>
      <c r="G113" s="7">
        <v>800625</v>
      </c>
    </row>
    <row r="114" spans="1:7" x14ac:dyDescent="0.3">
      <c r="A114" t="s">
        <v>132</v>
      </c>
      <c r="B114" t="s">
        <v>22</v>
      </c>
      <c r="C114" s="3">
        <v>46255</v>
      </c>
      <c r="D114" t="s">
        <v>9</v>
      </c>
      <c r="E114" s="5">
        <v>2700</v>
      </c>
      <c r="F114" s="7">
        <v>463.33999633789063</v>
      </c>
      <c r="G114" s="7">
        <v>1251017.9901123047</v>
      </c>
    </row>
    <row r="115" spans="1:7" x14ac:dyDescent="0.3">
      <c r="A115" t="s">
        <v>133</v>
      </c>
      <c r="B115" t="s">
        <v>8</v>
      </c>
      <c r="C115" s="3">
        <v>46258</v>
      </c>
      <c r="D115" t="s">
        <v>14</v>
      </c>
      <c r="E115" s="5">
        <v>1400</v>
      </c>
      <c r="F115" s="7">
        <v>630.29998779296875</v>
      </c>
      <c r="G115" s="7">
        <v>882419.98291015625</v>
      </c>
    </row>
    <row r="116" spans="1:7" x14ac:dyDescent="0.3">
      <c r="A116" t="s">
        <v>134</v>
      </c>
      <c r="B116" t="s">
        <v>8</v>
      </c>
      <c r="C116" s="3">
        <v>46258</v>
      </c>
      <c r="D116" t="s">
        <v>14</v>
      </c>
      <c r="E116" s="5">
        <v>1650</v>
      </c>
      <c r="F116" s="7">
        <v>257.3800048828125</v>
      </c>
      <c r="G116" s="7">
        <v>424677.00805664063</v>
      </c>
    </row>
    <row r="117" spans="1:7" x14ac:dyDescent="0.3">
      <c r="A117" t="s">
        <v>135</v>
      </c>
      <c r="B117" t="s">
        <v>17</v>
      </c>
      <c r="C117" s="3">
        <v>46256</v>
      </c>
      <c r="D117" t="s">
        <v>14</v>
      </c>
      <c r="E117" s="5">
        <v>3450</v>
      </c>
      <c r="F117" s="7">
        <v>444.95999145507813</v>
      </c>
      <c r="G117" s="7">
        <v>1535111.9705200195</v>
      </c>
    </row>
    <row r="118" spans="1:7" x14ac:dyDescent="0.3">
      <c r="A118" t="s">
        <v>136</v>
      </c>
      <c r="B118" t="s">
        <v>11</v>
      </c>
      <c r="C118" s="3">
        <v>46259</v>
      </c>
      <c r="D118" t="s">
        <v>14</v>
      </c>
      <c r="E118" s="5">
        <v>1250</v>
      </c>
      <c r="F118" s="7">
        <v>349.3800048828125</v>
      </c>
      <c r="G118" s="7">
        <v>436725.00610351563</v>
      </c>
    </row>
    <row r="119" spans="1:7" x14ac:dyDescent="0.3">
      <c r="A119" t="s">
        <v>137</v>
      </c>
      <c r="B119" t="s">
        <v>22</v>
      </c>
      <c r="C119" s="3">
        <v>46255</v>
      </c>
      <c r="D119" t="s">
        <v>9</v>
      </c>
      <c r="E119" s="5">
        <v>2650</v>
      </c>
      <c r="F119" s="7">
        <v>343.76998901367188</v>
      </c>
      <c r="G119" s="7">
        <v>910990.47088623047</v>
      </c>
    </row>
    <row r="120" spans="1:7" x14ac:dyDescent="0.3">
      <c r="A120" t="s">
        <v>138</v>
      </c>
      <c r="B120" t="s">
        <v>22</v>
      </c>
      <c r="C120" s="3">
        <v>46259</v>
      </c>
      <c r="D120" t="s">
        <v>9</v>
      </c>
      <c r="E120" s="5">
        <v>4950</v>
      </c>
      <c r="F120" s="7">
        <v>305.95999145507813</v>
      </c>
      <c r="G120" s="7">
        <v>1514501.9577026367</v>
      </c>
    </row>
    <row r="121" spans="1:7" x14ac:dyDescent="0.3">
      <c r="A121" t="s">
        <v>139</v>
      </c>
      <c r="B121" t="s">
        <v>13</v>
      </c>
      <c r="C121" s="3">
        <v>46259</v>
      </c>
      <c r="D121" t="s">
        <v>9</v>
      </c>
      <c r="E121" s="5">
        <v>3050</v>
      </c>
      <c r="F121" s="7">
        <v>455.10000610351563</v>
      </c>
      <c r="G121" s="7">
        <v>1388055.0186157227</v>
      </c>
    </row>
    <row r="122" spans="1:7" x14ac:dyDescent="0.3">
      <c r="A122" t="s">
        <v>140</v>
      </c>
      <c r="B122" t="s">
        <v>13</v>
      </c>
      <c r="C122" s="3">
        <v>46259</v>
      </c>
      <c r="D122" t="s">
        <v>14</v>
      </c>
      <c r="E122" s="5">
        <v>4150</v>
      </c>
      <c r="F122" s="7">
        <v>284.07000732421875</v>
      </c>
      <c r="G122" s="7">
        <v>1178890.5303955078</v>
      </c>
    </row>
    <row r="123" spans="1:7" x14ac:dyDescent="0.3">
      <c r="A123" t="s">
        <v>141</v>
      </c>
      <c r="B123" t="s">
        <v>22</v>
      </c>
      <c r="C123" s="3">
        <v>46255</v>
      </c>
      <c r="D123" t="s">
        <v>14</v>
      </c>
      <c r="E123" s="5">
        <v>4200</v>
      </c>
      <c r="F123" s="7">
        <v>259.3900146484375</v>
      </c>
      <c r="G123" s="7">
        <v>1089438.0615234375</v>
      </c>
    </row>
    <row r="124" spans="1:7" x14ac:dyDescent="0.3">
      <c r="A124" t="s">
        <v>142</v>
      </c>
      <c r="B124" t="s">
        <v>13</v>
      </c>
      <c r="C124" s="3">
        <v>46258</v>
      </c>
      <c r="D124" t="s">
        <v>9</v>
      </c>
      <c r="E124" s="5">
        <v>4850</v>
      </c>
      <c r="F124" s="7">
        <v>585.67999267578125</v>
      </c>
      <c r="G124" s="7">
        <v>2840547.9644775391</v>
      </c>
    </row>
    <row r="125" spans="1:7" x14ac:dyDescent="0.3">
      <c r="A125" t="s">
        <v>143</v>
      </c>
      <c r="B125" t="s">
        <v>8</v>
      </c>
      <c r="C125" s="3">
        <v>46257</v>
      </c>
      <c r="D125" t="s">
        <v>14</v>
      </c>
      <c r="E125" s="5">
        <v>3250</v>
      </c>
      <c r="F125" s="7">
        <v>456.05998656153679</v>
      </c>
      <c r="G125" s="7">
        <v>1482194.9563249946</v>
      </c>
    </row>
    <row r="126" spans="1:7" x14ac:dyDescent="0.3">
      <c r="A126" t="s">
        <v>144</v>
      </c>
      <c r="B126" t="s">
        <v>11</v>
      </c>
      <c r="C126" s="3">
        <v>46257</v>
      </c>
      <c r="D126" t="s">
        <v>14</v>
      </c>
      <c r="E126" s="5">
        <v>1900</v>
      </c>
      <c r="F126" s="7">
        <v>375.6199951171875</v>
      </c>
      <c r="G126" s="7">
        <v>713677.99072265625</v>
      </c>
    </row>
    <row r="127" spans="1:7" x14ac:dyDescent="0.3">
      <c r="A127" t="s">
        <v>145</v>
      </c>
      <c r="B127" t="s">
        <v>13</v>
      </c>
      <c r="C127" s="3">
        <v>46259</v>
      </c>
      <c r="D127" t="s">
        <v>9</v>
      </c>
      <c r="E127" s="5">
        <v>3100</v>
      </c>
      <c r="F127" s="7">
        <v>416.6199951171875</v>
      </c>
      <c r="G127" s="7">
        <v>1291521.9848632813</v>
      </c>
    </row>
    <row r="128" spans="1:7" x14ac:dyDescent="0.3">
      <c r="A128" t="s">
        <v>146</v>
      </c>
      <c r="B128" t="s">
        <v>8</v>
      </c>
      <c r="C128" s="3">
        <v>46258</v>
      </c>
      <c r="D128" t="s">
        <v>9</v>
      </c>
      <c r="E128" s="5">
        <v>1500</v>
      </c>
      <c r="F128" s="7">
        <v>332.39999389648438</v>
      </c>
      <c r="G128" s="7">
        <v>498599.99084472656</v>
      </c>
    </row>
    <row r="129" spans="1:7" x14ac:dyDescent="0.3">
      <c r="A129" t="s">
        <v>147</v>
      </c>
      <c r="B129" t="s">
        <v>22</v>
      </c>
      <c r="C129" s="3">
        <v>46258</v>
      </c>
      <c r="D129" t="s">
        <v>9</v>
      </c>
      <c r="E129" s="5">
        <v>3550</v>
      </c>
      <c r="F129" s="7">
        <v>284.08999633789063</v>
      </c>
      <c r="G129" s="7">
        <v>1008519.4869995117</v>
      </c>
    </row>
    <row r="130" spans="1:7" x14ac:dyDescent="0.3">
      <c r="A130" t="s">
        <v>148</v>
      </c>
      <c r="B130" t="s">
        <v>17</v>
      </c>
      <c r="C130" s="3">
        <v>46255</v>
      </c>
      <c r="D130" t="s">
        <v>9</v>
      </c>
      <c r="E130" s="5">
        <v>1250</v>
      </c>
      <c r="F130" s="7">
        <v>555.030029296875</v>
      </c>
      <c r="G130" s="7">
        <v>693787.53662109375</v>
      </c>
    </row>
    <row r="131" spans="1:7" x14ac:dyDescent="0.3">
      <c r="A131" t="s">
        <v>149</v>
      </c>
      <c r="B131" t="s">
        <v>17</v>
      </c>
      <c r="C131" s="3">
        <v>46256</v>
      </c>
      <c r="D131" t="s">
        <v>14</v>
      </c>
      <c r="E131" s="5">
        <v>2500</v>
      </c>
      <c r="F131" s="7">
        <v>216.58000183105469</v>
      </c>
      <c r="G131" s="7">
        <v>541450.00457763672</v>
      </c>
    </row>
    <row r="132" spans="1:7" x14ac:dyDescent="0.3">
      <c r="A132" t="s">
        <v>150</v>
      </c>
      <c r="B132" t="s">
        <v>11</v>
      </c>
      <c r="C132" s="3">
        <v>46257</v>
      </c>
      <c r="D132" t="s">
        <v>9</v>
      </c>
      <c r="E132" s="5">
        <v>550</v>
      </c>
      <c r="F132" s="7">
        <v>475.48001098632813</v>
      </c>
      <c r="G132" s="7">
        <v>261514.00604248047</v>
      </c>
    </row>
    <row r="133" spans="1:7" x14ac:dyDescent="0.3">
      <c r="A133" t="s">
        <v>151</v>
      </c>
      <c r="B133" t="s">
        <v>8</v>
      </c>
      <c r="C133" s="3">
        <v>46257</v>
      </c>
      <c r="D133" t="s">
        <v>14</v>
      </c>
      <c r="E133" s="5">
        <v>2500</v>
      </c>
      <c r="F133" s="7">
        <v>437.32998657226563</v>
      </c>
      <c r="G133" s="7">
        <v>1093324.9664306641</v>
      </c>
    </row>
    <row r="134" spans="1:7" x14ac:dyDescent="0.3">
      <c r="A134" t="s">
        <v>152</v>
      </c>
      <c r="B134" t="s">
        <v>17</v>
      </c>
      <c r="C134" s="3">
        <v>46259</v>
      </c>
      <c r="D134" t="s">
        <v>14</v>
      </c>
      <c r="E134" s="5">
        <v>1600</v>
      </c>
      <c r="F134" s="7">
        <v>645.3699951171875</v>
      </c>
      <c r="G134" s="7">
        <v>1032591.9921875</v>
      </c>
    </row>
    <row r="135" spans="1:7" x14ac:dyDescent="0.3">
      <c r="A135" t="s">
        <v>153</v>
      </c>
      <c r="B135" t="s">
        <v>22</v>
      </c>
      <c r="C135" s="3">
        <v>46257</v>
      </c>
      <c r="D135" t="s">
        <v>14</v>
      </c>
      <c r="E135" s="5">
        <v>350</v>
      </c>
      <c r="F135" s="7">
        <v>379.05999755859375</v>
      </c>
      <c r="G135" s="7">
        <v>132670.99914550781</v>
      </c>
    </row>
    <row r="136" spans="1:7" x14ac:dyDescent="0.3">
      <c r="A136" t="s">
        <v>154</v>
      </c>
      <c r="B136" t="s">
        <v>13</v>
      </c>
      <c r="C136" s="3">
        <v>46258</v>
      </c>
      <c r="D136" t="s">
        <v>14</v>
      </c>
      <c r="E136" s="5">
        <v>2550</v>
      </c>
      <c r="F136" s="7">
        <v>321.85000610351563</v>
      </c>
      <c r="G136" s="7">
        <v>820717.51556396484</v>
      </c>
    </row>
    <row r="137" spans="1:7" x14ac:dyDescent="0.3">
      <c r="A137" t="s">
        <v>155</v>
      </c>
      <c r="B137" t="s">
        <v>22</v>
      </c>
      <c r="C137" s="3">
        <v>46258</v>
      </c>
      <c r="D137" t="s">
        <v>14</v>
      </c>
      <c r="E137" s="5">
        <v>3250</v>
      </c>
      <c r="F137" s="7">
        <v>332.3800048828125</v>
      </c>
      <c r="G137" s="7">
        <v>1080235.0158691406</v>
      </c>
    </row>
    <row r="138" spans="1:7" x14ac:dyDescent="0.3">
      <c r="A138" t="s">
        <v>156</v>
      </c>
      <c r="B138" t="s">
        <v>13</v>
      </c>
      <c r="C138" s="3">
        <v>46257</v>
      </c>
      <c r="D138" t="s">
        <v>9</v>
      </c>
      <c r="E138" s="5">
        <v>1950</v>
      </c>
      <c r="F138" s="7">
        <v>178.61000061035156</v>
      </c>
      <c r="G138" s="7">
        <v>348289.50119018555</v>
      </c>
    </row>
    <row r="139" spans="1:7" x14ac:dyDescent="0.3">
      <c r="A139" t="s">
        <v>157</v>
      </c>
      <c r="B139" t="s">
        <v>11</v>
      </c>
      <c r="C139" s="3">
        <v>46259</v>
      </c>
      <c r="D139" t="s">
        <v>9</v>
      </c>
      <c r="E139" s="5">
        <v>1350</v>
      </c>
      <c r="F139" s="7">
        <v>219.25</v>
      </c>
      <c r="G139" s="7">
        <v>295987.5</v>
      </c>
    </row>
    <row r="140" spans="1:7" x14ac:dyDescent="0.3">
      <c r="A140" t="s">
        <v>158</v>
      </c>
      <c r="B140" t="s">
        <v>8</v>
      </c>
      <c r="C140" s="3">
        <v>46255</v>
      </c>
      <c r="D140" t="s">
        <v>9</v>
      </c>
      <c r="E140" s="5">
        <v>4050</v>
      </c>
      <c r="F140" s="7">
        <v>641.77001953125</v>
      </c>
      <c r="G140" s="7">
        <v>2599168.5791015625</v>
      </c>
    </row>
    <row r="141" spans="1:7" x14ac:dyDescent="0.3">
      <c r="A141" t="s">
        <v>159</v>
      </c>
      <c r="B141" t="s">
        <v>11</v>
      </c>
      <c r="C141" s="3">
        <v>46256</v>
      </c>
      <c r="D141" t="s">
        <v>14</v>
      </c>
      <c r="E141" s="5">
        <v>1400</v>
      </c>
      <c r="F141" s="7">
        <v>491.44000244140625</v>
      </c>
      <c r="G141" s="7">
        <v>688016.00341796875</v>
      </c>
    </row>
    <row r="142" spans="1:7" x14ac:dyDescent="0.3">
      <c r="A142" t="s">
        <v>160</v>
      </c>
      <c r="B142" t="s">
        <v>22</v>
      </c>
      <c r="C142" s="3">
        <v>46258</v>
      </c>
      <c r="D142" t="s">
        <v>9</v>
      </c>
      <c r="E142" s="5">
        <v>800</v>
      </c>
      <c r="F142" s="7">
        <v>350.80999755859375</v>
      </c>
      <c r="G142" s="7">
        <v>280647.998046875</v>
      </c>
    </row>
    <row r="143" spans="1:7" x14ac:dyDescent="0.3">
      <c r="A143" t="s">
        <v>161</v>
      </c>
      <c r="B143" t="s">
        <v>17</v>
      </c>
      <c r="C143" s="3">
        <v>46256</v>
      </c>
      <c r="D143" t="s">
        <v>14</v>
      </c>
      <c r="E143" s="5">
        <v>1650</v>
      </c>
      <c r="F143" s="7">
        <v>153.91000366210938</v>
      </c>
      <c r="G143" s="7">
        <v>253951.50604248047</v>
      </c>
    </row>
    <row r="144" spans="1:7" x14ac:dyDescent="0.3">
      <c r="A144" t="s">
        <v>162</v>
      </c>
      <c r="B144" t="s">
        <v>13</v>
      </c>
      <c r="C144" s="3">
        <v>46258</v>
      </c>
      <c r="D144" t="s">
        <v>14</v>
      </c>
      <c r="E144" s="5">
        <v>4800</v>
      </c>
      <c r="F144" s="7">
        <v>244.55999755859375</v>
      </c>
      <c r="G144" s="7">
        <v>1173887.98828125</v>
      </c>
    </row>
    <row r="145" spans="1:7" x14ac:dyDescent="0.3">
      <c r="A145" t="s">
        <v>163</v>
      </c>
      <c r="B145" t="s">
        <v>22</v>
      </c>
      <c r="C145" s="3">
        <v>46258</v>
      </c>
      <c r="D145" t="s">
        <v>9</v>
      </c>
      <c r="E145" s="5">
        <v>2900</v>
      </c>
      <c r="F145" s="7">
        <v>413.29000854492188</v>
      </c>
      <c r="G145" s="7">
        <v>1198541.0247802734</v>
      </c>
    </row>
    <row r="146" spans="1:7" x14ac:dyDescent="0.3">
      <c r="A146" t="s">
        <v>165</v>
      </c>
      <c r="B146" t="s">
        <v>17</v>
      </c>
      <c r="C146" s="3">
        <v>46256</v>
      </c>
      <c r="D146" t="s">
        <v>14</v>
      </c>
      <c r="E146" s="5">
        <v>1200</v>
      </c>
      <c r="F146" s="7">
        <v>451.32998657226563</v>
      </c>
      <c r="G146" s="7">
        <v>541595.98388671875</v>
      </c>
    </row>
    <row r="147" spans="1:7" x14ac:dyDescent="0.3">
      <c r="A147" t="s">
        <v>166</v>
      </c>
      <c r="B147" t="s">
        <v>17</v>
      </c>
      <c r="C147" s="3">
        <v>46256</v>
      </c>
      <c r="D147" t="s">
        <v>9</v>
      </c>
      <c r="E147" s="5">
        <v>350</v>
      </c>
      <c r="F147" s="7">
        <v>228.61000061035156</v>
      </c>
      <c r="G147" s="7">
        <v>80013.500213623047</v>
      </c>
    </row>
    <row r="148" spans="1:7" x14ac:dyDescent="0.3">
      <c r="A148" t="s">
        <v>167</v>
      </c>
      <c r="B148" t="s">
        <v>11</v>
      </c>
      <c r="C148" s="3">
        <v>46257</v>
      </c>
      <c r="D148" t="s">
        <v>9</v>
      </c>
      <c r="E148" s="5">
        <v>1100</v>
      </c>
      <c r="F148" s="7">
        <v>323.27999877929688</v>
      </c>
      <c r="G148" s="7">
        <v>355607.99865722656</v>
      </c>
    </row>
    <row r="149" spans="1:7" x14ac:dyDescent="0.3">
      <c r="A149" t="s">
        <v>168</v>
      </c>
      <c r="B149" t="s">
        <v>17</v>
      </c>
      <c r="C149" s="3">
        <v>46258</v>
      </c>
      <c r="D149" t="s">
        <v>9</v>
      </c>
      <c r="E149" s="5">
        <v>350</v>
      </c>
      <c r="F149" s="7">
        <v>216.57000732421875</v>
      </c>
      <c r="G149" s="7">
        <v>75799.502563476563</v>
      </c>
    </row>
    <row r="150" spans="1:7" x14ac:dyDescent="0.3">
      <c r="A150" t="s">
        <v>169</v>
      </c>
      <c r="B150" t="s">
        <v>13</v>
      </c>
      <c r="C150" s="3">
        <v>46255</v>
      </c>
      <c r="D150" t="s">
        <v>9</v>
      </c>
      <c r="E150" s="5">
        <v>1200</v>
      </c>
      <c r="F150" s="7">
        <v>481.39999389648438</v>
      </c>
      <c r="G150" s="7">
        <v>577679.99267578125</v>
      </c>
    </row>
    <row r="151" spans="1:7" x14ac:dyDescent="0.3">
      <c r="A151" t="s">
        <v>170</v>
      </c>
      <c r="B151" t="s">
        <v>13</v>
      </c>
      <c r="C151" s="3">
        <v>46257</v>
      </c>
      <c r="D151" t="s">
        <v>14</v>
      </c>
      <c r="E151" s="5">
        <v>4400</v>
      </c>
      <c r="F151" s="7">
        <v>231.3800048828125</v>
      </c>
      <c r="G151" s="7">
        <v>1018072.021484375</v>
      </c>
    </row>
    <row r="152" spans="1:7" x14ac:dyDescent="0.3">
      <c r="A152" t="s">
        <v>172</v>
      </c>
      <c r="B152" t="s">
        <v>8</v>
      </c>
      <c r="C152" s="3">
        <v>46257</v>
      </c>
      <c r="D152" t="s">
        <v>9</v>
      </c>
      <c r="E152" s="5">
        <v>2900</v>
      </c>
      <c r="F152" s="7">
        <v>372.51998901367188</v>
      </c>
      <c r="G152" s="7">
        <v>1080307.9681396484</v>
      </c>
    </row>
    <row r="153" spans="1:7" x14ac:dyDescent="0.3">
      <c r="A153" t="s">
        <v>173</v>
      </c>
      <c r="B153" t="s">
        <v>11</v>
      </c>
      <c r="C153" s="3">
        <v>46258</v>
      </c>
      <c r="D153" t="s">
        <v>14</v>
      </c>
      <c r="E153" s="5">
        <v>1850</v>
      </c>
      <c r="F153" s="7">
        <v>465.54000854492188</v>
      </c>
      <c r="G153" s="7">
        <v>861249.01580810547</v>
      </c>
    </row>
    <row r="154" spans="1:7" x14ac:dyDescent="0.3">
      <c r="A154" t="s">
        <v>174</v>
      </c>
      <c r="B154" t="s">
        <v>17</v>
      </c>
      <c r="C154" s="3">
        <v>46259</v>
      </c>
      <c r="D154" t="s">
        <v>9</v>
      </c>
      <c r="E154" s="5">
        <v>1400</v>
      </c>
      <c r="F154" s="7">
        <v>179.80000486969948</v>
      </c>
      <c r="G154" s="7">
        <v>251720.00681757927</v>
      </c>
    </row>
    <row r="155" spans="1:7" x14ac:dyDescent="0.3">
      <c r="A155" t="s">
        <v>175</v>
      </c>
      <c r="B155" t="s">
        <v>22</v>
      </c>
      <c r="C155" s="3">
        <v>46256</v>
      </c>
      <c r="D155" t="s">
        <v>9</v>
      </c>
      <c r="E155" s="5">
        <v>4950</v>
      </c>
      <c r="F155" s="7">
        <v>285.510009765625</v>
      </c>
      <c r="G155" s="7">
        <v>1413274.5483398438</v>
      </c>
    </row>
    <row r="156" spans="1:7" x14ac:dyDescent="0.3">
      <c r="A156" t="s">
        <v>176</v>
      </c>
      <c r="B156" t="s">
        <v>13</v>
      </c>
      <c r="C156" s="3">
        <v>46255</v>
      </c>
      <c r="D156" t="s">
        <v>9</v>
      </c>
      <c r="E156" s="5">
        <v>4450</v>
      </c>
      <c r="F156" s="7">
        <v>436.25</v>
      </c>
      <c r="G156" s="7">
        <v>1941312.5</v>
      </c>
    </row>
    <row r="157" spans="1:7" x14ac:dyDescent="0.3">
      <c r="A157" t="s">
        <v>177</v>
      </c>
      <c r="B157" t="s">
        <v>13</v>
      </c>
      <c r="C157" s="3">
        <v>46256</v>
      </c>
      <c r="D157" t="s">
        <v>9</v>
      </c>
      <c r="E157" s="5">
        <v>800</v>
      </c>
      <c r="F157" s="7">
        <v>537.010009765625</v>
      </c>
      <c r="G157" s="7">
        <v>429608.0078125</v>
      </c>
    </row>
    <row r="158" spans="1:7" x14ac:dyDescent="0.3">
      <c r="A158" t="s">
        <v>178</v>
      </c>
      <c r="B158" t="s">
        <v>13</v>
      </c>
      <c r="C158" s="3">
        <v>46255</v>
      </c>
      <c r="D158" t="s">
        <v>9</v>
      </c>
      <c r="E158" s="5">
        <v>3900</v>
      </c>
      <c r="F158" s="7">
        <v>386.8599853515625</v>
      </c>
      <c r="G158" s="7">
        <v>1508753.9428710938</v>
      </c>
    </row>
    <row r="159" spans="1:7" x14ac:dyDescent="0.3">
      <c r="A159" t="s">
        <v>179</v>
      </c>
      <c r="B159" t="s">
        <v>17</v>
      </c>
      <c r="C159" s="3">
        <v>46259</v>
      </c>
      <c r="D159" t="s">
        <v>14</v>
      </c>
      <c r="E159" s="5">
        <v>2300</v>
      </c>
      <c r="F159" s="7">
        <v>597.1300048828125</v>
      </c>
      <c r="G159" s="7">
        <v>1373399.0112304688</v>
      </c>
    </row>
    <row r="160" spans="1:7" x14ac:dyDescent="0.3">
      <c r="A160" t="s">
        <v>180</v>
      </c>
      <c r="B160" t="s">
        <v>22</v>
      </c>
      <c r="C160" s="3">
        <v>46255</v>
      </c>
      <c r="D160" t="s">
        <v>9</v>
      </c>
      <c r="E160" s="5">
        <v>4950</v>
      </c>
      <c r="F160" s="7">
        <v>373.42001342773438</v>
      </c>
      <c r="G160" s="7">
        <v>1848429.0664672852</v>
      </c>
    </row>
    <row r="161" spans="1:7" x14ac:dyDescent="0.3">
      <c r="A161" t="s">
        <v>181</v>
      </c>
      <c r="B161" t="s">
        <v>22</v>
      </c>
      <c r="C161" s="3">
        <v>46259</v>
      </c>
      <c r="D161" t="s">
        <v>9</v>
      </c>
      <c r="E161" s="5">
        <v>2900</v>
      </c>
      <c r="F161" s="7">
        <v>581.34999758005142</v>
      </c>
      <c r="G161" s="7">
        <v>1685914.9929821491</v>
      </c>
    </row>
    <row r="162" spans="1:7" x14ac:dyDescent="0.3">
      <c r="A162" t="s">
        <v>182</v>
      </c>
      <c r="B162" t="s">
        <v>13</v>
      </c>
      <c r="C162" s="3">
        <v>46259</v>
      </c>
      <c r="D162" t="s">
        <v>9</v>
      </c>
      <c r="E162" s="5">
        <v>1150</v>
      </c>
      <c r="F162" s="7">
        <v>287.42001342773438</v>
      </c>
      <c r="G162" s="7">
        <v>330533.01544189453</v>
      </c>
    </row>
    <row r="163" spans="1:7" x14ac:dyDescent="0.3">
      <c r="A163" t="s">
        <v>183</v>
      </c>
      <c r="B163" t="s">
        <v>13</v>
      </c>
      <c r="C163" s="3">
        <v>46255</v>
      </c>
      <c r="D163" t="s">
        <v>14</v>
      </c>
      <c r="E163" s="5">
        <v>2700</v>
      </c>
      <c r="F163" s="7">
        <v>321.52999877929688</v>
      </c>
      <c r="G163" s="7">
        <v>868130.99670410156</v>
      </c>
    </row>
    <row r="164" spans="1:7" x14ac:dyDescent="0.3">
      <c r="A164" t="s">
        <v>184</v>
      </c>
      <c r="B164" t="s">
        <v>22</v>
      </c>
      <c r="C164" s="3">
        <v>46259</v>
      </c>
      <c r="D164" t="s">
        <v>9</v>
      </c>
      <c r="E164" s="5">
        <v>2950</v>
      </c>
      <c r="F164" s="7">
        <v>578.489990234375</v>
      </c>
      <c r="G164" s="7">
        <v>1706545.4711914063</v>
      </c>
    </row>
    <row r="165" spans="1:7" x14ac:dyDescent="0.3">
      <c r="A165" t="s">
        <v>185</v>
      </c>
      <c r="B165" t="s">
        <v>22</v>
      </c>
      <c r="C165" s="3">
        <v>46256</v>
      </c>
      <c r="D165" t="s">
        <v>14</v>
      </c>
      <c r="E165" s="5">
        <v>1450</v>
      </c>
      <c r="F165" s="7">
        <v>566.75</v>
      </c>
      <c r="G165" s="7">
        <v>821787.5</v>
      </c>
    </row>
    <row r="166" spans="1:7" x14ac:dyDescent="0.3">
      <c r="A166" t="s">
        <v>186</v>
      </c>
      <c r="B166" t="s">
        <v>13</v>
      </c>
      <c r="C166" s="3">
        <v>46258</v>
      </c>
      <c r="D166" t="s">
        <v>9</v>
      </c>
      <c r="E166" s="5">
        <v>4050</v>
      </c>
      <c r="F166" s="7">
        <v>453.8699951171875</v>
      </c>
      <c r="G166" s="7">
        <v>1838173.4802246094</v>
      </c>
    </row>
    <row r="167" spans="1:7" x14ac:dyDescent="0.3">
      <c r="A167" t="s">
        <v>187</v>
      </c>
      <c r="B167" t="s">
        <v>17</v>
      </c>
      <c r="C167" s="3">
        <v>46256</v>
      </c>
      <c r="D167" t="s">
        <v>9</v>
      </c>
      <c r="E167" s="5">
        <v>300</v>
      </c>
      <c r="F167" s="7">
        <v>570.1099853515625</v>
      </c>
      <c r="G167" s="7">
        <v>171032.99560546875</v>
      </c>
    </row>
    <row r="168" spans="1:7" x14ac:dyDescent="0.3">
      <c r="A168" t="s">
        <v>188</v>
      </c>
      <c r="B168" t="s">
        <v>11</v>
      </c>
      <c r="C168" s="3">
        <v>46258</v>
      </c>
      <c r="D168" t="s">
        <v>14</v>
      </c>
      <c r="E168" s="5">
        <v>2150</v>
      </c>
      <c r="F168" s="7">
        <v>578.20001220703125</v>
      </c>
      <c r="G168" s="7">
        <v>1243130.0262451172</v>
      </c>
    </row>
    <row r="169" spans="1:7" x14ac:dyDescent="0.3">
      <c r="A169" t="s">
        <v>189</v>
      </c>
      <c r="B169" t="s">
        <v>13</v>
      </c>
      <c r="C169" s="3">
        <v>46258</v>
      </c>
      <c r="D169" t="s">
        <v>14</v>
      </c>
      <c r="E169" s="5">
        <v>3950</v>
      </c>
      <c r="F169" s="7">
        <v>168.35000610351563</v>
      </c>
      <c r="G169" s="7">
        <v>664982.52410888672</v>
      </c>
    </row>
    <row r="170" spans="1:7" x14ac:dyDescent="0.3">
      <c r="A170" t="s">
        <v>190</v>
      </c>
      <c r="B170" t="s">
        <v>8</v>
      </c>
      <c r="C170" s="3">
        <v>46258</v>
      </c>
      <c r="D170" t="s">
        <v>9</v>
      </c>
      <c r="E170" s="5">
        <v>1100</v>
      </c>
      <c r="F170" s="7">
        <v>263.1099853515625</v>
      </c>
      <c r="G170" s="7">
        <v>289420.98388671875</v>
      </c>
    </row>
    <row r="171" spans="1:7" x14ac:dyDescent="0.3">
      <c r="A171" t="s">
        <v>191</v>
      </c>
      <c r="B171" t="s">
        <v>8</v>
      </c>
      <c r="C171" s="3">
        <v>46256</v>
      </c>
      <c r="D171" t="s">
        <v>14</v>
      </c>
      <c r="E171" s="5">
        <v>4750</v>
      </c>
      <c r="F171" s="7">
        <v>341.30999755859375</v>
      </c>
      <c r="G171" s="7">
        <v>1621222.4884033203</v>
      </c>
    </row>
    <row r="172" spans="1:7" x14ac:dyDescent="0.3">
      <c r="A172" t="s">
        <v>192</v>
      </c>
      <c r="B172" t="s">
        <v>11</v>
      </c>
      <c r="C172" s="3">
        <v>46255</v>
      </c>
      <c r="D172" t="s">
        <v>14</v>
      </c>
      <c r="E172" s="5">
        <v>2050</v>
      </c>
      <c r="F172" s="7">
        <v>615.6099853515625</v>
      </c>
      <c r="G172" s="7">
        <v>1262000.4699707031</v>
      </c>
    </row>
    <row r="173" spans="1:7" x14ac:dyDescent="0.3">
      <c r="A173" t="s">
        <v>193</v>
      </c>
      <c r="B173" t="s">
        <v>17</v>
      </c>
      <c r="C173" s="3">
        <v>46259</v>
      </c>
      <c r="D173" t="s">
        <v>9</v>
      </c>
      <c r="E173" s="5">
        <v>2350</v>
      </c>
      <c r="F173" s="7">
        <v>422.82000732421875</v>
      </c>
      <c r="G173" s="7">
        <v>993627.01721191406</v>
      </c>
    </row>
    <row r="174" spans="1:7" x14ac:dyDescent="0.3">
      <c r="A174" t="s">
        <v>194</v>
      </c>
      <c r="B174" t="s">
        <v>11</v>
      </c>
      <c r="C174" s="3">
        <v>46256</v>
      </c>
      <c r="D174" t="s">
        <v>14</v>
      </c>
      <c r="E174" s="5">
        <v>1100</v>
      </c>
      <c r="F174" s="7">
        <v>311.57998657226563</v>
      </c>
      <c r="G174" s="7">
        <v>342737.98522949219</v>
      </c>
    </row>
    <row r="175" spans="1:7" x14ac:dyDescent="0.3">
      <c r="A175" t="s">
        <v>195</v>
      </c>
      <c r="B175" t="s">
        <v>8</v>
      </c>
      <c r="C175" s="3">
        <v>46259</v>
      </c>
      <c r="D175" t="s">
        <v>14</v>
      </c>
      <c r="E175" s="5">
        <v>4150</v>
      </c>
      <c r="F175" s="7">
        <v>436.64999389648438</v>
      </c>
      <c r="G175" s="7">
        <v>1812097.4746704102</v>
      </c>
    </row>
    <row r="176" spans="1:7" x14ac:dyDescent="0.3">
      <c r="A176" t="s">
        <v>196</v>
      </c>
      <c r="B176" t="s">
        <v>22</v>
      </c>
      <c r="C176" s="3">
        <v>46259</v>
      </c>
      <c r="D176" t="s">
        <v>9</v>
      </c>
      <c r="E176" s="5">
        <v>2550</v>
      </c>
      <c r="F176" s="7">
        <v>494.17999267578125</v>
      </c>
      <c r="G176" s="7">
        <v>1260158.9813232422</v>
      </c>
    </row>
    <row r="177" spans="1:7" x14ac:dyDescent="0.3">
      <c r="A177" t="s">
        <v>197</v>
      </c>
      <c r="B177" t="s">
        <v>8</v>
      </c>
      <c r="C177" s="3">
        <v>46259</v>
      </c>
      <c r="D177" t="s">
        <v>9</v>
      </c>
      <c r="E177" s="5">
        <v>1850</v>
      </c>
      <c r="F177" s="7">
        <v>557.45001220703125</v>
      </c>
      <c r="G177" s="7">
        <v>1031282.5225830078</v>
      </c>
    </row>
    <row r="178" spans="1:7" x14ac:dyDescent="0.3">
      <c r="A178" t="s">
        <v>198</v>
      </c>
      <c r="B178" t="s">
        <v>17</v>
      </c>
      <c r="C178" s="3">
        <v>46259</v>
      </c>
      <c r="D178" t="s">
        <v>9</v>
      </c>
      <c r="E178" s="5">
        <v>4250</v>
      </c>
      <c r="F178" s="7">
        <v>297.29000854492188</v>
      </c>
      <c r="G178" s="7">
        <v>1263482.536315918</v>
      </c>
    </row>
    <row r="179" spans="1:7" x14ac:dyDescent="0.3">
      <c r="A179" t="s">
        <v>199</v>
      </c>
      <c r="B179" t="s">
        <v>17</v>
      </c>
      <c r="C179" s="3">
        <v>46259</v>
      </c>
      <c r="D179" t="s">
        <v>9</v>
      </c>
      <c r="E179" s="5">
        <v>4900</v>
      </c>
      <c r="F179" s="7">
        <v>196.69999694824219</v>
      </c>
      <c r="G179" s="7">
        <v>963829.98504638672</v>
      </c>
    </row>
    <row r="180" spans="1:7" x14ac:dyDescent="0.3">
      <c r="A180" t="s">
        <v>200</v>
      </c>
      <c r="B180" t="s">
        <v>11</v>
      </c>
      <c r="C180" s="3">
        <v>46255</v>
      </c>
      <c r="D180" t="s">
        <v>9</v>
      </c>
      <c r="E180" s="5">
        <v>3450</v>
      </c>
      <c r="F180" s="7">
        <v>493.95001220703125</v>
      </c>
      <c r="G180" s="7">
        <v>1704127.5421142578</v>
      </c>
    </row>
    <row r="181" spans="1:7" x14ac:dyDescent="0.3">
      <c r="A181" t="s">
        <v>201</v>
      </c>
      <c r="B181" t="s">
        <v>11</v>
      </c>
      <c r="C181" s="3">
        <v>46255</v>
      </c>
      <c r="D181" t="s">
        <v>9</v>
      </c>
      <c r="E181" s="5">
        <v>4450</v>
      </c>
      <c r="F181" s="7">
        <v>213.61000061035156</v>
      </c>
      <c r="G181" s="7">
        <v>950564.50271606445</v>
      </c>
    </row>
    <row r="182" spans="1:7" x14ac:dyDescent="0.3">
      <c r="A182" t="s">
        <v>202</v>
      </c>
      <c r="B182" t="s">
        <v>22</v>
      </c>
      <c r="C182" s="3">
        <v>46259</v>
      </c>
      <c r="D182" t="s">
        <v>14</v>
      </c>
      <c r="E182" s="5">
        <v>4550</v>
      </c>
      <c r="F182" s="7">
        <v>269.79000854492188</v>
      </c>
      <c r="G182" s="7">
        <v>1227544.5388793945</v>
      </c>
    </row>
    <row r="183" spans="1:7" x14ac:dyDescent="0.3">
      <c r="A183" t="s">
        <v>203</v>
      </c>
      <c r="B183" t="s">
        <v>13</v>
      </c>
      <c r="C183" s="3">
        <v>46259</v>
      </c>
      <c r="D183" t="s">
        <v>9</v>
      </c>
      <c r="E183" s="5">
        <v>4100</v>
      </c>
      <c r="F183" s="7">
        <v>251.10000610351563</v>
      </c>
      <c r="G183" s="7">
        <v>1029510.0250244141</v>
      </c>
    </row>
    <row r="184" spans="1:7" x14ac:dyDescent="0.3">
      <c r="A184" t="s">
        <v>204</v>
      </c>
      <c r="B184" t="s">
        <v>8</v>
      </c>
      <c r="C184" s="3">
        <v>46259</v>
      </c>
      <c r="D184" t="s">
        <v>9</v>
      </c>
      <c r="E184" s="5">
        <v>2350</v>
      </c>
      <c r="F184" s="7">
        <v>621.5</v>
      </c>
      <c r="G184" s="7">
        <v>1460525</v>
      </c>
    </row>
    <row r="185" spans="1:7" x14ac:dyDescent="0.3">
      <c r="A185" t="s">
        <v>205</v>
      </c>
      <c r="B185" t="s">
        <v>22</v>
      </c>
      <c r="C185" s="3">
        <v>46256</v>
      </c>
      <c r="D185" t="s">
        <v>14</v>
      </c>
      <c r="E185" s="5">
        <v>1600</v>
      </c>
      <c r="F185" s="7">
        <v>196.71000671386719</v>
      </c>
      <c r="G185" s="7">
        <v>314736.0107421875</v>
      </c>
    </row>
    <row r="186" spans="1:7" x14ac:dyDescent="0.3">
      <c r="A186" t="s">
        <v>206</v>
      </c>
      <c r="B186" t="s">
        <v>13</v>
      </c>
      <c r="C186" s="3">
        <v>46256</v>
      </c>
      <c r="D186" t="s">
        <v>14</v>
      </c>
      <c r="E186" s="5">
        <v>2300</v>
      </c>
      <c r="F186" s="7">
        <v>380.02999144792557</v>
      </c>
      <c r="G186" s="7">
        <v>874068.98033022881</v>
      </c>
    </row>
    <row r="187" spans="1:7" x14ac:dyDescent="0.3">
      <c r="A187" t="s">
        <v>207</v>
      </c>
      <c r="B187" t="s">
        <v>8</v>
      </c>
      <c r="C187" s="3">
        <v>46258</v>
      </c>
      <c r="D187" t="s">
        <v>14</v>
      </c>
      <c r="E187" s="5">
        <v>1200</v>
      </c>
      <c r="F187" s="7">
        <v>263.64999389648438</v>
      </c>
      <c r="G187" s="7">
        <v>316379.99267578125</v>
      </c>
    </row>
    <row r="188" spans="1:7" x14ac:dyDescent="0.3">
      <c r="A188" t="s">
        <v>208</v>
      </c>
      <c r="B188" t="s">
        <v>8</v>
      </c>
      <c r="C188" s="3">
        <v>46255</v>
      </c>
      <c r="D188" t="s">
        <v>14</v>
      </c>
      <c r="E188" s="5">
        <v>2100</v>
      </c>
      <c r="F188" s="7">
        <v>646.969970703125</v>
      </c>
      <c r="G188" s="7">
        <v>1358636.9384765625</v>
      </c>
    </row>
    <row r="189" spans="1:7" x14ac:dyDescent="0.3">
      <c r="A189" t="s">
        <v>209</v>
      </c>
      <c r="B189" t="s">
        <v>17</v>
      </c>
      <c r="C189" s="3">
        <v>46255</v>
      </c>
      <c r="D189" t="s">
        <v>14</v>
      </c>
      <c r="E189" s="5">
        <v>800</v>
      </c>
      <c r="F189" s="7">
        <v>602.8800048828125</v>
      </c>
      <c r="G189" s="7">
        <v>482304.00390625</v>
      </c>
    </row>
    <row r="190" spans="1:7" x14ac:dyDescent="0.3">
      <c r="A190" t="s">
        <v>210</v>
      </c>
      <c r="B190" t="s">
        <v>8</v>
      </c>
      <c r="C190" s="3">
        <v>46256</v>
      </c>
      <c r="D190" t="s">
        <v>14</v>
      </c>
      <c r="E190" s="5">
        <v>4850</v>
      </c>
      <c r="F190" s="7">
        <v>335.55999755859375</v>
      </c>
      <c r="G190" s="7">
        <v>1627465.9881591797</v>
      </c>
    </row>
    <row r="191" spans="1:7" x14ac:dyDescent="0.3">
      <c r="A191" t="s">
        <v>211</v>
      </c>
      <c r="B191" t="s">
        <v>22</v>
      </c>
      <c r="C191" s="3">
        <v>46256</v>
      </c>
      <c r="D191" t="s">
        <v>9</v>
      </c>
      <c r="E191" s="5">
        <v>600</v>
      </c>
      <c r="F191" s="7">
        <v>601.94000244140625</v>
      </c>
      <c r="G191" s="7">
        <v>361164.00146484375</v>
      </c>
    </row>
    <row r="192" spans="1:7" x14ac:dyDescent="0.3">
      <c r="A192" t="s">
        <v>212</v>
      </c>
      <c r="B192" t="s">
        <v>13</v>
      </c>
      <c r="C192" s="3">
        <v>46256</v>
      </c>
      <c r="D192" t="s">
        <v>14</v>
      </c>
      <c r="E192" s="5">
        <v>2700</v>
      </c>
      <c r="F192" s="7">
        <v>562.07000732421875</v>
      </c>
      <c r="G192" s="7">
        <v>1517589.0197753906</v>
      </c>
    </row>
    <row r="193" spans="1:7" x14ac:dyDescent="0.3">
      <c r="A193" t="s">
        <v>213</v>
      </c>
      <c r="B193" t="s">
        <v>8</v>
      </c>
      <c r="C193" s="3">
        <v>46257</v>
      </c>
      <c r="D193" t="s">
        <v>9</v>
      </c>
      <c r="E193" s="5">
        <v>400</v>
      </c>
      <c r="F193" s="7">
        <v>179.22999453544617</v>
      </c>
      <c r="G193" s="7">
        <v>71691.997814178467</v>
      </c>
    </row>
    <row r="194" spans="1:7" x14ac:dyDescent="0.3">
      <c r="A194" t="s">
        <v>214</v>
      </c>
      <c r="B194" t="s">
        <v>11</v>
      </c>
      <c r="C194" s="3">
        <v>46256</v>
      </c>
      <c r="D194" t="s">
        <v>9</v>
      </c>
      <c r="E194" s="5">
        <v>650</v>
      </c>
      <c r="F194" s="7">
        <v>342.260009765625</v>
      </c>
      <c r="G194" s="7">
        <v>222469.00634765625</v>
      </c>
    </row>
    <row r="195" spans="1:7" x14ac:dyDescent="0.3">
      <c r="A195" t="s">
        <v>215</v>
      </c>
      <c r="B195" t="s">
        <v>13</v>
      </c>
      <c r="C195" s="3">
        <v>46259</v>
      </c>
      <c r="D195" t="s">
        <v>9</v>
      </c>
      <c r="E195" s="5">
        <v>3300</v>
      </c>
      <c r="F195" s="7">
        <v>261.1400146484375</v>
      </c>
      <c r="G195" s="7">
        <v>861762.04833984375</v>
      </c>
    </row>
    <row r="196" spans="1:7" x14ac:dyDescent="0.3">
      <c r="A196" t="s">
        <v>217</v>
      </c>
      <c r="B196" t="s">
        <v>22</v>
      </c>
      <c r="C196" s="3">
        <v>46255</v>
      </c>
      <c r="D196" t="s">
        <v>14</v>
      </c>
      <c r="E196" s="5">
        <v>850</v>
      </c>
      <c r="F196" s="7">
        <v>293.77999877929688</v>
      </c>
      <c r="G196" s="7">
        <v>249712.99896240234</v>
      </c>
    </row>
    <row r="197" spans="1:7" x14ac:dyDescent="0.3">
      <c r="A197" t="s">
        <v>218</v>
      </c>
      <c r="B197" t="s">
        <v>13</v>
      </c>
      <c r="C197" s="3">
        <v>46258</v>
      </c>
      <c r="D197" t="s">
        <v>14</v>
      </c>
      <c r="E197" s="5">
        <v>4350</v>
      </c>
      <c r="F197" s="7">
        <v>579.30999755859375</v>
      </c>
      <c r="G197" s="7">
        <v>2519998.4893798828</v>
      </c>
    </row>
    <row r="198" spans="1:7" x14ac:dyDescent="0.3">
      <c r="A198" t="s">
        <v>219</v>
      </c>
      <c r="B198" t="s">
        <v>17</v>
      </c>
      <c r="C198" s="3">
        <v>46259</v>
      </c>
      <c r="D198" t="s">
        <v>9</v>
      </c>
      <c r="E198" s="5">
        <v>1300</v>
      </c>
      <c r="F198" s="7">
        <v>158.83999633789063</v>
      </c>
      <c r="G198" s="7">
        <v>206491.99523925781</v>
      </c>
    </row>
    <row r="199" spans="1:7" x14ac:dyDescent="0.3">
      <c r="A199" t="s">
        <v>220</v>
      </c>
      <c r="B199" t="s">
        <v>8</v>
      </c>
      <c r="C199" s="3">
        <v>46258</v>
      </c>
      <c r="D199" t="s">
        <v>9</v>
      </c>
      <c r="E199" s="5">
        <v>3750</v>
      </c>
      <c r="F199" s="7">
        <v>505.60000610351563</v>
      </c>
      <c r="G199" s="7">
        <v>1896000.0228881836</v>
      </c>
    </row>
    <row r="200" spans="1:7" x14ac:dyDescent="0.3">
      <c r="A200" t="s">
        <v>221</v>
      </c>
      <c r="B200" t="s">
        <v>11</v>
      </c>
      <c r="C200" s="3">
        <v>46258</v>
      </c>
      <c r="D200" t="s">
        <v>14</v>
      </c>
      <c r="E200" s="5">
        <v>4900</v>
      </c>
      <c r="F200" s="7">
        <v>238.72999572753906</v>
      </c>
      <c r="G200" s="7">
        <v>1169776.9790649414</v>
      </c>
    </row>
    <row r="201" spans="1:7" x14ac:dyDescent="0.3">
      <c r="A201" t="s">
        <v>222</v>
      </c>
      <c r="B201" t="s">
        <v>13</v>
      </c>
      <c r="C201" s="3">
        <v>46258</v>
      </c>
      <c r="D201" t="s">
        <v>14</v>
      </c>
      <c r="E201" s="5">
        <v>3900</v>
      </c>
      <c r="F201" s="7">
        <v>529.28997802734375</v>
      </c>
      <c r="G201" s="7">
        <v>2064230.9143066406</v>
      </c>
    </row>
    <row r="202" spans="1:7" x14ac:dyDescent="0.3">
      <c r="A202" t="s">
        <v>223</v>
      </c>
      <c r="B202" t="s">
        <v>11</v>
      </c>
      <c r="C202" s="3">
        <v>46257</v>
      </c>
      <c r="D202" t="s">
        <v>14</v>
      </c>
      <c r="E202" s="5">
        <v>1400</v>
      </c>
      <c r="F202" s="7">
        <v>578.47998046875</v>
      </c>
      <c r="G202" s="7">
        <v>809871.97265625</v>
      </c>
    </row>
    <row r="203" spans="1:7" x14ac:dyDescent="0.3">
      <c r="A203" t="s">
        <v>225</v>
      </c>
      <c r="B203" t="s">
        <v>11</v>
      </c>
      <c r="C203" s="3">
        <v>46255</v>
      </c>
      <c r="D203" t="s">
        <v>14</v>
      </c>
      <c r="E203" s="5">
        <v>3600</v>
      </c>
      <c r="F203" s="7">
        <v>284.1300048828125</v>
      </c>
      <c r="G203" s="7">
        <v>1022868.017578125</v>
      </c>
    </row>
    <row r="204" spans="1:7" x14ac:dyDescent="0.3">
      <c r="A204" t="s">
        <v>226</v>
      </c>
      <c r="B204" t="s">
        <v>11</v>
      </c>
      <c r="C204" s="3">
        <v>46257</v>
      </c>
      <c r="D204" t="s">
        <v>14</v>
      </c>
      <c r="E204" s="5">
        <v>4400</v>
      </c>
      <c r="F204" s="7">
        <v>373.25998532772064</v>
      </c>
      <c r="G204" s="7">
        <v>1642343.9354419708</v>
      </c>
    </row>
    <row r="205" spans="1:7" x14ac:dyDescent="0.3">
      <c r="A205" t="s">
        <v>227</v>
      </c>
      <c r="B205" t="s">
        <v>11</v>
      </c>
      <c r="C205" s="3">
        <v>46257</v>
      </c>
      <c r="D205" t="s">
        <v>9</v>
      </c>
      <c r="E205" s="5">
        <v>4000</v>
      </c>
      <c r="F205" s="7">
        <v>365.30999755859375</v>
      </c>
      <c r="G205" s="7">
        <v>1461239.990234375</v>
      </c>
    </row>
    <row r="206" spans="1:7" x14ac:dyDescent="0.3">
      <c r="A206" t="s">
        <v>228</v>
      </c>
      <c r="B206" t="s">
        <v>11</v>
      </c>
      <c r="C206" s="3">
        <v>46256</v>
      </c>
      <c r="D206" t="s">
        <v>9</v>
      </c>
      <c r="E206" s="5">
        <v>3700</v>
      </c>
      <c r="F206" s="7">
        <v>398.22000122070313</v>
      </c>
      <c r="G206" s="7">
        <v>1473414.0045166016</v>
      </c>
    </row>
    <row r="207" spans="1:7" x14ac:dyDescent="0.3">
      <c r="A207" t="s">
        <v>229</v>
      </c>
      <c r="B207" t="s">
        <v>13</v>
      </c>
      <c r="C207" s="3">
        <v>46259</v>
      </c>
      <c r="D207" t="s">
        <v>9</v>
      </c>
      <c r="E207" s="5">
        <v>1400</v>
      </c>
      <c r="F207" s="7">
        <v>585.219970703125</v>
      </c>
      <c r="G207" s="7">
        <v>819307.958984375</v>
      </c>
    </row>
    <row r="208" spans="1:7" x14ac:dyDescent="0.3">
      <c r="A208" t="s">
        <v>230</v>
      </c>
      <c r="B208" t="s">
        <v>22</v>
      </c>
      <c r="C208" s="3">
        <v>46259</v>
      </c>
      <c r="D208" t="s">
        <v>9</v>
      </c>
      <c r="E208" s="5">
        <v>550</v>
      </c>
      <c r="F208" s="7">
        <v>486.66000366210938</v>
      </c>
      <c r="G208" s="7">
        <v>267663.00201416016</v>
      </c>
    </row>
    <row r="209" spans="1:7" x14ac:dyDescent="0.3">
      <c r="A209" t="s">
        <v>232</v>
      </c>
      <c r="B209" t="s">
        <v>22</v>
      </c>
      <c r="C209" s="3">
        <v>46259</v>
      </c>
      <c r="D209" t="s">
        <v>9</v>
      </c>
      <c r="E209" s="5">
        <v>4100</v>
      </c>
      <c r="F209" s="7">
        <v>310.67999511957169</v>
      </c>
      <c r="G209" s="7">
        <v>1273787.9799902439</v>
      </c>
    </row>
    <row r="210" spans="1:7" x14ac:dyDescent="0.3">
      <c r="A210" t="s">
        <v>233</v>
      </c>
      <c r="B210" t="s">
        <v>22</v>
      </c>
      <c r="C210" s="3">
        <v>46257</v>
      </c>
      <c r="D210" t="s">
        <v>14</v>
      </c>
      <c r="E210" s="5">
        <v>2650</v>
      </c>
      <c r="F210" s="7">
        <v>387.33999633789063</v>
      </c>
      <c r="G210" s="7">
        <v>1026450.9902954102</v>
      </c>
    </row>
    <row r="211" spans="1:7" x14ac:dyDescent="0.3">
      <c r="A211" t="s">
        <v>234</v>
      </c>
      <c r="B211" t="s">
        <v>8</v>
      </c>
      <c r="C211" s="3">
        <v>46258</v>
      </c>
      <c r="D211" t="s">
        <v>14</v>
      </c>
      <c r="E211" s="5">
        <v>4350</v>
      </c>
      <c r="F211" s="7">
        <v>279.5</v>
      </c>
      <c r="G211" s="7">
        <v>1215825</v>
      </c>
    </row>
    <row r="212" spans="1:7" x14ac:dyDescent="0.3">
      <c r="A212" t="s">
        <v>235</v>
      </c>
      <c r="B212" t="s">
        <v>11</v>
      </c>
      <c r="C212" s="3">
        <v>46258</v>
      </c>
      <c r="D212" t="s">
        <v>14</v>
      </c>
      <c r="E212" s="5">
        <v>2650</v>
      </c>
      <c r="F212" s="7">
        <v>630.84002685546875</v>
      </c>
      <c r="G212" s="7">
        <v>1671726.0711669922</v>
      </c>
    </row>
    <row r="213" spans="1:7" x14ac:dyDescent="0.3">
      <c r="A213" t="s">
        <v>236</v>
      </c>
      <c r="B213" t="s">
        <v>22</v>
      </c>
      <c r="C213" s="3">
        <v>46256</v>
      </c>
      <c r="D213" t="s">
        <v>14</v>
      </c>
      <c r="E213" s="5">
        <v>3500</v>
      </c>
      <c r="F213" s="7">
        <v>314.22000122070313</v>
      </c>
      <c r="G213" s="7">
        <v>1099770.0042724609</v>
      </c>
    </row>
    <row r="214" spans="1:7" x14ac:dyDescent="0.3">
      <c r="A214" t="s">
        <v>237</v>
      </c>
      <c r="B214" t="s">
        <v>13</v>
      </c>
      <c r="C214" s="3">
        <v>46258</v>
      </c>
      <c r="D214" t="s">
        <v>9</v>
      </c>
      <c r="E214" s="5">
        <v>5000</v>
      </c>
      <c r="F214" s="7">
        <v>339.8599853515625</v>
      </c>
      <c r="G214" s="7">
        <v>1699299.9267578125</v>
      </c>
    </row>
    <row r="215" spans="1:7" x14ac:dyDescent="0.3">
      <c r="A215" t="s">
        <v>238</v>
      </c>
      <c r="B215" t="s">
        <v>17</v>
      </c>
      <c r="C215" s="3">
        <v>46256</v>
      </c>
      <c r="D215" t="s">
        <v>14</v>
      </c>
      <c r="E215" s="5">
        <v>4400</v>
      </c>
      <c r="F215" s="7">
        <v>540.6400146484375</v>
      </c>
      <c r="G215" s="7">
        <v>2378816.064453125</v>
      </c>
    </row>
    <row r="216" spans="1:7" x14ac:dyDescent="0.3">
      <c r="A216" t="s">
        <v>239</v>
      </c>
      <c r="B216" t="s">
        <v>11</v>
      </c>
      <c r="C216" s="3">
        <v>46259</v>
      </c>
      <c r="D216" t="s">
        <v>14</v>
      </c>
      <c r="E216" s="5">
        <v>5000</v>
      </c>
      <c r="F216" s="7">
        <v>157.80000305175781</v>
      </c>
      <c r="G216" s="7">
        <v>789000.01525878906</v>
      </c>
    </row>
    <row r="217" spans="1:7" x14ac:dyDescent="0.3">
      <c r="A217" t="s">
        <v>240</v>
      </c>
      <c r="B217" t="s">
        <v>8</v>
      </c>
      <c r="C217" s="3">
        <v>46258</v>
      </c>
      <c r="D217" t="s">
        <v>14</v>
      </c>
      <c r="E217" s="5">
        <v>750</v>
      </c>
      <c r="F217" s="7">
        <v>311.39999389648438</v>
      </c>
      <c r="G217" s="7">
        <v>233549.99542236328</v>
      </c>
    </row>
    <row r="218" spans="1:7" x14ac:dyDescent="0.3">
      <c r="A218" t="s">
        <v>241</v>
      </c>
      <c r="B218" t="s">
        <v>13</v>
      </c>
      <c r="C218" s="3">
        <v>46259</v>
      </c>
      <c r="D218" t="s">
        <v>9</v>
      </c>
      <c r="E218" s="5">
        <v>400</v>
      </c>
      <c r="F218" s="7">
        <v>464.8900146484375</v>
      </c>
      <c r="G218" s="7">
        <v>185956.005859375</v>
      </c>
    </row>
    <row r="219" spans="1:7" x14ac:dyDescent="0.3">
      <c r="A219" t="s">
        <v>242</v>
      </c>
      <c r="B219" t="s">
        <v>8</v>
      </c>
      <c r="C219" s="3">
        <v>46257</v>
      </c>
      <c r="D219" t="s">
        <v>9</v>
      </c>
      <c r="E219" s="5">
        <v>900</v>
      </c>
      <c r="F219" s="7">
        <v>618.28997802734375</v>
      </c>
      <c r="G219" s="7">
        <v>556460.98022460938</v>
      </c>
    </row>
    <row r="220" spans="1:7" x14ac:dyDescent="0.3">
      <c r="A220" t="s">
        <v>243</v>
      </c>
      <c r="B220" t="s">
        <v>11</v>
      </c>
      <c r="C220" s="3">
        <v>46258</v>
      </c>
      <c r="D220" t="s">
        <v>9</v>
      </c>
      <c r="E220" s="5">
        <v>850</v>
      </c>
      <c r="F220" s="7">
        <v>589.0999755859375</v>
      </c>
      <c r="G220" s="7">
        <v>500734.97924804688</v>
      </c>
    </row>
    <row r="221" spans="1:7" x14ac:dyDescent="0.3">
      <c r="A221" t="s">
        <v>244</v>
      </c>
      <c r="B221" t="s">
        <v>17</v>
      </c>
      <c r="C221" s="3">
        <v>46255</v>
      </c>
      <c r="D221" t="s">
        <v>14</v>
      </c>
      <c r="E221" s="5">
        <v>4950</v>
      </c>
      <c r="F221" s="7">
        <v>365.69000244140625</v>
      </c>
      <c r="G221" s="7">
        <v>1810165.5120849609</v>
      </c>
    </row>
    <row r="222" spans="1:7" x14ac:dyDescent="0.3">
      <c r="A222" t="s">
        <v>245</v>
      </c>
      <c r="B222" t="s">
        <v>8</v>
      </c>
      <c r="C222" s="3">
        <v>46258</v>
      </c>
      <c r="D222" t="s">
        <v>14</v>
      </c>
      <c r="E222" s="5">
        <v>3350</v>
      </c>
      <c r="F222" s="7">
        <v>642.0999755859375</v>
      </c>
      <c r="G222" s="7">
        <v>2151034.9182128906</v>
      </c>
    </row>
    <row r="223" spans="1:7" x14ac:dyDescent="0.3">
      <c r="A223" t="s">
        <v>246</v>
      </c>
      <c r="B223" t="s">
        <v>17</v>
      </c>
      <c r="C223" s="3">
        <v>46258</v>
      </c>
      <c r="D223" t="s">
        <v>14</v>
      </c>
      <c r="E223" s="5">
        <v>3850</v>
      </c>
      <c r="F223" s="7">
        <v>269.02999877929688</v>
      </c>
      <c r="G223" s="7">
        <v>1035765.495300293</v>
      </c>
    </row>
    <row r="224" spans="1:7" x14ac:dyDescent="0.3">
      <c r="A224" t="s">
        <v>247</v>
      </c>
      <c r="B224" t="s">
        <v>8</v>
      </c>
      <c r="C224" s="3">
        <v>46259</v>
      </c>
      <c r="D224" t="s">
        <v>9</v>
      </c>
      <c r="E224" s="5">
        <v>4100</v>
      </c>
      <c r="F224" s="7">
        <v>480.16000366210938</v>
      </c>
      <c r="G224" s="7">
        <v>1968656.0150146484</v>
      </c>
    </row>
    <row r="225" spans="1:7" x14ac:dyDescent="0.3">
      <c r="A225" t="s">
        <v>248</v>
      </c>
      <c r="B225" t="s">
        <v>17</v>
      </c>
      <c r="C225" s="3">
        <v>46259</v>
      </c>
      <c r="D225" t="s">
        <v>9</v>
      </c>
      <c r="E225" s="5">
        <v>3900</v>
      </c>
      <c r="F225" s="7">
        <v>378.20999145507813</v>
      </c>
      <c r="G225" s="7">
        <v>1475018.9666748047</v>
      </c>
    </row>
    <row r="226" spans="1:7" x14ac:dyDescent="0.3">
      <c r="A226" t="s">
        <v>249</v>
      </c>
      <c r="B226" t="s">
        <v>17</v>
      </c>
      <c r="C226" s="3">
        <v>46256</v>
      </c>
      <c r="D226" t="s">
        <v>9</v>
      </c>
      <c r="E226" s="5">
        <v>1600</v>
      </c>
      <c r="F226" s="7">
        <v>290.16000366210938</v>
      </c>
      <c r="G226" s="7">
        <v>464256.005859375</v>
      </c>
    </row>
    <row r="227" spans="1:7" x14ac:dyDescent="0.3">
      <c r="A227" t="s">
        <v>250</v>
      </c>
      <c r="B227" t="s">
        <v>22</v>
      </c>
      <c r="C227" s="3">
        <v>46257</v>
      </c>
      <c r="D227" t="s">
        <v>9</v>
      </c>
      <c r="E227" s="5">
        <v>3300</v>
      </c>
      <c r="F227" s="7">
        <v>226.02999877929688</v>
      </c>
      <c r="G227" s="7">
        <v>745898.99597167969</v>
      </c>
    </row>
    <row r="228" spans="1:7" x14ac:dyDescent="0.3">
      <c r="A228" t="s">
        <v>251</v>
      </c>
      <c r="B228" t="s">
        <v>13</v>
      </c>
      <c r="C228" s="3">
        <v>46256</v>
      </c>
      <c r="D228" t="s">
        <v>9</v>
      </c>
      <c r="E228" s="5">
        <v>750</v>
      </c>
      <c r="F228" s="7">
        <v>300.45999145507813</v>
      </c>
      <c r="G228" s="7">
        <v>225344.99359130859</v>
      </c>
    </row>
    <row r="229" spans="1:7" x14ac:dyDescent="0.3">
      <c r="A229" t="s">
        <v>252</v>
      </c>
      <c r="B229" t="s">
        <v>22</v>
      </c>
      <c r="C229" s="3">
        <v>46255</v>
      </c>
      <c r="D229" t="s">
        <v>9</v>
      </c>
      <c r="E229" s="5">
        <v>4250</v>
      </c>
      <c r="F229" s="7">
        <v>601.6400146484375</v>
      </c>
      <c r="G229" s="7">
        <v>2556970.0622558594</v>
      </c>
    </row>
    <row r="230" spans="1:7" x14ac:dyDescent="0.3">
      <c r="A230" t="s">
        <v>253</v>
      </c>
      <c r="B230" t="s">
        <v>13</v>
      </c>
      <c r="C230" s="3">
        <v>46259</v>
      </c>
      <c r="D230" t="s">
        <v>9</v>
      </c>
      <c r="E230" s="5">
        <v>3650</v>
      </c>
      <c r="F230" s="7">
        <v>616.8499755859375</v>
      </c>
      <c r="G230" s="7">
        <v>2251502.4108886719</v>
      </c>
    </row>
    <row r="231" spans="1:7" x14ac:dyDescent="0.3">
      <c r="A231" t="s">
        <v>254</v>
      </c>
      <c r="B231" t="s">
        <v>13</v>
      </c>
      <c r="C231" s="3">
        <v>46259</v>
      </c>
      <c r="D231" t="s">
        <v>14</v>
      </c>
      <c r="E231" s="5">
        <v>1900</v>
      </c>
      <c r="F231" s="7">
        <v>448.989990234375</v>
      </c>
      <c r="G231" s="7">
        <v>853080.9814453125</v>
      </c>
    </row>
    <row r="232" spans="1:7" x14ac:dyDescent="0.3">
      <c r="A232" t="s">
        <v>255</v>
      </c>
      <c r="B232" t="s">
        <v>22</v>
      </c>
      <c r="C232" s="3">
        <v>46256</v>
      </c>
      <c r="D232" t="s">
        <v>14</v>
      </c>
      <c r="E232" s="5">
        <v>1200</v>
      </c>
      <c r="F232" s="7">
        <v>182.92999875545502</v>
      </c>
      <c r="G232" s="7">
        <v>219515.99850654602</v>
      </c>
    </row>
    <row r="233" spans="1:7" x14ac:dyDescent="0.3">
      <c r="A233" t="s">
        <v>256</v>
      </c>
      <c r="B233" t="s">
        <v>8</v>
      </c>
      <c r="C233" s="3">
        <v>46255</v>
      </c>
      <c r="D233" t="s">
        <v>9</v>
      </c>
      <c r="E233" s="5">
        <v>2450</v>
      </c>
      <c r="F233" s="7">
        <v>490.92999267578125</v>
      </c>
      <c r="G233" s="7">
        <v>1202778.4820556641</v>
      </c>
    </row>
    <row r="234" spans="1:7" x14ac:dyDescent="0.3">
      <c r="A234" t="s">
        <v>257</v>
      </c>
      <c r="B234" t="s">
        <v>11</v>
      </c>
      <c r="C234" s="3">
        <v>46258</v>
      </c>
      <c r="D234" t="s">
        <v>14</v>
      </c>
      <c r="E234" s="5">
        <v>2200</v>
      </c>
      <c r="F234" s="7">
        <v>315.32998657226563</v>
      </c>
      <c r="G234" s="7">
        <v>693725.97045898438</v>
      </c>
    </row>
    <row r="235" spans="1:7" x14ac:dyDescent="0.3">
      <c r="A235" t="s">
        <v>258</v>
      </c>
      <c r="B235" t="s">
        <v>17</v>
      </c>
      <c r="C235" s="3">
        <v>46255</v>
      </c>
      <c r="D235" t="s">
        <v>14</v>
      </c>
      <c r="E235" s="5">
        <v>2250</v>
      </c>
      <c r="F235" s="7">
        <v>461.26998901367188</v>
      </c>
      <c r="G235" s="7">
        <v>1037857.4752807617</v>
      </c>
    </row>
    <row r="236" spans="1:7" x14ac:dyDescent="0.3">
      <c r="A236" t="s">
        <v>259</v>
      </c>
      <c r="B236" t="s">
        <v>13</v>
      </c>
      <c r="C236" s="3">
        <v>46259</v>
      </c>
      <c r="D236" t="s">
        <v>9</v>
      </c>
      <c r="E236" s="5">
        <v>300</v>
      </c>
      <c r="F236" s="7">
        <v>455.17001342773438</v>
      </c>
      <c r="G236" s="7">
        <v>136551.00402832031</v>
      </c>
    </row>
    <row r="237" spans="1:7" x14ac:dyDescent="0.3">
      <c r="A237" t="s">
        <v>260</v>
      </c>
      <c r="B237" t="s">
        <v>17</v>
      </c>
      <c r="C237" s="3">
        <v>46257</v>
      </c>
      <c r="D237" t="s">
        <v>9</v>
      </c>
      <c r="E237" s="5">
        <v>3000</v>
      </c>
      <c r="F237" s="7">
        <v>525.84002685546875</v>
      </c>
      <c r="G237" s="7">
        <v>1577520.0805664063</v>
      </c>
    </row>
    <row r="238" spans="1:7" x14ac:dyDescent="0.3">
      <c r="A238" t="s">
        <v>261</v>
      </c>
      <c r="B238" t="s">
        <v>13</v>
      </c>
      <c r="C238" s="3">
        <v>46255</v>
      </c>
      <c r="D238" t="s">
        <v>14</v>
      </c>
      <c r="E238" s="5">
        <v>4350</v>
      </c>
      <c r="F238" s="7">
        <v>406.07000732421875</v>
      </c>
      <c r="G238" s="7">
        <v>1766404.5318603516</v>
      </c>
    </row>
    <row r="239" spans="1:7" x14ac:dyDescent="0.3">
      <c r="A239" t="s">
        <v>262</v>
      </c>
      <c r="B239" t="s">
        <v>13</v>
      </c>
      <c r="C239" s="3">
        <v>46257</v>
      </c>
      <c r="D239" t="s">
        <v>9</v>
      </c>
      <c r="E239" s="5">
        <v>150</v>
      </c>
      <c r="F239" s="7">
        <v>635.59001952409744</v>
      </c>
      <c r="G239" s="7">
        <v>95338.502928614616</v>
      </c>
    </row>
    <row r="240" spans="1:7" x14ac:dyDescent="0.3">
      <c r="A240" t="s">
        <v>263</v>
      </c>
      <c r="B240" t="s">
        <v>22</v>
      </c>
      <c r="C240" s="3">
        <v>46257</v>
      </c>
      <c r="D240" t="s">
        <v>9</v>
      </c>
      <c r="E240" s="5">
        <v>1450</v>
      </c>
      <c r="F240" s="7">
        <v>632.5999755859375</v>
      </c>
      <c r="G240" s="7">
        <v>917269.96459960938</v>
      </c>
    </row>
    <row r="241" spans="1:7" x14ac:dyDescent="0.3">
      <c r="A241" t="s">
        <v>264</v>
      </c>
      <c r="B241" t="s">
        <v>8</v>
      </c>
      <c r="C241" s="3">
        <v>46259</v>
      </c>
      <c r="D241" t="s">
        <v>9</v>
      </c>
      <c r="E241" s="5">
        <v>300</v>
      </c>
      <c r="F241" s="7">
        <v>393.05999755859375</v>
      </c>
      <c r="G241" s="7">
        <v>117917.99926757813</v>
      </c>
    </row>
    <row r="242" spans="1:7" x14ac:dyDescent="0.3">
      <c r="A242" t="s">
        <v>265</v>
      </c>
      <c r="B242" t="s">
        <v>11</v>
      </c>
      <c r="C242" s="3">
        <v>46259</v>
      </c>
      <c r="D242" t="s">
        <v>14</v>
      </c>
      <c r="E242" s="5">
        <v>300</v>
      </c>
      <c r="F242" s="7">
        <v>631.40997314453125</v>
      </c>
      <c r="G242" s="7">
        <v>189422.99194335938</v>
      </c>
    </row>
    <row r="243" spans="1:7" x14ac:dyDescent="0.3">
      <c r="A243" t="s">
        <v>266</v>
      </c>
      <c r="B243" t="s">
        <v>17</v>
      </c>
      <c r="C243" s="3">
        <v>46259</v>
      </c>
      <c r="D243" t="s">
        <v>9</v>
      </c>
      <c r="E243" s="5">
        <v>3750</v>
      </c>
      <c r="F243" s="7">
        <v>344.42999267578125</v>
      </c>
      <c r="G243" s="7">
        <v>1291612.4725341797</v>
      </c>
    </row>
    <row r="244" spans="1:7" x14ac:dyDescent="0.3">
      <c r="A244" t="s">
        <v>267</v>
      </c>
      <c r="B244" t="s">
        <v>11</v>
      </c>
      <c r="C244" s="3">
        <v>46256</v>
      </c>
      <c r="D244" t="s">
        <v>14</v>
      </c>
      <c r="E244" s="5">
        <v>3000</v>
      </c>
      <c r="F244" s="7">
        <v>576.19000244140625</v>
      </c>
      <c r="G244" s="7">
        <v>1728570.0073242188</v>
      </c>
    </row>
    <row r="245" spans="1:7" x14ac:dyDescent="0.3">
      <c r="A245" t="s">
        <v>268</v>
      </c>
      <c r="B245" t="s">
        <v>13</v>
      </c>
      <c r="C245" s="3">
        <v>46258</v>
      </c>
      <c r="D245" t="s">
        <v>9</v>
      </c>
      <c r="E245" s="5">
        <v>700</v>
      </c>
      <c r="F245" s="7">
        <v>519.3499755859375</v>
      </c>
      <c r="G245" s="7">
        <v>363544.98291015625</v>
      </c>
    </row>
    <row r="246" spans="1:7" x14ac:dyDescent="0.3">
      <c r="A246" t="s">
        <v>269</v>
      </c>
      <c r="B246" t="s">
        <v>13</v>
      </c>
      <c r="C246" s="3">
        <v>46255</v>
      </c>
      <c r="D246" t="s">
        <v>9</v>
      </c>
      <c r="E246" s="5">
        <v>1400</v>
      </c>
      <c r="F246" s="7">
        <v>376.23001098632813</v>
      </c>
      <c r="G246" s="7">
        <v>526722.01538085938</v>
      </c>
    </row>
    <row r="247" spans="1:7" x14ac:dyDescent="0.3">
      <c r="A247" t="s">
        <v>270</v>
      </c>
      <c r="B247" t="s">
        <v>11</v>
      </c>
      <c r="C247" s="3">
        <v>46259</v>
      </c>
      <c r="D247" t="s">
        <v>9</v>
      </c>
      <c r="E247" s="5">
        <v>1300</v>
      </c>
      <c r="F247" s="7">
        <v>589.04998779296875</v>
      </c>
      <c r="G247" s="7">
        <v>765764.98413085938</v>
      </c>
    </row>
    <row r="248" spans="1:7" x14ac:dyDescent="0.3">
      <c r="A248" t="s">
        <v>271</v>
      </c>
      <c r="B248" t="s">
        <v>11</v>
      </c>
      <c r="C248" s="3">
        <v>46255</v>
      </c>
      <c r="D248" t="s">
        <v>14</v>
      </c>
      <c r="E248" s="5">
        <v>1550</v>
      </c>
      <c r="F248" s="7">
        <v>173.69000244140625</v>
      </c>
      <c r="G248" s="7">
        <v>269219.50378417969</v>
      </c>
    </row>
    <row r="249" spans="1:7" x14ac:dyDescent="0.3">
      <c r="A249" t="s">
        <v>272</v>
      </c>
      <c r="B249" t="s">
        <v>22</v>
      </c>
      <c r="C249" s="3">
        <v>46256</v>
      </c>
      <c r="D249" t="s">
        <v>14</v>
      </c>
      <c r="E249" s="5">
        <v>4700</v>
      </c>
      <c r="F249" s="7">
        <v>516.280029296875</v>
      </c>
      <c r="G249" s="7">
        <v>2426516.1376953125</v>
      </c>
    </row>
    <row r="250" spans="1:7" x14ac:dyDescent="0.3">
      <c r="A250" t="s">
        <v>273</v>
      </c>
      <c r="B250" t="s">
        <v>22</v>
      </c>
      <c r="C250" s="3">
        <v>46258</v>
      </c>
      <c r="D250" t="s">
        <v>9</v>
      </c>
      <c r="E250" s="5">
        <v>1250</v>
      </c>
      <c r="F250" s="7">
        <v>617.1199951171875</v>
      </c>
      <c r="G250" s="7">
        <v>771399.99389648438</v>
      </c>
    </row>
    <row r="251" spans="1:7" x14ac:dyDescent="0.3">
      <c r="A251" t="s">
        <v>274</v>
      </c>
      <c r="B251" t="s">
        <v>22</v>
      </c>
      <c r="C251" s="3">
        <v>46255</v>
      </c>
      <c r="D251" t="s">
        <v>9</v>
      </c>
      <c r="E251" s="5">
        <v>4700</v>
      </c>
      <c r="F251" s="7">
        <v>391.20999145507813</v>
      </c>
      <c r="G251" s="7">
        <v>1838686.9598388672</v>
      </c>
    </row>
    <row r="252" spans="1:7" x14ac:dyDescent="0.3">
      <c r="A252" t="s">
        <v>275</v>
      </c>
      <c r="B252" t="s">
        <v>13</v>
      </c>
      <c r="C252" s="3">
        <v>46259</v>
      </c>
      <c r="D252" t="s">
        <v>14</v>
      </c>
      <c r="E252" s="5">
        <v>3550</v>
      </c>
      <c r="F252" s="7">
        <v>259.82000732421875</v>
      </c>
      <c r="G252" s="7">
        <v>922361.02600097656</v>
      </c>
    </row>
    <row r="253" spans="1:7" x14ac:dyDescent="0.3">
      <c r="A253" t="s">
        <v>276</v>
      </c>
      <c r="B253" t="s">
        <v>8</v>
      </c>
      <c r="C253" s="3">
        <v>46258</v>
      </c>
      <c r="D253" t="s">
        <v>14</v>
      </c>
      <c r="E253" s="5">
        <v>1400</v>
      </c>
      <c r="F253" s="7">
        <v>392.39999389648438</v>
      </c>
      <c r="G253" s="7">
        <v>549359.99145507813</v>
      </c>
    </row>
    <row r="254" spans="1:7" x14ac:dyDescent="0.3">
      <c r="A254" t="s">
        <v>277</v>
      </c>
      <c r="B254" t="s">
        <v>8</v>
      </c>
      <c r="C254" s="3">
        <v>46255</v>
      </c>
      <c r="D254" t="s">
        <v>14</v>
      </c>
      <c r="E254" s="5">
        <v>1650</v>
      </c>
      <c r="F254" s="7">
        <v>583.32000732421875</v>
      </c>
      <c r="G254" s="7">
        <v>962478.01208496094</v>
      </c>
    </row>
    <row r="255" spans="1:7" x14ac:dyDescent="0.3">
      <c r="A255" t="s">
        <v>278</v>
      </c>
      <c r="B255" t="s">
        <v>22</v>
      </c>
      <c r="C255" s="3">
        <v>46257</v>
      </c>
      <c r="D255" t="s">
        <v>14</v>
      </c>
      <c r="E255" s="5">
        <v>4400</v>
      </c>
      <c r="F255" s="7">
        <v>372.72000122070313</v>
      </c>
      <c r="G255" s="7">
        <v>1639968.0053710938</v>
      </c>
    </row>
    <row r="256" spans="1:7" x14ac:dyDescent="0.3">
      <c r="A256" t="s">
        <v>280</v>
      </c>
      <c r="B256" t="s">
        <v>13</v>
      </c>
      <c r="C256" s="3">
        <v>46255</v>
      </c>
      <c r="D256" t="s">
        <v>9</v>
      </c>
      <c r="E256" s="5">
        <v>1950</v>
      </c>
      <c r="F256" s="7">
        <v>570.30999755859375</v>
      </c>
      <c r="G256" s="7">
        <v>1112104.4952392578</v>
      </c>
    </row>
    <row r="257" spans="1:7" x14ac:dyDescent="0.3">
      <c r="A257" t="s">
        <v>281</v>
      </c>
      <c r="B257" t="s">
        <v>17</v>
      </c>
      <c r="C257" s="3">
        <v>46255</v>
      </c>
      <c r="D257" t="s">
        <v>9</v>
      </c>
      <c r="E257" s="5">
        <v>3150</v>
      </c>
      <c r="F257" s="7">
        <v>355.66000366210938</v>
      </c>
      <c r="G257" s="7">
        <v>1120329.0115356445</v>
      </c>
    </row>
    <row r="258" spans="1:7" x14ac:dyDescent="0.3">
      <c r="A258" t="s">
        <v>282</v>
      </c>
      <c r="B258" t="s">
        <v>8</v>
      </c>
      <c r="C258" s="3">
        <v>46259</v>
      </c>
      <c r="D258" t="s">
        <v>14</v>
      </c>
      <c r="E258" s="5">
        <v>1550</v>
      </c>
      <c r="F258" s="7">
        <v>444.489990234375</v>
      </c>
      <c r="G258" s="7">
        <v>688959.48486328125</v>
      </c>
    </row>
    <row r="259" spans="1:7" x14ac:dyDescent="0.3">
      <c r="A259" t="s">
        <v>283</v>
      </c>
      <c r="B259" t="s">
        <v>8</v>
      </c>
      <c r="C259" s="3">
        <v>46257</v>
      </c>
      <c r="D259" t="s">
        <v>14</v>
      </c>
      <c r="E259" s="5">
        <v>1100</v>
      </c>
      <c r="F259" s="7">
        <v>369.6099853515625</v>
      </c>
      <c r="G259" s="7">
        <v>406570.98388671875</v>
      </c>
    </row>
    <row r="260" spans="1:7" x14ac:dyDescent="0.3">
      <c r="A260" t="s">
        <v>284</v>
      </c>
      <c r="B260" t="s">
        <v>22</v>
      </c>
      <c r="C260" s="3">
        <v>46255</v>
      </c>
      <c r="D260" t="s">
        <v>14</v>
      </c>
      <c r="E260" s="5">
        <v>1850</v>
      </c>
      <c r="F260" s="7">
        <v>636.69000244140625</v>
      </c>
      <c r="G260" s="7">
        <v>1177876.5045166016</v>
      </c>
    </row>
    <row r="261" spans="1:7" x14ac:dyDescent="0.3">
      <c r="A261" t="s">
        <v>285</v>
      </c>
      <c r="B261" t="s">
        <v>22</v>
      </c>
      <c r="C261" s="3">
        <v>46258</v>
      </c>
      <c r="D261" t="s">
        <v>9</v>
      </c>
      <c r="E261" s="5">
        <v>2650</v>
      </c>
      <c r="F261" s="7">
        <v>616.5</v>
      </c>
      <c r="G261" s="7">
        <v>1633725</v>
      </c>
    </row>
    <row r="262" spans="1:7" x14ac:dyDescent="0.3">
      <c r="A262" t="s">
        <v>286</v>
      </c>
      <c r="B262" t="s">
        <v>17</v>
      </c>
      <c r="C262" s="3">
        <v>46258</v>
      </c>
      <c r="D262" t="s">
        <v>14</v>
      </c>
      <c r="E262" s="5">
        <v>450</v>
      </c>
      <c r="F262" s="7">
        <v>556.45001220703125</v>
      </c>
      <c r="G262" s="7">
        <v>250402.50549316406</v>
      </c>
    </row>
    <row r="263" spans="1:7" x14ac:dyDescent="0.3">
      <c r="A263" t="s">
        <v>287</v>
      </c>
      <c r="B263" t="s">
        <v>17</v>
      </c>
      <c r="C263" s="3">
        <v>46258</v>
      </c>
      <c r="D263" t="s">
        <v>14</v>
      </c>
      <c r="E263" s="5">
        <v>4850</v>
      </c>
      <c r="F263" s="7">
        <v>445.54000854492188</v>
      </c>
      <c r="G263" s="7">
        <v>2160869.0414428711</v>
      </c>
    </row>
    <row r="264" spans="1:7" x14ac:dyDescent="0.3">
      <c r="A264" t="s">
        <v>288</v>
      </c>
      <c r="B264" t="s">
        <v>17</v>
      </c>
      <c r="C264" s="3">
        <v>46258</v>
      </c>
      <c r="D264" t="s">
        <v>9</v>
      </c>
      <c r="E264" s="5">
        <v>3550</v>
      </c>
      <c r="F264" s="7">
        <v>592.27001953125</v>
      </c>
      <c r="G264" s="7">
        <v>2102558.5693359375</v>
      </c>
    </row>
    <row r="265" spans="1:7" x14ac:dyDescent="0.3">
      <c r="A265" t="s">
        <v>289</v>
      </c>
      <c r="B265" t="s">
        <v>11</v>
      </c>
      <c r="C265" s="3">
        <v>46257</v>
      </c>
      <c r="D265" t="s">
        <v>14</v>
      </c>
      <c r="E265" s="5">
        <v>800</v>
      </c>
      <c r="F265" s="7">
        <v>400.13999879360199</v>
      </c>
      <c r="G265" s="7">
        <v>320111.99903488159</v>
      </c>
    </row>
    <row r="266" spans="1:7" x14ac:dyDescent="0.3">
      <c r="A266" t="s">
        <v>290</v>
      </c>
      <c r="B266" t="s">
        <v>8</v>
      </c>
      <c r="C266" s="3">
        <v>46259</v>
      </c>
      <c r="D266" t="s">
        <v>14</v>
      </c>
      <c r="E266" s="5">
        <v>3000</v>
      </c>
      <c r="F266" s="7">
        <v>644.1500244140625</v>
      </c>
      <c r="G266" s="7">
        <v>1932450.0732421875</v>
      </c>
    </row>
    <row r="267" spans="1:7" x14ac:dyDescent="0.3">
      <c r="A267" t="s">
        <v>291</v>
      </c>
      <c r="B267" t="s">
        <v>11</v>
      </c>
      <c r="C267" s="3">
        <v>46256</v>
      </c>
      <c r="D267" t="s">
        <v>9</v>
      </c>
      <c r="E267" s="5">
        <v>4650</v>
      </c>
      <c r="F267" s="7">
        <v>404.45001220703125</v>
      </c>
      <c r="G267" s="7">
        <v>1880692.5567626953</v>
      </c>
    </row>
    <row r="268" spans="1:7" x14ac:dyDescent="0.3">
      <c r="A268" t="s">
        <v>292</v>
      </c>
      <c r="B268" t="s">
        <v>22</v>
      </c>
      <c r="C268" s="3">
        <v>46257</v>
      </c>
      <c r="D268" t="s">
        <v>9</v>
      </c>
      <c r="E268" s="5">
        <v>4550</v>
      </c>
      <c r="F268" s="7">
        <v>460.17001342773438</v>
      </c>
      <c r="G268" s="7">
        <v>2093773.5610961914</v>
      </c>
    </row>
    <row r="269" spans="1:7" x14ac:dyDescent="0.3">
      <c r="A269" t="s">
        <v>293</v>
      </c>
      <c r="B269" t="s">
        <v>11</v>
      </c>
      <c r="C269" s="3">
        <v>46255</v>
      </c>
      <c r="D269" t="s">
        <v>9</v>
      </c>
      <c r="E269" s="5">
        <v>1950</v>
      </c>
      <c r="F269" s="7">
        <v>637.66998291015625</v>
      </c>
      <c r="G269" s="7">
        <v>1243456.4666748047</v>
      </c>
    </row>
    <row r="270" spans="1:7" x14ac:dyDescent="0.3">
      <c r="A270" t="s">
        <v>294</v>
      </c>
      <c r="B270" t="s">
        <v>8</v>
      </c>
      <c r="C270" s="3">
        <v>46257</v>
      </c>
      <c r="D270" t="s">
        <v>14</v>
      </c>
      <c r="E270" s="5">
        <v>2500</v>
      </c>
      <c r="F270" s="7">
        <v>522.1400146484375</v>
      </c>
      <c r="G270" s="7">
        <v>1305350.0366210938</v>
      </c>
    </row>
    <row r="271" spans="1:7" x14ac:dyDescent="0.3">
      <c r="A271" t="s">
        <v>295</v>
      </c>
      <c r="B271" t="s">
        <v>17</v>
      </c>
      <c r="C271" s="3">
        <v>46259</v>
      </c>
      <c r="D271" t="s">
        <v>9</v>
      </c>
      <c r="E271" s="5">
        <v>4450</v>
      </c>
      <c r="F271" s="7">
        <v>315.739990234375</v>
      </c>
      <c r="G271" s="7">
        <v>1405042.9565429688</v>
      </c>
    </row>
    <row r="272" spans="1:7" x14ac:dyDescent="0.3">
      <c r="A272" t="s">
        <v>296</v>
      </c>
      <c r="B272" t="s">
        <v>13</v>
      </c>
      <c r="C272" s="3">
        <v>46257</v>
      </c>
      <c r="D272" t="s">
        <v>14</v>
      </c>
      <c r="E272" s="5">
        <v>950</v>
      </c>
      <c r="F272" s="7">
        <v>432.07998657226563</v>
      </c>
      <c r="G272" s="7">
        <v>410475.98724365234</v>
      </c>
    </row>
    <row r="273" spans="1:7" x14ac:dyDescent="0.3">
      <c r="A273" t="s">
        <v>297</v>
      </c>
      <c r="B273" t="s">
        <v>17</v>
      </c>
      <c r="C273" s="3">
        <v>46256</v>
      </c>
      <c r="D273" t="s">
        <v>14</v>
      </c>
      <c r="E273" s="5">
        <v>2800</v>
      </c>
      <c r="F273" s="7">
        <v>373.91000366210938</v>
      </c>
      <c r="G273" s="7">
        <v>1046948.0102539063</v>
      </c>
    </row>
    <row r="274" spans="1:7" x14ac:dyDescent="0.3">
      <c r="A274" t="s">
        <v>298</v>
      </c>
      <c r="B274" t="s">
        <v>22</v>
      </c>
      <c r="C274" s="3">
        <v>46256</v>
      </c>
      <c r="D274" t="s">
        <v>14</v>
      </c>
      <c r="E274" s="5">
        <v>3200</v>
      </c>
      <c r="F274" s="7">
        <v>565.91998291015625</v>
      </c>
      <c r="G274" s="7">
        <v>1810943.9453125</v>
      </c>
    </row>
    <row r="275" spans="1:7" x14ac:dyDescent="0.3">
      <c r="A275" t="s">
        <v>299</v>
      </c>
      <c r="B275" t="s">
        <v>22</v>
      </c>
      <c r="C275" s="3">
        <v>46259</v>
      </c>
      <c r="D275" t="s">
        <v>9</v>
      </c>
      <c r="E275" s="5">
        <v>1800</v>
      </c>
      <c r="F275" s="7">
        <v>439.3699951171875</v>
      </c>
      <c r="G275" s="7">
        <v>790865.9912109375</v>
      </c>
    </row>
    <row r="276" spans="1:7" x14ac:dyDescent="0.3">
      <c r="A276" t="s">
        <v>300</v>
      </c>
      <c r="B276" t="s">
        <v>22</v>
      </c>
      <c r="C276" s="3">
        <v>46255</v>
      </c>
      <c r="D276" t="s">
        <v>14</v>
      </c>
      <c r="E276" s="5">
        <v>1150</v>
      </c>
      <c r="F276" s="7">
        <v>190.72999572753906</v>
      </c>
      <c r="G276" s="7">
        <v>219339.49508666992</v>
      </c>
    </row>
    <row r="277" spans="1:7" x14ac:dyDescent="0.3">
      <c r="A277" t="s">
        <v>301</v>
      </c>
      <c r="B277" t="s">
        <v>13</v>
      </c>
      <c r="C277" s="3">
        <v>46259</v>
      </c>
      <c r="D277" t="s">
        <v>9</v>
      </c>
      <c r="E277" s="5">
        <v>1000</v>
      </c>
      <c r="F277" s="7">
        <v>260.8599853515625</v>
      </c>
      <c r="G277" s="7">
        <v>260859.9853515625</v>
      </c>
    </row>
    <row r="278" spans="1:7" x14ac:dyDescent="0.3">
      <c r="A278" t="s">
        <v>302</v>
      </c>
      <c r="B278" t="s">
        <v>11</v>
      </c>
      <c r="C278" s="3">
        <v>46256</v>
      </c>
      <c r="D278" t="s">
        <v>9</v>
      </c>
      <c r="E278" s="5">
        <v>1250</v>
      </c>
      <c r="F278" s="7">
        <v>206.8699951171875</v>
      </c>
      <c r="G278" s="7">
        <v>258587.49389648438</v>
      </c>
    </row>
    <row r="279" spans="1:7" x14ac:dyDescent="0.3">
      <c r="A279" t="s">
        <v>303</v>
      </c>
      <c r="B279" t="s">
        <v>11</v>
      </c>
      <c r="C279" s="3">
        <v>46259</v>
      </c>
      <c r="D279" t="s">
        <v>14</v>
      </c>
      <c r="E279" s="5">
        <v>900</v>
      </c>
      <c r="F279" s="7">
        <v>263.3900146484375</v>
      </c>
      <c r="G279" s="7">
        <v>237051.01318359375</v>
      </c>
    </row>
    <row r="280" spans="1:7" x14ac:dyDescent="0.3">
      <c r="A280" t="s">
        <v>304</v>
      </c>
      <c r="B280" t="s">
        <v>8</v>
      </c>
      <c r="C280" s="3">
        <v>46256</v>
      </c>
      <c r="D280" t="s">
        <v>14</v>
      </c>
      <c r="E280" s="5">
        <v>1650</v>
      </c>
      <c r="F280" s="7">
        <v>515.19000244140625</v>
      </c>
      <c r="G280" s="7">
        <v>850063.50402832031</v>
      </c>
    </row>
    <row r="281" spans="1:7" x14ac:dyDescent="0.3">
      <c r="A281" t="s">
        <v>305</v>
      </c>
      <c r="B281" t="s">
        <v>17</v>
      </c>
      <c r="C281" s="3">
        <v>46259</v>
      </c>
      <c r="D281" t="s">
        <v>9</v>
      </c>
      <c r="E281" s="5">
        <v>950</v>
      </c>
      <c r="F281" s="7">
        <v>227.94999694824219</v>
      </c>
      <c r="G281" s="7">
        <v>216552.49710083008</v>
      </c>
    </row>
    <row r="282" spans="1:7" x14ac:dyDescent="0.3">
      <c r="A282" t="s">
        <v>306</v>
      </c>
      <c r="B282" t="s">
        <v>22</v>
      </c>
      <c r="C282" s="3">
        <v>46255</v>
      </c>
      <c r="D282" t="s">
        <v>14</v>
      </c>
      <c r="E282" s="5">
        <v>550</v>
      </c>
      <c r="F282" s="7">
        <v>508.9100122153759</v>
      </c>
      <c r="G282" s="7">
        <v>279900.50671845675</v>
      </c>
    </row>
    <row r="283" spans="1:7" x14ac:dyDescent="0.3">
      <c r="A283" t="s">
        <v>307</v>
      </c>
      <c r="B283" t="s">
        <v>11</v>
      </c>
      <c r="C283" s="3">
        <v>46256</v>
      </c>
      <c r="D283" t="s">
        <v>9</v>
      </c>
      <c r="E283" s="5">
        <v>4500</v>
      </c>
      <c r="F283" s="7">
        <v>556.02001953125</v>
      </c>
      <c r="G283" s="7">
        <v>2502090.087890625</v>
      </c>
    </row>
    <row r="284" spans="1:7" x14ac:dyDescent="0.3">
      <c r="A284" t="s">
        <v>308</v>
      </c>
      <c r="B284" t="s">
        <v>13</v>
      </c>
      <c r="C284" s="3">
        <v>46255</v>
      </c>
      <c r="D284" t="s">
        <v>14</v>
      </c>
      <c r="E284" s="5">
        <v>450</v>
      </c>
      <c r="F284" s="7">
        <v>191.53999328613281</v>
      </c>
      <c r="G284" s="7">
        <v>86192.996978759766</v>
      </c>
    </row>
    <row r="285" spans="1:7" x14ac:dyDescent="0.3">
      <c r="A285" t="s">
        <v>309</v>
      </c>
      <c r="B285" t="s">
        <v>22</v>
      </c>
      <c r="C285" s="3">
        <v>46259</v>
      </c>
      <c r="D285" t="s">
        <v>9</v>
      </c>
      <c r="E285" s="5">
        <v>2500</v>
      </c>
      <c r="F285" s="7">
        <v>297.83999633789063</v>
      </c>
      <c r="G285" s="7">
        <v>744599.99084472656</v>
      </c>
    </row>
    <row r="286" spans="1:7" x14ac:dyDescent="0.3">
      <c r="A286" t="s">
        <v>310</v>
      </c>
      <c r="B286" t="s">
        <v>11</v>
      </c>
      <c r="C286" s="3">
        <v>46257</v>
      </c>
      <c r="D286" t="s">
        <v>14</v>
      </c>
      <c r="E286" s="5">
        <v>2650</v>
      </c>
      <c r="F286" s="7">
        <v>440.16000366210938</v>
      </c>
      <c r="G286" s="7">
        <v>1166424.0097045898</v>
      </c>
    </row>
    <row r="287" spans="1:7" x14ac:dyDescent="0.3">
      <c r="A287" t="s">
        <v>312</v>
      </c>
      <c r="B287" t="s">
        <v>17</v>
      </c>
      <c r="C287" s="3">
        <v>46256</v>
      </c>
      <c r="D287" t="s">
        <v>14</v>
      </c>
      <c r="E287" s="5">
        <v>1200</v>
      </c>
      <c r="F287" s="7">
        <v>551.8699951171875</v>
      </c>
      <c r="G287" s="7">
        <v>662243.994140625</v>
      </c>
    </row>
    <row r="288" spans="1:7" x14ac:dyDescent="0.3">
      <c r="A288" t="s">
        <v>313</v>
      </c>
      <c r="B288" t="s">
        <v>22</v>
      </c>
      <c r="C288" s="3">
        <v>46259</v>
      </c>
      <c r="D288" t="s">
        <v>14</v>
      </c>
      <c r="E288" s="5">
        <v>2000</v>
      </c>
      <c r="F288" s="7">
        <v>503.57998657226563</v>
      </c>
      <c r="G288" s="7">
        <v>1007159.9731445313</v>
      </c>
    </row>
    <row r="289" spans="1:7" x14ac:dyDescent="0.3">
      <c r="A289" t="s">
        <v>314</v>
      </c>
      <c r="B289" t="s">
        <v>13</v>
      </c>
      <c r="C289" s="3">
        <v>46256</v>
      </c>
      <c r="D289" t="s">
        <v>9</v>
      </c>
      <c r="E289" s="5">
        <v>3700</v>
      </c>
      <c r="F289" s="7">
        <v>637.1099853515625</v>
      </c>
      <c r="G289" s="7">
        <v>2357306.9458007813</v>
      </c>
    </row>
    <row r="290" spans="1:7" x14ac:dyDescent="0.3">
      <c r="A290" t="s">
        <v>315</v>
      </c>
      <c r="B290" t="s">
        <v>22</v>
      </c>
      <c r="C290" s="3">
        <v>46257</v>
      </c>
      <c r="D290" t="s">
        <v>9</v>
      </c>
      <c r="E290" s="5">
        <v>4750</v>
      </c>
      <c r="F290" s="7">
        <v>506.75</v>
      </c>
      <c r="G290" s="7">
        <v>2407062.5</v>
      </c>
    </row>
    <row r="291" spans="1:7" x14ac:dyDescent="0.3">
      <c r="A291" t="s">
        <v>316</v>
      </c>
      <c r="B291" t="s">
        <v>11</v>
      </c>
      <c r="C291" s="3">
        <v>46257</v>
      </c>
      <c r="D291" t="s">
        <v>14</v>
      </c>
      <c r="E291" s="5">
        <v>1400</v>
      </c>
      <c r="F291" s="7">
        <v>320.489990234375</v>
      </c>
      <c r="G291" s="7">
        <v>448685.986328125</v>
      </c>
    </row>
    <row r="292" spans="1:7" x14ac:dyDescent="0.3">
      <c r="A292" t="s">
        <v>317</v>
      </c>
      <c r="B292" t="s">
        <v>13</v>
      </c>
      <c r="C292" s="3">
        <v>46258</v>
      </c>
      <c r="D292" t="s">
        <v>14</v>
      </c>
      <c r="E292" s="5">
        <v>1850</v>
      </c>
      <c r="F292" s="7">
        <v>533.58001708984375</v>
      </c>
      <c r="G292" s="7">
        <v>987123.03161621094</v>
      </c>
    </row>
    <row r="293" spans="1:7" x14ac:dyDescent="0.3">
      <c r="A293" t="s">
        <v>318</v>
      </c>
      <c r="B293" t="s">
        <v>8</v>
      </c>
      <c r="C293" s="3">
        <v>46257</v>
      </c>
      <c r="D293" t="s">
        <v>14</v>
      </c>
      <c r="E293" s="5">
        <v>1200</v>
      </c>
      <c r="F293" s="7">
        <v>514.219970703125</v>
      </c>
      <c r="G293" s="7">
        <v>617063.96484375</v>
      </c>
    </row>
    <row r="294" spans="1:7" x14ac:dyDescent="0.3">
      <c r="A294" t="s">
        <v>319</v>
      </c>
      <c r="B294" t="s">
        <v>11</v>
      </c>
      <c r="C294" s="3">
        <v>46256</v>
      </c>
      <c r="D294" t="s">
        <v>14</v>
      </c>
      <c r="E294" s="5">
        <v>1400</v>
      </c>
      <c r="F294" s="7">
        <v>391.04000854492188</v>
      </c>
      <c r="G294" s="7">
        <v>547456.01196289063</v>
      </c>
    </row>
    <row r="295" spans="1:7" x14ac:dyDescent="0.3">
      <c r="A295" t="s">
        <v>320</v>
      </c>
      <c r="B295" t="s">
        <v>13</v>
      </c>
      <c r="C295" s="3">
        <v>46256</v>
      </c>
      <c r="D295" t="s">
        <v>9</v>
      </c>
      <c r="E295" s="5">
        <v>4300</v>
      </c>
      <c r="F295" s="7">
        <v>316.510009765625</v>
      </c>
      <c r="G295" s="7">
        <v>1360993.0419921875</v>
      </c>
    </row>
    <row r="296" spans="1:7" x14ac:dyDescent="0.3">
      <c r="A296" t="s">
        <v>321</v>
      </c>
      <c r="B296" t="s">
        <v>13</v>
      </c>
      <c r="C296" s="3">
        <v>46255</v>
      </c>
      <c r="D296" t="s">
        <v>9</v>
      </c>
      <c r="E296" s="5">
        <v>4250</v>
      </c>
      <c r="F296" s="7">
        <v>505.75</v>
      </c>
      <c r="G296" s="7">
        <v>2149437.5</v>
      </c>
    </row>
    <row r="297" spans="1:7" x14ac:dyDescent="0.3">
      <c r="A297" t="s">
        <v>322</v>
      </c>
      <c r="B297" t="s">
        <v>22</v>
      </c>
      <c r="C297" s="3">
        <v>46256</v>
      </c>
      <c r="D297" t="s">
        <v>14</v>
      </c>
      <c r="E297" s="5">
        <v>1200</v>
      </c>
      <c r="F297" s="7">
        <v>535.0999755859375</v>
      </c>
      <c r="G297" s="7">
        <v>642119.970703125</v>
      </c>
    </row>
    <row r="298" spans="1:7" x14ac:dyDescent="0.3">
      <c r="A298" t="s">
        <v>323</v>
      </c>
      <c r="B298" t="s">
        <v>22</v>
      </c>
      <c r="C298" s="3">
        <v>46259</v>
      </c>
      <c r="D298" t="s">
        <v>9</v>
      </c>
      <c r="E298" s="5">
        <v>2450</v>
      </c>
      <c r="F298" s="7">
        <v>509.8699951171875</v>
      </c>
      <c r="G298" s="7">
        <v>1249181.4880371094</v>
      </c>
    </row>
    <row r="299" spans="1:7" x14ac:dyDescent="0.3">
      <c r="A299" t="s">
        <v>324</v>
      </c>
      <c r="B299" t="s">
        <v>17</v>
      </c>
      <c r="C299" s="3">
        <v>46256</v>
      </c>
      <c r="D299" t="s">
        <v>9</v>
      </c>
      <c r="E299" s="5">
        <v>2900</v>
      </c>
      <c r="F299" s="7">
        <v>335.57998657226563</v>
      </c>
      <c r="G299" s="7">
        <v>973181.96105957031</v>
      </c>
    </row>
    <row r="300" spans="1:7" x14ac:dyDescent="0.3">
      <c r="A300" t="s">
        <v>325</v>
      </c>
      <c r="B300" t="s">
        <v>17</v>
      </c>
      <c r="C300" s="3">
        <v>46257</v>
      </c>
      <c r="D300" t="s">
        <v>14</v>
      </c>
      <c r="E300" s="5">
        <v>3200</v>
      </c>
      <c r="F300" s="7">
        <v>452.07998657226563</v>
      </c>
      <c r="G300" s="7">
        <v>1446655.95703125</v>
      </c>
    </row>
    <row r="301" spans="1:7" x14ac:dyDescent="0.3">
      <c r="A301" t="s">
        <v>326</v>
      </c>
      <c r="B301" t="s">
        <v>8</v>
      </c>
      <c r="C301" s="3">
        <v>46259</v>
      </c>
      <c r="D301" t="s">
        <v>14</v>
      </c>
      <c r="E301" s="5">
        <v>3400</v>
      </c>
      <c r="F301" s="7">
        <v>515.22000244259834</v>
      </c>
      <c r="G301" s="7">
        <v>1751748.0083048344</v>
      </c>
    </row>
    <row r="302" spans="1:7" x14ac:dyDescent="0.3">
      <c r="A302" t="s">
        <v>327</v>
      </c>
      <c r="B302" t="s">
        <v>11</v>
      </c>
      <c r="C302" s="3">
        <v>46256</v>
      </c>
      <c r="D302" t="s">
        <v>9</v>
      </c>
      <c r="E302" s="5">
        <v>4850</v>
      </c>
      <c r="F302" s="7">
        <v>468.3599853515625</v>
      </c>
      <c r="G302" s="7">
        <v>2271545.9289550781</v>
      </c>
    </row>
    <row r="303" spans="1:7" x14ac:dyDescent="0.3">
      <c r="A303" t="s">
        <v>328</v>
      </c>
      <c r="B303" t="s">
        <v>8</v>
      </c>
      <c r="C303" s="3">
        <v>46258</v>
      </c>
      <c r="D303" t="s">
        <v>9</v>
      </c>
      <c r="E303" s="5">
        <v>2500</v>
      </c>
      <c r="F303" s="7">
        <v>406.83999633789063</v>
      </c>
      <c r="G303" s="7">
        <v>1017099.9908447266</v>
      </c>
    </row>
    <row r="304" spans="1:7" x14ac:dyDescent="0.3">
      <c r="A304" t="s">
        <v>329</v>
      </c>
      <c r="B304" t="s">
        <v>22</v>
      </c>
      <c r="C304" s="3">
        <v>46258</v>
      </c>
      <c r="D304" t="s">
        <v>14</v>
      </c>
      <c r="E304" s="5">
        <v>4200</v>
      </c>
      <c r="F304" s="7">
        <v>332.30999755859375</v>
      </c>
      <c r="G304" s="7">
        <v>1395701.9897460938</v>
      </c>
    </row>
    <row r="305" spans="1:7" x14ac:dyDescent="0.3">
      <c r="A305" t="s">
        <v>330</v>
      </c>
      <c r="B305" t="s">
        <v>8</v>
      </c>
      <c r="C305" s="3">
        <v>46256</v>
      </c>
      <c r="D305" t="s">
        <v>9</v>
      </c>
      <c r="E305" s="5">
        <v>2250</v>
      </c>
      <c r="F305" s="7">
        <v>173.21000671386719</v>
      </c>
      <c r="G305" s="7">
        <v>389722.51510620117</v>
      </c>
    </row>
    <row r="306" spans="1:7" x14ac:dyDescent="0.3">
      <c r="A306" t="s">
        <v>331</v>
      </c>
      <c r="B306" t="s">
        <v>8</v>
      </c>
      <c r="C306" s="3">
        <v>46257</v>
      </c>
      <c r="D306" t="s">
        <v>9</v>
      </c>
      <c r="E306" s="5">
        <v>4200</v>
      </c>
      <c r="F306" s="7">
        <v>409.739990234375</v>
      </c>
      <c r="G306" s="7">
        <v>1720907.958984375</v>
      </c>
    </row>
    <row r="307" spans="1:7" x14ac:dyDescent="0.3">
      <c r="A307" t="s">
        <v>332</v>
      </c>
      <c r="B307" t="s">
        <v>22</v>
      </c>
      <c r="C307" s="3">
        <v>46259</v>
      </c>
      <c r="D307" t="s">
        <v>14</v>
      </c>
      <c r="E307" s="5">
        <v>3600</v>
      </c>
      <c r="F307" s="7">
        <v>213.28999328613281</v>
      </c>
      <c r="G307" s="7">
        <v>767843.97583007813</v>
      </c>
    </row>
    <row r="308" spans="1:7" x14ac:dyDescent="0.3">
      <c r="A308" t="s">
        <v>333</v>
      </c>
      <c r="B308" t="s">
        <v>11</v>
      </c>
      <c r="C308" s="3">
        <v>46257</v>
      </c>
      <c r="D308" t="s">
        <v>14</v>
      </c>
      <c r="E308" s="5">
        <v>3200</v>
      </c>
      <c r="F308" s="7">
        <v>572.19000244140625</v>
      </c>
      <c r="G308" s="7">
        <v>1831008.0078125</v>
      </c>
    </row>
    <row r="309" spans="1:7" x14ac:dyDescent="0.3">
      <c r="A309" t="s">
        <v>334</v>
      </c>
      <c r="B309" t="s">
        <v>13</v>
      </c>
      <c r="C309" s="3">
        <v>46255</v>
      </c>
      <c r="D309" t="s">
        <v>9</v>
      </c>
      <c r="E309" s="5">
        <v>2250</v>
      </c>
      <c r="F309" s="7">
        <v>450.6199951171875</v>
      </c>
      <c r="G309" s="7">
        <v>1013894.9890136719</v>
      </c>
    </row>
    <row r="310" spans="1:7" x14ac:dyDescent="0.3">
      <c r="A310" t="s">
        <v>335</v>
      </c>
      <c r="B310" t="s">
        <v>22</v>
      </c>
      <c r="C310" s="3">
        <v>46255</v>
      </c>
      <c r="D310" t="s">
        <v>14</v>
      </c>
      <c r="E310" s="5">
        <v>2750</v>
      </c>
      <c r="F310" s="7">
        <v>152.63999938964844</v>
      </c>
      <c r="G310" s="7">
        <v>419759.9983215332</v>
      </c>
    </row>
    <row r="311" spans="1:7" x14ac:dyDescent="0.3">
      <c r="A311" t="s">
        <v>336</v>
      </c>
      <c r="B311" t="s">
        <v>13</v>
      </c>
      <c r="C311" s="3">
        <v>46257</v>
      </c>
      <c r="D311" t="s">
        <v>9</v>
      </c>
      <c r="E311" s="5">
        <v>2400</v>
      </c>
      <c r="F311" s="7">
        <v>188.14999389648438</v>
      </c>
      <c r="G311" s="7">
        <v>451559.9853515625</v>
      </c>
    </row>
    <row r="312" spans="1:7" x14ac:dyDescent="0.3">
      <c r="A312" t="s">
        <v>337</v>
      </c>
      <c r="B312" t="s">
        <v>11</v>
      </c>
      <c r="C312" s="3">
        <v>46258</v>
      </c>
      <c r="D312" t="s">
        <v>14</v>
      </c>
      <c r="E312" s="5">
        <v>2700</v>
      </c>
      <c r="F312" s="7">
        <v>562.69000244140625</v>
      </c>
      <c r="G312" s="7">
        <v>1519263.0065917969</v>
      </c>
    </row>
    <row r="313" spans="1:7" x14ac:dyDescent="0.3">
      <c r="A313" t="s">
        <v>338</v>
      </c>
      <c r="B313" t="s">
        <v>8</v>
      </c>
      <c r="C313" s="3">
        <v>46256</v>
      </c>
      <c r="D313" t="s">
        <v>14</v>
      </c>
      <c r="E313" s="5">
        <v>2350</v>
      </c>
      <c r="F313" s="7">
        <v>538.69997316598892</v>
      </c>
      <c r="G313" s="7">
        <v>1265944.936940074</v>
      </c>
    </row>
    <row r="314" spans="1:7" x14ac:dyDescent="0.3">
      <c r="A314" t="s">
        <v>339</v>
      </c>
      <c r="B314" t="s">
        <v>17</v>
      </c>
      <c r="C314" s="3">
        <v>46258</v>
      </c>
      <c r="D314" t="s">
        <v>14</v>
      </c>
      <c r="E314" s="5">
        <v>3850</v>
      </c>
      <c r="F314" s="7">
        <v>579.739990234375</v>
      </c>
      <c r="G314" s="7">
        <v>2231998.9624023438</v>
      </c>
    </row>
    <row r="315" spans="1:7" x14ac:dyDescent="0.3">
      <c r="A315" t="s">
        <v>340</v>
      </c>
      <c r="B315" t="s">
        <v>17</v>
      </c>
      <c r="C315" s="3">
        <v>46258</v>
      </c>
      <c r="D315" t="s">
        <v>14</v>
      </c>
      <c r="E315" s="5">
        <v>3300</v>
      </c>
      <c r="F315" s="7">
        <v>150.99000549316406</v>
      </c>
      <c r="G315" s="7">
        <v>498267.01812744141</v>
      </c>
    </row>
    <row r="316" spans="1:7" x14ac:dyDescent="0.3">
      <c r="A316" t="s">
        <v>341</v>
      </c>
      <c r="B316" t="s">
        <v>17</v>
      </c>
      <c r="C316" s="3">
        <v>46255</v>
      </c>
      <c r="D316" t="s">
        <v>9</v>
      </c>
      <c r="E316" s="5">
        <v>3400</v>
      </c>
      <c r="F316" s="7">
        <v>626.6099853515625</v>
      </c>
      <c r="G316" s="7">
        <v>2130473.9501953125</v>
      </c>
    </row>
    <row r="317" spans="1:7" x14ac:dyDescent="0.3">
      <c r="A317" t="s">
        <v>342</v>
      </c>
      <c r="B317" t="s">
        <v>22</v>
      </c>
      <c r="C317" s="3">
        <v>46255</v>
      </c>
      <c r="D317" t="s">
        <v>9</v>
      </c>
      <c r="E317" s="5">
        <v>3750</v>
      </c>
      <c r="F317" s="7">
        <v>180.67999267578125</v>
      </c>
      <c r="G317" s="7">
        <v>677549.97253417969</v>
      </c>
    </row>
    <row r="318" spans="1:7" x14ac:dyDescent="0.3">
      <c r="A318" t="s">
        <v>343</v>
      </c>
      <c r="B318" t="s">
        <v>22</v>
      </c>
      <c r="C318" s="3">
        <v>46259</v>
      </c>
      <c r="D318" t="s">
        <v>14</v>
      </c>
      <c r="E318" s="5">
        <v>3750</v>
      </c>
      <c r="F318" s="7">
        <v>489.17001342773438</v>
      </c>
      <c r="G318" s="7">
        <v>1834387.5503540039</v>
      </c>
    </row>
    <row r="319" spans="1:7" x14ac:dyDescent="0.3">
      <c r="A319" t="s">
        <v>344</v>
      </c>
      <c r="B319" t="s">
        <v>11</v>
      </c>
      <c r="C319" s="3">
        <v>46255</v>
      </c>
      <c r="D319" t="s">
        <v>9</v>
      </c>
      <c r="E319" s="5">
        <v>3950</v>
      </c>
      <c r="F319" s="7">
        <v>272.6300048828125</v>
      </c>
      <c r="G319" s="7">
        <v>1076888.5192871094</v>
      </c>
    </row>
    <row r="320" spans="1:7" x14ac:dyDescent="0.3">
      <c r="A320" t="s">
        <v>345</v>
      </c>
      <c r="B320" t="s">
        <v>17</v>
      </c>
      <c r="C320" s="3">
        <v>46259</v>
      </c>
      <c r="D320" t="s">
        <v>14</v>
      </c>
      <c r="E320" s="5">
        <v>3900</v>
      </c>
      <c r="F320" s="7">
        <v>442.42999267578125</v>
      </c>
      <c r="G320" s="7">
        <v>1725476.9714355469</v>
      </c>
    </row>
    <row r="321" spans="1:7" x14ac:dyDescent="0.3">
      <c r="A321" t="s">
        <v>346</v>
      </c>
      <c r="B321" t="s">
        <v>13</v>
      </c>
      <c r="C321" s="3">
        <v>46256</v>
      </c>
      <c r="D321" t="s">
        <v>9</v>
      </c>
      <c r="E321" s="5">
        <v>350</v>
      </c>
      <c r="F321" s="7">
        <v>209.89999389648438</v>
      </c>
      <c r="G321" s="7">
        <v>73464.997863769531</v>
      </c>
    </row>
    <row r="322" spans="1:7" x14ac:dyDescent="0.3">
      <c r="A322" t="s">
        <v>347</v>
      </c>
      <c r="B322" t="s">
        <v>17</v>
      </c>
      <c r="C322" s="3">
        <v>46258</v>
      </c>
      <c r="D322" t="s">
        <v>9</v>
      </c>
      <c r="E322" s="5">
        <v>3350</v>
      </c>
      <c r="F322" s="7">
        <v>642.719970703125</v>
      </c>
      <c r="G322" s="7">
        <v>2153111.9018554688</v>
      </c>
    </row>
    <row r="323" spans="1:7" x14ac:dyDescent="0.3">
      <c r="A323" t="s">
        <v>348</v>
      </c>
      <c r="B323" t="s">
        <v>11</v>
      </c>
      <c r="C323" s="3">
        <v>46255</v>
      </c>
      <c r="D323" t="s">
        <v>9</v>
      </c>
      <c r="E323" s="5">
        <v>2700</v>
      </c>
      <c r="F323" s="7">
        <v>277.97000122070313</v>
      </c>
      <c r="G323" s="7">
        <v>750519.00329589844</v>
      </c>
    </row>
    <row r="324" spans="1:7" x14ac:dyDescent="0.3">
      <c r="A324" t="s">
        <v>350</v>
      </c>
      <c r="B324" t="s">
        <v>17</v>
      </c>
      <c r="C324" s="3">
        <v>46256</v>
      </c>
      <c r="D324" t="s">
        <v>9</v>
      </c>
      <c r="E324" s="5">
        <v>950</v>
      </c>
      <c r="F324" s="7">
        <v>225.97000122070313</v>
      </c>
      <c r="G324" s="7">
        <v>214671.50115966797</v>
      </c>
    </row>
    <row r="325" spans="1:7" x14ac:dyDescent="0.3">
      <c r="A325" t="s">
        <v>351</v>
      </c>
      <c r="B325" t="s">
        <v>17</v>
      </c>
      <c r="C325" s="3">
        <v>46256</v>
      </c>
      <c r="D325" t="s">
        <v>14</v>
      </c>
      <c r="E325" s="5">
        <v>1850</v>
      </c>
      <c r="F325" s="7">
        <v>323.44000244140625</v>
      </c>
      <c r="G325" s="7">
        <v>598364.00451660156</v>
      </c>
    </row>
    <row r="326" spans="1:7" x14ac:dyDescent="0.3">
      <c r="A326" t="s">
        <v>352</v>
      </c>
      <c r="B326" t="s">
        <v>8</v>
      </c>
      <c r="C326" s="3">
        <v>46256</v>
      </c>
      <c r="D326" t="s">
        <v>9</v>
      </c>
      <c r="E326" s="5">
        <v>2050</v>
      </c>
      <c r="F326" s="7">
        <v>198.3699951171875</v>
      </c>
      <c r="G326" s="7">
        <v>406658.48999023438</v>
      </c>
    </row>
    <row r="327" spans="1:7" x14ac:dyDescent="0.3">
      <c r="A327" t="s">
        <v>354</v>
      </c>
      <c r="B327" t="s">
        <v>17</v>
      </c>
      <c r="C327" s="3">
        <v>46256</v>
      </c>
      <c r="D327" t="s">
        <v>9</v>
      </c>
      <c r="E327" s="5">
        <v>650</v>
      </c>
      <c r="F327" s="7">
        <v>395.17999267578125</v>
      </c>
      <c r="G327" s="7">
        <v>256866.99523925781</v>
      </c>
    </row>
    <row r="328" spans="1:7" x14ac:dyDescent="0.3">
      <c r="A328" t="s">
        <v>355</v>
      </c>
      <c r="B328" t="s">
        <v>11</v>
      </c>
      <c r="C328" s="3">
        <v>46256</v>
      </c>
      <c r="D328" t="s">
        <v>9</v>
      </c>
      <c r="E328" s="5">
        <v>550</v>
      </c>
      <c r="F328" s="7">
        <v>368.79000854492188</v>
      </c>
      <c r="G328" s="7">
        <v>202834.50469970703</v>
      </c>
    </row>
    <row r="329" spans="1:7" x14ac:dyDescent="0.3">
      <c r="A329" t="s">
        <v>356</v>
      </c>
      <c r="B329" t="s">
        <v>17</v>
      </c>
      <c r="C329" s="3">
        <v>46255</v>
      </c>
      <c r="D329" t="s">
        <v>9</v>
      </c>
      <c r="E329" s="5">
        <v>3150</v>
      </c>
      <c r="F329" s="7">
        <v>522.69000244140625</v>
      </c>
      <c r="G329" s="7">
        <v>1646473.5076904297</v>
      </c>
    </row>
    <row r="330" spans="1:7" x14ac:dyDescent="0.3">
      <c r="A330" t="s">
        <v>357</v>
      </c>
      <c r="B330" t="s">
        <v>8</v>
      </c>
      <c r="C330" s="3">
        <v>46255</v>
      </c>
      <c r="D330" t="s">
        <v>14</v>
      </c>
      <c r="E330" s="5">
        <v>700</v>
      </c>
      <c r="F330" s="7">
        <v>536.67999267578125</v>
      </c>
      <c r="G330" s="7">
        <v>375675.99487304688</v>
      </c>
    </row>
    <row r="331" spans="1:7" x14ac:dyDescent="0.3">
      <c r="A331" t="s">
        <v>358</v>
      </c>
      <c r="B331" t="s">
        <v>13</v>
      </c>
      <c r="C331" s="3">
        <v>46259</v>
      </c>
      <c r="D331" t="s">
        <v>14</v>
      </c>
      <c r="E331" s="5">
        <v>1750</v>
      </c>
      <c r="F331" s="7">
        <v>289.3599853515625</v>
      </c>
      <c r="G331" s="7">
        <v>506379.97436523438</v>
      </c>
    </row>
    <row r="332" spans="1:7" x14ac:dyDescent="0.3">
      <c r="A332" t="s">
        <v>359</v>
      </c>
      <c r="B332" t="s">
        <v>8</v>
      </c>
      <c r="C332" s="3">
        <v>46255</v>
      </c>
      <c r="D332" t="s">
        <v>9</v>
      </c>
      <c r="E332" s="5">
        <v>3450</v>
      </c>
      <c r="F332" s="7">
        <v>493.55999755859375</v>
      </c>
      <c r="G332" s="7">
        <v>1702781.9915771484</v>
      </c>
    </row>
    <row r="333" spans="1:7" x14ac:dyDescent="0.3">
      <c r="A333" t="s">
        <v>361</v>
      </c>
      <c r="B333" t="s">
        <v>8</v>
      </c>
      <c r="C333" s="3">
        <v>46258</v>
      </c>
      <c r="D333" t="s">
        <v>14</v>
      </c>
      <c r="E333" s="5">
        <v>3600</v>
      </c>
      <c r="F333" s="7">
        <v>387.10000610351563</v>
      </c>
      <c r="G333" s="7">
        <v>1393560.0219726563</v>
      </c>
    </row>
    <row r="334" spans="1:7" x14ac:dyDescent="0.3">
      <c r="A334" t="s">
        <v>362</v>
      </c>
      <c r="B334" t="s">
        <v>11</v>
      </c>
      <c r="C334" s="3">
        <v>46258</v>
      </c>
      <c r="D334" t="s">
        <v>9</v>
      </c>
      <c r="E334" s="5">
        <v>4650</v>
      </c>
      <c r="F334" s="7">
        <v>295.239990234375</v>
      </c>
      <c r="G334" s="7">
        <v>1372865.9545898438</v>
      </c>
    </row>
    <row r="335" spans="1:7" x14ac:dyDescent="0.3">
      <c r="A335" t="s">
        <v>363</v>
      </c>
      <c r="B335" t="s">
        <v>11</v>
      </c>
      <c r="C335" s="3">
        <v>46257</v>
      </c>
      <c r="D335" t="s">
        <v>14</v>
      </c>
      <c r="E335" s="5">
        <v>1600</v>
      </c>
      <c r="F335" s="7">
        <v>158.44000244140625</v>
      </c>
      <c r="G335" s="7">
        <v>253504.00390625</v>
      </c>
    </row>
    <row r="336" spans="1:7" x14ac:dyDescent="0.3">
      <c r="A336" t="s">
        <v>364</v>
      </c>
      <c r="B336" t="s">
        <v>17</v>
      </c>
      <c r="C336" s="3">
        <v>46255</v>
      </c>
      <c r="D336" t="s">
        <v>14</v>
      </c>
      <c r="E336" s="5">
        <v>50</v>
      </c>
      <c r="F336" s="7">
        <v>399.1400146484375</v>
      </c>
      <c r="G336" s="7">
        <v>19957.000732421875</v>
      </c>
    </row>
    <row r="337" spans="1:7" x14ac:dyDescent="0.3">
      <c r="A337" t="s">
        <v>365</v>
      </c>
      <c r="B337" t="s">
        <v>8</v>
      </c>
      <c r="C337" s="3">
        <v>46255</v>
      </c>
      <c r="D337" t="s">
        <v>9</v>
      </c>
      <c r="E337" s="5">
        <v>2650</v>
      </c>
      <c r="F337" s="7">
        <v>347.14999634027481</v>
      </c>
      <c r="G337" s="7">
        <v>919947.49030172825</v>
      </c>
    </row>
    <row r="338" spans="1:7" x14ac:dyDescent="0.3">
      <c r="A338" t="s">
        <v>366</v>
      </c>
      <c r="B338" t="s">
        <v>22</v>
      </c>
      <c r="C338" s="3">
        <v>46255</v>
      </c>
      <c r="D338" t="s">
        <v>14</v>
      </c>
      <c r="E338" s="5">
        <v>3350</v>
      </c>
      <c r="F338" s="7">
        <v>559.03997802734375</v>
      </c>
      <c r="G338" s="7">
        <v>1872783.9263916016</v>
      </c>
    </row>
    <row r="339" spans="1:7" x14ac:dyDescent="0.3">
      <c r="A339" t="s">
        <v>367</v>
      </c>
      <c r="B339" t="s">
        <v>22</v>
      </c>
      <c r="C339" s="3">
        <v>46257</v>
      </c>
      <c r="D339" t="s">
        <v>14</v>
      </c>
      <c r="E339" s="5">
        <v>3700</v>
      </c>
      <c r="F339" s="7">
        <v>586.8499755859375</v>
      </c>
      <c r="G339" s="7">
        <v>2171344.9096679688</v>
      </c>
    </row>
    <row r="340" spans="1:7" x14ac:dyDescent="0.3">
      <c r="A340" t="s">
        <v>368</v>
      </c>
      <c r="B340" t="s">
        <v>17</v>
      </c>
      <c r="C340" s="3">
        <v>46255</v>
      </c>
      <c r="D340" t="s">
        <v>14</v>
      </c>
      <c r="E340" s="5">
        <v>3800</v>
      </c>
      <c r="F340" s="7">
        <v>624.54001951217651</v>
      </c>
      <c r="G340" s="7">
        <v>2373252.0741462708</v>
      </c>
    </row>
    <row r="341" spans="1:7" x14ac:dyDescent="0.3">
      <c r="A341" t="s">
        <v>369</v>
      </c>
      <c r="B341" t="s">
        <v>17</v>
      </c>
      <c r="C341" s="3">
        <v>46259</v>
      </c>
      <c r="D341" t="s">
        <v>14</v>
      </c>
      <c r="E341" s="5">
        <v>4900</v>
      </c>
      <c r="F341" s="7">
        <v>470.66000366210938</v>
      </c>
      <c r="G341" s="7">
        <v>2306234.0179443359</v>
      </c>
    </row>
    <row r="342" spans="1:7" x14ac:dyDescent="0.3">
      <c r="A342" t="s">
        <v>370</v>
      </c>
      <c r="B342" t="s">
        <v>11</v>
      </c>
      <c r="C342" s="3">
        <v>46255</v>
      </c>
      <c r="D342" t="s">
        <v>14</v>
      </c>
      <c r="E342" s="5">
        <v>2000</v>
      </c>
      <c r="F342" s="7">
        <v>252.82000732421875</v>
      </c>
      <c r="G342" s="7">
        <v>505640.0146484375</v>
      </c>
    </row>
    <row r="343" spans="1:7" x14ac:dyDescent="0.3">
      <c r="A343" t="s">
        <v>371</v>
      </c>
      <c r="B343" t="s">
        <v>17</v>
      </c>
      <c r="C343" s="3">
        <v>46255</v>
      </c>
      <c r="D343" t="s">
        <v>14</v>
      </c>
      <c r="E343" s="5">
        <v>400</v>
      </c>
      <c r="F343" s="7">
        <v>352.55999755859375</v>
      </c>
      <c r="G343" s="7">
        <v>141023.9990234375</v>
      </c>
    </row>
    <row r="344" spans="1:7" x14ac:dyDescent="0.3">
      <c r="A344" t="s">
        <v>373</v>
      </c>
      <c r="B344" t="s">
        <v>17</v>
      </c>
      <c r="C344" s="3">
        <v>46257</v>
      </c>
      <c r="D344" t="s">
        <v>9</v>
      </c>
      <c r="E344" s="5">
        <v>3850</v>
      </c>
      <c r="F344" s="7">
        <v>285.82000732421875</v>
      </c>
      <c r="G344" s="7">
        <v>1100407.0281982422</v>
      </c>
    </row>
    <row r="345" spans="1:7" x14ac:dyDescent="0.3">
      <c r="A345" t="s">
        <v>374</v>
      </c>
      <c r="B345" t="s">
        <v>17</v>
      </c>
      <c r="C345" s="3">
        <v>46259</v>
      </c>
      <c r="D345" t="s">
        <v>14</v>
      </c>
      <c r="E345" s="5">
        <v>2300</v>
      </c>
      <c r="F345" s="7">
        <v>544.3900146484375</v>
      </c>
      <c r="G345" s="7">
        <v>1252097.0336914063</v>
      </c>
    </row>
    <row r="346" spans="1:7" x14ac:dyDescent="0.3">
      <c r="A346" t="s">
        <v>375</v>
      </c>
      <c r="B346" t="s">
        <v>11</v>
      </c>
      <c r="C346" s="3">
        <v>46257</v>
      </c>
      <c r="D346" t="s">
        <v>9</v>
      </c>
      <c r="E346" s="5">
        <v>3100</v>
      </c>
      <c r="F346" s="7">
        <v>235.74000549316406</v>
      </c>
      <c r="G346" s="7">
        <v>730794.01702880859</v>
      </c>
    </row>
    <row r="347" spans="1:7" x14ac:dyDescent="0.3">
      <c r="A347" t="s">
        <v>376</v>
      </c>
      <c r="B347" t="s">
        <v>8</v>
      </c>
      <c r="C347" s="3">
        <v>46256</v>
      </c>
      <c r="D347" t="s">
        <v>14</v>
      </c>
      <c r="E347" s="5">
        <v>1100</v>
      </c>
      <c r="F347" s="7">
        <v>601.41998291015625</v>
      </c>
      <c r="G347" s="7">
        <v>661561.98120117188</v>
      </c>
    </row>
    <row r="348" spans="1:7" x14ac:dyDescent="0.3">
      <c r="A348" t="s">
        <v>377</v>
      </c>
      <c r="B348" t="s">
        <v>17</v>
      </c>
      <c r="C348" s="3">
        <v>46255</v>
      </c>
      <c r="D348" t="s">
        <v>14</v>
      </c>
      <c r="E348" s="5">
        <v>4500</v>
      </c>
      <c r="F348" s="7">
        <v>629.05999755859375</v>
      </c>
      <c r="G348" s="7">
        <v>2830769.9890136719</v>
      </c>
    </row>
    <row r="349" spans="1:7" x14ac:dyDescent="0.3">
      <c r="A349" t="s">
        <v>378</v>
      </c>
      <c r="B349" t="s">
        <v>8</v>
      </c>
      <c r="C349" s="3">
        <v>46257</v>
      </c>
      <c r="D349" t="s">
        <v>14</v>
      </c>
      <c r="E349" s="5">
        <v>4750</v>
      </c>
      <c r="F349" s="7">
        <v>168.41999816894531</v>
      </c>
      <c r="G349" s="7">
        <v>799994.99130249023</v>
      </c>
    </row>
    <row r="350" spans="1:7" x14ac:dyDescent="0.3">
      <c r="A350" t="s">
        <v>379</v>
      </c>
      <c r="B350" t="s">
        <v>8</v>
      </c>
      <c r="C350" s="3">
        <v>46256</v>
      </c>
      <c r="D350" t="s">
        <v>9</v>
      </c>
      <c r="E350" s="5">
        <v>2600</v>
      </c>
      <c r="F350" s="7">
        <v>471.1099853515625</v>
      </c>
      <c r="G350" s="7">
        <v>1224885.9619140625</v>
      </c>
    </row>
    <row r="351" spans="1:7" x14ac:dyDescent="0.3">
      <c r="A351" t="s">
        <v>380</v>
      </c>
      <c r="B351" t="s">
        <v>13</v>
      </c>
      <c r="C351" s="3">
        <v>46256</v>
      </c>
      <c r="D351" t="s">
        <v>14</v>
      </c>
      <c r="E351" s="5">
        <v>3700</v>
      </c>
      <c r="F351" s="7">
        <v>201.16000366210938</v>
      </c>
      <c r="G351" s="7">
        <v>744292.01354980469</v>
      </c>
    </row>
    <row r="352" spans="1:7" x14ac:dyDescent="0.3">
      <c r="A352" t="s">
        <v>381</v>
      </c>
      <c r="B352" t="s">
        <v>22</v>
      </c>
      <c r="C352" s="3">
        <v>46258</v>
      </c>
      <c r="D352" t="s">
        <v>14</v>
      </c>
      <c r="E352" s="5">
        <v>750</v>
      </c>
      <c r="F352" s="7">
        <v>588.03997802734375</v>
      </c>
      <c r="G352" s="7">
        <v>441029.98352050781</v>
      </c>
    </row>
    <row r="353" spans="1:7" x14ac:dyDescent="0.3">
      <c r="A353" t="s">
        <v>382</v>
      </c>
      <c r="B353" t="s">
        <v>17</v>
      </c>
      <c r="C353" s="3">
        <v>46256</v>
      </c>
      <c r="D353" t="s">
        <v>14</v>
      </c>
      <c r="E353" s="5">
        <v>3900</v>
      </c>
      <c r="F353" s="7">
        <v>519.20001220703125</v>
      </c>
      <c r="G353" s="7">
        <v>2024880.0476074219</v>
      </c>
    </row>
    <row r="354" spans="1:7" x14ac:dyDescent="0.3">
      <c r="A354" t="s">
        <v>383</v>
      </c>
      <c r="B354" t="s">
        <v>17</v>
      </c>
      <c r="C354" s="3">
        <v>46259</v>
      </c>
      <c r="D354" t="s">
        <v>14</v>
      </c>
      <c r="E354" s="5">
        <v>3400</v>
      </c>
      <c r="F354" s="7">
        <v>493.95999145507813</v>
      </c>
      <c r="G354" s="7">
        <v>1679463.9709472656</v>
      </c>
    </row>
    <row r="355" spans="1:7" x14ac:dyDescent="0.3">
      <c r="A355" t="s">
        <v>384</v>
      </c>
      <c r="B355" t="s">
        <v>11</v>
      </c>
      <c r="C355" s="3">
        <v>46257</v>
      </c>
      <c r="D355" t="s">
        <v>9</v>
      </c>
      <c r="E355" s="5">
        <v>4350</v>
      </c>
      <c r="F355" s="7">
        <v>485.54000854492188</v>
      </c>
      <c r="G355" s="7">
        <v>2112099.0371704102</v>
      </c>
    </row>
    <row r="356" spans="1:7" x14ac:dyDescent="0.3">
      <c r="A356" t="s">
        <v>385</v>
      </c>
      <c r="B356" t="s">
        <v>22</v>
      </c>
      <c r="C356" s="3">
        <v>46258</v>
      </c>
      <c r="D356" t="s">
        <v>9</v>
      </c>
      <c r="E356" s="5">
        <v>4350</v>
      </c>
      <c r="F356" s="7">
        <v>383.20001220703125</v>
      </c>
      <c r="G356" s="7">
        <v>1666920.0531005859</v>
      </c>
    </row>
    <row r="357" spans="1:7" x14ac:dyDescent="0.3">
      <c r="A357" t="s">
        <v>386</v>
      </c>
      <c r="B357" t="s">
        <v>8</v>
      </c>
      <c r="C357" s="3">
        <v>46257</v>
      </c>
      <c r="D357" t="s">
        <v>9</v>
      </c>
      <c r="E357" s="5">
        <v>1450</v>
      </c>
      <c r="F357" s="7">
        <v>311.33999633789063</v>
      </c>
      <c r="G357" s="7">
        <v>451442.99468994141</v>
      </c>
    </row>
    <row r="358" spans="1:7" x14ac:dyDescent="0.3">
      <c r="A358" t="s">
        <v>387</v>
      </c>
      <c r="B358" t="s">
        <v>17</v>
      </c>
      <c r="C358" s="3">
        <v>46258</v>
      </c>
      <c r="D358" t="s">
        <v>14</v>
      </c>
      <c r="E358" s="5">
        <v>1450</v>
      </c>
      <c r="F358" s="7">
        <v>247.41000366210938</v>
      </c>
      <c r="G358" s="7">
        <v>358744.50531005859</v>
      </c>
    </row>
    <row r="359" spans="1:7" x14ac:dyDescent="0.3">
      <c r="A359" t="s">
        <v>388</v>
      </c>
      <c r="B359" t="s">
        <v>22</v>
      </c>
      <c r="C359" s="3">
        <v>46255</v>
      </c>
      <c r="D359" t="s">
        <v>9</v>
      </c>
      <c r="E359" s="5">
        <v>3750</v>
      </c>
      <c r="F359" s="7">
        <v>485.57000732421875</v>
      </c>
      <c r="G359" s="7">
        <v>1820887.5274658203</v>
      </c>
    </row>
    <row r="360" spans="1:7" x14ac:dyDescent="0.3">
      <c r="A360" t="s">
        <v>389</v>
      </c>
      <c r="B360" t="s">
        <v>8</v>
      </c>
      <c r="C360" s="3">
        <v>46256</v>
      </c>
      <c r="D360" t="s">
        <v>14</v>
      </c>
      <c r="E360" s="5">
        <v>2450</v>
      </c>
      <c r="F360" s="7">
        <v>617.82000732421875</v>
      </c>
      <c r="G360" s="7">
        <v>1513659.0179443359</v>
      </c>
    </row>
    <row r="361" spans="1:7" x14ac:dyDescent="0.3">
      <c r="A361" t="s">
        <v>390</v>
      </c>
      <c r="B361" t="s">
        <v>11</v>
      </c>
      <c r="C361" s="3">
        <v>46255</v>
      </c>
      <c r="D361" t="s">
        <v>14</v>
      </c>
      <c r="E361" s="5">
        <v>4000</v>
      </c>
      <c r="F361" s="7">
        <v>329.739990234375</v>
      </c>
      <c r="G361" s="7">
        <v>1318959.9609375</v>
      </c>
    </row>
    <row r="362" spans="1:7" x14ac:dyDescent="0.3">
      <c r="A362" t="s">
        <v>391</v>
      </c>
      <c r="B362" t="s">
        <v>8</v>
      </c>
      <c r="C362" s="3">
        <v>46256</v>
      </c>
      <c r="D362" t="s">
        <v>9</v>
      </c>
      <c r="E362" s="5">
        <v>1950</v>
      </c>
      <c r="F362" s="7">
        <v>432.3900146484375</v>
      </c>
      <c r="G362" s="7">
        <v>843160.52856445313</v>
      </c>
    </row>
    <row r="363" spans="1:7" x14ac:dyDescent="0.3">
      <c r="A363" t="s">
        <v>392</v>
      </c>
      <c r="B363" t="s">
        <v>22</v>
      </c>
      <c r="C363" s="3">
        <v>46258</v>
      </c>
      <c r="D363" t="s">
        <v>9</v>
      </c>
      <c r="E363" s="5">
        <v>1250</v>
      </c>
      <c r="F363" s="7">
        <v>177.55999755859375</v>
      </c>
      <c r="G363" s="7">
        <v>221949.99694824219</v>
      </c>
    </row>
    <row r="364" spans="1:7" x14ac:dyDescent="0.3">
      <c r="A364" t="s">
        <v>393</v>
      </c>
      <c r="B364" t="s">
        <v>11</v>
      </c>
      <c r="C364" s="3">
        <v>46258</v>
      </c>
      <c r="D364" t="s">
        <v>9</v>
      </c>
      <c r="E364" s="5">
        <v>50</v>
      </c>
      <c r="F364" s="7">
        <v>527.989990234375</v>
      </c>
      <c r="G364" s="7">
        <v>26399.49951171875</v>
      </c>
    </row>
    <row r="365" spans="1:7" x14ac:dyDescent="0.3">
      <c r="A365" t="s">
        <v>395</v>
      </c>
      <c r="B365" t="s">
        <v>11</v>
      </c>
      <c r="C365" s="3">
        <v>46255</v>
      </c>
      <c r="D365" t="s">
        <v>14</v>
      </c>
      <c r="E365" s="5">
        <v>1700</v>
      </c>
      <c r="F365" s="7">
        <v>257.6300048828125</v>
      </c>
      <c r="G365" s="7">
        <v>437971.00830078125</v>
      </c>
    </row>
    <row r="366" spans="1:7" x14ac:dyDescent="0.3">
      <c r="A366" t="s">
        <v>396</v>
      </c>
      <c r="B366" t="s">
        <v>8</v>
      </c>
      <c r="C366" s="3">
        <v>46259</v>
      </c>
      <c r="D366" t="s">
        <v>9</v>
      </c>
      <c r="E366" s="5">
        <v>2050</v>
      </c>
      <c r="F366" s="7">
        <v>233.13999938964844</v>
      </c>
      <c r="G366" s="7">
        <v>477936.9987487793</v>
      </c>
    </row>
    <row r="367" spans="1:7" x14ac:dyDescent="0.3">
      <c r="A367" t="s">
        <v>397</v>
      </c>
      <c r="B367" t="s">
        <v>13</v>
      </c>
      <c r="C367" s="3">
        <v>46258</v>
      </c>
      <c r="D367" t="s">
        <v>9</v>
      </c>
      <c r="E367" s="5">
        <v>2700</v>
      </c>
      <c r="F367" s="7">
        <v>232.60000610351563</v>
      </c>
      <c r="G367" s="7">
        <v>628020.01647949219</v>
      </c>
    </row>
    <row r="368" spans="1:7" x14ac:dyDescent="0.3">
      <c r="A368" t="s">
        <v>398</v>
      </c>
      <c r="B368" t="s">
        <v>13</v>
      </c>
      <c r="C368" s="3">
        <v>46259</v>
      </c>
      <c r="D368" t="s">
        <v>14</v>
      </c>
      <c r="E368" s="5">
        <v>4150</v>
      </c>
      <c r="F368" s="7">
        <v>536.54998779296875</v>
      </c>
      <c r="G368" s="7">
        <v>2226682.4493408203</v>
      </c>
    </row>
    <row r="369" spans="1:7" x14ac:dyDescent="0.3">
      <c r="A369" t="s">
        <v>399</v>
      </c>
      <c r="B369" t="s">
        <v>8</v>
      </c>
      <c r="C369" s="3">
        <v>46259</v>
      </c>
      <c r="D369" t="s">
        <v>9</v>
      </c>
      <c r="E369" s="5">
        <v>1600</v>
      </c>
      <c r="F369" s="7">
        <v>189.69000244140625</v>
      </c>
      <c r="G369" s="7">
        <v>303504.00390625</v>
      </c>
    </row>
    <row r="370" spans="1:7" x14ac:dyDescent="0.3">
      <c r="A370" t="s">
        <v>400</v>
      </c>
      <c r="B370" t="s">
        <v>13</v>
      </c>
      <c r="C370" s="3">
        <v>46256</v>
      </c>
      <c r="D370" t="s">
        <v>9</v>
      </c>
      <c r="E370" s="5">
        <v>4850</v>
      </c>
      <c r="F370" s="7">
        <v>269.260009765625</v>
      </c>
      <c r="G370" s="7">
        <v>1305911.0473632813</v>
      </c>
    </row>
    <row r="371" spans="1:7" x14ac:dyDescent="0.3">
      <c r="A371" t="s">
        <v>401</v>
      </c>
      <c r="B371" t="s">
        <v>13</v>
      </c>
      <c r="C371" s="3">
        <v>46255</v>
      </c>
      <c r="D371" t="s">
        <v>14</v>
      </c>
      <c r="E371" s="5">
        <v>3600</v>
      </c>
      <c r="F371" s="7">
        <v>483.3699951171875</v>
      </c>
      <c r="G371" s="7">
        <v>1740131.982421875</v>
      </c>
    </row>
    <row r="372" spans="1:7" x14ac:dyDescent="0.3">
      <c r="A372" t="s">
        <v>402</v>
      </c>
      <c r="B372" t="s">
        <v>11</v>
      </c>
      <c r="C372" s="3">
        <v>46255</v>
      </c>
      <c r="D372" t="s">
        <v>9</v>
      </c>
      <c r="E372" s="5">
        <v>1150</v>
      </c>
      <c r="F372" s="7">
        <v>396.33999633789063</v>
      </c>
      <c r="G372" s="7">
        <v>455790.99578857422</v>
      </c>
    </row>
    <row r="373" spans="1:7" x14ac:dyDescent="0.3">
      <c r="A373" t="s">
        <v>403</v>
      </c>
      <c r="B373" t="s">
        <v>17</v>
      </c>
      <c r="C373" s="3">
        <v>46255</v>
      </c>
      <c r="D373" t="s">
        <v>14</v>
      </c>
      <c r="E373" s="5">
        <v>4400</v>
      </c>
      <c r="F373" s="7">
        <v>202.94000244140625</v>
      </c>
      <c r="G373" s="7">
        <v>892936.0107421875</v>
      </c>
    </row>
    <row r="374" spans="1:7" x14ac:dyDescent="0.3">
      <c r="A374" t="s">
        <v>404</v>
      </c>
      <c r="B374" t="s">
        <v>17</v>
      </c>
      <c r="C374" s="3">
        <v>46256</v>
      </c>
      <c r="D374" t="s">
        <v>9</v>
      </c>
      <c r="E374" s="5">
        <v>4550</v>
      </c>
      <c r="F374" s="7">
        <v>598.17999267578125</v>
      </c>
      <c r="G374" s="7">
        <v>2721718.9666748047</v>
      </c>
    </row>
    <row r="375" spans="1:7" x14ac:dyDescent="0.3">
      <c r="A375" t="s">
        <v>405</v>
      </c>
      <c r="B375" t="s">
        <v>13</v>
      </c>
      <c r="C375" s="3">
        <v>46256</v>
      </c>
      <c r="D375" t="s">
        <v>14</v>
      </c>
      <c r="E375" s="5">
        <v>1550</v>
      </c>
      <c r="F375" s="7">
        <v>414.79998779296875</v>
      </c>
      <c r="G375" s="7">
        <v>642939.98107910156</v>
      </c>
    </row>
    <row r="376" spans="1:7" x14ac:dyDescent="0.3">
      <c r="A376" t="s">
        <v>406</v>
      </c>
      <c r="B376" t="s">
        <v>8</v>
      </c>
      <c r="C376" s="3">
        <v>46258</v>
      </c>
      <c r="D376" t="s">
        <v>14</v>
      </c>
      <c r="E376" s="5">
        <v>2100</v>
      </c>
      <c r="F376" s="7">
        <v>325.17999267578125</v>
      </c>
      <c r="G376" s="7">
        <v>682877.98461914063</v>
      </c>
    </row>
    <row r="377" spans="1:7" x14ac:dyDescent="0.3">
      <c r="A377" t="s">
        <v>408</v>
      </c>
      <c r="B377" t="s">
        <v>17</v>
      </c>
      <c r="C377" s="3">
        <v>46259</v>
      </c>
      <c r="D377" t="s">
        <v>14</v>
      </c>
      <c r="E377" s="5">
        <v>4400</v>
      </c>
      <c r="F377" s="7">
        <v>477.45001220703125</v>
      </c>
      <c r="G377" s="7">
        <v>2100780.0537109375</v>
      </c>
    </row>
    <row r="378" spans="1:7" x14ac:dyDescent="0.3">
      <c r="A378" t="s">
        <v>409</v>
      </c>
      <c r="B378" t="s">
        <v>22</v>
      </c>
      <c r="C378" s="3">
        <v>46258</v>
      </c>
      <c r="D378" t="s">
        <v>9</v>
      </c>
      <c r="E378" s="5">
        <v>3150</v>
      </c>
      <c r="F378" s="7">
        <v>294.239990234375</v>
      </c>
      <c r="G378" s="7">
        <v>926855.96923828125</v>
      </c>
    </row>
    <row r="379" spans="1:7" x14ac:dyDescent="0.3">
      <c r="A379" t="s">
        <v>410</v>
      </c>
      <c r="B379" t="s">
        <v>13</v>
      </c>
      <c r="C379" s="3">
        <v>46259</v>
      </c>
      <c r="D379" t="s">
        <v>9</v>
      </c>
      <c r="E379" s="5">
        <v>4700</v>
      </c>
      <c r="F379" s="7">
        <v>208.96000427007675</v>
      </c>
      <c r="G379" s="7">
        <v>982112.02006936073</v>
      </c>
    </row>
    <row r="380" spans="1:7" x14ac:dyDescent="0.3">
      <c r="A380" t="s">
        <v>411</v>
      </c>
      <c r="B380" t="s">
        <v>13</v>
      </c>
      <c r="C380" s="3">
        <v>46258</v>
      </c>
      <c r="D380" t="s">
        <v>14</v>
      </c>
      <c r="E380" s="5">
        <v>2600</v>
      </c>
      <c r="F380" s="7">
        <v>506.260009765625</v>
      </c>
      <c r="G380" s="7">
        <v>1316276.025390625</v>
      </c>
    </row>
    <row r="381" spans="1:7" x14ac:dyDescent="0.3">
      <c r="A381" t="s">
        <v>412</v>
      </c>
      <c r="B381" t="s">
        <v>8</v>
      </c>
      <c r="C381" s="3">
        <v>46257</v>
      </c>
      <c r="D381" t="s">
        <v>9</v>
      </c>
      <c r="E381" s="5">
        <v>2100</v>
      </c>
      <c r="F381" s="7">
        <v>356.70999145507813</v>
      </c>
      <c r="G381" s="7">
        <v>749090.98205566406</v>
      </c>
    </row>
    <row r="382" spans="1:7" x14ac:dyDescent="0.3">
      <c r="A382" t="s">
        <v>413</v>
      </c>
      <c r="B382" t="s">
        <v>13</v>
      </c>
      <c r="C382" s="3">
        <v>46259</v>
      </c>
      <c r="D382" t="s">
        <v>14</v>
      </c>
      <c r="E382" s="5">
        <v>1250</v>
      </c>
      <c r="F382" s="7">
        <v>389.8900146484375</v>
      </c>
      <c r="G382" s="7">
        <v>487362.51831054688</v>
      </c>
    </row>
    <row r="383" spans="1:7" x14ac:dyDescent="0.3">
      <c r="A383" t="s">
        <v>414</v>
      </c>
      <c r="B383" t="s">
        <v>8</v>
      </c>
      <c r="C383" s="3">
        <v>46259</v>
      </c>
      <c r="D383" t="s">
        <v>14</v>
      </c>
      <c r="E383" s="5">
        <v>3600</v>
      </c>
      <c r="F383" s="7">
        <v>221.72000122070313</v>
      </c>
      <c r="G383" s="7">
        <v>798192.00439453125</v>
      </c>
    </row>
    <row r="384" spans="1:7" x14ac:dyDescent="0.3">
      <c r="A384" t="s">
        <v>415</v>
      </c>
      <c r="B384" t="s">
        <v>8</v>
      </c>
      <c r="C384" s="3">
        <v>46256</v>
      </c>
      <c r="D384" t="s">
        <v>14</v>
      </c>
      <c r="E384" s="5">
        <v>1950</v>
      </c>
      <c r="F384" s="7">
        <v>249.77000427246094</v>
      </c>
      <c r="G384" s="7">
        <v>487051.50833129883</v>
      </c>
    </row>
    <row r="385" spans="1:7" x14ac:dyDescent="0.3">
      <c r="A385" t="s">
        <v>416</v>
      </c>
      <c r="B385" t="s">
        <v>13</v>
      </c>
      <c r="C385" s="3">
        <v>46257</v>
      </c>
      <c r="D385" t="s">
        <v>14</v>
      </c>
      <c r="E385" s="5">
        <v>4950</v>
      </c>
      <c r="F385" s="7">
        <v>379.6099853515625</v>
      </c>
      <c r="G385" s="7">
        <v>1879069.4274902344</v>
      </c>
    </row>
    <row r="386" spans="1:7" x14ac:dyDescent="0.3">
      <c r="A386" t="s">
        <v>417</v>
      </c>
      <c r="B386" t="s">
        <v>22</v>
      </c>
      <c r="C386" s="3">
        <v>46258</v>
      </c>
      <c r="D386" t="s">
        <v>9</v>
      </c>
      <c r="E386" s="5">
        <v>4850</v>
      </c>
      <c r="F386" s="7">
        <v>510.80999755859375</v>
      </c>
      <c r="G386" s="7">
        <v>2477428.4881591797</v>
      </c>
    </row>
    <row r="387" spans="1:7" x14ac:dyDescent="0.3">
      <c r="A387" t="s">
        <v>418</v>
      </c>
      <c r="B387" t="s">
        <v>17</v>
      </c>
      <c r="C387" s="3">
        <v>46256</v>
      </c>
      <c r="D387" t="s">
        <v>9</v>
      </c>
      <c r="E387" s="5">
        <v>3450</v>
      </c>
      <c r="F387" s="7">
        <v>392.239990234375</v>
      </c>
      <c r="G387" s="7">
        <v>1353227.9663085938</v>
      </c>
    </row>
    <row r="388" spans="1:7" x14ac:dyDescent="0.3">
      <c r="A388" t="s">
        <v>419</v>
      </c>
      <c r="B388" t="s">
        <v>13</v>
      </c>
      <c r="C388" s="3">
        <v>46256</v>
      </c>
      <c r="D388" t="s">
        <v>14</v>
      </c>
      <c r="E388" s="5">
        <v>1800</v>
      </c>
      <c r="F388" s="7">
        <v>580.78997802734375</v>
      </c>
      <c r="G388" s="7">
        <v>1045421.9604492188</v>
      </c>
    </row>
    <row r="389" spans="1:7" x14ac:dyDescent="0.3">
      <c r="A389" t="s">
        <v>420</v>
      </c>
      <c r="B389" t="s">
        <v>13</v>
      </c>
      <c r="C389" s="3">
        <v>46255</v>
      </c>
      <c r="D389" t="s">
        <v>9</v>
      </c>
      <c r="E389" s="5">
        <v>2750</v>
      </c>
      <c r="F389" s="7">
        <v>362.989990234375</v>
      </c>
      <c r="G389" s="7">
        <v>998222.47314453125</v>
      </c>
    </row>
    <row r="390" spans="1:7" x14ac:dyDescent="0.3">
      <c r="A390" t="s">
        <v>421</v>
      </c>
      <c r="B390" t="s">
        <v>11</v>
      </c>
      <c r="C390" s="3">
        <v>46258</v>
      </c>
      <c r="D390" t="s">
        <v>14</v>
      </c>
      <c r="E390" s="5">
        <v>3900</v>
      </c>
      <c r="F390" s="7">
        <v>623.8900146484375</v>
      </c>
      <c r="G390" s="7">
        <v>2433171.0571289063</v>
      </c>
    </row>
    <row r="391" spans="1:7" x14ac:dyDescent="0.3">
      <c r="A391" t="s">
        <v>422</v>
      </c>
      <c r="B391" t="s">
        <v>13</v>
      </c>
      <c r="C391" s="3">
        <v>46259</v>
      </c>
      <c r="D391" t="s">
        <v>9</v>
      </c>
      <c r="E391" s="5">
        <v>3700</v>
      </c>
      <c r="F391" s="7">
        <v>272.6400146484375</v>
      </c>
      <c r="G391" s="7">
        <v>1008768.0541992188</v>
      </c>
    </row>
    <row r="392" spans="1:7" x14ac:dyDescent="0.3">
      <c r="A392" t="s">
        <v>423</v>
      </c>
      <c r="B392" t="s">
        <v>22</v>
      </c>
      <c r="C392" s="3">
        <v>46257</v>
      </c>
      <c r="D392" t="s">
        <v>9</v>
      </c>
      <c r="E392" s="5">
        <v>4900</v>
      </c>
      <c r="F392" s="7">
        <v>459.02999877929688</v>
      </c>
      <c r="G392" s="7">
        <v>2249246.9940185547</v>
      </c>
    </row>
    <row r="393" spans="1:7" x14ac:dyDescent="0.3">
      <c r="A393" t="s">
        <v>424</v>
      </c>
      <c r="B393" t="s">
        <v>11</v>
      </c>
      <c r="C393" s="3">
        <v>46258</v>
      </c>
      <c r="D393" t="s">
        <v>9</v>
      </c>
      <c r="E393" s="5">
        <v>900</v>
      </c>
      <c r="F393" s="7">
        <v>440.39999389648438</v>
      </c>
      <c r="G393" s="7">
        <v>396359.99450683594</v>
      </c>
    </row>
    <row r="394" spans="1:7" x14ac:dyDescent="0.3">
      <c r="A394" t="s">
        <v>425</v>
      </c>
      <c r="B394" t="s">
        <v>17</v>
      </c>
      <c r="C394" s="3">
        <v>46257</v>
      </c>
      <c r="D394" t="s">
        <v>9</v>
      </c>
      <c r="E394" s="5">
        <v>1400</v>
      </c>
      <c r="F394" s="7">
        <v>583.3800048828125</v>
      </c>
      <c r="G394" s="7">
        <v>816732.0068359375</v>
      </c>
    </row>
    <row r="395" spans="1:7" x14ac:dyDescent="0.3">
      <c r="A395" t="s">
        <v>427</v>
      </c>
      <c r="B395" t="s">
        <v>8</v>
      </c>
      <c r="C395" s="3">
        <v>46259</v>
      </c>
      <c r="D395" t="s">
        <v>14</v>
      </c>
      <c r="E395" s="5">
        <v>3900</v>
      </c>
      <c r="F395" s="7">
        <v>320.76998901367188</v>
      </c>
      <c r="G395" s="7">
        <v>1251002.9571533203</v>
      </c>
    </row>
    <row r="396" spans="1:7" x14ac:dyDescent="0.3">
      <c r="A396" t="s">
        <v>428</v>
      </c>
      <c r="B396" t="s">
        <v>22</v>
      </c>
      <c r="C396" s="3">
        <v>46259</v>
      </c>
      <c r="D396" t="s">
        <v>9</v>
      </c>
      <c r="E396" s="5">
        <v>1700</v>
      </c>
      <c r="F396" s="7">
        <v>159.44999694824219</v>
      </c>
      <c r="G396" s="7">
        <v>271064.99481201172</v>
      </c>
    </row>
    <row r="397" spans="1:7" x14ac:dyDescent="0.3">
      <c r="A397" t="s">
        <v>429</v>
      </c>
      <c r="B397" t="s">
        <v>17</v>
      </c>
      <c r="C397" s="3">
        <v>46259</v>
      </c>
      <c r="D397" t="s">
        <v>9</v>
      </c>
      <c r="E397" s="5">
        <v>4200</v>
      </c>
      <c r="F397" s="7">
        <v>595.0999755859375</v>
      </c>
      <c r="G397" s="7">
        <v>2499419.8974609375</v>
      </c>
    </row>
    <row r="398" spans="1:7" x14ac:dyDescent="0.3">
      <c r="A398" t="s">
        <v>430</v>
      </c>
      <c r="B398" t="s">
        <v>17</v>
      </c>
      <c r="C398" s="3">
        <v>46258</v>
      </c>
      <c r="D398" t="s">
        <v>9</v>
      </c>
      <c r="E398" s="5">
        <v>2650</v>
      </c>
      <c r="F398" s="7">
        <v>439.45001220703125</v>
      </c>
      <c r="G398" s="7">
        <v>1164542.5323486328</v>
      </c>
    </row>
    <row r="399" spans="1:7" x14ac:dyDescent="0.3">
      <c r="A399" t="s">
        <v>431</v>
      </c>
      <c r="B399" t="s">
        <v>22</v>
      </c>
      <c r="C399" s="3">
        <v>46258</v>
      </c>
      <c r="D399" t="s">
        <v>9</v>
      </c>
      <c r="E399" s="5">
        <v>4100</v>
      </c>
      <c r="F399" s="7">
        <v>328.83999633789063</v>
      </c>
      <c r="G399" s="7">
        <v>1348243.9849853516</v>
      </c>
    </row>
    <row r="400" spans="1:7" x14ac:dyDescent="0.3">
      <c r="A400" t="s">
        <v>432</v>
      </c>
      <c r="B400" t="s">
        <v>17</v>
      </c>
      <c r="C400" s="3">
        <v>46257</v>
      </c>
      <c r="D400" t="s">
        <v>14</v>
      </c>
      <c r="E400" s="5">
        <v>1900</v>
      </c>
      <c r="F400" s="7">
        <v>231.80999755859375</v>
      </c>
      <c r="G400" s="7">
        <v>440438.99536132813</v>
      </c>
    </row>
    <row r="401" spans="1:7" x14ac:dyDescent="0.3">
      <c r="A401" t="s">
        <v>433</v>
      </c>
      <c r="B401" t="s">
        <v>13</v>
      </c>
      <c r="C401" s="3">
        <v>46255</v>
      </c>
      <c r="D401" t="s">
        <v>9</v>
      </c>
      <c r="E401" s="5">
        <v>350</v>
      </c>
      <c r="F401" s="7">
        <v>466.41000366210938</v>
      </c>
      <c r="G401" s="7">
        <v>163243.50128173828</v>
      </c>
    </row>
    <row r="402" spans="1:7" x14ac:dyDescent="0.3">
      <c r="A402" t="s">
        <v>434</v>
      </c>
      <c r="B402" t="s">
        <v>13</v>
      </c>
      <c r="C402" s="3">
        <v>46258</v>
      </c>
      <c r="D402" t="s">
        <v>9</v>
      </c>
      <c r="E402" s="5">
        <v>4350</v>
      </c>
      <c r="F402" s="7">
        <v>336.69000244140625</v>
      </c>
      <c r="G402" s="7">
        <v>1464601.5106201172</v>
      </c>
    </row>
    <row r="403" spans="1:7" x14ac:dyDescent="0.3">
      <c r="A403" t="s">
        <v>435</v>
      </c>
      <c r="B403" t="s">
        <v>8</v>
      </c>
      <c r="C403" s="3">
        <v>46257</v>
      </c>
      <c r="D403" t="s">
        <v>9</v>
      </c>
      <c r="E403" s="5">
        <v>850</v>
      </c>
      <c r="F403" s="7">
        <v>622.65997314453125</v>
      </c>
      <c r="G403" s="7">
        <v>529260.97717285156</v>
      </c>
    </row>
    <row r="404" spans="1:7" x14ac:dyDescent="0.3">
      <c r="A404" t="s">
        <v>436</v>
      </c>
      <c r="B404" t="s">
        <v>13</v>
      </c>
      <c r="C404" s="3">
        <v>46255</v>
      </c>
      <c r="D404" t="s">
        <v>9</v>
      </c>
      <c r="E404" s="5">
        <v>450</v>
      </c>
      <c r="F404" s="7">
        <v>283.22000122070313</v>
      </c>
      <c r="G404" s="7">
        <v>127449.00054931641</v>
      </c>
    </row>
    <row r="405" spans="1:7" x14ac:dyDescent="0.3">
      <c r="A405" t="s">
        <v>437</v>
      </c>
      <c r="B405" t="s">
        <v>13</v>
      </c>
      <c r="C405" s="3">
        <v>46256</v>
      </c>
      <c r="D405" t="s">
        <v>9</v>
      </c>
      <c r="E405" s="5">
        <v>1950</v>
      </c>
      <c r="F405" s="7">
        <v>356.260009765625</v>
      </c>
      <c r="G405" s="7">
        <v>694707.01904296875</v>
      </c>
    </row>
    <row r="406" spans="1:7" x14ac:dyDescent="0.3">
      <c r="A406" t="s">
        <v>438</v>
      </c>
      <c r="B406" t="s">
        <v>17</v>
      </c>
      <c r="C406" s="3">
        <v>46256</v>
      </c>
      <c r="D406" t="s">
        <v>9</v>
      </c>
      <c r="E406" s="5">
        <v>2350</v>
      </c>
      <c r="F406" s="7">
        <v>165.47999572753906</v>
      </c>
      <c r="G406" s="7">
        <v>388877.9899597168</v>
      </c>
    </row>
    <row r="407" spans="1:7" x14ac:dyDescent="0.3">
      <c r="A407" t="s">
        <v>439</v>
      </c>
      <c r="B407" t="s">
        <v>22</v>
      </c>
      <c r="C407" s="3">
        <v>46258</v>
      </c>
      <c r="D407" t="s">
        <v>9</v>
      </c>
      <c r="E407" s="5">
        <v>2150</v>
      </c>
      <c r="F407" s="7">
        <v>568.19000244140625</v>
      </c>
      <c r="G407" s="7">
        <v>1221608.5052490234</v>
      </c>
    </row>
    <row r="408" spans="1:7" x14ac:dyDescent="0.3">
      <c r="A408" t="s">
        <v>440</v>
      </c>
      <c r="B408" t="s">
        <v>17</v>
      </c>
      <c r="C408" s="3">
        <v>46255</v>
      </c>
      <c r="D408" t="s">
        <v>14</v>
      </c>
      <c r="E408" s="5">
        <v>400</v>
      </c>
      <c r="F408" s="7">
        <v>603.46002197265625</v>
      </c>
      <c r="G408" s="7">
        <v>241384.0087890625</v>
      </c>
    </row>
    <row r="409" spans="1:7" x14ac:dyDescent="0.3">
      <c r="A409" t="s">
        <v>441</v>
      </c>
      <c r="B409" t="s">
        <v>13</v>
      </c>
      <c r="C409" s="3">
        <v>46257</v>
      </c>
      <c r="D409" t="s">
        <v>9</v>
      </c>
      <c r="E409" s="5">
        <v>2200</v>
      </c>
      <c r="F409" s="7">
        <v>525.1300048828125</v>
      </c>
      <c r="G409" s="7">
        <v>1155286.0107421875</v>
      </c>
    </row>
    <row r="410" spans="1:7" x14ac:dyDescent="0.3">
      <c r="A410" t="s">
        <v>443</v>
      </c>
      <c r="B410" t="s">
        <v>8</v>
      </c>
      <c r="C410" s="3">
        <v>46255</v>
      </c>
      <c r="D410" t="s">
        <v>14</v>
      </c>
      <c r="E410" s="5">
        <v>1000</v>
      </c>
      <c r="F410" s="7">
        <v>507.95999145507813</v>
      </c>
      <c r="G410" s="7">
        <v>507959.99145507813</v>
      </c>
    </row>
    <row r="411" spans="1:7" x14ac:dyDescent="0.3">
      <c r="A411" t="s">
        <v>444</v>
      </c>
      <c r="B411" t="s">
        <v>22</v>
      </c>
      <c r="C411" s="3">
        <v>46258</v>
      </c>
      <c r="D411" t="s">
        <v>9</v>
      </c>
      <c r="E411" s="5">
        <v>1900</v>
      </c>
      <c r="F411" s="7">
        <v>396.3900146484375</v>
      </c>
      <c r="G411" s="7">
        <v>753141.02783203125</v>
      </c>
    </row>
    <row r="412" spans="1:7" x14ac:dyDescent="0.3">
      <c r="A412" t="s">
        <v>445</v>
      </c>
      <c r="B412" t="s">
        <v>22</v>
      </c>
      <c r="C412" s="3">
        <v>46258</v>
      </c>
      <c r="D412" t="s">
        <v>9</v>
      </c>
      <c r="E412" s="5">
        <v>3250</v>
      </c>
      <c r="F412" s="7">
        <v>585.0999755859375</v>
      </c>
      <c r="G412" s="7">
        <v>1901574.9206542969</v>
      </c>
    </row>
    <row r="413" spans="1:7" x14ac:dyDescent="0.3">
      <c r="A413" t="s">
        <v>446</v>
      </c>
      <c r="B413" t="s">
        <v>13</v>
      </c>
      <c r="C413" s="3">
        <v>46256</v>
      </c>
      <c r="D413" t="s">
        <v>14</v>
      </c>
      <c r="E413" s="5">
        <v>900</v>
      </c>
      <c r="F413" s="7">
        <v>519.1199951171875</v>
      </c>
      <c r="G413" s="7">
        <v>467207.99560546875</v>
      </c>
    </row>
    <row r="414" spans="1:7" x14ac:dyDescent="0.3">
      <c r="A414" t="s">
        <v>447</v>
      </c>
      <c r="B414" t="s">
        <v>13</v>
      </c>
      <c r="C414" s="3">
        <v>46259</v>
      </c>
      <c r="D414" t="s">
        <v>14</v>
      </c>
      <c r="E414" s="5">
        <v>3000</v>
      </c>
      <c r="F414" s="7">
        <v>511.05999755859375</v>
      </c>
      <c r="G414" s="7">
        <v>1533179.9926757813</v>
      </c>
    </row>
    <row r="415" spans="1:7" x14ac:dyDescent="0.3">
      <c r="A415" t="s">
        <v>448</v>
      </c>
      <c r="B415" t="s">
        <v>22</v>
      </c>
      <c r="C415" s="3">
        <v>46255</v>
      </c>
      <c r="D415" t="s">
        <v>9</v>
      </c>
      <c r="E415" s="5">
        <v>4550</v>
      </c>
      <c r="F415" s="7">
        <v>529.94000244140625</v>
      </c>
      <c r="G415" s="7">
        <v>2411227.0111083984</v>
      </c>
    </row>
    <row r="416" spans="1:7" x14ac:dyDescent="0.3">
      <c r="A416" t="s">
        <v>449</v>
      </c>
      <c r="B416" t="s">
        <v>11</v>
      </c>
      <c r="C416" s="3">
        <v>46258</v>
      </c>
      <c r="D416" t="s">
        <v>9</v>
      </c>
      <c r="E416" s="5">
        <v>3550</v>
      </c>
      <c r="F416" s="7">
        <v>249.77999877929688</v>
      </c>
      <c r="G416" s="7">
        <v>886718.99566650391</v>
      </c>
    </row>
    <row r="417" spans="1:7" x14ac:dyDescent="0.3">
      <c r="A417" t="s">
        <v>450</v>
      </c>
      <c r="B417" t="s">
        <v>8</v>
      </c>
      <c r="C417" s="3">
        <v>46255</v>
      </c>
      <c r="D417" t="s">
        <v>9</v>
      </c>
      <c r="E417" s="5">
        <v>50</v>
      </c>
      <c r="F417" s="7">
        <v>467.29000854492188</v>
      </c>
      <c r="G417" s="7">
        <v>23364.500427246094</v>
      </c>
    </row>
    <row r="418" spans="1:7" x14ac:dyDescent="0.3">
      <c r="A418" t="s">
        <v>451</v>
      </c>
      <c r="B418" t="s">
        <v>22</v>
      </c>
      <c r="C418" s="3">
        <v>46255</v>
      </c>
      <c r="D418" t="s">
        <v>9</v>
      </c>
      <c r="E418" s="5">
        <v>3800</v>
      </c>
      <c r="F418" s="7">
        <v>623.1400146484375</v>
      </c>
      <c r="G418" s="7">
        <v>2367932.0556640625</v>
      </c>
    </row>
    <row r="419" spans="1:7" x14ac:dyDescent="0.3">
      <c r="A419" t="s">
        <v>452</v>
      </c>
      <c r="B419" t="s">
        <v>8</v>
      </c>
      <c r="C419" s="3">
        <v>46259</v>
      </c>
      <c r="D419" t="s">
        <v>14</v>
      </c>
      <c r="E419" s="5">
        <v>5000</v>
      </c>
      <c r="F419" s="7">
        <v>286.08999633789063</v>
      </c>
      <c r="G419" s="7">
        <v>1430449.9816894531</v>
      </c>
    </row>
    <row r="420" spans="1:7" x14ac:dyDescent="0.3">
      <c r="A420" t="s">
        <v>453</v>
      </c>
      <c r="B420" t="s">
        <v>13</v>
      </c>
      <c r="C420" s="3">
        <v>46257</v>
      </c>
      <c r="D420" t="s">
        <v>14</v>
      </c>
      <c r="E420" s="5">
        <v>400</v>
      </c>
      <c r="F420" s="7">
        <v>584.3599853515625</v>
      </c>
      <c r="G420" s="7">
        <v>233743.994140625</v>
      </c>
    </row>
    <row r="421" spans="1:7" x14ac:dyDescent="0.3">
      <c r="A421" t="s">
        <v>454</v>
      </c>
      <c r="B421" t="s">
        <v>22</v>
      </c>
      <c r="C421" s="3">
        <v>46258</v>
      </c>
      <c r="D421" t="s">
        <v>14</v>
      </c>
      <c r="E421" s="5">
        <v>2700</v>
      </c>
      <c r="F421" s="7">
        <v>193.69999694824219</v>
      </c>
      <c r="G421" s="7">
        <v>522989.99176025391</v>
      </c>
    </row>
    <row r="422" spans="1:7" x14ac:dyDescent="0.3">
      <c r="A422" t="s">
        <v>455</v>
      </c>
      <c r="B422" t="s">
        <v>22</v>
      </c>
      <c r="C422" s="3">
        <v>46256</v>
      </c>
      <c r="D422" t="s">
        <v>9</v>
      </c>
      <c r="E422" s="5">
        <v>1700</v>
      </c>
      <c r="F422" s="7">
        <v>616.42999267578125</v>
      </c>
      <c r="G422" s="7">
        <v>1047930.9875488281</v>
      </c>
    </row>
    <row r="423" spans="1:7" x14ac:dyDescent="0.3">
      <c r="A423" t="s">
        <v>456</v>
      </c>
      <c r="B423" t="s">
        <v>22</v>
      </c>
      <c r="C423" s="3">
        <v>46258</v>
      </c>
      <c r="D423" t="s">
        <v>9</v>
      </c>
      <c r="E423" s="5">
        <v>4150</v>
      </c>
      <c r="F423" s="7">
        <v>610.8800048828125</v>
      </c>
      <c r="G423" s="7">
        <v>2535152.0202636719</v>
      </c>
    </row>
    <row r="424" spans="1:7" x14ac:dyDescent="0.3">
      <c r="A424" t="s">
        <v>457</v>
      </c>
      <c r="B424" t="s">
        <v>11</v>
      </c>
      <c r="C424" s="3">
        <v>46258</v>
      </c>
      <c r="D424" t="s">
        <v>14</v>
      </c>
      <c r="E424" s="5">
        <v>2450</v>
      </c>
      <c r="F424" s="7">
        <v>255.58000183105469</v>
      </c>
      <c r="G424" s="7">
        <v>626171.00448608398</v>
      </c>
    </row>
    <row r="425" spans="1:7" x14ac:dyDescent="0.3">
      <c r="A425" t="s">
        <v>459</v>
      </c>
      <c r="B425" t="s">
        <v>13</v>
      </c>
      <c r="C425" s="3">
        <v>46259</v>
      </c>
      <c r="D425" t="s">
        <v>14</v>
      </c>
      <c r="E425" s="5">
        <v>50</v>
      </c>
      <c r="F425" s="7">
        <v>239.69999694824219</v>
      </c>
      <c r="G425" s="7">
        <v>11984.999847412109</v>
      </c>
    </row>
    <row r="426" spans="1:7" x14ac:dyDescent="0.3">
      <c r="A426" t="s">
        <v>460</v>
      </c>
      <c r="B426" t="s">
        <v>22</v>
      </c>
      <c r="C426" s="3">
        <v>46256</v>
      </c>
      <c r="D426" t="s">
        <v>14</v>
      </c>
      <c r="E426" s="5">
        <v>50</v>
      </c>
      <c r="F426" s="7">
        <v>364.41000366210938</v>
      </c>
      <c r="G426" s="7">
        <v>18220.500183105469</v>
      </c>
    </row>
    <row r="427" spans="1:7" x14ac:dyDescent="0.3">
      <c r="A427" t="s">
        <v>461</v>
      </c>
      <c r="B427" t="s">
        <v>13</v>
      </c>
      <c r="C427" s="3">
        <v>46255</v>
      </c>
      <c r="D427" t="s">
        <v>9</v>
      </c>
      <c r="E427" s="5">
        <v>2050</v>
      </c>
      <c r="F427" s="7">
        <v>281.76998901367188</v>
      </c>
      <c r="G427" s="7">
        <v>577628.47747802734</v>
      </c>
    </row>
    <row r="428" spans="1:7" x14ac:dyDescent="0.3">
      <c r="A428" t="s">
        <v>462</v>
      </c>
      <c r="B428" t="s">
        <v>17</v>
      </c>
      <c r="C428" s="3">
        <v>46255</v>
      </c>
      <c r="D428" t="s">
        <v>9</v>
      </c>
      <c r="E428" s="5">
        <v>3250</v>
      </c>
      <c r="F428" s="7">
        <v>507.60000610351563</v>
      </c>
      <c r="G428" s="7">
        <v>1649700.0198364258</v>
      </c>
    </row>
    <row r="429" spans="1:7" x14ac:dyDescent="0.3">
      <c r="A429" t="s">
        <v>463</v>
      </c>
      <c r="B429" t="s">
        <v>17</v>
      </c>
      <c r="C429" s="3">
        <v>46257</v>
      </c>
      <c r="D429" t="s">
        <v>14</v>
      </c>
      <c r="E429" s="5">
        <v>4700</v>
      </c>
      <c r="F429" s="7">
        <v>468.29998779296875</v>
      </c>
      <c r="G429" s="7">
        <v>2201009.9426269531</v>
      </c>
    </row>
    <row r="430" spans="1:7" x14ac:dyDescent="0.3">
      <c r="A430" t="s">
        <v>464</v>
      </c>
      <c r="B430" t="s">
        <v>8</v>
      </c>
      <c r="C430" s="3">
        <v>46258</v>
      </c>
      <c r="D430" t="s">
        <v>14</v>
      </c>
      <c r="E430" s="5">
        <v>100</v>
      </c>
      <c r="F430" s="7">
        <v>570.8699951171875</v>
      </c>
      <c r="G430" s="7">
        <v>57086.99951171875</v>
      </c>
    </row>
    <row r="431" spans="1:7" x14ac:dyDescent="0.3">
      <c r="A431" t="s">
        <v>465</v>
      </c>
      <c r="B431" t="s">
        <v>11</v>
      </c>
      <c r="C431" s="3">
        <v>46258</v>
      </c>
      <c r="D431" t="s">
        <v>9</v>
      </c>
      <c r="E431" s="5">
        <v>3000</v>
      </c>
      <c r="F431" s="7">
        <v>282.75999877974391</v>
      </c>
      <c r="G431" s="7">
        <v>848279.99633923173</v>
      </c>
    </row>
    <row r="432" spans="1:7" x14ac:dyDescent="0.3">
      <c r="A432" t="s">
        <v>466</v>
      </c>
      <c r="B432" t="s">
        <v>8</v>
      </c>
      <c r="C432" s="3">
        <v>46257</v>
      </c>
      <c r="D432" t="s">
        <v>14</v>
      </c>
      <c r="E432" s="5">
        <v>1850</v>
      </c>
      <c r="F432" s="7">
        <v>280.6199951171875</v>
      </c>
      <c r="G432" s="7">
        <v>519146.99096679688</v>
      </c>
    </row>
    <row r="433" spans="1:7" x14ac:dyDescent="0.3">
      <c r="A433" t="s">
        <v>467</v>
      </c>
      <c r="B433" t="s">
        <v>17</v>
      </c>
      <c r="C433" s="3">
        <v>46255</v>
      </c>
      <c r="D433" t="s">
        <v>14</v>
      </c>
      <c r="E433" s="5">
        <v>1050</v>
      </c>
      <c r="F433" s="7">
        <v>254.6300048828125</v>
      </c>
      <c r="G433" s="7">
        <v>267361.50512695313</v>
      </c>
    </row>
    <row r="434" spans="1:7" x14ac:dyDescent="0.3">
      <c r="A434" t="s">
        <v>468</v>
      </c>
      <c r="B434" t="s">
        <v>13</v>
      </c>
      <c r="C434" s="3">
        <v>46259</v>
      </c>
      <c r="D434" t="s">
        <v>9</v>
      </c>
      <c r="E434" s="5">
        <v>200</v>
      </c>
      <c r="F434" s="7">
        <v>214.6199951171875</v>
      </c>
      <c r="G434" s="7">
        <v>42923.9990234375</v>
      </c>
    </row>
    <row r="435" spans="1:7" x14ac:dyDescent="0.3">
      <c r="A435" t="s">
        <v>469</v>
      </c>
      <c r="B435" t="s">
        <v>17</v>
      </c>
      <c r="C435" s="3">
        <v>46257</v>
      </c>
      <c r="D435" t="s">
        <v>9</v>
      </c>
      <c r="E435" s="5">
        <v>850</v>
      </c>
      <c r="F435" s="7">
        <v>188.5</v>
      </c>
      <c r="G435" s="7">
        <v>160225</v>
      </c>
    </row>
    <row r="436" spans="1:7" x14ac:dyDescent="0.3">
      <c r="A436" t="s">
        <v>470</v>
      </c>
      <c r="B436" t="s">
        <v>13</v>
      </c>
      <c r="C436" s="3">
        <v>46257</v>
      </c>
      <c r="D436" t="s">
        <v>9</v>
      </c>
      <c r="E436" s="5">
        <v>2550</v>
      </c>
      <c r="F436" s="7">
        <v>432.70999145507813</v>
      </c>
      <c r="G436" s="7">
        <v>1103410.4782104492</v>
      </c>
    </row>
    <row r="437" spans="1:7" x14ac:dyDescent="0.3">
      <c r="A437" t="s">
        <v>471</v>
      </c>
      <c r="B437" t="s">
        <v>11</v>
      </c>
      <c r="C437" s="3">
        <v>46258</v>
      </c>
      <c r="D437" t="s">
        <v>9</v>
      </c>
      <c r="E437" s="5">
        <v>1300</v>
      </c>
      <c r="F437" s="7">
        <v>251.36000061035156</v>
      </c>
      <c r="G437" s="7">
        <v>326768.00079345703</v>
      </c>
    </row>
    <row r="438" spans="1:7" x14ac:dyDescent="0.3">
      <c r="A438" t="s">
        <v>472</v>
      </c>
      <c r="B438" t="s">
        <v>17</v>
      </c>
      <c r="C438" s="3">
        <v>46258</v>
      </c>
      <c r="D438" t="s">
        <v>9</v>
      </c>
      <c r="E438" s="5">
        <v>1100</v>
      </c>
      <c r="F438" s="7">
        <v>614.07000732421875</v>
      </c>
      <c r="G438" s="7">
        <v>675477.00805664063</v>
      </c>
    </row>
    <row r="439" spans="1:7" x14ac:dyDescent="0.3">
      <c r="A439" t="s">
        <v>473</v>
      </c>
      <c r="B439" t="s">
        <v>17</v>
      </c>
      <c r="C439" s="3">
        <v>46259</v>
      </c>
      <c r="D439" t="s">
        <v>14</v>
      </c>
      <c r="E439" s="5">
        <v>500</v>
      </c>
      <c r="F439" s="7">
        <v>619.67999267578125</v>
      </c>
      <c r="G439" s="7">
        <v>309839.99633789063</v>
      </c>
    </row>
    <row r="440" spans="1:7" x14ac:dyDescent="0.3">
      <c r="A440" t="s">
        <v>474</v>
      </c>
      <c r="B440" t="s">
        <v>11</v>
      </c>
      <c r="C440" s="3">
        <v>46256</v>
      </c>
      <c r="D440" t="s">
        <v>14</v>
      </c>
      <c r="E440" s="5">
        <v>2950</v>
      </c>
      <c r="F440" s="7">
        <v>477.39999389648438</v>
      </c>
      <c r="G440" s="7">
        <v>1408329.9819946289</v>
      </c>
    </row>
    <row r="441" spans="1:7" x14ac:dyDescent="0.3">
      <c r="A441" t="s">
        <v>476</v>
      </c>
      <c r="B441" t="s">
        <v>22</v>
      </c>
      <c r="C441" s="3">
        <v>46255</v>
      </c>
      <c r="D441" t="s">
        <v>9</v>
      </c>
      <c r="E441" s="5">
        <v>2150</v>
      </c>
      <c r="F441" s="7">
        <v>648.15997314453125</v>
      </c>
      <c r="G441" s="7">
        <v>1393543.9422607422</v>
      </c>
    </row>
    <row r="442" spans="1:7" x14ac:dyDescent="0.3">
      <c r="A442" t="s">
        <v>477</v>
      </c>
      <c r="B442" t="s">
        <v>8</v>
      </c>
      <c r="C442" s="3">
        <v>46256</v>
      </c>
      <c r="D442" t="s">
        <v>9</v>
      </c>
      <c r="E442" s="5">
        <v>4550</v>
      </c>
      <c r="F442" s="7">
        <v>320.95001220703125</v>
      </c>
      <c r="G442" s="7">
        <v>1460322.5555419922</v>
      </c>
    </row>
    <row r="443" spans="1:7" x14ac:dyDescent="0.3">
      <c r="A443" t="s">
        <v>478</v>
      </c>
      <c r="B443" t="s">
        <v>13</v>
      </c>
      <c r="C443" s="3">
        <v>46256</v>
      </c>
      <c r="D443" t="s">
        <v>9</v>
      </c>
      <c r="E443" s="5">
        <v>3050</v>
      </c>
      <c r="F443" s="7">
        <v>150.75</v>
      </c>
      <c r="G443" s="7">
        <v>459787.5</v>
      </c>
    </row>
    <row r="444" spans="1:7" x14ac:dyDescent="0.3">
      <c r="A444" t="s">
        <v>479</v>
      </c>
      <c r="B444" t="s">
        <v>13</v>
      </c>
      <c r="C444" s="3">
        <v>46259</v>
      </c>
      <c r="D444" t="s">
        <v>14</v>
      </c>
      <c r="E444" s="5">
        <v>2250</v>
      </c>
      <c r="F444" s="7">
        <v>513.20001220703125</v>
      </c>
      <c r="G444" s="7">
        <v>1154700.0274658203</v>
      </c>
    </row>
    <row r="445" spans="1:7" x14ac:dyDescent="0.3">
      <c r="A445" t="s">
        <v>480</v>
      </c>
      <c r="B445" t="s">
        <v>11</v>
      </c>
      <c r="C445" s="3">
        <v>46256</v>
      </c>
      <c r="D445" t="s">
        <v>14</v>
      </c>
      <c r="E445" s="5">
        <v>50</v>
      </c>
      <c r="F445" s="7">
        <v>525.6500244140625</v>
      </c>
      <c r="G445" s="7">
        <v>26282.501220703125</v>
      </c>
    </row>
    <row r="446" spans="1:7" x14ac:dyDescent="0.3">
      <c r="A446" t="s">
        <v>481</v>
      </c>
      <c r="B446" t="s">
        <v>11</v>
      </c>
      <c r="C446" s="3">
        <v>46256</v>
      </c>
      <c r="D446" t="s">
        <v>14</v>
      </c>
      <c r="E446" s="5">
        <v>3400</v>
      </c>
      <c r="F446" s="7">
        <v>463.13999265432358</v>
      </c>
      <c r="G446" s="7">
        <v>1574675.9750247002</v>
      </c>
    </row>
    <row r="447" spans="1:7" x14ac:dyDescent="0.3">
      <c r="A447" t="s">
        <v>482</v>
      </c>
      <c r="B447" t="s">
        <v>11</v>
      </c>
      <c r="C447" s="3">
        <v>46259</v>
      </c>
      <c r="D447" t="s">
        <v>9</v>
      </c>
      <c r="E447" s="5">
        <v>4250</v>
      </c>
      <c r="F447" s="7">
        <v>483.51998901367188</v>
      </c>
      <c r="G447" s="7">
        <v>2054959.9533081055</v>
      </c>
    </row>
    <row r="448" spans="1:7" x14ac:dyDescent="0.3">
      <c r="A448" t="s">
        <v>483</v>
      </c>
      <c r="B448" t="s">
        <v>22</v>
      </c>
      <c r="C448" s="3">
        <v>46259</v>
      </c>
      <c r="D448" t="s">
        <v>14</v>
      </c>
      <c r="E448" s="5">
        <v>4100</v>
      </c>
      <c r="F448" s="7">
        <v>579.55999755859375</v>
      </c>
      <c r="G448" s="7">
        <v>2376195.9899902344</v>
      </c>
    </row>
    <row r="449" spans="1:7" x14ac:dyDescent="0.3">
      <c r="A449" t="s">
        <v>484</v>
      </c>
      <c r="B449" t="s">
        <v>8</v>
      </c>
      <c r="C449" s="3">
        <v>46256</v>
      </c>
      <c r="D449" t="s">
        <v>14</v>
      </c>
      <c r="E449" s="5">
        <v>650</v>
      </c>
      <c r="F449" s="7">
        <v>234.54999268054962</v>
      </c>
      <c r="G449" s="7">
        <v>152457.49524235725</v>
      </c>
    </row>
    <row r="450" spans="1:7" x14ac:dyDescent="0.3">
      <c r="A450" t="s">
        <v>485</v>
      </c>
      <c r="B450" t="s">
        <v>8</v>
      </c>
      <c r="C450" s="3">
        <v>46259</v>
      </c>
      <c r="D450" t="s">
        <v>14</v>
      </c>
      <c r="E450" s="5">
        <v>4200</v>
      </c>
      <c r="F450" s="7">
        <v>206.03999328613281</v>
      </c>
      <c r="G450" s="7">
        <v>865367.97180175781</v>
      </c>
    </row>
    <row r="451" spans="1:7" x14ac:dyDescent="0.3">
      <c r="A451" t="s">
        <v>486</v>
      </c>
      <c r="B451" t="s">
        <v>17</v>
      </c>
      <c r="C451" s="3">
        <v>46258</v>
      </c>
      <c r="D451" t="s">
        <v>9</v>
      </c>
      <c r="E451" s="5">
        <v>2400</v>
      </c>
      <c r="F451" s="7">
        <v>518.46002197265625</v>
      </c>
      <c r="G451" s="7">
        <v>1244304.052734375</v>
      </c>
    </row>
    <row r="452" spans="1:7" x14ac:dyDescent="0.3">
      <c r="A452" t="s">
        <v>487</v>
      </c>
      <c r="B452" t="s">
        <v>17</v>
      </c>
      <c r="C452" s="3">
        <v>46259</v>
      </c>
      <c r="D452" t="s">
        <v>9</v>
      </c>
      <c r="E452" s="5">
        <v>1500</v>
      </c>
      <c r="F452" s="7">
        <v>263.32998657226563</v>
      </c>
      <c r="G452" s="7">
        <v>394994.97985839844</v>
      </c>
    </row>
    <row r="453" spans="1:7" x14ac:dyDescent="0.3">
      <c r="A453" t="s">
        <v>488</v>
      </c>
      <c r="B453" t="s">
        <v>8</v>
      </c>
      <c r="C453" s="3">
        <v>46258</v>
      </c>
      <c r="D453" t="s">
        <v>14</v>
      </c>
      <c r="E453" s="5">
        <v>4350</v>
      </c>
      <c r="F453" s="7">
        <v>490.239990234375</v>
      </c>
      <c r="G453" s="7">
        <v>2132543.9575195313</v>
      </c>
    </row>
    <row r="454" spans="1:7" x14ac:dyDescent="0.3">
      <c r="A454" t="s">
        <v>489</v>
      </c>
      <c r="B454" t="s">
        <v>11</v>
      </c>
      <c r="C454" s="3">
        <v>46258</v>
      </c>
      <c r="D454" t="s">
        <v>14</v>
      </c>
      <c r="E454" s="5">
        <v>2400</v>
      </c>
      <c r="F454" s="7">
        <v>376.23001098632813</v>
      </c>
      <c r="G454" s="7">
        <v>902952.0263671875</v>
      </c>
    </row>
    <row r="455" spans="1:7" x14ac:dyDescent="0.3">
      <c r="A455" t="s">
        <v>490</v>
      </c>
      <c r="B455" t="s">
        <v>13</v>
      </c>
      <c r="C455" s="3">
        <v>46257</v>
      </c>
      <c r="D455" t="s">
        <v>9</v>
      </c>
      <c r="E455" s="5">
        <v>3800</v>
      </c>
      <c r="F455" s="7">
        <v>462.8699951171875</v>
      </c>
      <c r="G455" s="7">
        <v>1758905.9814453125</v>
      </c>
    </row>
    <row r="456" spans="1:7" x14ac:dyDescent="0.3">
      <c r="A456" t="s">
        <v>491</v>
      </c>
      <c r="B456" t="s">
        <v>8</v>
      </c>
      <c r="C456" s="3">
        <v>46256</v>
      </c>
      <c r="D456" t="s">
        <v>14</v>
      </c>
      <c r="E456" s="5">
        <v>4950</v>
      </c>
      <c r="F456" s="7">
        <v>473.41000366210938</v>
      </c>
      <c r="G456" s="7">
        <v>2343379.5181274414</v>
      </c>
    </row>
    <row r="457" spans="1:7" x14ac:dyDescent="0.3">
      <c r="A457" t="s">
        <v>492</v>
      </c>
      <c r="B457" t="s">
        <v>13</v>
      </c>
      <c r="C457" s="3">
        <v>46259</v>
      </c>
      <c r="D457" t="s">
        <v>14</v>
      </c>
      <c r="E457" s="5">
        <v>2400</v>
      </c>
      <c r="F457" s="7">
        <v>506.8699951171875</v>
      </c>
      <c r="G457" s="7">
        <v>1216487.98828125</v>
      </c>
    </row>
    <row r="458" spans="1:7" x14ac:dyDescent="0.3">
      <c r="A458" t="s">
        <v>493</v>
      </c>
      <c r="B458" t="s">
        <v>8</v>
      </c>
      <c r="C458" s="3">
        <v>46256</v>
      </c>
      <c r="D458" t="s">
        <v>9</v>
      </c>
      <c r="E458" s="5">
        <v>3700</v>
      </c>
      <c r="F458" s="7">
        <v>530.92999267578125</v>
      </c>
      <c r="G458" s="7">
        <v>1964440.9729003906</v>
      </c>
    </row>
    <row r="459" spans="1:7" x14ac:dyDescent="0.3">
      <c r="A459" t="s">
        <v>494</v>
      </c>
      <c r="B459" t="s">
        <v>13</v>
      </c>
      <c r="C459" s="3">
        <v>46257</v>
      </c>
      <c r="D459" t="s">
        <v>9</v>
      </c>
      <c r="E459" s="5">
        <v>1950</v>
      </c>
      <c r="F459" s="7">
        <v>220.58999633789063</v>
      </c>
      <c r="G459" s="7">
        <v>430150.49285888672</v>
      </c>
    </row>
    <row r="460" spans="1:7" x14ac:dyDescent="0.3">
      <c r="A460" t="s">
        <v>495</v>
      </c>
      <c r="B460" t="s">
        <v>22</v>
      </c>
      <c r="C460" s="3">
        <v>46257</v>
      </c>
      <c r="D460" t="s">
        <v>14</v>
      </c>
      <c r="E460" s="5">
        <v>600</v>
      </c>
      <c r="F460" s="7">
        <v>314.3599853515625</v>
      </c>
      <c r="G460" s="7">
        <v>188615.9912109375</v>
      </c>
    </row>
    <row r="461" spans="1:7" x14ac:dyDescent="0.3">
      <c r="A461" t="s">
        <v>496</v>
      </c>
      <c r="B461" t="s">
        <v>13</v>
      </c>
      <c r="C461" s="3">
        <v>46255</v>
      </c>
      <c r="D461" t="s">
        <v>9</v>
      </c>
      <c r="E461" s="5">
        <v>350</v>
      </c>
      <c r="F461" s="7">
        <v>284.91000366210938</v>
      </c>
      <c r="G461" s="7">
        <v>99718.501281738281</v>
      </c>
    </row>
    <row r="462" spans="1:7" x14ac:dyDescent="0.3">
      <c r="A462" t="s">
        <v>497</v>
      </c>
      <c r="B462" t="s">
        <v>13</v>
      </c>
      <c r="C462" s="3">
        <v>46258</v>
      </c>
      <c r="D462" t="s">
        <v>14</v>
      </c>
      <c r="E462" s="5">
        <v>2000</v>
      </c>
      <c r="F462" s="7">
        <v>246.05000305175781</v>
      </c>
      <c r="G462" s="7">
        <v>492100.00610351563</v>
      </c>
    </row>
    <row r="463" spans="1:7" x14ac:dyDescent="0.3">
      <c r="A463" t="s">
        <v>498</v>
      </c>
      <c r="B463" t="s">
        <v>13</v>
      </c>
      <c r="C463" s="3">
        <v>46257</v>
      </c>
      <c r="D463" t="s">
        <v>9</v>
      </c>
      <c r="E463" s="5">
        <v>4900</v>
      </c>
      <c r="F463" s="7">
        <v>642.91998291015625</v>
      </c>
      <c r="G463" s="7">
        <v>3150307.9162597656</v>
      </c>
    </row>
    <row r="464" spans="1:7" x14ac:dyDescent="0.3">
      <c r="A464" t="s">
        <v>499</v>
      </c>
      <c r="B464" t="s">
        <v>22</v>
      </c>
      <c r="C464" s="3">
        <v>46255</v>
      </c>
      <c r="D464" t="s">
        <v>9</v>
      </c>
      <c r="E464" s="5">
        <v>2250</v>
      </c>
      <c r="F464" s="7">
        <v>397.260009765625</v>
      </c>
      <c r="G464" s="7">
        <v>893835.02197265625</v>
      </c>
    </row>
    <row r="465" spans="1:7" x14ac:dyDescent="0.3">
      <c r="A465" t="s">
        <v>500</v>
      </c>
      <c r="B465" t="s">
        <v>17</v>
      </c>
      <c r="C465" s="3">
        <v>46258</v>
      </c>
      <c r="D465" t="s">
        <v>9</v>
      </c>
      <c r="E465" s="5">
        <v>750</v>
      </c>
      <c r="F465" s="7">
        <v>304.60000610351563</v>
      </c>
      <c r="G465" s="7">
        <v>228450.00457763672</v>
      </c>
    </row>
    <row r="466" spans="1:7" x14ac:dyDescent="0.3">
      <c r="A466" t="s">
        <v>501</v>
      </c>
      <c r="B466" t="s">
        <v>13</v>
      </c>
      <c r="C466" s="3">
        <v>46256</v>
      </c>
      <c r="D466" t="s">
        <v>9</v>
      </c>
      <c r="E466" s="5">
        <v>2900</v>
      </c>
      <c r="F466" s="7">
        <v>605.3499755859375</v>
      </c>
      <c r="G466" s="7">
        <v>1755514.9291992188</v>
      </c>
    </row>
    <row r="467" spans="1:7" x14ac:dyDescent="0.3">
      <c r="A467" t="s">
        <v>502</v>
      </c>
      <c r="B467" t="s">
        <v>22</v>
      </c>
      <c r="C467" s="3">
        <v>46255</v>
      </c>
      <c r="D467" t="s">
        <v>14</v>
      </c>
      <c r="E467" s="5">
        <v>1650</v>
      </c>
      <c r="F467" s="7">
        <v>276.510009765625</v>
      </c>
      <c r="G467" s="7">
        <v>456241.51611328125</v>
      </c>
    </row>
    <row r="468" spans="1:7" x14ac:dyDescent="0.3">
      <c r="A468" t="s">
        <v>503</v>
      </c>
      <c r="B468" t="s">
        <v>13</v>
      </c>
      <c r="C468" s="3">
        <v>46255</v>
      </c>
      <c r="D468" t="s">
        <v>14</v>
      </c>
      <c r="E468" s="5">
        <v>4050</v>
      </c>
      <c r="F468" s="7">
        <v>216.00999450683594</v>
      </c>
      <c r="G468" s="7">
        <v>874840.47775268555</v>
      </c>
    </row>
    <row r="469" spans="1:7" x14ac:dyDescent="0.3">
      <c r="A469" t="s">
        <v>504</v>
      </c>
      <c r="B469" t="s">
        <v>13</v>
      </c>
      <c r="C469" s="3">
        <v>46259</v>
      </c>
      <c r="D469" t="s">
        <v>14</v>
      </c>
      <c r="E469" s="5">
        <v>950</v>
      </c>
      <c r="F469" s="7">
        <v>616.47998046875</v>
      </c>
      <c r="G469" s="7">
        <v>585655.9814453125</v>
      </c>
    </row>
    <row r="470" spans="1:7" x14ac:dyDescent="0.3">
      <c r="A470" t="s">
        <v>505</v>
      </c>
      <c r="B470" t="s">
        <v>11</v>
      </c>
      <c r="C470" s="3">
        <v>46257</v>
      </c>
      <c r="D470" t="s">
        <v>14</v>
      </c>
      <c r="E470" s="5">
        <v>1050</v>
      </c>
      <c r="F470" s="7">
        <v>450.40000488236547</v>
      </c>
      <c r="G470" s="7">
        <v>472920.00512648374</v>
      </c>
    </row>
    <row r="471" spans="1:7" x14ac:dyDescent="0.3">
      <c r="A471" t="s">
        <v>507</v>
      </c>
      <c r="B471" t="s">
        <v>17</v>
      </c>
      <c r="C471" s="3">
        <v>46255</v>
      </c>
      <c r="D471" t="s">
        <v>9</v>
      </c>
      <c r="E471" s="5">
        <v>2500</v>
      </c>
      <c r="F471" s="7">
        <v>410.66000366210938</v>
      </c>
      <c r="G471" s="7">
        <v>1026650.0091552734</v>
      </c>
    </row>
    <row r="472" spans="1:7" x14ac:dyDescent="0.3">
      <c r="A472" t="s">
        <v>508</v>
      </c>
      <c r="B472" t="s">
        <v>13</v>
      </c>
      <c r="C472" s="3">
        <v>46256</v>
      </c>
      <c r="D472" t="s">
        <v>14</v>
      </c>
      <c r="E472" s="5">
        <v>4450</v>
      </c>
      <c r="F472" s="7">
        <v>537.1099853515625</v>
      </c>
      <c r="G472" s="7">
        <v>2390139.4348144531</v>
      </c>
    </row>
    <row r="473" spans="1:7" x14ac:dyDescent="0.3">
      <c r="A473" t="s">
        <v>509</v>
      </c>
      <c r="B473" t="s">
        <v>22</v>
      </c>
      <c r="C473" s="3">
        <v>46258</v>
      </c>
      <c r="D473" t="s">
        <v>9</v>
      </c>
      <c r="E473" s="5">
        <v>4850</v>
      </c>
      <c r="F473" s="7">
        <v>171.91000366210938</v>
      </c>
      <c r="G473" s="7">
        <v>833763.51776123047</v>
      </c>
    </row>
    <row r="474" spans="1:7" x14ac:dyDescent="0.3">
      <c r="A474" t="s">
        <v>510</v>
      </c>
      <c r="B474" t="s">
        <v>17</v>
      </c>
      <c r="C474" s="3">
        <v>46258</v>
      </c>
      <c r="D474" t="s">
        <v>9</v>
      </c>
      <c r="E474" s="5">
        <v>1950</v>
      </c>
      <c r="F474" s="7">
        <v>474.14999389648438</v>
      </c>
      <c r="G474" s="7">
        <v>924592.48809814453</v>
      </c>
    </row>
    <row r="475" spans="1:7" x14ac:dyDescent="0.3">
      <c r="A475" t="s">
        <v>511</v>
      </c>
      <c r="B475" t="s">
        <v>11</v>
      </c>
      <c r="C475" s="3">
        <v>46258</v>
      </c>
      <c r="D475" t="s">
        <v>14</v>
      </c>
      <c r="E475" s="5">
        <v>3050</v>
      </c>
      <c r="F475" s="7">
        <v>424.10000610351563</v>
      </c>
      <c r="G475" s="7">
        <v>1293505.0186157227</v>
      </c>
    </row>
    <row r="476" spans="1:7" x14ac:dyDescent="0.3">
      <c r="A476" t="s">
        <v>513</v>
      </c>
      <c r="B476" t="s">
        <v>13</v>
      </c>
      <c r="C476" s="3">
        <v>46255</v>
      </c>
      <c r="D476" t="s">
        <v>9</v>
      </c>
      <c r="E476" s="5">
        <v>1050</v>
      </c>
      <c r="F476" s="7">
        <v>451</v>
      </c>
      <c r="G476" s="7">
        <v>473550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38AD9-5936-4E70-B4E1-2F29EAE1510F}">
  <sheetPr codeName="Sheet7"/>
  <dimension ref="A1:H957"/>
  <sheetViews>
    <sheetView topLeftCell="C1" workbookViewId="0">
      <selection activeCell="I15" sqref="I15"/>
    </sheetView>
  </sheetViews>
  <sheetFormatPr defaultRowHeight="14.4" x14ac:dyDescent="0.3"/>
  <cols>
    <col min="1" max="1" width="9.88671875" bestFit="1" customWidth="1"/>
    <col min="2" max="2" width="12.88671875" bestFit="1" customWidth="1"/>
    <col min="3" max="3" width="15.5546875" bestFit="1" customWidth="1"/>
    <col min="4" max="4" width="10.6640625" style="5" bestFit="1" customWidth="1"/>
    <col min="5" max="5" width="9.6640625" style="5" bestFit="1" customWidth="1"/>
    <col min="6" max="6" width="12.109375" style="7" bestFit="1" customWidth="1"/>
    <col min="7" max="7" width="11.109375" style="7" bestFit="1" customWidth="1"/>
    <col min="8" max="8" width="20" style="7" bestFit="1" customWidth="1"/>
  </cols>
  <sheetData>
    <row r="1" spans="1:8" x14ac:dyDescent="0.3">
      <c r="A1" s="8" t="s">
        <v>0</v>
      </c>
      <c r="B1" s="8" t="s">
        <v>1</v>
      </c>
      <c r="C1" s="8" t="s">
        <v>514</v>
      </c>
      <c r="D1" s="9" t="s">
        <v>515</v>
      </c>
      <c r="E1" s="9" t="s">
        <v>516</v>
      </c>
      <c r="F1" s="10" t="s">
        <v>517</v>
      </c>
      <c r="G1" s="10" t="s">
        <v>518</v>
      </c>
      <c r="H1" s="10" t="s">
        <v>519</v>
      </c>
    </row>
    <row r="2" spans="1:8" x14ac:dyDescent="0.3">
      <c r="A2" t="s">
        <v>7</v>
      </c>
      <c r="B2" t="str">
        <f>IFERROR(VLOOKUP(A2, Internal_Ledger!A:B, 2, FALSE), VLOOKUP(A2, Broker_Statement!A:B, 2, FALSE))</f>
        <v>INE030A01027</v>
      </c>
      <c r="C2" t="str">
        <f>IF(COUNTIF(Internal_Ledger!A:A, A2)=0, "Missing Internal", IF(COUNTIF(Broker_Statement!A:A, A2)=0, "Missing on Street", IF(D2&lt;&gt;E2, "Quantity Break", IF(F2&lt;&gt;G2, "Price Break", "Matched Perfectly"))))</f>
        <v>Matched Perfectly</v>
      </c>
      <c r="D2">
        <f>IFERROR(VLOOKUP(A2, Internal_Ledger!A:G, 5, FALSE), 0)</f>
        <v>1450</v>
      </c>
      <c r="E2">
        <f>IFERROR(VLOOKUP(A2, Broker_Statement!A:G, 5, FALSE), 0)</f>
        <v>1450</v>
      </c>
      <c r="F2">
        <f>IFERROR(VLOOKUP(A2, Internal_Ledger!A:G, 6, FALSE), 0)</f>
        <v>300.97000122070313</v>
      </c>
      <c r="G2">
        <f>IFERROR(VLOOKUP(A2, Broker_Statement!A:G, 6, FALSE), 0)</f>
        <v>300.97000122070313</v>
      </c>
      <c r="H2" s="7">
        <f>ABS((D2*F2) - (E2*G2))</f>
        <v>0</v>
      </c>
    </row>
    <row r="3" spans="1:8" x14ac:dyDescent="0.3">
      <c r="A3" t="s">
        <v>10</v>
      </c>
      <c r="B3" t="str">
        <f>IFERROR(VLOOKUP(A3, Internal_Ledger!A:B, 2, FALSE), VLOOKUP(A3, Broker_Statement!A:B, 2, FALSE))</f>
        <v>INE002A01018</v>
      </c>
      <c r="C3" t="str">
        <f>IF(COUNTIF(Internal_Ledger!A:A, A3)=0, "Missing Internal", IF(COUNTIF(Broker_Statement!A:A, A3)=0, "Missing on Street", IF(D3&lt;&gt;E3, "Quantity Break", IF(F3&lt;&gt;G3, "Price Break", "Matched Perfectly"))))</f>
        <v>Matched Perfectly</v>
      </c>
      <c r="D3">
        <f>IFERROR(VLOOKUP(A3, Internal_Ledger!A:G, 5, FALSE), 0)</f>
        <v>3550</v>
      </c>
      <c r="E3">
        <f>IFERROR(VLOOKUP(A3, Broker_Statement!A:G, 5, FALSE), 0)</f>
        <v>3550</v>
      </c>
      <c r="F3">
        <f>IFERROR(VLOOKUP(A3, Internal_Ledger!A:G, 6, FALSE), 0)</f>
        <v>172.67999267578125</v>
      </c>
      <c r="G3">
        <f>IFERROR(VLOOKUP(A3, Broker_Statement!A:G, 6, FALSE), 0)</f>
        <v>172.67999267578125</v>
      </c>
      <c r="H3" s="7">
        <f t="shared" ref="H3:H66" si="0">ABS((D3*F3) - (E3*G3))</f>
        <v>0</v>
      </c>
    </row>
    <row r="4" spans="1:8" x14ac:dyDescent="0.3">
      <c r="A4" t="s">
        <v>12</v>
      </c>
      <c r="B4" t="str">
        <f>IFERROR(VLOOKUP(A4, Internal_Ledger!A:B, 2, FALSE), VLOOKUP(A4, Broker_Statement!A:B, 2, FALSE))</f>
        <v>INE040A01034</v>
      </c>
      <c r="C4" t="str">
        <f>IF(COUNTIF(Internal_Ledger!A:A, A4)=0, "Missing Internal", IF(COUNTIF(Broker_Statement!A:A, A4)=0, "Missing on Street", IF(D4&lt;&gt;E4, "Quantity Break", IF(F4&lt;&gt;G4, "Price Break", "Matched Perfectly"))))</f>
        <v>Matched Perfectly</v>
      </c>
      <c r="D4">
        <f>IFERROR(VLOOKUP(A4, Internal_Ledger!A:G, 5, FALSE), 0)</f>
        <v>4850</v>
      </c>
      <c r="E4">
        <f>IFERROR(VLOOKUP(A4, Broker_Statement!A:G, 5, FALSE), 0)</f>
        <v>4850</v>
      </c>
      <c r="F4">
        <f>IFERROR(VLOOKUP(A4, Internal_Ledger!A:G, 6, FALSE), 0)</f>
        <v>585.719970703125</v>
      </c>
      <c r="G4">
        <f>IFERROR(VLOOKUP(A4, Broker_Statement!A:G, 6, FALSE), 0)</f>
        <v>585.719970703125</v>
      </c>
      <c r="H4" s="7">
        <f t="shared" si="0"/>
        <v>0</v>
      </c>
    </row>
    <row r="5" spans="1:8" x14ac:dyDescent="0.3">
      <c r="A5" t="s">
        <v>15</v>
      </c>
      <c r="B5" t="str">
        <f>IFERROR(VLOOKUP(A5, Internal_Ledger!A:B, 2, FALSE), VLOOKUP(A5, Broker_Statement!A:B, 2, FALSE))</f>
        <v>INE040A01034</v>
      </c>
      <c r="C5" t="str">
        <f>IF(COUNTIF(Internal_Ledger!A:A, A5)=0, "Missing Internal", IF(COUNTIF(Broker_Statement!A:A, A5)=0, "Missing on Street", IF(D5&lt;&gt;E5, "Quantity Break", IF(F5&lt;&gt;G5, "Price Break", "Matched Perfectly"))))</f>
        <v>Matched Perfectly</v>
      </c>
      <c r="D5">
        <f>IFERROR(VLOOKUP(A5, Internal_Ledger!A:G, 5, FALSE), 0)</f>
        <v>3850</v>
      </c>
      <c r="E5">
        <f>IFERROR(VLOOKUP(A5, Broker_Statement!A:G, 5, FALSE), 0)</f>
        <v>3850</v>
      </c>
      <c r="F5">
        <f>IFERROR(VLOOKUP(A5, Internal_Ledger!A:G, 6, FALSE), 0)</f>
        <v>176.75</v>
      </c>
      <c r="G5">
        <f>IFERROR(VLOOKUP(A5, Broker_Statement!A:G, 6, FALSE), 0)</f>
        <v>176.75</v>
      </c>
      <c r="H5" s="7">
        <f t="shared" si="0"/>
        <v>0</v>
      </c>
    </row>
    <row r="6" spans="1:8" x14ac:dyDescent="0.3">
      <c r="A6" t="s">
        <v>16</v>
      </c>
      <c r="B6" t="str">
        <f>IFERROR(VLOOKUP(A6, Internal_Ledger!A:B, 2, FALSE), VLOOKUP(A6, Broker_Statement!A:B, 2, FALSE))</f>
        <v>INE018A01030</v>
      </c>
      <c r="C6" t="str">
        <f>IF(COUNTIF(Internal_Ledger!A:A, A6)=0, "Missing Internal", IF(COUNTIF(Broker_Statement!A:A, A6)=0, "Missing on Street", IF(D6&lt;&gt;E6, "Quantity Break", IF(F6&lt;&gt;G6, "Price Break", "Matched Perfectly"))))</f>
        <v>Matched Perfectly</v>
      </c>
      <c r="D6">
        <f>IFERROR(VLOOKUP(A6, Internal_Ledger!A:G, 5, FALSE), 0)</f>
        <v>3250</v>
      </c>
      <c r="E6">
        <f>IFERROR(VLOOKUP(A6, Broker_Statement!A:G, 5, FALSE), 0)</f>
        <v>3250</v>
      </c>
      <c r="F6">
        <f>IFERROR(VLOOKUP(A6, Internal_Ledger!A:G, 6, FALSE), 0)</f>
        <v>281.89999389648438</v>
      </c>
      <c r="G6">
        <f>IFERROR(VLOOKUP(A6, Broker_Statement!A:G, 6, FALSE), 0)</f>
        <v>281.89999389648438</v>
      </c>
      <c r="H6" s="7">
        <f t="shared" si="0"/>
        <v>0</v>
      </c>
    </row>
    <row r="7" spans="1:8" x14ac:dyDescent="0.3">
      <c r="A7" t="s">
        <v>18</v>
      </c>
      <c r="B7" t="str">
        <f>IFERROR(VLOOKUP(A7, Internal_Ledger!A:B, 2, FALSE), VLOOKUP(A7, Broker_Statement!A:B, 2, FALSE))</f>
        <v>INE040A01034</v>
      </c>
      <c r="C7" t="str">
        <f>IF(COUNTIF(Internal_Ledger!A:A, A7)=0, "Missing Internal", IF(COUNTIF(Broker_Statement!A:A, A7)=0, "Missing on Street", IF(D7&lt;&gt;E7, "Quantity Break", IF(F7&lt;&gt;G7, "Price Break", "Matched Perfectly"))))</f>
        <v>Matched Perfectly</v>
      </c>
      <c r="D7">
        <f>IFERROR(VLOOKUP(A7, Internal_Ledger!A:G, 5, FALSE), 0)</f>
        <v>4950</v>
      </c>
      <c r="E7">
        <f>IFERROR(VLOOKUP(A7, Broker_Statement!A:G, 5, FALSE), 0)</f>
        <v>4950</v>
      </c>
      <c r="F7">
        <f>IFERROR(VLOOKUP(A7, Internal_Ledger!A:G, 6, FALSE), 0)</f>
        <v>605.47998046875</v>
      </c>
      <c r="G7">
        <f>IFERROR(VLOOKUP(A7, Broker_Statement!A:G, 6, FALSE), 0)</f>
        <v>605.47998046875</v>
      </c>
      <c r="H7" s="7">
        <f t="shared" si="0"/>
        <v>0</v>
      </c>
    </row>
    <row r="8" spans="1:8" x14ac:dyDescent="0.3">
      <c r="A8" t="s">
        <v>20</v>
      </c>
      <c r="B8" t="str">
        <f>IFERROR(VLOOKUP(A8, Internal_Ledger!A:B, 2, FALSE), VLOOKUP(A8, Broker_Statement!A:B, 2, FALSE))</f>
        <v>INE030A01027</v>
      </c>
      <c r="C8" t="str">
        <f>IF(COUNTIF(Internal_Ledger!A:A, A8)=0, "Missing Internal", IF(COUNTIF(Broker_Statement!A:A, A8)=0, "Missing on Street", IF(D8&lt;&gt;E8, "Quantity Break", IF(F8&lt;&gt;G8, "Price Break", "Matched Perfectly"))))</f>
        <v>Matched Perfectly</v>
      </c>
      <c r="D8">
        <f>IFERROR(VLOOKUP(A8, Internal_Ledger!A:G, 5, FALSE), 0)</f>
        <v>550</v>
      </c>
      <c r="E8">
        <f>IFERROR(VLOOKUP(A8, Broker_Statement!A:G, 5, FALSE), 0)</f>
        <v>550</v>
      </c>
      <c r="F8">
        <f>IFERROR(VLOOKUP(A8, Internal_Ledger!A:G, 6, FALSE), 0)</f>
        <v>201.50999450683594</v>
      </c>
      <c r="G8">
        <f>IFERROR(VLOOKUP(A8, Broker_Statement!A:G, 6, FALSE), 0)</f>
        <v>201.50999450683594</v>
      </c>
      <c r="H8" s="7">
        <f t="shared" si="0"/>
        <v>0</v>
      </c>
    </row>
    <row r="9" spans="1:8" x14ac:dyDescent="0.3">
      <c r="A9" t="s">
        <v>21</v>
      </c>
      <c r="B9" t="str">
        <f>IFERROR(VLOOKUP(A9, Internal_Ledger!A:B, 2, FALSE), VLOOKUP(A9, Broker_Statement!A:B, 2, FALSE))</f>
        <v>INE009A01021</v>
      </c>
      <c r="C9" t="str">
        <f>IF(COUNTIF(Internal_Ledger!A:A, A9)=0, "Missing Internal", IF(COUNTIF(Broker_Statement!A:A, A9)=0, "Missing on Street", IF(D9&lt;&gt;E9, "Quantity Break", IF(F9&lt;&gt;G9, "Price Break", "Matched Perfectly"))))</f>
        <v>Missing on Street</v>
      </c>
      <c r="D9">
        <f>IFERROR(VLOOKUP(A9, Internal_Ledger!A:G, 5, FALSE), 0)</f>
        <v>1950</v>
      </c>
      <c r="E9">
        <f>IFERROR(VLOOKUP(A9, Broker_Statement!A:G, 5, FALSE), 0)</f>
        <v>0</v>
      </c>
      <c r="F9">
        <f>IFERROR(VLOOKUP(A9, Internal_Ledger!A:G, 6, FALSE), 0)</f>
        <v>300.489990234375</v>
      </c>
      <c r="G9">
        <f>IFERROR(VLOOKUP(A9, Broker_Statement!A:G, 6, FALSE), 0)</f>
        <v>0</v>
      </c>
      <c r="H9" s="7">
        <f t="shared" si="0"/>
        <v>585955.48095703125</v>
      </c>
    </row>
    <row r="10" spans="1:8" x14ac:dyDescent="0.3">
      <c r="A10" t="s">
        <v>23</v>
      </c>
      <c r="B10" t="str">
        <f>IFERROR(VLOOKUP(A10, Internal_Ledger!A:B, 2, FALSE), VLOOKUP(A10, Broker_Statement!A:B, 2, FALSE))</f>
        <v>INE040A01034</v>
      </c>
      <c r="C10" t="str">
        <f>IF(COUNTIF(Internal_Ledger!A:A, A10)=0, "Missing Internal", IF(COUNTIF(Broker_Statement!A:A, A10)=0, "Missing on Street", IF(D10&lt;&gt;E10, "Quantity Break", IF(F10&lt;&gt;G10, "Price Break", "Matched Perfectly"))))</f>
        <v>Matched Perfectly</v>
      </c>
      <c r="D10">
        <f>IFERROR(VLOOKUP(A10, Internal_Ledger!A:G, 5, FALSE), 0)</f>
        <v>850</v>
      </c>
      <c r="E10">
        <f>IFERROR(VLOOKUP(A10, Broker_Statement!A:G, 5, FALSE), 0)</f>
        <v>850</v>
      </c>
      <c r="F10">
        <f>IFERROR(VLOOKUP(A10, Internal_Ledger!A:G, 6, FALSE), 0)</f>
        <v>231.41000366210938</v>
      </c>
      <c r="G10">
        <f>IFERROR(VLOOKUP(A10, Broker_Statement!A:G, 6, FALSE), 0)</f>
        <v>231.41000366210938</v>
      </c>
      <c r="H10" s="7">
        <f t="shared" si="0"/>
        <v>0</v>
      </c>
    </row>
    <row r="11" spans="1:8" x14ac:dyDescent="0.3">
      <c r="A11" t="s">
        <v>24</v>
      </c>
      <c r="B11" t="str">
        <f>IFERROR(VLOOKUP(A11, Internal_Ledger!A:B, 2, FALSE), VLOOKUP(A11, Broker_Statement!A:B, 2, FALSE))</f>
        <v>INE018A01030</v>
      </c>
      <c r="C11" t="str">
        <f>IF(COUNTIF(Internal_Ledger!A:A, A11)=0, "Missing Internal", IF(COUNTIF(Broker_Statement!A:A, A11)=0, "Missing on Street", IF(D11&lt;&gt;E11, "Quantity Break", IF(F11&lt;&gt;G11, "Price Break", "Matched Perfectly"))))</f>
        <v>Matched Perfectly</v>
      </c>
      <c r="D11">
        <f>IFERROR(VLOOKUP(A11, Internal_Ledger!A:G, 5, FALSE), 0)</f>
        <v>1650</v>
      </c>
      <c r="E11">
        <f>IFERROR(VLOOKUP(A11, Broker_Statement!A:G, 5, FALSE), 0)</f>
        <v>1650</v>
      </c>
      <c r="F11">
        <f>IFERROR(VLOOKUP(A11, Internal_Ledger!A:G, 6, FALSE), 0)</f>
        <v>466.58999633789063</v>
      </c>
      <c r="G11">
        <f>IFERROR(VLOOKUP(A11, Broker_Statement!A:G, 6, FALSE), 0)</f>
        <v>466.58999633789063</v>
      </c>
      <c r="H11" s="7">
        <f t="shared" si="0"/>
        <v>0</v>
      </c>
    </row>
    <row r="12" spans="1:8" x14ac:dyDescent="0.3">
      <c r="A12" t="s">
        <v>25</v>
      </c>
      <c r="B12" t="str">
        <f>IFERROR(VLOOKUP(A12, Internal_Ledger!A:B, 2, FALSE), VLOOKUP(A12, Broker_Statement!A:B, 2, FALSE))</f>
        <v>INE002A01018</v>
      </c>
      <c r="C12" t="str">
        <f>IF(COUNTIF(Internal_Ledger!A:A, A12)=0, "Missing Internal", IF(COUNTIF(Broker_Statement!A:A, A12)=0, "Missing on Street", IF(D12&lt;&gt;E12, "Quantity Break", IF(F12&lt;&gt;G12, "Price Break", "Matched Perfectly"))))</f>
        <v>Matched Perfectly</v>
      </c>
      <c r="D12">
        <f>IFERROR(VLOOKUP(A12, Internal_Ledger!A:G, 5, FALSE), 0)</f>
        <v>2300</v>
      </c>
      <c r="E12">
        <f>IFERROR(VLOOKUP(A12, Broker_Statement!A:G, 5, FALSE), 0)</f>
        <v>2300</v>
      </c>
      <c r="F12">
        <f>IFERROR(VLOOKUP(A12, Internal_Ledger!A:G, 6, FALSE), 0)</f>
        <v>602.8599853515625</v>
      </c>
      <c r="G12">
        <f>IFERROR(VLOOKUP(A12, Broker_Statement!A:G, 6, FALSE), 0)</f>
        <v>602.8599853515625</v>
      </c>
      <c r="H12" s="7">
        <f t="shared" si="0"/>
        <v>0</v>
      </c>
    </row>
    <row r="13" spans="1:8" x14ac:dyDescent="0.3">
      <c r="A13" t="s">
        <v>26</v>
      </c>
      <c r="B13" t="str">
        <f>IFERROR(VLOOKUP(A13, Internal_Ledger!A:B, 2, FALSE), VLOOKUP(A13, Broker_Statement!A:B, 2, FALSE))</f>
        <v>INE030A01027</v>
      </c>
      <c r="C13" t="str">
        <f>IF(COUNTIF(Internal_Ledger!A:A, A13)=0, "Missing Internal", IF(COUNTIF(Broker_Statement!A:A, A13)=0, "Missing on Street", IF(D13&lt;&gt;E13, "Quantity Break", IF(F13&lt;&gt;G13, "Price Break", "Matched Perfectly"))))</f>
        <v>Matched Perfectly</v>
      </c>
      <c r="D13">
        <f>IFERROR(VLOOKUP(A13, Internal_Ledger!A:G, 5, FALSE), 0)</f>
        <v>4600</v>
      </c>
      <c r="E13">
        <f>IFERROR(VLOOKUP(A13, Broker_Statement!A:G, 5, FALSE), 0)</f>
        <v>4600</v>
      </c>
      <c r="F13">
        <f>IFERROR(VLOOKUP(A13, Internal_Ledger!A:G, 6, FALSE), 0)</f>
        <v>465.8699951171875</v>
      </c>
      <c r="G13">
        <f>IFERROR(VLOOKUP(A13, Broker_Statement!A:G, 6, FALSE), 0)</f>
        <v>465.8699951171875</v>
      </c>
      <c r="H13" s="7">
        <f t="shared" si="0"/>
        <v>0</v>
      </c>
    </row>
    <row r="14" spans="1:8" x14ac:dyDescent="0.3">
      <c r="A14" t="s">
        <v>27</v>
      </c>
      <c r="B14" t="str">
        <f>IFERROR(VLOOKUP(A14, Internal_Ledger!A:B, 2, FALSE), VLOOKUP(A14, Broker_Statement!A:B, 2, FALSE))</f>
        <v>INE018A01030</v>
      </c>
      <c r="C14" t="str">
        <f>IF(COUNTIF(Internal_Ledger!A:A, A14)=0, "Missing Internal", IF(COUNTIF(Broker_Statement!A:A, A14)=0, "Missing on Street", IF(D14&lt;&gt;E14, "Quantity Break", IF(F14&lt;&gt;G14, "Price Break", "Matched Perfectly"))))</f>
        <v>Price Break</v>
      </c>
      <c r="D14">
        <f>IFERROR(VLOOKUP(A14, Internal_Ledger!A:G, 5, FALSE), 0)</f>
        <v>3500</v>
      </c>
      <c r="E14">
        <f>IFERROR(VLOOKUP(A14, Broker_Statement!A:G, 5, FALSE), 0)</f>
        <v>3500</v>
      </c>
      <c r="F14">
        <f>IFERROR(VLOOKUP(A14, Internal_Ledger!A:G, 6, FALSE), 0)</f>
        <v>606.8599853515625</v>
      </c>
      <c r="G14">
        <f>IFERROR(VLOOKUP(A14, Broker_Statement!A:G, 6, FALSE), 0)</f>
        <v>605.90998536348343</v>
      </c>
      <c r="H14" s="7">
        <f t="shared" si="0"/>
        <v>3324.9999582767487</v>
      </c>
    </row>
    <row r="15" spans="1:8" x14ac:dyDescent="0.3">
      <c r="A15" t="s">
        <v>28</v>
      </c>
      <c r="B15" t="str">
        <f>IFERROR(VLOOKUP(A15, Internal_Ledger!A:B, 2, FALSE), VLOOKUP(A15, Broker_Statement!A:B, 2, FALSE))</f>
        <v>INE018A01030</v>
      </c>
      <c r="C15" t="str">
        <f>IF(COUNTIF(Internal_Ledger!A:A, A15)=0, "Missing Internal", IF(COUNTIF(Broker_Statement!A:A, A15)=0, "Missing on Street", IF(D15&lt;&gt;E15, "Quantity Break", IF(F15&lt;&gt;G15, "Price Break", "Matched Perfectly"))))</f>
        <v>Matched Perfectly</v>
      </c>
      <c r="D15">
        <f>IFERROR(VLOOKUP(A15, Internal_Ledger!A:G, 5, FALSE), 0)</f>
        <v>3400</v>
      </c>
      <c r="E15">
        <f>IFERROR(VLOOKUP(A15, Broker_Statement!A:G, 5, FALSE), 0)</f>
        <v>3400</v>
      </c>
      <c r="F15">
        <f>IFERROR(VLOOKUP(A15, Internal_Ledger!A:G, 6, FALSE), 0)</f>
        <v>401.23001098632813</v>
      </c>
      <c r="G15">
        <f>IFERROR(VLOOKUP(A15, Broker_Statement!A:G, 6, FALSE), 0)</f>
        <v>401.23001098632813</v>
      </c>
      <c r="H15" s="7">
        <f t="shared" si="0"/>
        <v>0</v>
      </c>
    </row>
    <row r="16" spans="1:8" x14ac:dyDescent="0.3">
      <c r="A16" t="s">
        <v>29</v>
      </c>
      <c r="B16" t="str">
        <f>IFERROR(VLOOKUP(A16, Internal_Ledger!A:B, 2, FALSE), VLOOKUP(A16, Broker_Statement!A:B, 2, FALSE))</f>
        <v>INE018A01030</v>
      </c>
      <c r="C16" t="str">
        <f>IF(COUNTIF(Internal_Ledger!A:A, A16)=0, "Missing Internal", IF(COUNTIF(Broker_Statement!A:A, A16)=0, "Missing on Street", IF(D16&lt;&gt;E16, "Quantity Break", IF(F16&lt;&gt;G16, "Price Break", "Matched Perfectly"))))</f>
        <v>Matched Perfectly</v>
      </c>
      <c r="D16">
        <f>IFERROR(VLOOKUP(A16, Internal_Ledger!A:G, 5, FALSE), 0)</f>
        <v>1350</v>
      </c>
      <c r="E16">
        <f>IFERROR(VLOOKUP(A16, Broker_Statement!A:G, 5, FALSE), 0)</f>
        <v>1350</v>
      </c>
      <c r="F16">
        <f>IFERROR(VLOOKUP(A16, Internal_Ledger!A:G, 6, FALSE), 0)</f>
        <v>177.80000305175781</v>
      </c>
      <c r="G16">
        <f>IFERROR(VLOOKUP(A16, Broker_Statement!A:G, 6, FALSE), 0)</f>
        <v>177.80000305175781</v>
      </c>
      <c r="H16" s="7">
        <f t="shared" si="0"/>
        <v>0</v>
      </c>
    </row>
    <row r="17" spans="1:8" x14ac:dyDescent="0.3">
      <c r="A17" t="s">
        <v>30</v>
      </c>
      <c r="B17" t="str">
        <f>IFERROR(VLOOKUP(A17, Internal_Ledger!A:B, 2, FALSE), VLOOKUP(A17, Broker_Statement!A:B, 2, FALSE))</f>
        <v>INE040A01034</v>
      </c>
      <c r="C17" t="str">
        <f>IF(COUNTIF(Internal_Ledger!A:A, A17)=0, "Missing Internal", IF(COUNTIF(Broker_Statement!A:A, A17)=0, "Missing on Street", IF(D17&lt;&gt;E17, "Quantity Break", IF(F17&lt;&gt;G17, "Price Break", "Matched Perfectly"))))</f>
        <v>Matched Perfectly</v>
      </c>
      <c r="D17">
        <f>IFERROR(VLOOKUP(A17, Internal_Ledger!A:G, 5, FALSE), 0)</f>
        <v>1850</v>
      </c>
      <c r="E17">
        <f>IFERROR(VLOOKUP(A17, Broker_Statement!A:G, 5, FALSE), 0)</f>
        <v>1850</v>
      </c>
      <c r="F17">
        <f>IFERROR(VLOOKUP(A17, Internal_Ledger!A:G, 6, FALSE), 0)</f>
        <v>394.95001220703125</v>
      </c>
      <c r="G17">
        <f>IFERROR(VLOOKUP(A17, Broker_Statement!A:G, 6, FALSE), 0)</f>
        <v>394.95001220703125</v>
      </c>
      <c r="H17" s="7">
        <f t="shared" si="0"/>
        <v>0</v>
      </c>
    </row>
    <row r="18" spans="1:8" x14ac:dyDescent="0.3">
      <c r="A18" t="s">
        <v>31</v>
      </c>
      <c r="B18" t="str">
        <f>IFERROR(VLOOKUP(A18, Internal_Ledger!A:B, 2, FALSE), VLOOKUP(A18, Broker_Statement!A:B, 2, FALSE))</f>
        <v>INE018A01030</v>
      </c>
      <c r="C18" t="str">
        <f>IF(COUNTIF(Internal_Ledger!A:A, A18)=0, "Missing Internal", IF(COUNTIF(Broker_Statement!A:A, A18)=0, "Missing on Street", IF(D18&lt;&gt;E18, "Quantity Break", IF(F18&lt;&gt;G18, "Price Break", "Matched Perfectly"))))</f>
        <v>Missing on Street</v>
      </c>
      <c r="D18">
        <f>IFERROR(VLOOKUP(A18, Internal_Ledger!A:G, 5, FALSE), 0)</f>
        <v>2750</v>
      </c>
      <c r="E18">
        <f>IFERROR(VLOOKUP(A18, Broker_Statement!A:G, 5, FALSE), 0)</f>
        <v>0</v>
      </c>
      <c r="F18">
        <f>IFERROR(VLOOKUP(A18, Internal_Ledger!A:G, 6, FALSE), 0)</f>
        <v>228.14999389648438</v>
      </c>
      <c r="G18">
        <f>IFERROR(VLOOKUP(A18, Broker_Statement!A:G, 6, FALSE), 0)</f>
        <v>0</v>
      </c>
      <c r="H18" s="7">
        <f t="shared" si="0"/>
        <v>627412.48321533203</v>
      </c>
    </row>
    <row r="19" spans="1:8" x14ac:dyDescent="0.3">
      <c r="A19" t="s">
        <v>32</v>
      </c>
      <c r="B19" t="str">
        <f>IFERROR(VLOOKUP(A19, Internal_Ledger!A:B, 2, FALSE), VLOOKUP(A19, Broker_Statement!A:B, 2, FALSE))</f>
        <v>INE030A01027</v>
      </c>
      <c r="C19" t="str">
        <f>IF(COUNTIF(Internal_Ledger!A:A, A19)=0, "Missing Internal", IF(COUNTIF(Broker_Statement!A:A, A19)=0, "Missing on Street", IF(D19&lt;&gt;E19, "Quantity Break", IF(F19&lt;&gt;G19, "Price Break", "Matched Perfectly"))))</f>
        <v>Matched Perfectly</v>
      </c>
      <c r="D19">
        <f>IFERROR(VLOOKUP(A19, Internal_Ledger!A:G, 5, FALSE), 0)</f>
        <v>550</v>
      </c>
      <c r="E19">
        <f>IFERROR(VLOOKUP(A19, Broker_Statement!A:G, 5, FALSE), 0)</f>
        <v>550</v>
      </c>
      <c r="F19">
        <f>IFERROR(VLOOKUP(A19, Internal_Ledger!A:G, 6, FALSE), 0)</f>
        <v>542</v>
      </c>
      <c r="G19">
        <f>IFERROR(VLOOKUP(A19, Broker_Statement!A:G, 6, FALSE), 0)</f>
        <v>542</v>
      </c>
      <c r="H19" s="7">
        <f t="shared" si="0"/>
        <v>0</v>
      </c>
    </row>
    <row r="20" spans="1:8" x14ac:dyDescent="0.3">
      <c r="A20" t="s">
        <v>33</v>
      </c>
      <c r="B20" t="str">
        <f>IFERROR(VLOOKUP(A20, Internal_Ledger!A:B, 2, FALSE), VLOOKUP(A20, Broker_Statement!A:B, 2, FALSE))</f>
        <v>INE030A01027</v>
      </c>
      <c r="C20" t="str">
        <f>IF(COUNTIF(Internal_Ledger!A:A, A20)=0, "Missing Internal", IF(COUNTIF(Broker_Statement!A:A, A20)=0, "Missing on Street", IF(D20&lt;&gt;E20, "Quantity Break", IF(F20&lt;&gt;G20, "Price Break", "Matched Perfectly"))))</f>
        <v>Matched Perfectly</v>
      </c>
      <c r="D20">
        <f>IFERROR(VLOOKUP(A20, Internal_Ledger!A:G, 5, FALSE), 0)</f>
        <v>100</v>
      </c>
      <c r="E20">
        <f>IFERROR(VLOOKUP(A20, Broker_Statement!A:G, 5, FALSE), 0)</f>
        <v>100</v>
      </c>
      <c r="F20">
        <f>IFERROR(VLOOKUP(A20, Internal_Ledger!A:G, 6, FALSE), 0)</f>
        <v>255.17999267578125</v>
      </c>
      <c r="G20">
        <f>IFERROR(VLOOKUP(A20, Broker_Statement!A:G, 6, FALSE), 0)</f>
        <v>255.17999267578125</v>
      </c>
      <c r="H20" s="7">
        <f t="shared" si="0"/>
        <v>0</v>
      </c>
    </row>
    <row r="21" spans="1:8" x14ac:dyDescent="0.3">
      <c r="A21" t="s">
        <v>34</v>
      </c>
      <c r="B21" t="str">
        <f>IFERROR(VLOOKUP(A21, Internal_Ledger!A:B, 2, FALSE), VLOOKUP(A21, Broker_Statement!A:B, 2, FALSE))</f>
        <v>INE002A01018</v>
      </c>
      <c r="C21" t="str">
        <f>IF(COUNTIF(Internal_Ledger!A:A, A21)=0, "Missing Internal", IF(COUNTIF(Broker_Statement!A:A, A21)=0, "Missing on Street", IF(D21&lt;&gt;E21, "Quantity Break", IF(F21&lt;&gt;G21, "Price Break", "Matched Perfectly"))))</f>
        <v>Matched Perfectly</v>
      </c>
      <c r="D21">
        <f>IFERROR(VLOOKUP(A21, Internal_Ledger!A:G, 5, FALSE), 0)</f>
        <v>50</v>
      </c>
      <c r="E21">
        <f>IFERROR(VLOOKUP(A21, Broker_Statement!A:G, 5, FALSE), 0)</f>
        <v>50</v>
      </c>
      <c r="F21">
        <f>IFERROR(VLOOKUP(A21, Internal_Ledger!A:G, 6, FALSE), 0)</f>
        <v>418.39999389648438</v>
      </c>
      <c r="G21">
        <f>IFERROR(VLOOKUP(A21, Broker_Statement!A:G, 6, FALSE), 0)</f>
        <v>418.39999389648438</v>
      </c>
      <c r="H21" s="7">
        <f t="shared" si="0"/>
        <v>0</v>
      </c>
    </row>
    <row r="22" spans="1:8" x14ac:dyDescent="0.3">
      <c r="A22" t="s">
        <v>35</v>
      </c>
      <c r="B22" t="str">
        <f>IFERROR(VLOOKUP(A22, Internal_Ledger!A:B, 2, FALSE), VLOOKUP(A22, Broker_Statement!A:B, 2, FALSE))</f>
        <v>INE018A01030</v>
      </c>
      <c r="C22" t="str">
        <f>IF(COUNTIF(Internal_Ledger!A:A, A22)=0, "Missing Internal", IF(COUNTIF(Broker_Statement!A:A, A22)=0, "Missing on Street", IF(D22&lt;&gt;E22, "Quantity Break", IF(F22&lt;&gt;G22, "Price Break", "Matched Perfectly"))))</f>
        <v>Matched Perfectly</v>
      </c>
      <c r="D22">
        <f>IFERROR(VLOOKUP(A22, Internal_Ledger!A:G, 5, FALSE), 0)</f>
        <v>1000</v>
      </c>
      <c r="E22">
        <f>IFERROR(VLOOKUP(A22, Broker_Statement!A:G, 5, FALSE), 0)</f>
        <v>1000</v>
      </c>
      <c r="F22">
        <f>IFERROR(VLOOKUP(A22, Internal_Ledger!A:G, 6, FALSE), 0)</f>
        <v>489.45999145507813</v>
      </c>
      <c r="G22">
        <f>IFERROR(VLOOKUP(A22, Broker_Statement!A:G, 6, FALSE), 0)</f>
        <v>489.45999145507813</v>
      </c>
      <c r="H22" s="7">
        <f t="shared" si="0"/>
        <v>0</v>
      </c>
    </row>
    <row r="23" spans="1:8" x14ac:dyDescent="0.3">
      <c r="A23" t="s">
        <v>36</v>
      </c>
      <c r="B23" t="str">
        <f>IFERROR(VLOOKUP(A23, Internal_Ledger!A:B, 2, FALSE), VLOOKUP(A23, Broker_Statement!A:B, 2, FALSE))</f>
        <v>INE009A01021</v>
      </c>
      <c r="C23" t="str">
        <f>IF(COUNTIF(Internal_Ledger!A:A, A23)=0, "Missing Internal", IF(COUNTIF(Broker_Statement!A:A, A23)=0, "Missing on Street", IF(D23&lt;&gt;E23, "Quantity Break", IF(F23&lt;&gt;G23, "Price Break", "Matched Perfectly"))))</f>
        <v>Matched Perfectly</v>
      </c>
      <c r="D23">
        <f>IFERROR(VLOOKUP(A23, Internal_Ledger!A:G, 5, FALSE), 0)</f>
        <v>4650</v>
      </c>
      <c r="E23">
        <f>IFERROR(VLOOKUP(A23, Broker_Statement!A:G, 5, FALSE), 0)</f>
        <v>4650</v>
      </c>
      <c r="F23">
        <f>IFERROR(VLOOKUP(A23, Internal_Ledger!A:G, 6, FALSE), 0)</f>
        <v>415.1099853515625</v>
      </c>
      <c r="G23">
        <f>IFERROR(VLOOKUP(A23, Broker_Statement!A:G, 6, FALSE), 0)</f>
        <v>415.1099853515625</v>
      </c>
      <c r="H23" s="7">
        <f t="shared" si="0"/>
        <v>0</v>
      </c>
    </row>
    <row r="24" spans="1:8" x14ac:dyDescent="0.3">
      <c r="A24" t="s">
        <v>37</v>
      </c>
      <c r="B24" t="str">
        <f>IFERROR(VLOOKUP(A24, Internal_Ledger!A:B, 2, FALSE), VLOOKUP(A24, Broker_Statement!A:B, 2, FALSE))</f>
        <v>INE030A01027</v>
      </c>
      <c r="C24" t="str">
        <f>IF(COUNTIF(Internal_Ledger!A:A, A24)=0, "Missing Internal", IF(COUNTIF(Broker_Statement!A:A, A24)=0, "Missing on Street", IF(D24&lt;&gt;E24, "Quantity Break", IF(F24&lt;&gt;G24, "Price Break", "Matched Perfectly"))))</f>
        <v>Matched Perfectly</v>
      </c>
      <c r="D24">
        <f>IFERROR(VLOOKUP(A24, Internal_Ledger!A:G, 5, FALSE), 0)</f>
        <v>2500</v>
      </c>
      <c r="E24">
        <f>IFERROR(VLOOKUP(A24, Broker_Statement!A:G, 5, FALSE), 0)</f>
        <v>2500</v>
      </c>
      <c r="F24">
        <f>IFERROR(VLOOKUP(A24, Internal_Ledger!A:G, 6, FALSE), 0)</f>
        <v>253.80999755859375</v>
      </c>
      <c r="G24">
        <f>IFERROR(VLOOKUP(A24, Broker_Statement!A:G, 6, FALSE), 0)</f>
        <v>253.80999755859375</v>
      </c>
      <c r="H24" s="7">
        <f t="shared" si="0"/>
        <v>0</v>
      </c>
    </row>
    <row r="25" spans="1:8" x14ac:dyDescent="0.3">
      <c r="A25" t="s">
        <v>38</v>
      </c>
      <c r="B25" t="str">
        <f>IFERROR(VLOOKUP(A25, Internal_Ledger!A:B, 2, FALSE), VLOOKUP(A25, Broker_Statement!A:B, 2, FALSE))</f>
        <v>INE002A01018</v>
      </c>
      <c r="C25" t="str">
        <f>IF(COUNTIF(Internal_Ledger!A:A, A25)=0, "Missing Internal", IF(COUNTIF(Broker_Statement!A:A, A25)=0, "Missing on Street", IF(D25&lt;&gt;E25, "Quantity Break", IF(F25&lt;&gt;G25, "Price Break", "Matched Perfectly"))))</f>
        <v>Matched Perfectly</v>
      </c>
      <c r="D25">
        <f>IFERROR(VLOOKUP(A25, Internal_Ledger!A:G, 5, FALSE), 0)</f>
        <v>4650</v>
      </c>
      <c r="E25">
        <f>IFERROR(VLOOKUP(A25, Broker_Statement!A:G, 5, FALSE), 0)</f>
        <v>4650</v>
      </c>
      <c r="F25">
        <f>IFERROR(VLOOKUP(A25, Internal_Ledger!A:G, 6, FALSE), 0)</f>
        <v>198.96000671386719</v>
      </c>
      <c r="G25">
        <f>IFERROR(VLOOKUP(A25, Broker_Statement!A:G, 6, FALSE), 0)</f>
        <v>198.96000671386719</v>
      </c>
      <c r="H25" s="7">
        <f t="shared" si="0"/>
        <v>0</v>
      </c>
    </row>
    <row r="26" spans="1:8" x14ac:dyDescent="0.3">
      <c r="A26" t="s">
        <v>39</v>
      </c>
      <c r="B26" t="str">
        <f>IFERROR(VLOOKUP(A26, Internal_Ledger!A:B, 2, FALSE), VLOOKUP(A26, Broker_Statement!A:B, 2, FALSE))</f>
        <v>INE009A01021</v>
      </c>
      <c r="C26" t="str">
        <f>IF(COUNTIF(Internal_Ledger!A:A, A26)=0, "Missing Internal", IF(COUNTIF(Broker_Statement!A:A, A26)=0, "Missing on Street", IF(D26&lt;&gt;E26, "Quantity Break", IF(F26&lt;&gt;G26, "Price Break", "Matched Perfectly"))))</f>
        <v>Matched Perfectly</v>
      </c>
      <c r="D26">
        <f>IFERROR(VLOOKUP(A26, Internal_Ledger!A:G, 5, FALSE), 0)</f>
        <v>1400</v>
      </c>
      <c r="E26">
        <f>IFERROR(VLOOKUP(A26, Broker_Statement!A:G, 5, FALSE), 0)</f>
        <v>1400</v>
      </c>
      <c r="F26">
        <f>IFERROR(VLOOKUP(A26, Internal_Ledger!A:G, 6, FALSE), 0)</f>
        <v>486.82000732421875</v>
      </c>
      <c r="G26">
        <f>IFERROR(VLOOKUP(A26, Broker_Statement!A:G, 6, FALSE), 0)</f>
        <v>486.82000732421875</v>
      </c>
      <c r="H26" s="7">
        <f t="shared" si="0"/>
        <v>0</v>
      </c>
    </row>
    <row r="27" spans="1:8" x14ac:dyDescent="0.3">
      <c r="A27" t="s">
        <v>40</v>
      </c>
      <c r="B27" t="str">
        <f>IFERROR(VLOOKUP(A27, Internal_Ledger!A:B, 2, FALSE), VLOOKUP(A27, Broker_Statement!A:B, 2, FALSE))</f>
        <v>INE002A01018</v>
      </c>
      <c r="C27" t="str">
        <f>IF(COUNTIF(Internal_Ledger!A:A, A27)=0, "Missing Internal", IF(COUNTIF(Broker_Statement!A:A, A27)=0, "Missing on Street", IF(D27&lt;&gt;E27, "Quantity Break", IF(F27&lt;&gt;G27, "Price Break", "Matched Perfectly"))))</f>
        <v>Matched Perfectly</v>
      </c>
      <c r="D27">
        <f>IFERROR(VLOOKUP(A27, Internal_Ledger!A:G, 5, FALSE), 0)</f>
        <v>4000</v>
      </c>
      <c r="E27">
        <f>IFERROR(VLOOKUP(A27, Broker_Statement!A:G, 5, FALSE), 0)</f>
        <v>4000</v>
      </c>
      <c r="F27">
        <f>IFERROR(VLOOKUP(A27, Internal_Ledger!A:G, 6, FALSE), 0)</f>
        <v>298.6300048828125</v>
      </c>
      <c r="G27">
        <f>IFERROR(VLOOKUP(A27, Broker_Statement!A:G, 6, FALSE), 0)</f>
        <v>298.6300048828125</v>
      </c>
      <c r="H27" s="7">
        <f t="shared" si="0"/>
        <v>0</v>
      </c>
    </row>
    <row r="28" spans="1:8" x14ac:dyDescent="0.3">
      <c r="A28" t="s">
        <v>41</v>
      </c>
      <c r="B28" t="str">
        <f>IFERROR(VLOOKUP(A28, Internal_Ledger!A:B, 2, FALSE), VLOOKUP(A28, Broker_Statement!A:B, 2, FALSE))</f>
        <v>INE018A01030</v>
      </c>
      <c r="C28" t="str">
        <f>IF(COUNTIF(Internal_Ledger!A:A, A28)=0, "Missing Internal", IF(COUNTIF(Broker_Statement!A:A, A28)=0, "Missing on Street", IF(D28&lt;&gt;E28, "Quantity Break", IF(F28&lt;&gt;G28, "Price Break", "Matched Perfectly"))))</f>
        <v>Matched Perfectly</v>
      </c>
      <c r="D28">
        <f>IFERROR(VLOOKUP(A28, Internal_Ledger!A:G, 5, FALSE), 0)</f>
        <v>250</v>
      </c>
      <c r="E28">
        <f>IFERROR(VLOOKUP(A28, Broker_Statement!A:G, 5, FALSE), 0)</f>
        <v>250</v>
      </c>
      <c r="F28">
        <f>IFERROR(VLOOKUP(A28, Internal_Ledger!A:G, 6, FALSE), 0)</f>
        <v>391.20999145507813</v>
      </c>
      <c r="G28">
        <f>IFERROR(VLOOKUP(A28, Broker_Statement!A:G, 6, FALSE), 0)</f>
        <v>391.20999145507813</v>
      </c>
      <c r="H28" s="7">
        <f t="shared" si="0"/>
        <v>0</v>
      </c>
    </row>
    <row r="29" spans="1:8" x14ac:dyDescent="0.3">
      <c r="A29" t="s">
        <v>42</v>
      </c>
      <c r="B29" t="str">
        <f>IFERROR(VLOOKUP(A29, Internal_Ledger!A:B, 2, FALSE), VLOOKUP(A29, Broker_Statement!A:B, 2, FALSE))</f>
        <v>INE040A01034</v>
      </c>
      <c r="C29" t="str">
        <f>IF(COUNTIF(Internal_Ledger!A:A, A29)=0, "Missing Internal", IF(COUNTIF(Broker_Statement!A:A, A29)=0, "Missing on Street", IF(D29&lt;&gt;E29, "Quantity Break", IF(F29&lt;&gt;G29, "Price Break", "Matched Perfectly"))))</f>
        <v>Matched Perfectly</v>
      </c>
      <c r="D29">
        <f>IFERROR(VLOOKUP(A29, Internal_Ledger!A:G, 5, FALSE), 0)</f>
        <v>4650</v>
      </c>
      <c r="E29">
        <f>IFERROR(VLOOKUP(A29, Broker_Statement!A:G, 5, FALSE), 0)</f>
        <v>4650</v>
      </c>
      <c r="F29">
        <f>IFERROR(VLOOKUP(A29, Internal_Ledger!A:G, 6, FALSE), 0)</f>
        <v>315.510009765625</v>
      </c>
      <c r="G29">
        <f>IFERROR(VLOOKUP(A29, Broker_Statement!A:G, 6, FALSE), 0)</f>
        <v>315.510009765625</v>
      </c>
      <c r="H29" s="7">
        <f t="shared" si="0"/>
        <v>0</v>
      </c>
    </row>
    <row r="30" spans="1:8" x14ac:dyDescent="0.3">
      <c r="A30" t="s">
        <v>43</v>
      </c>
      <c r="B30" t="str">
        <f>IFERROR(VLOOKUP(A30, Internal_Ledger!A:B, 2, FALSE), VLOOKUP(A30, Broker_Statement!A:B, 2, FALSE))</f>
        <v>INE002A01018</v>
      </c>
      <c r="C30" t="str">
        <f>IF(COUNTIF(Internal_Ledger!A:A, A30)=0, "Missing Internal", IF(COUNTIF(Broker_Statement!A:A, A30)=0, "Missing on Street", IF(D30&lt;&gt;E30, "Quantity Break", IF(F30&lt;&gt;G30, "Price Break", "Matched Perfectly"))))</f>
        <v>Missing on Street</v>
      </c>
      <c r="D30">
        <f>IFERROR(VLOOKUP(A30, Internal_Ledger!A:G, 5, FALSE), 0)</f>
        <v>4850</v>
      </c>
      <c r="E30">
        <f>IFERROR(VLOOKUP(A30, Broker_Statement!A:G, 5, FALSE), 0)</f>
        <v>0</v>
      </c>
      <c r="F30">
        <f>IFERROR(VLOOKUP(A30, Internal_Ledger!A:G, 6, FALSE), 0)</f>
        <v>207.30999755859375</v>
      </c>
      <c r="G30">
        <f>IFERROR(VLOOKUP(A30, Broker_Statement!A:G, 6, FALSE), 0)</f>
        <v>0</v>
      </c>
      <c r="H30" s="7">
        <f t="shared" si="0"/>
        <v>1005453.4881591797</v>
      </c>
    </row>
    <row r="31" spans="1:8" x14ac:dyDescent="0.3">
      <c r="A31" t="s">
        <v>45</v>
      </c>
      <c r="B31" t="str">
        <f>IFERROR(VLOOKUP(A31, Internal_Ledger!A:B, 2, FALSE), VLOOKUP(A31, Broker_Statement!A:B, 2, FALSE))</f>
        <v>INE002A01018</v>
      </c>
      <c r="C31" t="str">
        <f>IF(COUNTIF(Internal_Ledger!A:A, A31)=0, "Missing Internal", IF(COUNTIF(Broker_Statement!A:A, A31)=0, "Missing on Street", IF(D31&lt;&gt;E31, "Quantity Break", IF(F31&lt;&gt;G31, "Price Break", "Matched Perfectly"))))</f>
        <v>Matched Perfectly</v>
      </c>
      <c r="D31">
        <f>IFERROR(VLOOKUP(A31, Internal_Ledger!A:G, 5, FALSE), 0)</f>
        <v>2750</v>
      </c>
      <c r="E31">
        <f>IFERROR(VLOOKUP(A31, Broker_Statement!A:G, 5, FALSE), 0)</f>
        <v>2750</v>
      </c>
      <c r="F31">
        <f>IFERROR(VLOOKUP(A31, Internal_Ledger!A:G, 6, FALSE), 0)</f>
        <v>611.47998046875</v>
      </c>
      <c r="G31">
        <f>IFERROR(VLOOKUP(A31, Broker_Statement!A:G, 6, FALSE), 0)</f>
        <v>611.47998046875</v>
      </c>
      <c r="H31" s="7">
        <f t="shared" si="0"/>
        <v>0</v>
      </c>
    </row>
    <row r="32" spans="1:8" x14ac:dyDescent="0.3">
      <c r="A32" t="s">
        <v>47</v>
      </c>
      <c r="B32" t="str">
        <f>IFERROR(VLOOKUP(A32, Internal_Ledger!A:B, 2, FALSE), VLOOKUP(A32, Broker_Statement!A:B, 2, FALSE))</f>
        <v>INE009A01021</v>
      </c>
      <c r="C32" t="str">
        <f>IF(COUNTIF(Internal_Ledger!A:A, A32)=0, "Missing Internal", IF(COUNTIF(Broker_Statement!A:A, A32)=0, "Missing on Street", IF(D32&lt;&gt;E32, "Quantity Break", IF(F32&lt;&gt;G32, "Price Break", "Matched Perfectly"))))</f>
        <v>Matched Perfectly</v>
      </c>
      <c r="D32">
        <f>IFERROR(VLOOKUP(A32, Internal_Ledger!A:G, 5, FALSE), 0)</f>
        <v>3500</v>
      </c>
      <c r="E32">
        <f>IFERROR(VLOOKUP(A32, Broker_Statement!A:G, 5, FALSE), 0)</f>
        <v>3500</v>
      </c>
      <c r="F32">
        <f>IFERROR(VLOOKUP(A32, Internal_Ledger!A:G, 6, FALSE), 0)</f>
        <v>239.53999328613281</v>
      </c>
      <c r="G32">
        <f>IFERROR(VLOOKUP(A32, Broker_Statement!A:G, 6, FALSE), 0)</f>
        <v>239.53999328613281</v>
      </c>
      <c r="H32" s="7">
        <f t="shared" si="0"/>
        <v>0</v>
      </c>
    </row>
    <row r="33" spans="1:8" x14ac:dyDescent="0.3">
      <c r="A33" t="s">
        <v>48</v>
      </c>
      <c r="B33" t="str">
        <f>IFERROR(VLOOKUP(A33, Internal_Ledger!A:B, 2, FALSE), VLOOKUP(A33, Broker_Statement!A:B, 2, FALSE))</f>
        <v>INE018A01030</v>
      </c>
      <c r="C33" t="str">
        <f>IF(COUNTIF(Internal_Ledger!A:A, A33)=0, "Missing Internal", IF(COUNTIF(Broker_Statement!A:A, A33)=0, "Missing on Street", IF(D33&lt;&gt;E33, "Quantity Break", IF(F33&lt;&gt;G33, "Price Break", "Matched Perfectly"))))</f>
        <v>Matched Perfectly</v>
      </c>
      <c r="D33">
        <f>IFERROR(VLOOKUP(A33, Internal_Ledger!A:G, 5, FALSE), 0)</f>
        <v>2150</v>
      </c>
      <c r="E33">
        <f>IFERROR(VLOOKUP(A33, Broker_Statement!A:G, 5, FALSE), 0)</f>
        <v>2150</v>
      </c>
      <c r="F33">
        <f>IFERROR(VLOOKUP(A33, Internal_Ledger!A:G, 6, FALSE), 0)</f>
        <v>404.52999877929688</v>
      </c>
      <c r="G33">
        <f>IFERROR(VLOOKUP(A33, Broker_Statement!A:G, 6, FALSE), 0)</f>
        <v>404.52999877929688</v>
      </c>
      <c r="H33" s="7">
        <f t="shared" si="0"/>
        <v>0</v>
      </c>
    </row>
    <row r="34" spans="1:8" x14ac:dyDescent="0.3">
      <c r="A34" t="s">
        <v>49</v>
      </c>
      <c r="B34" t="str">
        <f>IFERROR(VLOOKUP(A34, Internal_Ledger!A:B, 2, FALSE), VLOOKUP(A34, Broker_Statement!A:B, 2, FALSE))</f>
        <v>INE030A01027</v>
      </c>
      <c r="C34" t="str">
        <f>IF(COUNTIF(Internal_Ledger!A:A, A34)=0, "Missing Internal", IF(COUNTIF(Broker_Statement!A:A, A34)=0, "Missing on Street", IF(D34&lt;&gt;E34, "Quantity Break", IF(F34&lt;&gt;G34, "Price Break", "Matched Perfectly"))))</f>
        <v>Matched Perfectly</v>
      </c>
      <c r="D34">
        <f>IFERROR(VLOOKUP(A34, Internal_Ledger!A:G, 5, FALSE), 0)</f>
        <v>4450</v>
      </c>
      <c r="E34">
        <f>IFERROR(VLOOKUP(A34, Broker_Statement!A:G, 5, FALSE), 0)</f>
        <v>4450</v>
      </c>
      <c r="F34">
        <f>IFERROR(VLOOKUP(A34, Internal_Ledger!A:G, 6, FALSE), 0)</f>
        <v>335.260009765625</v>
      </c>
      <c r="G34">
        <f>IFERROR(VLOOKUP(A34, Broker_Statement!A:G, 6, FALSE), 0)</f>
        <v>335.260009765625</v>
      </c>
      <c r="H34" s="7">
        <f t="shared" si="0"/>
        <v>0</v>
      </c>
    </row>
    <row r="35" spans="1:8" x14ac:dyDescent="0.3">
      <c r="A35" t="s">
        <v>50</v>
      </c>
      <c r="B35" t="str">
        <f>IFERROR(VLOOKUP(A35, Internal_Ledger!A:B, 2, FALSE), VLOOKUP(A35, Broker_Statement!A:B, 2, FALSE))</f>
        <v>INE009A01021</v>
      </c>
      <c r="C35" t="str">
        <f>IF(COUNTIF(Internal_Ledger!A:A, A35)=0, "Missing Internal", IF(COUNTIF(Broker_Statement!A:A, A35)=0, "Missing on Street", IF(D35&lt;&gt;E35, "Quantity Break", IF(F35&lt;&gt;G35, "Price Break", "Matched Perfectly"))))</f>
        <v>Matched Perfectly</v>
      </c>
      <c r="D35">
        <f>IFERROR(VLOOKUP(A35, Internal_Ledger!A:G, 5, FALSE), 0)</f>
        <v>1150</v>
      </c>
      <c r="E35">
        <f>IFERROR(VLOOKUP(A35, Broker_Statement!A:G, 5, FALSE), 0)</f>
        <v>1150</v>
      </c>
      <c r="F35">
        <f>IFERROR(VLOOKUP(A35, Internal_Ledger!A:G, 6, FALSE), 0)</f>
        <v>442.260009765625</v>
      </c>
      <c r="G35">
        <f>IFERROR(VLOOKUP(A35, Broker_Statement!A:G, 6, FALSE), 0)</f>
        <v>442.260009765625</v>
      </c>
      <c r="H35" s="7">
        <f t="shared" si="0"/>
        <v>0</v>
      </c>
    </row>
    <row r="36" spans="1:8" x14ac:dyDescent="0.3">
      <c r="A36" t="s">
        <v>51</v>
      </c>
      <c r="B36" t="str">
        <f>IFERROR(VLOOKUP(A36, Internal_Ledger!A:B, 2, FALSE), VLOOKUP(A36, Broker_Statement!A:B, 2, FALSE))</f>
        <v>INE040A01034</v>
      </c>
      <c r="C36" t="str">
        <f>IF(COUNTIF(Internal_Ledger!A:A, A36)=0, "Missing Internal", IF(COUNTIF(Broker_Statement!A:A, A36)=0, "Missing on Street", IF(D36&lt;&gt;E36, "Quantity Break", IF(F36&lt;&gt;G36, "Price Break", "Matched Perfectly"))))</f>
        <v>Matched Perfectly</v>
      </c>
      <c r="D36">
        <f>IFERROR(VLOOKUP(A36, Internal_Ledger!A:G, 5, FALSE), 0)</f>
        <v>3450</v>
      </c>
      <c r="E36">
        <f>IFERROR(VLOOKUP(A36, Broker_Statement!A:G, 5, FALSE), 0)</f>
        <v>3450</v>
      </c>
      <c r="F36">
        <f>IFERROR(VLOOKUP(A36, Internal_Ledger!A:G, 6, FALSE), 0)</f>
        <v>523.71002197265625</v>
      </c>
      <c r="G36">
        <f>IFERROR(VLOOKUP(A36, Broker_Statement!A:G, 6, FALSE), 0)</f>
        <v>523.71002197265625</v>
      </c>
      <c r="H36" s="7">
        <f t="shared" si="0"/>
        <v>0</v>
      </c>
    </row>
    <row r="37" spans="1:8" x14ac:dyDescent="0.3">
      <c r="A37" t="s">
        <v>52</v>
      </c>
      <c r="B37" t="str">
        <f>IFERROR(VLOOKUP(A37, Internal_Ledger!A:B, 2, FALSE), VLOOKUP(A37, Broker_Statement!A:B, 2, FALSE))</f>
        <v>INE030A01027</v>
      </c>
      <c r="C37" t="str">
        <f>IF(COUNTIF(Internal_Ledger!A:A, A37)=0, "Missing Internal", IF(COUNTIF(Broker_Statement!A:A, A37)=0, "Missing on Street", IF(D37&lt;&gt;E37, "Quantity Break", IF(F37&lt;&gt;G37, "Price Break", "Matched Perfectly"))))</f>
        <v>Matched Perfectly</v>
      </c>
      <c r="D37">
        <f>IFERROR(VLOOKUP(A37, Internal_Ledger!A:G, 5, FALSE), 0)</f>
        <v>1050</v>
      </c>
      <c r="E37">
        <f>IFERROR(VLOOKUP(A37, Broker_Statement!A:G, 5, FALSE), 0)</f>
        <v>1050</v>
      </c>
      <c r="F37">
        <f>IFERROR(VLOOKUP(A37, Internal_Ledger!A:G, 6, FALSE), 0)</f>
        <v>628.3800048828125</v>
      </c>
      <c r="G37">
        <f>IFERROR(VLOOKUP(A37, Broker_Statement!A:G, 6, FALSE), 0)</f>
        <v>628.3800048828125</v>
      </c>
      <c r="H37" s="7">
        <f t="shared" si="0"/>
        <v>0</v>
      </c>
    </row>
    <row r="38" spans="1:8" x14ac:dyDescent="0.3">
      <c r="A38" t="s">
        <v>53</v>
      </c>
      <c r="B38" t="str">
        <f>IFERROR(VLOOKUP(A38, Internal_Ledger!A:B, 2, FALSE), VLOOKUP(A38, Broker_Statement!A:B, 2, FALSE))</f>
        <v>INE002A01018</v>
      </c>
      <c r="C38" t="str">
        <f>IF(COUNTIF(Internal_Ledger!A:A, A38)=0, "Missing Internal", IF(COUNTIF(Broker_Statement!A:A, A38)=0, "Missing on Street", IF(D38&lt;&gt;E38, "Quantity Break", IF(F38&lt;&gt;G38, "Price Break", "Matched Perfectly"))))</f>
        <v>Matched Perfectly</v>
      </c>
      <c r="D38">
        <f>IFERROR(VLOOKUP(A38, Internal_Ledger!A:G, 5, FALSE), 0)</f>
        <v>2350</v>
      </c>
      <c r="E38">
        <f>IFERROR(VLOOKUP(A38, Broker_Statement!A:G, 5, FALSE), 0)</f>
        <v>2350</v>
      </c>
      <c r="F38">
        <f>IFERROR(VLOOKUP(A38, Internal_Ledger!A:G, 6, FALSE), 0)</f>
        <v>209.77000427246094</v>
      </c>
      <c r="G38">
        <f>IFERROR(VLOOKUP(A38, Broker_Statement!A:G, 6, FALSE), 0)</f>
        <v>209.77000427246094</v>
      </c>
      <c r="H38" s="7">
        <f t="shared" si="0"/>
        <v>0</v>
      </c>
    </row>
    <row r="39" spans="1:8" x14ac:dyDescent="0.3">
      <c r="A39" t="s">
        <v>54</v>
      </c>
      <c r="B39" t="str">
        <f>IFERROR(VLOOKUP(A39, Internal_Ledger!A:B, 2, FALSE), VLOOKUP(A39, Broker_Statement!A:B, 2, FALSE))</f>
        <v>INE002A01018</v>
      </c>
      <c r="C39" t="str">
        <f>IF(COUNTIF(Internal_Ledger!A:A, A39)=0, "Missing Internal", IF(COUNTIF(Broker_Statement!A:A, A39)=0, "Missing on Street", IF(D39&lt;&gt;E39, "Quantity Break", IF(F39&lt;&gt;G39, "Price Break", "Matched Perfectly"))))</f>
        <v>Matched Perfectly</v>
      </c>
      <c r="D39">
        <f>IFERROR(VLOOKUP(A39, Internal_Ledger!A:G, 5, FALSE), 0)</f>
        <v>2700</v>
      </c>
      <c r="E39">
        <f>IFERROR(VLOOKUP(A39, Broker_Statement!A:G, 5, FALSE), 0)</f>
        <v>2700</v>
      </c>
      <c r="F39">
        <f>IFERROR(VLOOKUP(A39, Internal_Ledger!A:G, 6, FALSE), 0)</f>
        <v>430.5</v>
      </c>
      <c r="G39">
        <f>IFERROR(VLOOKUP(A39, Broker_Statement!A:G, 6, FALSE), 0)</f>
        <v>430.5</v>
      </c>
      <c r="H39" s="7">
        <f t="shared" si="0"/>
        <v>0</v>
      </c>
    </row>
    <row r="40" spans="1:8" x14ac:dyDescent="0.3">
      <c r="A40" t="s">
        <v>55</v>
      </c>
      <c r="B40" t="str">
        <f>IFERROR(VLOOKUP(A40, Internal_Ledger!A:B, 2, FALSE), VLOOKUP(A40, Broker_Statement!A:B, 2, FALSE))</f>
        <v>INE018A01030</v>
      </c>
      <c r="C40" t="str">
        <f>IF(COUNTIF(Internal_Ledger!A:A, A40)=0, "Missing Internal", IF(COUNTIF(Broker_Statement!A:A, A40)=0, "Missing on Street", IF(D40&lt;&gt;E40, "Quantity Break", IF(F40&lt;&gt;G40, "Price Break", "Matched Perfectly"))))</f>
        <v>Matched Perfectly</v>
      </c>
      <c r="D40">
        <f>IFERROR(VLOOKUP(A40, Internal_Ledger!A:G, 5, FALSE), 0)</f>
        <v>2000</v>
      </c>
      <c r="E40">
        <f>IFERROR(VLOOKUP(A40, Broker_Statement!A:G, 5, FALSE), 0)</f>
        <v>2000</v>
      </c>
      <c r="F40">
        <f>IFERROR(VLOOKUP(A40, Internal_Ledger!A:G, 6, FALSE), 0)</f>
        <v>601.54998779296875</v>
      </c>
      <c r="G40">
        <f>IFERROR(VLOOKUP(A40, Broker_Statement!A:G, 6, FALSE), 0)</f>
        <v>601.54998779296875</v>
      </c>
      <c r="H40" s="7">
        <f t="shared" si="0"/>
        <v>0</v>
      </c>
    </row>
    <row r="41" spans="1:8" x14ac:dyDescent="0.3">
      <c r="A41" t="s">
        <v>56</v>
      </c>
      <c r="B41" t="str">
        <f>IFERROR(VLOOKUP(A41, Internal_Ledger!A:B, 2, FALSE), VLOOKUP(A41, Broker_Statement!A:B, 2, FALSE))</f>
        <v>INE002A01018</v>
      </c>
      <c r="C41" t="str">
        <f>IF(COUNTIF(Internal_Ledger!A:A, A41)=0, "Missing Internal", IF(COUNTIF(Broker_Statement!A:A, A41)=0, "Missing on Street", IF(D41&lt;&gt;E41, "Quantity Break", IF(F41&lt;&gt;G41, "Price Break", "Matched Perfectly"))))</f>
        <v>Matched Perfectly</v>
      </c>
      <c r="D41">
        <f>IFERROR(VLOOKUP(A41, Internal_Ledger!A:G, 5, FALSE), 0)</f>
        <v>100</v>
      </c>
      <c r="E41">
        <f>IFERROR(VLOOKUP(A41, Broker_Statement!A:G, 5, FALSE), 0)</f>
        <v>100</v>
      </c>
      <c r="F41">
        <f>IFERROR(VLOOKUP(A41, Internal_Ledger!A:G, 6, FALSE), 0)</f>
        <v>365.57000732421875</v>
      </c>
      <c r="G41">
        <f>IFERROR(VLOOKUP(A41, Broker_Statement!A:G, 6, FALSE), 0)</f>
        <v>365.57000732421875</v>
      </c>
      <c r="H41" s="7">
        <f t="shared" si="0"/>
        <v>0</v>
      </c>
    </row>
    <row r="42" spans="1:8" x14ac:dyDescent="0.3">
      <c r="A42" t="s">
        <v>57</v>
      </c>
      <c r="B42" t="str">
        <f>IFERROR(VLOOKUP(A42, Internal_Ledger!A:B, 2, FALSE), VLOOKUP(A42, Broker_Statement!A:B, 2, FALSE))</f>
        <v>INE009A01021</v>
      </c>
      <c r="C42" t="str">
        <f>IF(COUNTIF(Internal_Ledger!A:A, A42)=0, "Missing Internal", IF(COUNTIF(Broker_Statement!A:A, A42)=0, "Missing on Street", IF(D42&lt;&gt;E42, "Quantity Break", IF(F42&lt;&gt;G42, "Price Break", "Matched Perfectly"))))</f>
        <v>Matched Perfectly</v>
      </c>
      <c r="D42">
        <f>IFERROR(VLOOKUP(A42, Internal_Ledger!A:G, 5, FALSE), 0)</f>
        <v>3500</v>
      </c>
      <c r="E42">
        <f>IFERROR(VLOOKUP(A42, Broker_Statement!A:G, 5, FALSE), 0)</f>
        <v>3500</v>
      </c>
      <c r="F42">
        <f>IFERROR(VLOOKUP(A42, Internal_Ledger!A:G, 6, FALSE), 0)</f>
        <v>358.79998779296875</v>
      </c>
      <c r="G42">
        <f>IFERROR(VLOOKUP(A42, Broker_Statement!A:G, 6, FALSE), 0)</f>
        <v>358.79998779296875</v>
      </c>
      <c r="H42" s="7">
        <f t="shared" si="0"/>
        <v>0</v>
      </c>
    </row>
    <row r="43" spans="1:8" x14ac:dyDescent="0.3">
      <c r="A43" t="s">
        <v>58</v>
      </c>
      <c r="B43" t="str">
        <f>IFERROR(VLOOKUP(A43, Internal_Ledger!A:B, 2, FALSE), VLOOKUP(A43, Broker_Statement!A:B, 2, FALSE))</f>
        <v>INE009A01021</v>
      </c>
      <c r="C43" t="str">
        <f>IF(COUNTIF(Internal_Ledger!A:A, A43)=0, "Missing Internal", IF(COUNTIF(Broker_Statement!A:A, A43)=0, "Missing on Street", IF(D43&lt;&gt;E43, "Quantity Break", IF(F43&lt;&gt;G43, "Price Break", "Matched Perfectly"))))</f>
        <v>Matched Perfectly</v>
      </c>
      <c r="D43">
        <f>IFERROR(VLOOKUP(A43, Internal_Ledger!A:G, 5, FALSE), 0)</f>
        <v>4750</v>
      </c>
      <c r="E43">
        <f>IFERROR(VLOOKUP(A43, Broker_Statement!A:G, 5, FALSE), 0)</f>
        <v>4750</v>
      </c>
      <c r="F43">
        <f>IFERROR(VLOOKUP(A43, Internal_Ledger!A:G, 6, FALSE), 0)</f>
        <v>210.77000427246094</v>
      </c>
      <c r="G43">
        <f>IFERROR(VLOOKUP(A43, Broker_Statement!A:G, 6, FALSE), 0)</f>
        <v>210.77000427246094</v>
      </c>
      <c r="H43" s="7">
        <f t="shared" si="0"/>
        <v>0</v>
      </c>
    </row>
    <row r="44" spans="1:8" x14ac:dyDescent="0.3">
      <c r="A44" t="s">
        <v>59</v>
      </c>
      <c r="B44" t="str">
        <f>IFERROR(VLOOKUP(A44, Internal_Ledger!A:B, 2, FALSE), VLOOKUP(A44, Broker_Statement!A:B, 2, FALSE))</f>
        <v>INE009A01021</v>
      </c>
      <c r="C44" t="str">
        <f>IF(COUNTIF(Internal_Ledger!A:A, A44)=0, "Missing Internal", IF(COUNTIF(Broker_Statement!A:A, A44)=0, "Missing on Street", IF(D44&lt;&gt;E44, "Quantity Break", IF(F44&lt;&gt;G44, "Price Break", "Matched Perfectly"))))</f>
        <v>Missing on Street</v>
      </c>
      <c r="D44">
        <f>IFERROR(VLOOKUP(A44, Internal_Ledger!A:G, 5, FALSE), 0)</f>
        <v>400</v>
      </c>
      <c r="E44">
        <f>IFERROR(VLOOKUP(A44, Broker_Statement!A:G, 5, FALSE), 0)</f>
        <v>0</v>
      </c>
      <c r="F44">
        <f>IFERROR(VLOOKUP(A44, Internal_Ledger!A:G, 6, FALSE), 0)</f>
        <v>366.3800048828125</v>
      </c>
      <c r="G44">
        <f>IFERROR(VLOOKUP(A44, Broker_Statement!A:G, 6, FALSE), 0)</f>
        <v>0</v>
      </c>
      <c r="H44" s="7">
        <f t="shared" si="0"/>
        <v>146552.001953125</v>
      </c>
    </row>
    <row r="45" spans="1:8" x14ac:dyDescent="0.3">
      <c r="A45" t="s">
        <v>60</v>
      </c>
      <c r="B45" t="str">
        <f>IFERROR(VLOOKUP(A45, Internal_Ledger!A:B, 2, FALSE), VLOOKUP(A45, Broker_Statement!A:B, 2, FALSE))</f>
        <v>INE018A01030</v>
      </c>
      <c r="C45" t="str">
        <f>IF(COUNTIF(Internal_Ledger!A:A, A45)=0, "Missing Internal", IF(COUNTIF(Broker_Statement!A:A, A45)=0, "Missing on Street", IF(D45&lt;&gt;E45, "Quantity Break", IF(F45&lt;&gt;G45, "Price Break", "Matched Perfectly"))))</f>
        <v>Matched Perfectly</v>
      </c>
      <c r="D45">
        <f>IFERROR(VLOOKUP(A45, Internal_Ledger!A:G, 5, FALSE), 0)</f>
        <v>1100</v>
      </c>
      <c r="E45">
        <f>IFERROR(VLOOKUP(A45, Broker_Statement!A:G, 5, FALSE), 0)</f>
        <v>1100</v>
      </c>
      <c r="F45">
        <f>IFERROR(VLOOKUP(A45, Internal_Ledger!A:G, 6, FALSE), 0)</f>
        <v>339.5</v>
      </c>
      <c r="G45">
        <f>IFERROR(VLOOKUP(A45, Broker_Statement!A:G, 6, FALSE), 0)</f>
        <v>339.5</v>
      </c>
      <c r="H45" s="7">
        <f t="shared" si="0"/>
        <v>0</v>
      </c>
    </row>
    <row r="46" spans="1:8" x14ac:dyDescent="0.3">
      <c r="A46" t="s">
        <v>61</v>
      </c>
      <c r="B46" t="str">
        <f>IFERROR(VLOOKUP(A46, Internal_Ledger!A:B, 2, FALSE), VLOOKUP(A46, Broker_Statement!A:B, 2, FALSE))</f>
        <v>INE009A01021</v>
      </c>
      <c r="C46" t="str">
        <f>IF(COUNTIF(Internal_Ledger!A:A, A46)=0, "Missing Internal", IF(COUNTIF(Broker_Statement!A:A, A46)=0, "Missing on Street", IF(D46&lt;&gt;E46, "Quantity Break", IF(F46&lt;&gt;G46, "Price Break", "Matched Perfectly"))))</f>
        <v>Matched Perfectly</v>
      </c>
      <c r="D46">
        <f>IFERROR(VLOOKUP(A46, Internal_Ledger!A:G, 5, FALSE), 0)</f>
        <v>2600</v>
      </c>
      <c r="E46">
        <f>IFERROR(VLOOKUP(A46, Broker_Statement!A:G, 5, FALSE), 0)</f>
        <v>2600</v>
      </c>
      <c r="F46">
        <f>IFERROR(VLOOKUP(A46, Internal_Ledger!A:G, 6, FALSE), 0)</f>
        <v>632.67999267578125</v>
      </c>
      <c r="G46">
        <f>IFERROR(VLOOKUP(A46, Broker_Statement!A:G, 6, FALSE), 0)</f>
        <v>632.67999267578125</v>
      </c>
      <c r="H46" s="7">
        <f t="shared" si="0"/>
        <v>0</v>
      </c>
    </row>
    <row r="47" spans="1:8" x14ac:dyDescent="0.3">
      <c r="A47" t="s">
        <v>62</v>
      </c>
      <c r="B47" t="str">
        <f>IFERROR(VLOOKUP(A47, Internal_Ledger!A:B, 2, FALSE), VLOOKUP(A47, Broker_Statement!A:B, 2, FALSE))</f>
        <v>INE040A01034</v>
      </c>
      <c r="C47" t="str">
        <f>IF(COUNTIF(Internal_Ledger!A:A, A47)=0, "Missing Internal", IF(COUNTIF(Broker_Statement!A:A, A47)=0, "Missing on Street", IF(D47&lt;&gt;E47, "Quantity Break", IF(F47&lt;&gt;G47, "Price Break", "Matched Perfectly"))))</f>
        <v>Matched Perfectly</v>
      </c>
      <c r="D47">
        <f>IFERROR(VLOOKUP(A47, Internal_Ledger!A:G, 5, FALSE), 0)</f>
        <v>3500</v>
      </c>
      <c r="E47">
        <f>IFERROR(VLOOKUP(A47, Broker_Statement!A:G, 5, FALSE), 0)</f>
        <v>3500</v>
      </c>
      <c r="F47">
        <f>IFERROR(VLOOKUP(A47, Internal_Ledger!A:G, 6, FALSE), 0)</f>
        <v>182.25</v>
      </c>
      <c r="G47">
        <f>IFERROR(VLOOKUP(A47, Broker_Statement!A:G, 6, FALSE), 0)</f>
        <v>182.25</v>
      </c>
      <c r="H47" s="7">
        <f t="shared" si="0"/>
        <v>0</v>
      </c>
    </row>
    <row r="48" spans="1:8" x14ac:dyDescent="0.3">
      <c r="A48" t="s">
        <v>63</v>
      </c>
      <c r="B48" t="str">
        <f>IFERROR(VLOOKUP(A48, Internal_Ledger!A:B, 2, FALSE), VLOOKUP(A48, Broker_Statement!A:B, 2, FALSE))</f>
        <v>INE030A01027</v>
      </c>
      <c r="C48" t="str">
        <f>IF(COUNTIF(Internal_Ledger!A:A, A48)=0, "Missing Internal", IF(COUNTIF(Broker_Statement!A:A, A48)=0, "Missing on Street", IF(D48&lt;&gt;E48, "Quantity Break", IF(F48&lt;&gt;G48, "Price Break", "Matched Perfectly"))))</f>
        <v>Matched Perfectly</v>
      </c>
      <c r="D48">
        <f>IFERROR(VLOOKUP(A48, Internal_Ledger!A:G, 5, FALSE), 0)</f>
        <v>1150</v>
      </c>
      <c r="E48">
        <f>IFERROR(VLOOKUP(A48, Broker_Statement!A:G, 5, FALSE), 0)</f>
        <v>1150</v>
      </c>
      <c r="F48">
        <f>IFERROR(VLOOKUP(A48, Internal_Ledger!A:G, 6, FALSE), 0)</f>
        <v>313.07000732421875</v>
      </c>
      <c r="G48">
        <f>IFERROR(VLOOKUP(A48, Broker_Statement!A:G, 6, FALSE), 0)</f>
        <v>313.07000732421875</v>
      </c>
      <c r="H48" s="7">
        <f t="shared" si="0"/>
        <v>0</v>
      </c>
    </row>
    <row r="49" spans="1:8" x14ac:dyDescent="0.3">
      <c r="A49" t="s">
        <v>65</v>
      </c>
      <c r="B49" t="str">
        <f>IFERROR(VLOOKUP(A49, Internal_Ledger!A:B, 2, FALSE), VLOOKUP(A49, Broker_Statement!A:B, 2, FALSE))</f>
        <v>INE040A01034</v>
      </c>
      <c r="C49" t="str">
        <f>IF(COUNTIF(Internal_Ledger!A:A, A49)=0, "Missing Internal", IF(COUNTIF(Broker_Statement!A:A, A49)=0, "Missing on Street", IF(D49&lt;&gt;E49, "Quantity Break", IF(F49&lt;&gt;G49, "Price Break", "Matched Perfectly"))))</f>
        <v>Matched Perfectly</v>
      </c>
      <c r="D49">
        <f>IFERROR(VLOOKUP(A49, Internal_Ledger!A:G, 5, FALSE), 0)</f>
        <v>4400</v>
      </c>
      <c r="E49">
        <f>IFERROR(VLOOKUP(A49, Broker_Statement!A:G, 5, FALSE), 0)</f>
        <v>4400</v>
      </c>
      <c r="F49">
        <f>IFERROR(VLOOKUP(A49, Internal_Ledger!A:G, 6, FALSE), 0)</f>
        <v>358.32000732421875</v>
      </c>
      <c r="G49">
        <f>IFERROR(VLOOKUP(A49, Broker_Statement!A:G, 6, FALSE), 0)</f>
        <v>358.32000732421875</v>
      </c>
      <c r="H49" s="7">
        <f t="shared" si="0"/>
        <v>0</v>
      </c>
    </row>
    <row r="50" spans="1:8" x14ac:dyDescent="0.3">
      <c r="A50" t="s">
        <v>66</v>
      </c>
      <c r="B50" t="str">
        <f>IFERROR(VLOOKUP(A50, Internal_Ledger!A:B, 2, FALSE), VLOOKUP(A50, Broker_Statement!A:B, 2, FALSE))</f>
        <v>INE040A01034</v>
      </c>
      <c r="C50" t="str">
        <f>IF(COUNTIF(Internal_Ledger!A:A, A50)=0, "Missing Internal", IF(COUNTIF(Broker_Statement!A:A, A50)=0, "Missing on Street", IF(D50&lt;&gt;E50, "Quantity Break", IF(F50&lt;&gt;G50, "Price Break", "Matched Perfectly"))))</f>
        <v>Matched Perfectly</v>
      </c>
      <c r="D50">
        <f>IFERROR(VLOOKUP(A50, Internal_Ledger!A:G, 5, FALSE), 0)</f>
        <v>2050</v>
      </c>
      <c r="E50">
        <f>IFERROR(VLOOKUP(A50, Broker_Statement!A:G, 5, FALSE), 0)</f>
        <v>2050</v>
      </c>
      <c r="F50">
        <f>IFERROR(VLOOKUP(A50, Internal_Ledger!A:G, 6, FALSE), 0)</f>
        <v>158.14999389648438</v>
      </c>
      <c r="G50">
        <f>IFERROR(VLOOKUP(A50, Broker_Statement!A:G, 6, FALSE), 0)</f>
        <v>158.14999389648438</v>
      </c>
      <c r="H50" s="7">
        <f t="shared" si="0"/>
        <v>0</v>
      </c>
    </row>
    <row r="51" spans="1:8" x14ac:dyDescent="0.3">
      <c r="A51" t="s">
        <v>67</v>
      </c>
      <c r="B51" t="str">
        <f>IFERROR(VLOOKUP(A51, Internal_Ledger!A:B, 2, FALSE), VLOOKUP(A51, Broker_Statement!A:B, 2, FALSE))</f>
        <v>INE002A01018</v>
      </c>
      <c r="C51" t="str">
        <f>IF(COUNTIF(Internal_Ledger!A:A, A51)=0, "Missing Internal", IF(COUNTIF(Broker_Statement!A:A, A51)=0, "Missing on Street", IF(D51&lt;&gt;E51, "Quantity Break", IF(F51&lt;&gt;G51, "Price Break", "Matched Perfectly"))))</f>
        <v>Matched Perfectly</v>
      </c>
      <c r="D51">
        <f>IFERROR(VLOOKUP(A51, Internal_Ledger!A:G, 5, FALSE), 0)</f>
        <v>550</v>
      </c>
      <c r="E51">
        <f>IFERROR(VLOOKUP(A51, Broker_Statement!A:G, 5, FALSE), 0)</f>
        <v>550</v>
      </c>
      <c r="F51">
        <f>IFERROR(VLOOKUP(A51, Internal_Ledger!A:G, 6, FALSE), 0)</f>
        <v>288.05999755859375</v>
      </c>
      <c r="G51">
        <f>IFERROR(VLOOKUP(A51, Broker_Statement!A:G, 6, FALSE), 0)</f>
        <v>288.05999755859375</v>
      </c>
      <c r="H51" s="7">
        <f t="shared" si="0"/>
        <v>0</v>
      </c>
    </row>
    <row r="52" spans="1:8" x14ac:dyDescent="0.3">
      <c r="A52" t="s">
        <v>68</v>
      </c>
      <c r="B52" t="str">
        <f>IFERROR(VLOOKUP(A52, Internal_Ledger!A:B, 2, FALSE), VLOOKUP(A52, Broker_Statement!A:B, 2, FALSE))</f>
        <v>INE040A01034</v>
      </c>
      <c r="C52" t="str">
        <f>IF(COUNTIF(Internal_Ledger!A:A, A52)=0, "Missing Internal", IF(COUNTIF(Broker_Statement!A:A, A52)=0, "Missing on Street", IF(D52&lt;&gt;E52, "Quantity Break", IF(F52&lt;&gt;G52, "Price Break", "Matched Perfectly"))))</f>
        <v>Matched Perfectly</v>
      </c>
      <c r="D52">
        <f>IFERROR(VLOOKUP(A52, Internal_Ledger!A:G, 5, FALSE), 0)</f>
        <v>4500</v>
      </c>
      <c r="E52">
        <f>IFERROR(VLOOKUP(A52, Broker_Statement!A:G, 5, FALSE), 0)</f>
        <v>4500</v>
      </c>
      <c r="F52">
        <f>IFERROR(VLOOKUP(A52, Internal_Ledger!A:G, 6, FALSE), 0)</f>
        <v>336.41000366210938</v>
      </c>
      <c r="G52">
        <f>IFERROR(VLOOKUP(A52, Broker_Statement!A:G, 6, FALSE), 0)</f>
        <v>336.41000366210938</v>
      </c>
      <c r="H52" s="7">
        <f t="shared" si="0"/>
        <v>0</v>
      </c>
    </row>
    <row r="53" spans="1:8" x14ac:dyDescent="0.3">
      <c r="A53" t="s">
        <v>69</v>
      </c>
      <c r="B53" t="str">
        <f>IFERROR(VLOOKUP(A53, Internal_Ledger!A:B, 2, FALSE), VLOOKUP(A53, Broker_Statement!A:B, 2, FALSE))</f>
        <v>INE030A01027</v>
      </c>
      <c r="C53" t="str">
        <f>IF(COUNTIF(Internal_Ledger!A:A, A53)=0, "Missing Internal", IF(COUNTIF(Broker_Statement!A:A, A53)=0, "Missing on Street", IF(D53&lt;&gt;E53, "Quantity Break", IF(F53&lt;&gt;G53, "Price Break", "Matched Perfectly"))))</f>
        <v>Matched Perfectly</v>
      </c>
      <c r="D53">
        <f>IFERROR(VLOOKUP(A53, Internal_Ledger!A:G, 5, FALSE), 0)</f>
        <v>1200</v>
      </c>
      <c r="E53">
        <f>IFERROR(VLOOKUP(A53, Broker_Statement!A:G, 5, FALSE), 0)</f>
        <v>1200</v>
      </c>
      <c r="F53">
        <f>IFERROR(VLOOKUP(A53, Internal_Ledger!A:G, 6, FALSE), 0)</f>
        <v>589.19000244140625</v>
      </c>
      <c r="G53">
        <f>IFERROR(VLOOKUP(A53, Broker_Statement!A:G, 6, FALSE), 0)</f>
        <v>589.19000244140625</v>
      </c>
      <c r="H53" s="7">
        <f t="shared" si="0"/>
        <v>0</v>
      </c>
    </row>
    <row r="54" spans="1:8" x14ac:dyDescent="0.3">
      <c r="A54" t="s">
        <v>70</v>
      </c>
      <c r="B54" t="str">
        <f>IFERROR(VLOOKUP(A54, Internal_Ledger!A:B, 2, FALSE), VLOOKUP(A54, Broker_Statement!A:B, 2, FALSE))</f>
        <v>INE009A01021</v>
      </c>
      <c r="C54" t="str">
        <f>IF(COUNTIF(Internal_Ledger!A:A, A54)=0, "Missing Internal", IF(COUNTIF(Broker_Statement!A:A, A54)=0, "Missing on Street", IF(D54&lt;&gt;E54, "Quantity Break", IF(F54&lt;&gt;G54, "Price Break", "Matched Perfectly"))))</f>
        <v>Matched Perfectly</v>
      </c>
      <c r="D54">
        <f>IFERROR(VLOOKUP(A54, Internal_Ledger!A:G, 5, FALSE), 0)</f>
        <v>2950</v>
      </c>
      <c r="E54">
        <f>IFERROR(VLOOKUP(A54, Broker_Statement!A:G, 5, FALSE), 0)</f>
        <v>2950</v>
      </c>
      <c r="F54">
        <f>IFERROR(VLOOKUP(A54, Internal_Ledger!A:G, 6, FALSE), 0)</f>
        <v>615.780029296875</v>
      </c>
      <c r="G54">
        <f>IFERROR(VLOOKUP(A54, Broker_Statement!A:G, 6, FALSE), 0)</f>
        <v>615.780029296875</v>
      </c>
      <c r="H54" s="7">
        <f t="shared" si="0"/>
        <v>0</v>
      </c>
    </row>
    <row r="55" spans="1:8" x14ac:dyDescent="0.3">
      <c r="A55" t="s">
        <v>71</v>
      </c>
      <c r="B55" t="str">
        <f>IFERROR(VLOOKUP(A55, Internal_Ledger!A:B, 2, FALSE), VLOOKUP(A55, Broker_Statement!A:B, 2, FALSE))</f>
        <v>INE009A01021</v>
      </c>
      <c r="C55" t="str">
        <f>IF(COUNTIF(Internal_Ledger!A:A, A55)=0, "Missing Internal", IF(COUNTIF(Broker_Statement!A:A, A55)=0, "Missing on Street", IF(D55&lt;&gt;E55, "Quantity Break", IF(F55&lt;&gt;G55, "Price Break", "Matched Perfectly"))))</f>
        <v>Matched Perfectly</v>
      </c>
      <c r="D55">
        <f>IFERROR(VLOOKUP(A55, Internal_Ledger!A:G, 5, FALSE), 0)</f>
        <v>1300</v>
      </c>
      <c r="E55">
        <f>IFERROR(VLOOKUP(A55, Broker_Statement!A:G, 5, FALSE), 0)</f>
        <v>1300</v>
      </c>
      <c r="F55">
        <f>IFERROR(VLOOKUP(A55, Internal_Ledger!A:G, 6, FALSE), 0)</f>
        <v>239.35000610351563</v>
      </c>
      <c r="G55">
        <f>IFERROR(VLOOKUP(A55, Broker_Statement!A:G, 6, FALSE), 0)</f>
        <v>239.35000610351563</v>
      </c>
      <c r="H55" s="7">
        <f t="shared" si="0"/>
        <v>0</v>
      </c>
    </row>
    <row r="56" spans="1:8" x14ac:dyDescent="0.3">
      <c r="A56" t="s">
        <v>72</v>
      </c>
      <c r="B56" t="str">
        <f>IFERROR(VLOOKUP(A56, Internal_Ledger!A:B, 2, FALSE), VLOOKUP(A56, Broker_Statement!A:B, 2, FALSE))</f>
        <v>INE002A01018</v>
      </c>
      <c r="C56" t="str">
        <f>IF(COUNTIF(Internal_Ledger!A:A, A56)=0, "Missing Internal", IF(COUNTIF(Broker_Statement!A:A, A56)=0, "Missing on Street", IF(D56&lt;&gt;E56, "Quantity Break", IF(F56&lt;&gt;G56, "Price Break", "Matched Perfectly"))))</f>
        <v>Matched Perfectly</v>
      </c>
      <c r="D56">
        <f>IFERROR(VLOOKUP(A56, Internal_Ledger!A:G, 5, FALSE), 0)</f>
        <v>1400</v>
      </c>
      <c r="E56">
        <f>IFERROR(VLOOKUP(A56, Broker_Statement!A:G, 5, FALSE), 0)</f>
        <v>1400</v>
      </c>
      <c r="F56">
        <f>IFERROR(VLOOKUP(A56, Internal_Ledger!A:G, 6, FALSE), 0)</f>
        <v>501.489990234375</v>
      </c>
      <c r="G56">
        <f>IFERROR(VLOOKUP(A56, Broker_Statement!A:G, 6, FALSE), 0)</f>
        <v>501.489990234375</v>
      </c>
      <c r="H56" s="7">
        <f t="shared" si="0"/>
        <v>0</v>
      </c>
    </row>
    <row r="57" spans="1:8" x14ac:dyDescent="0.3">
      <c r="A57" t="s">
        <v>73</v>
      </c>
      <c r="B57" t="str">
        <f>IFERROR(VLOOKUP(A57, Internal_Ledger!A:B, 2, FALSE), VLOOKUP(A57, Broker_Statement!A:B, 2, FALSE))</f>
        <v>INE040A01034</v>
      </c>
      <c r="C57" t="str">
        <f>IF(COUNTIF(Internal_Ledger!A:A, A57)=0, "Missing Internal", IF(COUNTIF(Broker_Statement!A:A, A57)=0, "Missing on Street", IF(D57&lt;&gt;E57, "Quantity Break", IF(F57&lt;&gt;G57, "Price Break", "Matched Perfectly"))))</f>
        <v>Matched Perfectly</v>
      </c>
      <c r="D57">
        <f>IFERROR(VLOOKUP(A57, Internal_Ledger!A:G, 5, FALSE), 0)</f>
        <v>400</v>
      </c>
      <c r="E57">
        <f>IFERROR(VLOOKUP(A57, Broker_Statement!A:G, 5, FALSE), 0)</f>
        <v>400</v>
      </c>
      <c r="F57">
        <f>IFERROR(VLOOKUP(A57, Internal_Ledger!A:G, 6, FALSE), 0)</f>
        <v>355.32000732421875</v>
      </c>
      <c r="G57">
        <f>IFERROR(VLOOKUP(A57, Broker_Statement!A:G, 6, FALSE), 0)</f>
        <v>355.32000732421875</v>
      </c>
      <c r="H57" s="7">
        <f t="shared" si="0"/>
        <v>0</v>
      </c>
    </row>
    <row r="58" spans="1:8" x14ac:dyDescent="0.3">
      <c r="A58" t="s">
        <v>74</v>
      </c>
      <c r="B58" t="str">
        <f>IFERROR(VLOOKUP(A58, Internal_Ledger!A:B, 2, FALSE), VLOOKUP(A58, Broker_Statement!A:B, 2, FALSE))</f>
        <v>INE030A01027</v>
      </c>
      <c r="C58" t="str">
        <f>IF(COUNTIF(Internal_Ledger!A:A, A58)=0, "Missing Internal", IF(COUNTIF(Broker_Statement!A:A, A58)=0, "Missing on Street", IF(D58&lt;&gt;E58, "Quantity Break", IF(F58&lt;&gt;G58, "Price Break", "Matched Perfectly"))))</f>
        <v>Missing on Street</v>
      </c>
      <c r="D58">
        <f>IFERROR(VLOOKUP(A58, Internal_Ledger!A:G, 5, FALSE), 0)</f>
        <v>800</v>
      </c>
      <c r="E58">
        <f>IFERROR(VLOOKUP(A58, Broker_Statement!A:G, 5, FALSE), 0)</f>
        <v>0</v>
      </c>
      <c r="F58">
        <f>IFERROR(VLOOKUP(A58, Internal_Ledger!A:G, 6, FALSE), 0)</f>
        <v>446.5</v>
      </c>
      <c r="G58">
        <f>IFERROR(VLOOKUP(A58, Broker_Statement!A:G, 6, FALSE), 0)</f>
        <v>0</v>
      </c>
      <c r="H58" s="7">
        <f t="shared" si="0"/>
        <v>357200</v>
      </c>
    </row>
    <row r="59" spans="1:8" x14ac:dyDescent="0.3">
      <c r="A59" t="s">
        <v>75</v>
      </c>
      <c r="B59" t="str">
        <f>IFERROR(VLOOKUP(A59, Internal_Ledger!A:B, 2, FALSE), VLOOKUP(A59, Broker_Statement!A:B, 2, FALSE))</f>
        <v>INE009A01021</v>
      </c>
      <c r="C59" t="str">
        <f>IF(COUNTIF(Internal_Ledger!A:A, A59)=0, "Missing Internal", IF(COUNTIF(Broker_Statement!A:A, A59)=0, "Missing on Street", IF(D59&lt;&gt;E59, "Quantity Break", IF(F59&lt;&gt;G59, "Price Break", "Matched Perfectly"))))</f>
        <v>Matched Perfectly</v>
      </c>
      <c r="D59">
        <f>IFERROR(VLOOKUP(A59, Internal_Ledger!A:G, 5, FALSE), 0)</f>
        <v>4950</v>
      </c>
      <c r="E59">
        <f>IFERROR(VLOOKUP(A59, Broker_Statement!A:G, 5, FALSE), 0)</f>
        <v>4950</v>
      </c>
      <c r="F59">
        <f>IFERROR(VLOOKUP(A59, Internal_Ledger!A:G, 6, FALSE), 0)</f>
        <v>466.489990234375</v>
      </c>
      <c r="G59">
        <f>IFERROR(VLOOKUP(A59, Broker_Statement!A:G, 6, FALSE), 0)</f>
        <v>466.489990234375</v>
      </c>
      <c r="H59" s="7">
        <f t="shared" si="0"/>
        <v>0</v>
      </c>
    </row>
    <row r="60" spans="1:8" x14ac:dyDescent="0.3">
      <c r="A60" t="s">
        <v>76</v>
      </c>
      <c r="B60" t="str">
        <f>IFERROR(VLOOKUP(A60, Internal_Ledger!A:B, 2, FALSE), VLOOKUP(A60, Broker_Statement!A:B, 2, FALSE))</f>
        <v>INE040A01034</v>
      </c>
      <c r="C60" t="str">
        <f>IF(COUNTIF(Internal_Ledger!A:A, A60)=0, "Missing Internal", IF(COUNTIF(Broker_Statement!A:A, A60)=0, "Missing on Street", IF(D60&lt;&gt;E60, "Quantity Break", IF(F60&lt;&gt;G60, "Price Break", "Matched Perfectly"))))</f>
        <v>Matched Perfectly</v>
      </c>
      <c r="D60">
        <f>IFERROR(VLOOKUP(A60, Internal_Ledger!A:G, 5, FALSE), 0)</f>
        <v>4350</v>
      </c>
      <c r="E60">
        <f>IFERROR(VLOOKUP(A60, Broker_Statement!A:G, 5, FALSE), 0)</f>
        <v>4350</v>
      </c>
      <c r="F60">
        <f>IFERROR(VLOOKUP(A60, Internal_Ledger!A:G, 6, FALSE), 0)</f>
        <v>187.47999572753906</v>
      </c>
      <c r="G60">
        <f>IFERROR(VLOOKUP(A60, Broker_Statement!A:G, 6, FALSE), 0)</f>
        <v>187.47999572753906</v>
      </c>
      <c r="H60" s="7">
        <f t="shared" si="0"/>
        <v>0</v>
      </c>
    </row>
    <row r="61" spans="1:8" x14ac:dyDescent="0.3">
      <c r="A61" t="s">
        <v>77</v>
      </c>
      <c r="B61" t="str">
        <f>IFERROR(VLOOKUP(A61, Internal_Ledger!A:B, 2, FALSE), VLOOKUP(A61, Broker_Statement!A:B, 2, FALSE))</f>
        <v>INE030A01027</v>
      </c>
      <c r="C61" t="str">
        <f>IF(COUNTIF(Internal_Ledger!A:A, A61)=0, "Missing Internal", IF(COUNTIF(Broker_Statement!A:A, A61)=0, "Missing on Street", IF(D61&lt;&gt;E61, "Quantity Break", IF(F61&lt;&gt;G61, "Price Break", "Matched Perfectly"))))</f>
        <v>Matched Perfectly</v>
      </c>
      <c r="D61">
        <f>IFERROR(VLOOKUP(A61, Internal_Ledger!A:G, 5, FALSE), 0)</f>
        <v>2000</v>
      </c>
      <c r="E61">
        <f>IFERROR(VLOOKUP(A61, Broker_Statement!A:G, 5, FALSE), 0)</f>
        <v>2000</v>
      </c>
      <c r="F61">
        <f>IFERROR(VLOOKUP(A61, Internal_Ledger!A:G, 6, FALSE), 0)</f>
        <v>413.29000854492188</v>
      </c>
      <c r="G61">
        <f>IFERROR(VLOOKUP(A61, Broker_Statement!A:G, 6, FALSE), 0)</f>
        <v>413.29000854492188</v>
      </c>
      <c r="H61" s="7">
        <f t="shared" si="0"/>
        <v>0</v>
      </c>
    </row>
    <row r="62" spans="1:8" x14ac:dyDescent="0.3">
      <c r="A62" t="s">
        <v>78</v>
      </c>
      <c r="B62" t="str">
        <f>IFERROR(VLOOKUP(A62, Internal_Ledger!A:B, 2, FALSE), VLOOKUP(A62, Broker_Statement!A:B, 2, FALSE))</f>
        <v>INE018A01030</v>
      </c>
      <c r="C62" t="str">
        <f>IF(COUNTIF(Internal_Ledger!A:A, A62)=0, "Missing Internal", IF(COUNTIF(Broker_Statement!A:A, A62)=0, "Missing on Street", IF(D62&lt;&gt;E62, "Quantity Break", IF(F62&lt;&gt;G62, "Price Break", "Matched Perfectly"))))</f>
        <v>Matched Perfectly</v>
      </c>
      <c r="D62">
        <f>IFERROR(VLOOKUP(A62, Internal_Ledger!A:G, 5, FALSE), 0)</f>
        <v>4500</v>
      </c>
      <c r="E62">
        <f>IFERROR(VLOOKUP(A62, Broker_Statement!A:G, 5, FALSE), 0)</f>
        <v>4500</v>
      </c>
      <c r="F62">
        <f>IFERROR(VLOOKUP(A62, Internal_Ledger!A:G, 6, FALSE), 0)</f>
        <v>205.72000122070313</v>
      </c>
      <c r="G62">
        <f>IFERROR(VLOOKUP(A62, Broker_Statement!A:G, 6, FALSE), 0)</f>
        <v>205.72000122070313</v>
      </c>
      <c r="H62" s="7">
        <f t="shared" si="0"/>
        <v>0</v>
      </c>
    </row>
    <row r="63" spans="1:8" x14ac:dyDescent="0.3">
      <c r="A63" t="s">
        <v>79</v>
      </c>
      <c r="B63" t="str">
        <f>IFERROR(VLOOKUP(A63, Internal_Ledger!A:B, 2, FALSE), VLOOKUP(A63, Broker_Statement!A:B, 2, FALSE))</f>
        <v>INE040A01034</v>
      </c>
      <c r="C63" t="str">
        <f>IF(COUNTIF(Internal_Ledger!A:A, A63)=0, "Missing Internal", IF(COUNTIF(Broker_Statement!A:A, A63)=0, "Missing on Street", IF(D63&lt;&gt;E63, "Quantity Break", IF(F63&lt;&gt;G63, "Price Break", "Matched Perfectly"))))</f>
        <v>Matched Perfectly</v>
      </c>
      <c r="D63">
        <f>IFERROR(VLOOKUP(A63, Internal_Ledger!A:G, 5, FALSE), 0)</f>
        <v>4250</v>
      </c>
      <c r="E63">
        <f>IFERROR(VLOOKUP(A63, Broker_Statement!A:G, 5, FALSE), 0)</f>
        <v>4250</v>
      </c>
      <c r="F63">
        <f>IFERROR(VLOOKUP(A63, Internal_Ledger!A:G, 6, FALSE), 0)</f>
        <v>370.6099853515625</v>
      </c>
      <c r="G63">
        <f>IFERROR(VLOOKUP(A63, Broker_Statement!A:G, 6, FALSE), 0)</f>
        <v>370.6099853515625</v>
      </c>
      <c r="H63" s="7">
        <f t="shared" si="0"/>
        <v>0</v>
      </c>
    </row>
    <row r="64" spans="1:8" x14ac:dyDescent="0.3">
      <c r="A64" t="s">
        <v>80</v>
      </c>
      <c r="B64" t="str">
        <f>IFERROR(VLOOKUP(A64, Internal_Ledger!A:B, 2, FALSE), VLOOKUP(A64, Broker_Statement!A:B, 2, FALSE))</f>
        <v>INE030A01027</v>
      </c>
      <c r="C64" t="str">
        <f>IF(COUNTIF(Internal_Ledger!A:A, A64)=0, "Missing Internal", IF(COUNTIF(Broker_Statement!A:A, A64)=0, "Missing on Street", IF(D64&lt;&gt;E64, "Quantity Break", IF(F64&lt;&gt;G64, "Price Break", "Matched Perfectly"))))</f>
        <v>Matched Perfectly</v>
      </c>
      <c r="D64">
        <f>IFERROR(VLOOKUP(A64, Internal_Ledger!A:G, 5, FALSE), 0)</f>
        <v>1000</v>
      </c>
      <c r="E64">
        <f>IFERROR(VLOOKUP(A64, Broker_Statement!A:G, 5, FALSE), 0)</f>
        <v>1000</v>
      </c>
      <c r="F64">
        <f>IFERROR(VLOOKUP(A64, Internal_Ledger!A:G, 6, FALSE), 0)</f>
        <v>313.07998657226563</v>
      </c>
      <c r="G64">
        <f>IFERROR(VLOOKUP(A64, Broker_Statement!A:G, 6, FALSE), 0)</f>
        <v>313.07998657226563</v>
      </c>
      <c r="H64" s="7">
        <f t="shared" si="0"/>
        <v>0</v>
      </c>
    </row>
    <row r="65" spans="1:8" x14ac:dyDescent="0.3">
      <c r="A65" t="s">
        <v>81</v>
      </c>
      <c r="B65" t="str">
        <f>IFERROR(VLOOKUP(A65, Internal_Ledger!A:B, 2, FALSE), VLOOKUP(A65, Broker_Statement!A:B, 2, FALSE))</f>
        <v>INE002A01018</v>
      </c>
      <c r="C65" t="str">
        <f>IF(COUNTIF(Internal_Ledger!A:A, A65)=0, "Missing Internal", IF(COUNTIF(Broker_Statement!A:A, A65)=0, "Missing on Street", IF(D65&lt;&gt;E65, "Quantity Break", IF(F65&lt;&gt;G65, "Price Break", "Matched Perfectly"))))</f>
        <v>Matched Perfectly</v>
      </c>
      <c r="D65">
        <f>IFERROR(VLOOKUP(A65, Internal_Ledger!A:G, 5, FALSE), 0)</f>
        <v>1050</v>
      </c>
      <c r="E65">
        <f>IFERROR(VLOOKUP(A65, Broker_Statement!A:G, 5, FALSE), 0)</f>
        <v>1050</v>
      </c>
      <c r="F65">
        <f>IFERROR(VLOOKUP(A65, Internal_Ledger!A:G, 6, FALSE), 0)</f>
        <v>496.260009765625</v>
      </c>
      <c r="G65">
        <f>IFERROR(VLOOKUP(A65, Broker_Statement!A:G, 6, FALSE), 0)</f>
        <v>496.260009765625</v>
      </c>
      <c r="H65" s="7">
        <f t="shared" si="0"/>
        <v>0</v>
      </c>
    </row>
    <row r="66" spans="1:8" x14ac:dyDescent="0.3">
      <c r="A66" t="s">
        <v>82</v>
      </c>
      <c r="B66" t="str">
        <f>IFERROR(VLOOKUP(A66, Internal_Ledger!A:B, 2, FALSE), VLOOKUP(A66, Broker_Statement!A:B, 2, FALSE))</f>
        <v>INE002A01018</v>
      </c>
      <c r="C66" t="str">
        <f>IF(COUNTIF(Internal_Ledger!A:A, A66)=0, "Missing Internal", IF(COUNTIF(Broker_Statement!A:A, A66)=0, "Missing on Street", IF(D66&lt;&gt;E66, "Quantity Break", IF(F66&lt;&gt;G66, "Price Break", "Matched Perfectly"))))</f>
        <v>Matched Perfectly</v>
      </c>
      <c r="D66">
        <f>IFERROR(VLOOKUP(A66, Internal_Ledger!A:G, 5, FALSE), 0)</f>
        <v>50</v>
      </c>
      <c r="E66">
        <f>IFERROR(VLOOKUP(A66, Broker_Statement!A:G, 5, FALSE), 0)</f>
        <v>50</v>
      </c>
      <c r="F66">
        <f>IFERROR(VLOOKUP(A66, Internal_Ledger!A:G, 6, FALSE), 0)</f>
        <v>362.92001342773438</v>
      </c>
      <c r="G66">
        <f>IFERROR(VLOOKUP(A66, Broker_Statement!A:G, 6, FALSE), 0)</f>
        <v>362.92001342773438</v>
      </c>
      <c r="H66" s="7">
        <f t="shared" si="0"/>
        <v>0</v>
      </c>
    </row>
    <row r="67" spans="1:8" x14ac:dyDescent="0.3">
      <c r="A67" t="s">
        <v>83</v>
      </c>
      <c r="B67" t="str">
        <f>IFERROR(VLOOKUP(A67, Internal_Ledger!A:B, 2, FALSE), VLOOKUP(A67, Broker_Statement!A:B, 2, FALSE))</f>
        <v>INE030A01027</v>
      </c>
      <c r="C67" t="str">
        <f>IF(COUNTIF(Internal_Ledger!A:A, A67)=0, "Missing Internal", IF(COUNTIF(Broker_Statement!A:A, A67)=0, "Missing on Street", IF(D67&lt;&gt;E67, "Quantity Break", IF(F67&lt;&gt;G67, "Price Break", "Matched Perfectly"))))</f>
        <v>Matched Perfectly</v>
      </c>
      <c r="D67">
        <f>IFERROR(VLOOKUP(A67, Internal_Ledger!A:G, 5, FALSE), 0)</f>
        <v>900</v>
      </c>
      <c r="E67">
        <f>IFERROR(VLOOKUP(A67, Broker_Statement!A:G, 5, FALSE), 0)</f>
        <v>900</v>
      </c>
      <c r="F67">
        <f>IFERROR(VLOOKUP(A67, Internal_Ledger!A:G, 6, FALSE), 0)</f>
        <v>204.38999938964844</v>
      </c>
      <c r="G67">
        <f>IFERROR(VLOOKUP(A67, Broker_Statement!A:G, 6, FALSE), 0)</f>
        <v>204.38999938964844</v>
      </c>
      <c r="H67" s="7">
        <f t="shared" ref="H67:H130" si="1">ABS((D67*F67) - (E67*G67))</f>
        <v>0</v>
      </c>
    </row>
    <row r="68" spans="1:8" x14ac:dyDescent="0.3">
      <c r="A68" t="s">
        <v>84</v>
      </c>
      <c r="B68" t="str">
        <f>IFERROR(VLOOKUP(A68, Internal_Ledger!A:B, 2, FALSE), VLOOKUP(A68, Broker_Statement!A:B, 2, FALSE))</f>
        <v>INE002A01018</v>
      </c>
      <c r="C68" t="str">
        <f>IF(COUNTIF(Internal_Ledger!A:A, A68)=0, "Missing Internal", IF(COUNTIF(Broker_Statement!A:A, A68)=0, "Missing on Street", IF(D68&lt;&gt;E68, "Quantity Break", IF(F68&lt;&gt;G68, "Price Break", "Matched Perfectly"))))</f>
        <v>Matched Perfectly</v>
      </c>
      <c r="D68">
        <f>IFERROR(VLOOKUP(A68, Internal_Ledger!A:G, 5, FALSE), 0)</f>
        <v>4900</v>
      </c>
      <c r="E68">
        <f>IFERROR(VLOOKUP(A68, Broker_Statement!A:G, 5, FALSE), 0)</f>
        <v>4900</v>
      </c>
      <c r="F68">
        <f>IFERROR(VLOOKUP(A68, Internal_Ledger!A:G, 6, FALSE), 0)</f>
        <v>586.05999755859375</v>
      </c>
      <c r="G68">
        <f>IFERROR(VLOOKUP(A68, Broker_Statement!A:G, 6, FALSE), 0)</f>
        <v>586.05999755859375</v>
      </c>
      <c r="H68" s="7">
        <f t="shared" si="1"/>
        <v>0</v>
      </c>
    </row>
    <row r="69" spans="1:8" x14ac:dyDescent="0.3">
      <c r="A69" t="s">
        <v>85</v>
      </c>
      <c r="B69" t="str">
        <f>IFERROR(VLOOKUP(A69, Internal_Ledger!A:B, 2, FALSE), VLOOKUP(A69, Broker_Statement!A:B, 2, FALSE))</f>
        <v>INE030A01027</v>
      </c>
      <c r="C69" t="str">
        <f>IF(COUNTIF(Internal_Ledger!A:A, A69)=0, "Missing Internal", IF(COUNTIF(Broker_Statement!A:A, A69)=0, "Missing on Street", IF(D69&lt;&gt;E69, "Quantity Break", IF(F69&lt;&gt;G69, "Price Break", "Matched Perfectly"))))</f>
        <v>Matched Perfectly</v>
      </c>
      <c r="D69">
        <f>IFERROR(VLOOKUP(A69, Internal_Ledger!A:G, 5, FALSE), 0)</f>
        <v>150</v>
      </c>
      <c r="E69">
        <f>IFERROR(VLOOKUP(A69, Broker_Statement!A:G, 5, FALSE), 0)</f>
        <v>150</v>
      </c>
      <c r="F69">
        <f>IFERROR(VLOOKUP(A69, Internal_Ledger!A:G, 6, FALSE), 0)</f>
        <v>563.95001220703125</v>
      </c>
      <c r="G69">
        <f>IFERROR(VLOOKUP(A69, Broker_Statement!A:G, 6, FALSE), 0)</f>
        <v>563.95001220703125</v>
      </c>
      <c r="H69" s="7">
        <f t="shared" si="1"/>
        <v>0</v>
      </c>
    </row>
    <row r="70" spans="1:8" x14ac:dyDescent="0.3">
      <c r="A70" t="s">
        <v>86</v>
      </c>
      <c r="B70" t="str">
        <f>IFERROR(VLOOKUP(A70, Internal_Ledger!A:B, 2, FALSE), VLOOKUP(A70, Broker_Statement!A:B, 2, FALSE))</f>
        <v>INE030A01027</v>
      </c>
      <c r="C70" t="str">
        <f>IF(COUNTIF(Internal_Ledger!A:A, A70)=0, "Missing Internal", IF(COUNTIF(Broker_Statement!A:A, A70)=0, "Missing on Street", IF(D70&lt;&gt;E70, "Quantity Break", IF(F70&lt;&gt;G70, "Price Break", "Matched Perfectly"))))</f>
        <v>Matched Perfectly</v>
      </c>
      <c r="D70">
        <f>IFERROR(VLOOKUP(A70, Internal_Ledger!A:G, 5, FALSE), 0)</f>
        <v>2800</v>
      </c>
      <c r="E70">
        <f>IFERROR(VLOOKUP(A70, Broker_Statement!A:G, 5, FALSE), 0)</f>
        <v>2800</v>
      </c>
      <c r="F70">
        <f>IFERROR(VLOOKUP(A70, Internal_Ledger!A:G, 6, FALSE), 0)</f>
        <v>551.66998291015625</v>
      </c>
      <c r="G70">
        <f>IFERROR(VLOOKUP(A70, Broker_Statement!A:G, 6, FALSE), 0)</f>
        <v>551.66998291015625</v>
      </c>
      <c r="H70" s="7">
        <f t="shared" si="1"/>
        <v>0</v>
      </c>
    </row>
    <row r="71" spans="1:8" x14ac:dyDescent="0.3">
      <c r="A71" t="s">
        <v>87</v>
      </c>
      <c r="B71" t="str">
        <f>IFERROR(VLOOKUP(A71, Internal_Ledger!A:B, 2, FALSE), VLOOKUP(A71, Broker_Statement!A:B, 2, FALSE))</f>
        <v>INE009A01021</v>
      </c>
      <c r="C71" t="str">
        <f>IF(COUNTIF(Internal_Ledger!A:A, A71)=0, "Missing Internal", IF(COUNTIF(Broker_Statement!A:A, A71)=0, "Missing on Street", IF(D71&lt;&gt;E71, "Quantity Break", IF(F71&lt;&gt;G71, "Price Break", "Matched Perfectly"))))</f>
        <v>Matched Perfectly</v>
      </c>
      <c r="D71">
        <f>IFERROR(VLOOKUP(A71, Internal_Ledger!A:G, 5, FALSE), 0)</f>
        <v>2900</v>
      </c>
      <c r="E71">
        <f>IFERROR(VLOOKUP(A71, Broker_Statement!A:G, 5, FALSE), 0)</f>
        <v>2900</v>
      </c>
      <c r="F71">
        <f>IFERROR(VLOOKUP(A71, Internal_Ledger!A:G, 6, FALSE), 0)</f>
        <v>322.08999633789063</v>
      </c>
      <c r="G71">
        <f>IFERROR(VLOOKUP(A71, Broker_Statement!A:G, 6, FALSE), 0)</f>
        <v>322.08999633789063</v>
      </c>
      <c r="H71" s="7">
        <f t="shared" si="1"/>
        <v>0</v>
      </c>
    </row>
    <row r="72" spans="1:8" x14ac:dyDescent="0.3">
      <c r="A72" t="s">
        <v>90</v>
      </c>
      <c r="B72" t="str">
        <f>IFERROR(VLOOKUP(A72, Internal_Ledger!A:B, 2, FALSE), VLOOKUP(A72, Broker_Statement!A:B, 2, FALSE))</f>
        <v>INE009A01021</v>
      </c>
      <c r="C72" t="str">
        <f>IF(COUNTIF(Internal_Ledger!A:A, A72)=0, "Missing Internal", IF(COUNTIF(Broker_Statement!A:A, A72)=0, "Missing on Street", IF(D72&lt;&gt;E72, "Quantity Break", IF(F72&lt;&gt;G72, "Price Break", "Matched Perfectly"))))</f>
        <v>Matched Perfectly</v>
      </c>
      <c r="D72">
        <f>IFERROR(VLOOKUP(A72, Internal_Ledger!A:G, 5, FALSE), 0)</f>
        <v>100</v>
      </c>
      <c r="E72">
        <f>IFERROR(VLOOKUP(A72, Broker_Statement!A:G, 5, FALSE), 0)</f>
        <v>100</v>
      </c>
      <c r="F72">
        <f>IFERROR(VLOOKUP(A72, Internal_Ledger!A:G, 6, FALSE), 0)</f>
        <v>319.54998779296875</v>
      </c>
      <c r="G72">
        <f>IFERROR(VLOOKUP(A72, Broker_Statement!A:G, 6, FALSE), 0)</f>
        <v>319.54998779296875</v>
      </c>
      <c r="H72" s="7">
        <f t="shared" si="1"/>
        <v>0</v>
      </c>
    </row>
    <row r="73" spans="1:8" x14ac:dyDescent="0.3">
      <c r="A73" t="s">
        <v>91</v>
      </c>
      <c r="B73" t="str">
        <f>IFERROR(VLOOKUP(A73, Internal_Ledger!A:B, 2, FALSE), VLOOKUP(A73, Broker_Statement!A:B, 2, FALSE))</f>
        <v>INE002A01018</v>
      </c>
      <c r="C73" t="str">
        <f>IF(COUNTIF(Internal_Ledger!A:A, A73)=0, "Missing Internal", IF(COUNTIF(Broker_Statement!A:A, A73)=0, "Missing on Street", IF(D73&lt;&gt;E73, "Quantity Break", IF(F73&lt;&gt;G73, "Price Break", "Matched Perfectly"))))</f>
        <v>Matched Perfectly</v>
      </c>
      <c r="D73">
        <f>IFERROR(VLOOKUP(A73, Internal_Ledger!A:G, 5, FALSE), 0)</f>
        <v>2000</v>
      </c>
      <c r="E73">
        <f>IFERROR(VLOOKUP(A73, Broker_Statement!A:G, 5, FALSE), 0)</f>
        <v>2000</v>
      </c>
      <c r="F73">
        <f>IFERROR(VLOOKUP(A73, Internal_Ledger!A:G, 6, FALSE), 0)</f>
        <v>429.510009765625</v>
      </c>
      <c r="G73">
        <f>IFERROR(VLOOKUP(A73, Broker_Statement!A:G, 6, FALSE), 0)</f>
        <v>429.510009765625</v>
      </c>
      <c r="H73" s="7">
        <f t="shared" si="1"/>
        <v>0</v>
      </c>
    </row>
    <row r="74" spans="1:8" x14ac:dyDescent="0.3">
      <c r="A74" t="s">
        <v>92</v>
      </c>
      <c r="B74" t="str">
        <f>IFERROR(VLOOKUP(A74, Internal_Ledger!A:B, 2, FALSE), VLOOKUP(A74, Broker_Statement!A:B, 2, FALSE))</f>
        <v>INE009A01021</v>
      </c>
      <c r="C74" t="str">
        <f>IF(COUNTIF(Internal_Ledger!A:A, A74)=0, "Missing Internal", IF(COUNTIF(Broker_Statement!A:A, A74)=0, "Missing on Street", IF(D74&lt;&gt;E74, "Quantity Break", IF(F74&lt;&gt;G74, "Price Break", "Matched Perfectly"))))</f>
        <v>Price Break</v>
      </c>
      <c r="D74">
        <f>IFERROR(VLOOKUP(A74, Internal_Ledger!A:G, 5, FALSE), 0)</f>
        <v>1900</v>
      </c>
      <c r="E74">
        <f>IFERROR(VLOOKUP(A74, Broker_Statement!A:G, 5, FALSE), 0)</f>
        <v>1900</v>
      </c>
      <c r="F74">
        <f>IFERROR(VLOOKUP(A74, Internal_Ledger!A:G, 6, FALSE), 0)</f>
        <v>350.51998901367188</v>
      </c>
      <c r="G74">
        <f>IFERROR(VLOOKUP(A74, Broker_Statement!A:G, 6, FALSE), 0)</f>
        <v>350.33998900651932</v>
      </c>
      <c r="H74" s="7">
        <f t="shared" si="1"/>
        <v>342.00001358985901</v>
      </c>
    </row>
    <row r="75" spans="1:8" x14ac:dyDescent="0.3">
      <c r="A75" t="s">
        <v>93</v>
      </c>
      <c r="B75" t="str">
        <f>IFERROR(VLOOKUP(A75, Internal_Ledger!A:B, 2, FALSE), VLOOKUP(A75, Broker_Statement!A:B, 2, FALSE))</f>
        <v>INE030A01027</v>
      </c>
      <c r="C75" t="str">
        <f>IF(COUNTIF(Internal_Ledger!A:A, A75)=0, "Missing Internal", IF(COUNTIF(Broker_Statement!A:A, A75)=0, "Missing on Street", IF(D75&lt;&gt;E75, "Quantity Break", IF(F75&lt;&gt;G75, "Price Break", "Matched Perfectly"))))</f>
        <v>Matched Perfectly</v>
      </c>
      <c r="D75">
        <f>IFERROR(VLOOKUP(A75, Internal_Ledger!A:G, 5, FALSE), 0)</f>
        <v>4800</v>
      </c>
      <c r="E75">
        <f>IFERROR(VLOOKUP(A75, Broker_Statement!A:G, 5, FALSE), 0)</f>
        <v>4800</v>
      </c>
      <c r="F75">
        <f>IFERROR(VLOOKUP(A75, Internal_Ledger!A:G, 6, FALSE), 0)</f>
        <v>472.79000854492188</v>
      </c>
      <c r="G75">
        <f>IFERROR(VLOOKUP(A75, Broker_Statement!A:G, 6, FALSE), 0)</f>
        <v>472.79000854492188</v>
      </c>
      <c r="H75" s="7">
        <f t="shared" si="1"/>
        <v>0</v>
      </c>
    </row>
    <row r="76" spans="1:8" x14ac:dyDescent="0.3">
      <c r="A76" t="s">
        <v>94</v>
      </c>
      <c r="B76" t="str">
        <f>IFERROR(VLOOKUP(A76, Internal_Ledger!A:B, 2, FALSE), VLOOKUP(A76, Broker_Statement!A:B, 2, FALSE))</f>
        <v>INE009A01021</v>
      </c>
      <c r="C76" t="str">
        <f>IF(COUNTIF(Internal_Ledger!A:A, A76)=0, "Missing Internal", IF(COUNTIF(Broker_Statement!A:A, A76)=0, "Missing on Street", IF(D76&lt;&gt;E76, "Quantity Break", IF(F76&lt;&gt;G76, "Price Break", "Matched Perfectly"))))</f>
        <v>Matched Perfectly</v>
      </c>
      <c r="D76">
        <f>IFERROR(VLOOKUP(A76, Internal_Ledger!A:G, 5, FALSE), 0)</f>
        <v>2300</v>
      </c>
      <c r="E76">
        <f>IFERROR(VLOOKUP(A76, Broker_Statement!A:G, 5, FALSE), 0)</f>
        <v>2300</v>
      </c>
      <c r="F76">
        <f>IFERROR(VLOOKUP(A76, Internal_Ledger!A:G, 6, FALSE), 0)</f>
        <v>602.19000244140625</v>
      </c>
      <c r="G76">
        <f>IFERROR(VLOOKUP(A76, Broker_Statement!A:G, 6, FALSE), 0)</f>
        <v>602.19000244140625</v>
      </c>
      <c r="H76" s="7">
        <f t="shared" si="1"/>
        <v>0</v>
      </c>
    </row>
    <row r="77" spans="1:8" x14ac:dyDescent="0.3">
      <c r="A77" t="s">
        <v>95</v>
      </c>
      <c r="B77" t="str">
        <f>IFERROR(VLOOKUP(A77, Internal_Ledger!A:B, 2, FALSE), VLOOKUP(A77, Broker_Statement!A:B, 2, FALSE))</f>
        <v>INE030A01027</v>
      </c>
      <c r="C77" t="str">
        <f>IF(COUNTIF(Internal_Ledger!A:A, A77)=0, "Missing Internal", IF(COUNTIF(Broker_Statement!A:A, A77)=0, "Missing on Street", IF(D77&lt;&gt;E77, "Quantity Break", IF(F77&lt;&gt;G77, "Price Break", "Matched Perfectly"))))</f>
        <v>Matched Perfectly</v>
      </c>
      <c r="D77">
        <f>IFERROR(VLOOKUP(A77, Internal_Ledger!A:G, 5, FALSE), 0)</f>
        <v>1850</v>
      </c>
      <c r="E77">
        <f>IFERROR(VLOOKUP(A77, Broker_Statement!A:G, 5, FALSE), 0)</f>
        <v>1850</v>
      </c>
      <c r="F77">
        <f>IFERROR(VLOOKUP(A77, Internal_Ledger!A:G, 6, FALSE), 0)</f>
        <v>157.11000061035156</v>
      </c>
      <c r="G77">
        <f>IFERROR(VLOOKUP(A77, Broker_Statement!A:G, 6, FALSE), 0)</f>
        <v>157.11000061035156</v>
      </c>
      <c r="H77" s="7">
        <f t="shared" si="1"/>
        <v>0</v>
      </c>
    </row>
    <row r="78" spans="1:8" x14ac:dyDescent="0.3">
      <c r="A78" t="s">
        <v>96</v>
      </c>
      <c r="B78" t="str">
        <f>IFERROR(VLOOKUP(A78, Internal_Ledger!A:B, 2, FALSE), VLOOKUP(A78, Broker_Statement!A:B, 2, FALSE))</f>
        <v>INE040A01034</v>
      </c>
      <c r="C78" t="str">
        <f>IF(COUNTIF(Internal_Ledger!A:A, A78)=0, "Missing Internal", IF(COUNTIF(Broker_Statement!A:A, A78)=0, "Missing on Street", IF(D78&lt;&gt;E78, "Quantity Break", IF(F78&lt;&gt;G78, "Price Break", "Matched Perfectly"))))</f>
        <v>Matched Perfectly</v>
      </c>
      <c r="D78">
        <f>IFERROR(VLOOKUP(A78, Internal_Ledger!A:G, 5, FALSE), 0)</f>
        <v>3050</v>
      </c>
      <c r="E78">
        <f>IFERROR(VLOOKUP(A78, Broker_Statement!A:G, 5, FALSE), 0)</f>
        <v>3050</v>
      </c>
      <c r="F78">
        <f>IFERROR(VLOOKUP(A78, Internal_Ledger!A:G, 6, FALSE), 0)</f>
        <v>284.01998901367188</v>
      </c>
      <c r="G78">
        <f>IFERROR(VLOOKUP(A78, Broker_Statement!A:G, 6, FALSE), 0)</f>
        <v>284.01998901367188</v>
      </c>
      <c r="H78" s="7">
        <f t="shared" si="1"/>
        <v>0</v>
      </c>
    </row>
    <row r="79" spans="1:8" x14ac:dyDescent="0.3">
      <c r="A79" t="s">
        <v>97</v>
      </c>
      <c r="B79" t="str">
        <f>IFERROR(VLOOKUP(A79, Internal_Ledger!A:B, 2, FALSE), VLOOKUP(A79, Broker_Statement!A:B, 2, FALSE))</f>
        <v>INE030A01027</v>
      </c>
      <c r="C79" t="str">
        <f>IF(COUNTIF(Internal_Ledger!A:A, A79)=0, "Missing Internal", IF(COUNTIF(Broker_Statement!A:A, A79)=0, "Missing on Street", IF(D79&lt;&gt;E79, "Quantity Break", IF(F79&lt;&gt;G79, "Price Break", "Matched Perfectly"))))</f>
        <v>Matched Perfectly</v>
      </c>
      <c r="D79">
        <f>IFERROR(VLOOKUP(A79, Internal_Ledger!A:G, 5, FALSE), 0)</f>
        <v>2750</v>
      </c>
      <c r="E79">
        <f>IFERROR(VLOOKUP(A79, Broker_Statement!A:G, 5, FALSE), 0)</f>
        <v>2750</v>
      </c>
      <c r="F79">
        <f>IFERROR(VLOOKUP(A79, Internal_Ledger!A:G, 6, FALSE), 0)</f>
        <v>357.69000244140625</v>
      </c>
      <c r="G79">
        <f>IFERROR(VLOOKUP(A79, Broker_Statement!A:G, 6, FALSE), 0)</f>
        <v>357.69000244140625</v>
      </c>
      <c r="H79" s="7">
        <f t="shared" si="1"/>
        <v>0</v>
      </c>
    </row>
    <row r="80" spans="1:8" x14ac:dyDescent="0.3">
      <c r="A80" t="s">
        <v>99</v>
      </c>
      <c r="B80" t="str">
        <f>IFERROR(VLOOKUP(A80, Internal_Ledger!A:B, 2, FALSE), VLOOKUP(A80, Broker_Statement!A:B, 2, FALSE))</f>
        <v>INE018A01030</v>
      </c>
      <c r="C80" t="str">
        <f>IF(COUNTIF(Internal_Ledger!A:A, A80)=0, "Missing Internal", IF(COUNTIF(Broker_Statement!A:A, A80)=0, "Missing on Street", IF(D80&lt;&gt;E80, "Quantity Break", IF(F80&lt;&gt;G80, "Price Break", "Matched Perfectly"))))</f>
        <v>Matched Perfectly</v>
      </c>
      <c r="D80">
        <f>IFERROR(VLOOKUP(A80, Internal_Ledger!A:G, 5, FALSE), 0)</f>
        <v>450</v>
      </c>
      <c r="E80">
        <f>IFERROR(VLOOKUP(A80, Broker_Statement!A:G, 5, FALSE), 0)</f>
        <v>450</v>
      </c>
      <c r="F80">
        <f>IFERROR(VLOOKUP(A80, Internal_Ledger!A:G, 6, FALSE), 0)</f>
        <v>242.21000671386719</v>
      </c>
      <c r="G80">
        <f>IFERROR(VLOOKUP(A80, Broker_Statement!A:G, 6, FALSE), 0)</f>
        <v>242.21000671386719</v>
      </c>
      <c r="H80" s="7">
        <f t="shared" si="1"/>
        <v>0</v>
      </c>
    </row>
    <row r="81" spans="1:8" x14ac:dyDescent="0.3">
      <c r="A81" t="s">
        <v>100</v>
      </c>
      <c r="B81" t="str">
        <f>IFERROR(VLOOKUP(A81, Internal_Ledger!A:B, 2, FALSE), VLOOKUP(A81, Broker_Statement!A:B, 2, FALSE))</f>
        <v>INE002A01018</v>
      </c>
      <c r="C81" t="str">
        <f>IF(COUNTIF(Internal_Ledger!A:A, A81)=0, "Missing Internal", IF(COUNTIF(Broker_Statement!A:A, A81)=0, "Missing on Street", IF(D81&lt;&gt;E81, "Quantity Break", IF(F81&lt;&gt;G81, "Price Break", "Matched Perfectly"))))</f>
        <v>Matched Perfectly</v>
      </c>
      <c r="D81">
        <f>IFERROR(VLOOKUP(A81, Internal_Ledger!A:G, 5, FALSE), 0)</f>
        <v>2750</v>
      </c>
      <c r="E81">
        <f>IFERROR(VLOOKUP(A81, Broker_Statement!A:G, 5, FALSE), 0)</f>
        <v>2750</v>
      </c>
      <c r="F81">
        <f>IFERROR(VLOOKUP(A81, Internal_Ledger!A:G, 6, FALSE), 0)</f>
        <v>429.22000122070313</v>
      </c>
      <c r="G81">
        <f>IFERROR(VLOOKUP(A81, Broker_Statement!A:G, 6, FALSE), 0)</f>
        <v>429.22000122070313</v>
      </c>
      <c r="H81" s="7">
        <f t="shared" si="1"/>
        <v>0</v>
      </c>
    </row>
    <row r="82" spans="1:8" x14ac:dyDescent="0.3">
      <c r="A82" t="s">
        <v>101</v>
      </c>
      <c r="B82" t="str">
        <f>IFERROR(VLOOKUP(A82, Internal_Ledger!A:B, 2, FALSE), VLOOKUP(A82, Broker_Statement!A:B, 2, FALSE))</f>
        <v>INE002A01018</v>
      </c>
      <c r="C82" t="str">
        <f>IF(COUNTIF(Internal_Ledger!A:A, A82)=0, "Missing Internal", IF(COUNTIF(Broker_Statement!A:A, A82)=0, "Missing on Street", IF(D82&lt;&gt;E82, "Quantity Break", IF(F82&lt;&gt;G82, "Price Break", "Matched Perfectly"))))</f>
        <v>Matched Perfectly</v>
      </c>
      <c r="D82">
        <f>IFERROR(VLOOKUP(A82, Internal_Ledger!A:G, 5, FALSE), 0)</f>
        <v>1600</v>
      </c>
      <c r="E82">
        <f>IFERROR(VLOOKUP(A82, Broker_Statement!A:G, 5, FALSE), 0)</f>
        <v>1600</v>
      </c>
      <c r="F82">
        <f>IFERROR(VLOOKUP(A82, Internal_Ledger!A:G, 6, FALSE), 0)</f>
        <v>451.51998901367188</v>
      </c>
      <c r="G82">
        <f>IFERROR(VLOOKUP(A82, Broker_Statement!A:G, 6, FALSE), 0)</f>
        <v>451.51998901367188</v>
      </c>
      <c r="H82" s="7">
        <f t="shared" si="1"/>
        <v>0</v>
      </c>
    </row>
    <row r="83" spans="1:8" x14ac:dyDescent="0.3">
      <c r="A83" t="s">
        <v>102</v>
      </c>
      <c r="B83" t="str">
        <f>IFERROR(VLOOKUP(A83, Internal_Ledger!A:B, 2, FALSE), VLOOKUP(A83, Broker_Statement!A:B, 2, FALSE))</f>
        <v>INE018A01030</v>
      </c>
      <c r="C83" t="str">
        <f>IF(COUNTIF(Internal_Ledger!A:A, A83)=0, "Missing Internal", IF(COUNTIF(Broker_Statement!A:A, A83)=0, "Missing on Street", IF(D83&lt;&gt;E83, "Quantity Break", IF(F83&lt;&gt;G83, "Price Break", "Matched Perfectly"))))</f>
        <v>Matched Perfectly</v>
      </c>
      <c r="D83">
        <f>IFERROR(VLOOKUP(A83, Internal_Ledger!A:G, 5, FALSE), 0)</f>
        <v>3900</v>
      </c>
      <c r="E83">
        <f>IFERROR(VLOOKUP(A83, Broker_Statement!A:G, 5, FALSE), 0)</f>
        <v>3900</v>
      </c>
      <c r="F83">
        <f>IFERROR(VLOOKUP(A83, Internal_Ledger!A:G, 6, FALSE), 0)</f>
        <v>437.94000244140625</v>
      </c>
      <c r="G83">
        <f>IFERROR(VLOOKUP(A83, Broker_Statement!A:G, 6, FALSE), 0)</f>
        <v>437.94000244140625</v>
      </c>
      <c r="H83" s="7">
        <f t="shared" si="1"/>
        <v>0</v>
      </c>
    </row>
    <row r="84" spans="1:8" x14ac:dyDescent="0.3">
      <c r="A84" t="s">
        <v>103</v>
      </c>
      <c r="B84" t="str">
        <f>IFERROR(VLOOKUP(A84, Internal_Ledger!A:B, 2, FALSE), VLOOKUP(A84, Broker_Statement!A:B, 2, FALSE))</f>
        <v>INE030A01027</v>
      </c>
      <c r="C84" t="str">
        <f>IF(COUNTIF(Internal_Ledger!A:A, A84)=0, "Missing Internal", IF(COUNTIF(Broker_Statement!A:A, A84)=0, "Missing on Street", IF(D84&lt;&gt;E84, "Quantity Break", IF(F84&lt;&gt;G84, "Price Break", "Matched Perfectly"))))</f>
        <v>Missing on Street</v>
      </c>
      <c r="D84">
        <f>IFERROR(VLOOKUP(A84, Internal_Ledger!A:G, 5, FALSE), 0)</f>
        <v>1250</v>
      </c>
      <c r="E84">
        <f>IFERROR(VLOOKUP(A84, Broker_Statement!A:G, 5, FALSE), 0)</f>
        <v>0</v>
      </c>
      <c r="F84">
        <f>IFERROR(VLOOKUP(A84, Internal_Ledger!A:G, 6, FALSE), 0)</f>
        <v>529.28997802734375</v>
      </c>
      <c r="G84">
        <f>IFERROR(VLOOKUP(A84, Broker_Statement!A:G, 6, FALSE), 0)</f>
        <v>0</v>
      </c>
      <c r="H84" s="7">
        <f t="shared" si="1"/>
        <v>661612.47253417969</v>
      </c>
    </row>
    <row r="85" spans="1:8" x14ac:dyDescent="0.3">
      <c r="A85" t="s">
        <v>104</v>
      </c>
      <c r="B85" t="str">
        <f>IFERROR(VLOOKUP(A85, Internal_Ledger!A:B, 2, FALSE), VLOOKUP(A85, Broker_Statement!A:B, 2, FALSE))</f>
        <v>INE009A01021</v>
      </c>
      <c r="C85" t="str">
        <f>IF(COUNTIF(Internal_Ledger!A:A, A85)=0, "Missing Internal", IF(COUNTIF(Broker_Statement!A:A, A85)=0, "Missing on Street", IF(D85&lt;&gt;E85, "Quantity Break", IF(F85&lt;&gt;G85, "Price Break", "Matched Perfectly"))))</f>
        <v>Matched Perfectly</v>
      </c>
      <c r="D85">
        <f>IFERROR(VLOOKUP(A85, Internal_Ledger!A:G, 5, FALSE), 0)</f>
        <v>200</v>
      </c>
      <c r="E85">
        <f>IFERROR(VLOOKUP(A85, Broker_Statement!A:G, 5, FALSE), 0)</f>
        <v>200</v>
      </c>
      <c r="F85">
        <f>IFERROR(VLOOKUP(A85, Internal_Ledger!A:G, 6, FALSE), 0)</f>
        <v>547.09002685546875</v>
      </c>
      <c r="G85">
        <f>IFERROR(VLOOKUP(A85, Broker_Statement!A:G, 6, FALSE), 0)</f>
        <v>547.09002685546875</v>
      </c>
      <c r="H85" s="7">
        <f t="shared" si="1"/>
        <v>0</v>
      </c>
    </row>
    <row r="86" spans="1:8" x14ac:dyDescent="0.3">
      <c r="A86" t="s">
        <v>105</v>
      </c>
      <c r="B86" t="str">
        <f>IFERROR(VLOOKUP(A86, Internal_Ledger!A:B, 2, FALSE), VLOOKUP(A86, Broker_Statement!A:B, 2, FALSE))</f>
        <v>INE009A01021</v>
      </c>
      <c r="C86" t="str">
        <f>IF(COUNTIF(Internal_Ledger!A:A, A86)=0, "Missing Internal", IF(COUNTIF(Broker_Statement!A:A, A86)=0, "Missing on Street", IF(D86&lt;&gt;E86, "Quantity Break", IF(F86&lt;&gt;G86, "Price Break", "Matched Perfectly"))))</f>
        <v>Matched Perfectly</v>
      </c>
      <c r="D86">
        <f>IFERROR(VLOOKUP(A86, Internal_Ledger!A:G, 5, FALSE), 0)</f>
        <v>4750</v>
      </c>
      <c r="E86">
        <f>IFERROR(VLOOKUP(A86, Broker_Statement!A:G, 5, FALSE), 0)</f>
        <v>4750</v>
      </c>
      <c r="F86">
        <f>IFERROR(VLOOKUP(A86, Internal_Ledger!A:G, 6, FALSE), 0)</f>
        <v>476.70001220703125</v>
      </c>
      <c r="G86">
        <f>IFERROR(VLOOKUP(A86, Broker_Statement!A:G, 6, FALSE), 0)</f>
        <v>476.70001220703125</v>
      </c>
      <c r="H86" s="7">
        <f t="shared" si="1"/>
        <v>0</v>
      </c>
    </row>
    <row r="87" spans="1:8" x14ac:dyDescent="0.3">
      <c r="A87" t="s">
        <v>106</v>
      </c>
      <c r="B87" t="str">
        <f>IFERROR(VLOOKUP(A87, Internal_Ledger!A:B, 2, FALSE), VLOOKUP(A87, Broker_Statement!A:B, 2, FALSE))</f>
        <v>INE030A01027</v>
      </c>
      <c r="C87" t="str">
        <f>IF(COUNTIF(Internal_Ledger!A:A, A87)=0, "Missing Internal", IF(COUNTIF(Broker_Statement!A:A, A87)=0, "Missing on Street", IF(D87&lt;&gt;E87, "Quantity Break", IF(F87&lt;&gt;G87, "Price Break", "Matched Perfectly"))))</f>
        <v>Matched Perfectly</v>
      </c>
      <c r="D87">
        <f>IFERROR(VLOOKUP(A87, Internal_Ledger!A:G, 5, FALSE), 0)</f>
        <v>4800</v>
      </c>
      <c r="E87">
        <f>IFERROR(VLOOKUP(A87, Broker_Statement!A:G, 5, FALSE), 0)</f>
        <v>4800</v>
      </c>
      <c r="F87">
        <f>IFERROR(VLOOKUP(A87, Internal_Ledger!A:G, 6, FALSE), 0)</f>
        <v>186.82000732421875</v>
      </c>
      <c r="G87">
        <f>IFERROR(VLOOKUP(A87, Broker_Statement!A:G, 6, FALSE), 0)</f>
        <v>186.82000732421875</v>
      </c>
      <c r="H87" s="7">
        <f t="shared" si="1"/>
        <v>0</v>
      </c>
    </row>
    <row r="88" spans="1:8" x14ac:dyDescent="0.3">
      <c r="A88" t="s">
        <v>107</v>
      </c>
      <c r="B88" t="str">
        <f>IFERROR(VLOOKUP(A88, Internal_Ledger!A:B, 2, FALSE), VLOOKUP(A88, Broker_Statement!A:B, 2, FALSE))</f>
        <v>INE018A01030</v>
      </c>
      <c r="C88" t="str">
        <f>IF(COUNTIF(Internal_Ledger!A:A, A88)=0, "Missing Internal", IF(COUNTIF(Broker_Statement!A:A, A88)=0, "Missing on Street", IF(D88&lt;&gt;E88, "Quantity Break", IF(F88&lt;&gt;G88, "Price Break", "Matched Perfectly"))))</f>
        <v>Matched Perfectly</v>
      </c>
      <c r="D88">
        <f>IFERROR(VLOOKUP(A88, Internal_Ledger!A:G, 5, FALSE), 0)</f>
        <v>300</v>
      </c>
      <c r="E88">
        <f>IFERROR(VLOOKUP(A88, Broker_Statement!A:G, 5, FALSE), 0)</f>
        <v>300</v>
      </c>
      <c r="F88">
        <f>IFERROR(VLOOKUP(A88, Internal_Ledger!A:G, 6, FALSE), 0)</f>
        <v>432.14999389648438</v>
      </c>
      <c r="G88">
        <f>IFERROR(VLOOKUP(A88, Broker_Statement!A:G, 6, FALSE), 0)</f>
        <v>432.14999389648438</v>
      </c>
      <c r="H88" s="7">
        <f t="shared" si="1"/>
        <v>0</v>
      </c>
    </row>
    <row r="89" spans="1:8" x14ac:dyDescent="0.3">
      <c r="A89" t="s">
        <v>108</v>
      </c>
      <c r="B89" t="str">
        <f>IFERROR(VLOOKUP(A89, Internal_Ledger!A:B, 2, FALSE), VLOOKUP(A89, Broker_Statement!A:B, 2, FALSE))</f>
        <v>INE018A01030</v>
      </c>
      <c r="C89" t="str">
        <f>IF(COUNTIF(Internal_Ledger!A:A, A89)=0, "Missing Internal", IF(COUNTIF(Broker_Statement!A:A, A89)=0, "Missing on Street", IF(D89&lt;&gt;E89, "Quantity Break", IF(F89&lt;&gt;G89, "Price Break", "Matched Perfectly"))))</f>
        <v>Matched Perfectly</v>
      </c>
      <c r="D89">
        <f>IFERROR(VLOOKUP(A89, Internal_Ledger!A:G, 5, FALSE), 0)</f>
        <v>2300</v>
      </c>
      <c r="E89">
        <f>IFERROR(VLOOKUP(A89, Broker_Statement!A:G, 5, FALSE), 0)</f>
        <v>2300</v>
      </c>
      <c r="F89">
        <f>IFERROR(VLOOKUP(A89, Internal_Ledger!A:G, 6, FALSE), 0)</f>
        <v>311.20001220703125</v>
      </c>
      <c r="G89">
        <f>IFERROR(VLOOKUP(A89, Broker_Statement!A:G, 6, FALSE), 0)</f>
        <v>311.20001220703125</v>
      </c>
      <c r="H89" s="7">
        <f t="shared" si="1"/>
        <v>0</v>
      </c>
    </row>
    <row r="90" spans="1:8" x14ac:dyDescent="0.3">
      <c r="A90" t="s">
        <v>109</v>
      </c>
      <c r="B90" t="str">
        <f>IFERROR(VLOOKUP(A90, Internal_Ledger!A:B, 2, FALSE), VLOOKUP(A90, Broker_Statement!A:B, 2, FALSE))</f>
        <v>INE018A01030</v>
      </c>
      <c r="C90" t="str">
        <f>IF(COUNTIF(Internal_Ledger!A:A, A90)=0, "Missing Internal", IF(COUNTIF(Broker_Statement!A:A, A90)=0, "Missing on Street", IF(D90&lt;&gt;E90, "Quantity Break", IF(F90&lt;&gt;G90, "Price Break", "Matched Perfectly"))))</f>
        <v>Price Break</v>
      </c>
      <c r="D90">
        <f>IFERROR(VLOOKUP(A90, Internal_Ledger!A:G, 5, FALSE), 0)</f>
        <v>2950</v>
      </c>
      <c r="E90">
        <f>IFERROR(VLOOKUP(A90, Broker_Statement!A:G, 5, FALSE), 0)</f>
        <v>2950</v>
      </c>
      <c r="F90">
        <f>IFERROR(VLOOKUP(A90, Internal_Ledger!A:G, 6, FALSE), 0)</f>
        <v>475.94000244140625</v>
      </c>
      <c r="G90">
        <f>IFERROR(VLOOKUP(A90, Broker_Statement!A:G, 6, FALSE), 0)</f>
        <v>475.77000243961811</v>
      </c>
      <c r="H90" s="7">
        <f t="shared" si="1"/>
        <v>501.50000527501106</v>
      </c>
    </row>
    <row r="91" spans="1:8" x14ac:dyDescent="0.3">
      <c r="A91" t="s">
        <v>110</v>
      </c>
      <c r="B91" t="str">
        <f>IFERROR(VLOOKUP(A91, Internal_Ledger!A:B, 2, FALSE), VLOOKUP(A91, Broker_Statement!A:B, 2, FALSE))</f>
        <v>INE030A01027</v>
      </c>
      <c r="C91" t="str">
        <f>IF(COUNTIF(Internal_Ledger!A:A, A91)=0, "Missing Internal", IF(COUNTIF(Broker_Statement!A:A, A91)=0, "Missing on Street", IF(D91&lt;&gt;E91, "Quantity Break", IF(F91&lt;&gt;G91, "Price Break", "Matched Perfectly"))))</f>
        <v>Matched Perfectly</v>
      </c>
      <c r="D91">
        <f>IFERROR(VLOOKUP(A91, Internal_Ledger!A:G, 5, FALSE), 0)</f>
        <v>3700</v>
      </c>
      <c r="E91">
        <f>IFERROR(VLOOKUP(A91, Broker_Statement!A:G, 5, FALSE), 0)</f>
        <v>3700</v>
      </c>
      <c r="F91">
        <f>IFERROR(VLOOKUP(A91, Internal_Ledger!A:G, 6, FALSE), 0)</f>
        <v>246.14999389648438</v>
      </c>
      <c r="G91">
        <f>IFERROR(VLOOKUP(A91, Broker_Statement!A:G, 6, FALSE), 0)</f>
        <v>246.14999389648438</v>
      </c>
      <c r="H91" s="7">
        <f t="shared" si="1"/>
        <v>0</v>
      </c>
    </row>
    <row r="92" spans="1:8" x14ac:dyDescent="0.3">
      <c r="A92" t="s">
        <v>111</v>
      </c>
      <c r="B92" t="str">
        <f>IFERROR(VLOOKUP(A92, Internal_Ledger!A:B, 2, FALSE), VLOOKUP(A92, Broker_Statement!A:B, 2, FALSE))</f>
        <v>INE002A01018</v>
      </c>
      <c r="C92" t="str">
        <f>IF(COUNTIF(Internal_Ledger!A:A, A92)=0, "Missing Internal", IF(COUNTIF(Broker_Statement!A:A, A92)=0, "Missing on Street", IF(D92&lt;&gt;E92, "Quantity Break", IF(F92&lt;&gt;G92, "Price Break", "Matched Perfectly"))))</f>
        <v>Matched Perfectly</v>
      </c>
      <c r="D92">
        <f>IFERROR(VLOOKUP(A92, Internal_Ledger!A:G, 5, FALSE), 0)</f>
        <v>4100</v>
      </c>
      <c r="E92">
        <f>IFERROR(VLOOKUP(A92, Broker_Statement!A:G, 5, FALSE), 0)</f>
        <v>4100</v>
      </c>
      <c r="F92">
        <f>IFERROR(VLOOKUP(A92, Internal_Ledger!A:G, 6, FALSE), 0)</f>
        <v>259.73001098632813</v>
      </c>
      <c r="G92">
        <f>IFERROR(VLOOKUP(A92, Broker_Statement!A:G, 6, FALSE), 0)</f>
        <v>259.73001098632813</v>
      </c>
      <c r="H92" s="7">
        <f t="shared" si="1"/>
        <v>0</v>
      </c>
    </row>
    <row r="93" spans="1:8" x14ac:dyDescent="0.3">
      <c r="A93" t="s">
        <v>112</v>
      </c>
      <c r="B93" t="str">
        <f>IFERROR(VLOOKUP(A93, Internal_Ledger!A:B, 2, FALSE), VLOOKUP(A93, Broker_Statement!A:B, 2, FALSE))</f>
        <v>INE009A01021</v>
      </c>
      <c r="C93" t="str">
        <f>IF(COUNTIF(Internal_Ledger!A:A, A93)=0, "Missing Internal", IF(COUNTIF(Broker_Statement!A:A, A93)=0, "Missing on Street", IF(D93&lt;&gt;E93, "Quantity Break", IF(F93&lt;&gt;G93, "Price Break", "Matched Perfectly"))))</f>
        <v>Matched Perfectly</v>
      </c>
      <c r="D93">
        <f>IFERROR(VLOOKUP(A93, Internal_Ledger!A:G, 5, FALSE), 0)</f>
        <v>1300</v>
      </c>
      <c r="E93">
        <f>IFERROR(VLOOKUP(A93, Broker_Statement!A:G, 5, FALSE), 0)</f>
        <v>1300</v>
      </c>
      <c r="F93">
        <f>IFERROR(VLOOKUP(A93, Internal_Ledger!A:G, 6, FALSE), 0)</f>
        <v>507.239990234375</v>
      </c>
      <c r="G93">
        <f>IFERROR(VLOOKUP(A93, Broker_Statement!A:G, 6, FALSE), 0)</f>
        <v>507.239990234375</v>
      </c>
      <c r="H93" s="7">
        <f t="shared" si="1"/>
        <v>0</v>
      </c>
    </row>
    <row r="94" spans="1:8" x14ac:dyDescent="0.3">
      <c r="A94" t="s">
        <v>113</v>
      </c>
      <c r="B94" t="str">
        <f>IFERROR(VLOOKUP(A94, Internal_Ledger!A:B, 2, FALSE), VLOOKUP(A94, Broker_Statement!A:B, 2, FALSE))</f>
        <v>INE030A01027</v>
      </c>
      <c r="C94" t="str">
        <f>IF(COUNTIF(Internal_Ledger!A:A, A94)=0, "Missing Internal", IF(COUNTIF(Broker_Statement!A:A, A94)=0, "Missing on Street", IF(D94&lt;&gt;E94, "Quantity Break", IF(F94&lt;&gt;G94, "Price Break", "Matched Perfectly"))))</f>
        <v>Quantity Break</v>
      </c>
      <c r="D94">
        <f>IFERROR(VLOOKUP(A94, Internal_Ledger!A:G, 5, FALSE), 0)</f>
        <v>4150</v>
      </c>
      <c r="E94">
        <f>IFERROR(VLOOKUP(A94, Broker_Statement!A:G, 5, FALSE), 0)</f>
        <v>4100</v>
      </c>
      <c r="F94">
        <f>IFERROR(VLOOKUP(A94, Internal_Ledger!A:G, 6, FALSE), 0)</f>
        <v>509.39999389648438</v>
      </c>
      <c r="G94">
        <f>IFERROR(VLOOKUP(A94, Broker_Statement!A:G, 6, FALSE), 0)</f>
        <v>509.39999389648438</v>
      </c>
      <c r="H94" s="7">
        <f t="shared" si="1"/>
        <v>25469.999694824219</v>
      </c>
    </row>
    <row r="95" spans="1:8" x14ac:dyDescent="0.3">
      <c r="A95" t="s">
        <v>114</v>
      </c>
      <c r="B95" t="str">
        <f>IFERROR(VLOOKUP(A95, Internal_Ledger!A:B, 2, FALSE), VLOOKUP(A95, Broker_Statement!A:B, 2, FALSE))</f>
        <v>INE009A01021</v>
      </c>
      <c r="C95" t="str">
        <f>IF(COUNTIF(Internal_Ledger!A:A, A95)=0, "Missing Internal", IF(COUNTIF(Broker_Statement!A:A, A95)=0, "Missing on Street", IF(D95&lt;&gt;E95, "Quantity Break", IF(F95&lt;&gt;G95, "Price Break", "Matched Perfectly"))))</f>
        <v>Matched Perfectly</v>
      </c>
      <c r="D95">
        <f>IFERROR(VLOOKUP(A95, Internal_Ledger!A:G, 5, FALSE), 0)</f>
        <v>1800</v>
      </c>
      <c r="E95">
        <f>IFERROR(VLOOKUP(A95, Broker_Statement!A:G, 5, FALSE), 0)</f>
        <v>1800</v>
      </c>
      <c r="F95">
        <f>IFERROR(VLOOKUP(A95, Internal_Ledger!A:G, 6, FALSE), 0)</f>
        <v>252.14999389648438</v>
      </c>
      <c r="G95">
        <f>IFERROR(VLOOKUP(A95, Broker_Statement!A:G, 6, FALSE), 0)</f>
        <v>252.14999389648438</v>
      </c>
      <c r="H95" s="7">
        <f t="shared" si="1"/>
        <v>0</v>
      </c>
    </row>
    <row r="96" spans="1:8" x14ac:dyDescent="0.3">
      <c r="A96" t="s">
        <v>115</v>
      </c>
      <c r="B96" t="str">
        <f>IFERROR(VLOOKUP(A96, Internal_Ledger!A:B, 2, FALSE), VLOOKUP(A96, Broker_Statement!A:B, 2, FALSE))</f>
        <v>INE030A01027</v>
      </c>
      <c r="C96" t="str">
        <f>IF(COUNTIF(Internal_Ledger!A:A, A96)=0, "Missing Internal", IF(COUNTIF(Broker_Statement!A:A, A96)=0, "Missing on Street", IF(D96&lt;&gt;E96, "Quantity Break", IF(F96&lt;&gt;G96, "Price Break", "Matched Perfectly"))))</f>
        <v>Matched Perfectly</v>
      </c>
      <c r="D96">
        <f>IFERROR(VLOOKUP(A96, Internal_Ledger!A:G, 5, FALSE), 0)</f>
        <v>3200</v>
      </c>
      <c r="E96">
        <f>IFERROR(VLOOKUP(A96, Broker_Statement!A:G, 5, FALSE), 0)</f>
        <v>3200</v>
      </c>
      <c r="F96">
        <f>IFERROR(VLOOKUP(A96, Internal_Ledger!A:G, 6, FALSE), 0)</f>
        <v>569.280029296875</v>
      </c>
      <c r="G96">
        <f>IFERROR(VLOOKUP(A96, Broker_Statement!A:G, 6, FALSE), 0)</f>
        <v>569.280029296875</v>
      </c>
      <c r="H96" s="7">
        <f t="shared" si="1"/>
        <v>0</v>
      </c>
    </row>
    <row r="97" spans="1:8" x14ac:dyDescent="0.3">
      <c r="A97" t="s">
        <v>116</v>
      </c>
      <c r="B97" t="str">
        <f>IFERROR(VLOOKUP(A97, Internal_Ledger!A:B, 2, FALSE), VLOOKUP(A97, Broker_Statement!A:B, 2, FALSE))</f>
        <v>INE018A01030</v>
      </c>
      <c r="C97" t="str">
        <f>IF(COUNTIF(Internal_Ledger!A:A, A97)=0, "Missing Internal", IF(COUNTIF(Broker_Statement!A:A, A97)=0, "Missing on Street", IF(D97&lt;&gt;E97, "Quantity Break", IF(F97&lt;&gt;G97, "Price Break", "Matched Perfectly"))))</f>
        <v>Matched Perfectly</v>
      </c>
      <c r="D97">
        <f>IFERROR(VLOOKUP(A97, Internal_Ledger!A:G, 5, FALSE), 0)</f>
        <v>4900</v>
      </c>
      <c r="E97">
        <f>IFERROR(VLOOKUP(A97, Broker_Statement!A:G, 5, FALSE), 0)</f>
        <v>4900</v>
      </c>
      <c r="F97">
        <f>IFERROR(VLOOKUP(A97, Internal_Ledger!A:G, 6, FALSE), 0)</f>
        <v>534.67999267578125</v>
      </c>
      <c r="G97">
        <f>IFERROR(VLOOKUP(A97, Broker_Statement!A:G, 6, FALSE), 0)</f>
        <v>534.67999267578125</v>
      </c>
      <c r="H97" s="7">
        <f t="shared" si="1"/>
        <v>0</v>
      </c>
    </row>
    <row r="98" spans="1:8" x14ac:dyDescent="0.3">
      <c r="A98" t="s">
        <v>117</v>
      </c>
      <c r="B98" t="str">
        <f>IFERROR(VLOOKUP(A98, Internal_Ledger!A:B, 2, FALSE), VLOOKUP(A98, Broker_Statement!A:B, 2, FALSE))</f>
        <v>INE018A01030</v>
      </c>
      <c r="C98" t="str">
        <f>IF(COUNTIF(Internal_Ledger!A:A, A98)=0, "Missing Internal", IF(COUNTIF(Broker_Statement!A:A, A98)=0, "Missing on Street", IF(D98&lt;&gt;E98, "Quantity Break", IF(F98&lt;&gt;G98, "Price Break", "Matched Perfectly"))))</f>
        <v>Quantity Break</v>
      </c>
      <c r="D98">
        <f>IFERROR(VLOOKUP(A98, Internal_Ledger!A:G, 5, FALSE), 0)</f>
        <v>200</v>
      </c>
      <c r="E98">
        <f>IFERROR(VLOOKUP(A98, Broker_Statement!A:G, 5, FALSE), 0)</f>
        <v>150</v>
      </c>
      <c r="F98">
        <f>IFERROR(VLOOKUP(A98, Internal_Ledger!A:G, 6, FALSE), 0)</f>
        <v>473.89999389648438</v>
      </c>
      <c r="G98">
        <f>IFERROR(VLOOKUP(A98, Broker_Statement!A:G, 6, FALSE), 0)</f>
        <v>473.89999389648438</v>
      </c>
      <c r="H98" s="7">
        <f t="shared" si="1"/>
        <v>23694.999694824219</v>
      </c>
    </row>
    <row r="99" spans="1:8" x14ac:dyDescent="0.3">
      <c r="A99" t="s">
        <v>118</v>
      </c>
      <c r="B99" t="str">
        <f>IFERROR(VLOOKUP(A99, Internal_Ledger!A:B, 2, FALSE), VLOOKUP(A99, Broker_Statement!A:B, 2, FALSE))</f>
        <v>INE009A01021</v>
      </c>
      <c r="C99" t="str">
        <f>IF(COUNTIF(Internal_Ledger!A:A, A99)=0, "Missing Internal", IF(COUNTIF(Broker_Statement!A:A, A99)=0, "Missing on Street", IF(D99&lt;&gt;E99, "Quantity Break", IF(F99&lt;&gt;G99, "Price Break", "Matched Perfectly"))))</f>
        <v>Matched Perfectly</v>
      </c>
      <c r="D99">
        <f>IFERROR(VLOOKUP(A99, Internal_Ledger!A:G, 5, FALSE), 0)</f>
        <v>3900</v>
      </c>
      <c r="E99">
        <f>IFERROR(VLOOKUP(A99, Broker_Statement!A:G, 5, FALSE), 0)</f>
        <v>3900</v>
      </c>
      <c r="F99">
        <f>IFERROR(VLOOKUP(A99, Internal_Ledger!A:G, 6, FALSE), 0)</f>
        <v>329.04998779296875</v>
      </c>
      <c r="G99">
        <f>IFERROR(VLOOKUP(A99, Broker_Statement!A:G, 6, FALSE), 0)</f>
        <v>329.04998779296875</v>
      </c>
      <c r="H99" s="7">
        <f t="shared" si="1"/>
        <v>0</v>
      </c>
    </row>
    <row r="100" spans="1:8" x14ac:dyDescent="0.3">
      <c r="A100" t="s">
        <v>119</v>
      </c>
      <c r="B100" t="str">
        <f>IFERROR(VLOOKUP(A100, Internal_Ledger!A:B, 2, FALSE), VLOOKUP(A100, Broker_Statement!A:B, 2, FALSE))</f>
        <v>INE030A01027</v>
      </c>
      <c r="C100" t="str">
        <f>IF(COUNTIF(Internal_Ledger!A:A, A100)=0, "Missing Internal", IF(COUNTIF(Broker_Statement!A:A, A100)=0, "Missing on Street", IF(D100&lt;&gt;E100, "Quantity Break", IF(F100&lt;&gt;G100, "Price Break", "Matched Perfectly"))))</f>
        <v>Matched Perfectly</v>
      </c>
      <c r="D100">
        <f>IFERROR(VLOOKUP(A100, Internal_Ledger!A:G, 5, FALSE), 0)</f>
        <v>2550</v>
      </c>
      <c r="E100">
        <f>IFERROR(VLOOKUP(A100, Broker_Statement!A:G, 5, FALSE), 0)</f>
        <v>2550</v>
      </c>
      <c r="F100">
        <f>IFERROR(VLOOKUP(A100, Internal_Ledger!A:G, 6, FALSE), 0)</f>
        <v>236.77000427246094</v>
      </c>
      <c r="G100">
        <f>IFERROR(VLOOKUP(A100, Broker_Statement!A:G, 6, FALSE), 0)</f>
        <v>236.77000427246094</v>
      </c>
      <c r="H100" s="7">
        <f t="shared" si="1"/>
        <v>0</v>
      </c>
    </row>
    <row r="101" spans="1:8" x14ac:dyDescent="0.3">
      <c r="A101" t="s">
        <v>120</v>
      </c>
      <c r="B101" t="str">
        <f>IFERROR(VLOOKUP(A101, Internal_Ledger!A:B, 2, FALSE), VLOOKUP(A101, Broker_Statement!A:B, 2, FALSE))</f>
        <v>INE002A01018</v>
      </c>
      <c r="C101" t="str">
        <f>IF(COUNTIF(Internal_Ledger!A:A, A101)=0, "Missing Internal", IF(COUNTIF(Broker_Statement!A:A, A101)=0, "Missing on Street", IF(D101&lt;&gt;E101, "Quantity Break", IF(F101&lt;&gt;G101, "Price Break", "Matched Perfectly"))))</f>
        <v>Price Break</v>
      </c>
      <c r="D101">
        <f>IFERROR(VLOOKUP(A101, Internal_Ledger!A:G, 5, FALSE), 0)</f>
        <v>3100</v>
      </c>
      <c r="E101">
        <f>IFERROR(VLOOKUP(A101, Broker_Statement!A:G, 5, FALSE), 0)</f>
        <v>3100</v>
      </c>
      <c r="F101">
        <f>IFERROR(VLOOKUP(A101, Internal_Ledger!A:G, 6, FALSE), 0)</f>
        <v>303.30999755859375</v>
      </c>
      <c r="G101">
        <f>IFERROR(VLOOKUP(A101, Broker_Statement!A:G, 6, FALSE), 0)</f>
        <v>302.94999754428864</v>
      </c>
      <c r="H101" s="7">
        <f t="shared" si="1"/>
        <v>1116.0000443458557</v>
      </c>
    </row>
    <row r="102" spans="1:8" x14ac:dyDescent="0.3">
      <c r="A102" t="s">
        <v>121</v>
      </c>
      <c r="B102" t="str">
        <f>IFERROR(VLOOKUP(A102, Internal_Ledger!A:B, 2, FALSE), VLOOKUP(A102, Broker_Statement!A:B, 2, FALSE))</f>
        <v>INE030A01027</v>
      </c>
      <c r="C102" t="str">
        <f>IF(COUNTIF(Internal_Ledger!A:A, A102)=0, "Missing Internal", IF(COUNTIF(Broker_Statement!A:A, A102)=0, "Missing on Street", IF(D102&lt;&gt;E102, "Quantity Break", IF(F102&lt;&gt;G102, "Price Break", "Matched Perfectly"))))</f>
        <v>Matched Perfectly</v>
      </c>
      <c r="D102">
        <f>IFERROR(VLOOKUP(A102, Internal_Ledger!A:G, 5, FALSE), 0)</f>
        <v>400</v>
      </c>
      <c r="E102">
        <f>IFERROR(VLOOKUP(A102, Broker_Statement!A:G, 5, FALSE), 0)</f>
        <v>400</v>
      </c>
      <c r="F102">
        <f>IFERROR(VLOOKUP(A102, Internal_Ledger!A:G, 6, FALSE), 0)</f>
        <v>396.67999267578125</v>
      </c>
      <c r="G102">
        <f>IFERROR(VLOOKUP(A102, Broker_Statement!A:G, 6, FALSE), 0)</f>
        <v>396.67999267578125</v>
      </c>
      <c r="H102" s="7">
        <f t="shared" si="1"/>
        <v>0</v>
      </c>
    </row>
    <row r="103" spans="1:8" x14ac:dyDescent="0.3">
      <c r="A103" t="s">
        <v>122</v>
      </c>
      <c r="B103" t="str">
        <f>IFERROR(VLOOKUP(A103, Internal_Ledger!A:B, 2, FALSE), VLOOKUP(A103, Broker_Statement!A:B, 2, FALSE))</f>
        <v>INE018A01030</v>
      </c>
      <c r="C103" t="str">
        <f>IF(COUNTIF(Internal_Ledger!A:A, A103)=0, "Missing Internal", IF(COUNTIF(Broker_Statement!A:A, A103)=0, "Missing on Street", IF(D103&lt;&gt;E103, "Quantity Break", IF(F103&lt;&gt;G103, "Price Break", "Matched Perfectly"))))</f>
        <v>Matched Perfectly</v>
      </c>
      <c r="D103">
        <f>IFERROR(VLOOKUP(A103, Internal_Ledger!A:G, 5, FALSE), 0)</f>
        <v>700</v>
      </c>
      <c r="E103">
        <f>IFERROR(VLOOKUP(A103, Broker_Statement!A:G, 5, FALSE), 0)</f>
        <v>700</v>
      </c>
      <c r="F103">
        <f>IFERROR(VLOOKUP(A103, Internal_Ledger!A:G, 6, FALSE), 0)</f>
        <v>313.48001098632813</v>
      </c>
      <c r="G103">
        <f>IFERROR(VLOOKUP(A103, Broker_Statement!A:G, 6, FALSE), 0)</f>
        <v>313.48001098632813</v>
      </c>
      <c r="H103" s="7">
        <f t="shared" si="1"/>
        <v>0</v>
      </c>
    </row>
    <row r="104" spans="1:8" x14ac:dyDescent="0.3">
      <c r="A104" t="s">
        <v>123</v>
      </c>
      <c r="B104" t="str">
        <f>IFERROR(VLOOKUP(A104, Internal_Ledger!A:B, 2, FALSE), VLOOKUP(A104, Broker_Statement!A:B, 2, FALSE))</f>
        <v>INE030A01027</v>
      </c>
      <c r="C104" t="str">
        <f>IF(COUNTIF(Internal_Ledger!A:A, A104)=0, "Missing Internal", IF(COUNTIF(Broker_Statement!A:A, A104)=0, "Missing on Street", IF(D104&lt;&gt;E104, "Quantity Break", IF(F104&lt;&gt;G104, "Price Break", "Matched Perfectly"))))</f>
        <v>Matched Perfectly</v>
      </c>
      <c r="D104">
        <f>IFERROR(VLOOKUP(A104, Internal_Ledger!A:G, 5, FALSE), 0)</f>
        <v>2800</v>
      </c>
      <c r="E104">
        <f>IFERROR(VLOOKUP(A104, Broker_Statement!A:G, 5, FALSE), 0)</f>
        <v>2800</v>
      </c>
      <c r="F104">
        <f>IFERROR(VLOOKUP(A104, Internal_Ledger!A:G, 6, FALSE), 0)</f>
        <v>453.42999267578125</v>
      </c>
      <c r="G104">
        <f>IFERROR(VLOOKUP(A104, Broker_Statement!A:G, 6, FALSE), 0)</f>
        <v>453.42999267578125</v>
      </c>
      <c r="H104" s="7">
        <f t="shared" si="1"/>
        <v>0</v>
      </c>
    </row>
    <row r="105" spans="1:8" x14ac:dyDescent="0.3">
      <c r="A105" t="s">
        <v>124</v>
      </c>
      <c r="B105" t="str">
        <f>IFERROR(VLOOKUP(A105, Internal_Ledger!A:B, 2, FALSE), VLOOKUP(A105, Broker_Statement!A:B, 2, FALSE))</f>
        <v>INE040A01034</v>
      </c>
      <c r="C105" t="str">
        <f>IF(COUNTIF(Internal_Ledger!A:A, A105)=0, "Missing Internal", IF(COUNTIF(Broker_Statement!A:A, A105)=0, "Missing on Street", IF(D105&lt;&gt;E105, "Quantity Break", IF(F105&lt;&gt;G105, "Price Break", "Matched Perfectly"))))</f>
        <v>Matched Perfectly</v>
      </c>
      <c r="D105">
        <f>IFERROR(VLOOKUP(A105, Internal_Ledger!A:G, 5, FALSE), 0)</f>
        <v>3000</v>
      </c>
      <c r="E105">
        <f>IFERROR(VLOOKUP(A105, Broker_Statement!A:G, 5, FALSE), 0)</f>
        <v>3000</v>
      </c>
      <c r="F105">
        <f>IFERROR(VLOOKUP(A105, Internal_Ledger!A:G, 6, FALSE), 0)</f>
        <v>533.52001953125</v>
      </c>
      <c r="G105">
        <f>IFERROR(VLOOKUP(A105, Broker_Statement!A:G, 6, FALSE), 0)</f>
        <v>533.52001953125</v>
      </c>
      <c r="H105" s="7">
        <f t="shared" si="1"/>
        <v>0</v>
      </c>
    </row>
    <row r="106" spans="1:8" x14ac:dyDescent="0.3">
      <c r="A106" t="s">
        <v>125</v>
      </c>
      <c r="B106" t="str">
        <f>IFERROR(VLOOKUP(A106, Internal_Ledger!A:B, 2, FALSE), VLOOKUP(A106, Broker_Statement!A:B, 2, FALSE))</f>
        <v>INE030A01027</v>
      </c>
      <c r="C106" t="str">
        <f>IF(COUNTIF(Internal_Ledger!A:A, A106)=0, "Missing Internal", IF(COUNTIF(Broker_Statement!A:A, A106)=0, "Missing on Street", IF(D106&lt;&gt;E106, "Quantity Break", IF(F106&lt;&gt;G106, "Price Break", "Matched Perfectly"))))</f>
        <v>Matched Perfectly</v>
      </c>
      <c r="D106">
        <f>IFERROR(VLOOKUP(A106, Internal_Ledger!A:G, 5, FALSE), 0)</f>
        <v>2750</v>
      </c>
      <c r="E106">
        <f>IFERROR(VLOOKUP(A106, Broker_Statement!A:G, 5, FALSE), 0)</f>
        <v>2750</v>
      </c>
      <c r="F106">
        <f>IFERROR(VLOOKUP(A106, Internal_Ledger!A:G, 6, FALSE), 0)</f>
        <v>404.55999755859375</v>
      </c>
      <c r="G106">
        <f>IFERROR(VLOOKUP(A106, Broker_Statement!A:G, 6, FALSE), 0)</f>
        <v>404.55999755859375</v>
      </c>
      <c r="H106" s="7">
        <f t="shared" si="1"/>
        <v>0</v>
      </c>
    </row>
    <row r="107" spans="1:8" x14ac:dyDescent="0.3">
      <c r="A107" t="s">
        <v>126</v>
      </c>
      <c r="B107" t="str">
        <f>IFERROR(VLOOKUP(A107, Internal_Ledger!A:B, 2, FALSE), VLOOKUP(A107, Broker_Statement!A:B, 2, FALSE))</f>
        <v>INE009A01021</v>
      </c>
      <c r="C107" t="str">
        <f>IF(COUNTIF(Internal_Ledger!A:A, A107)=0, "Missing Internal", IF(COUNTIF(Broker_Statement!A:A, A107)=0, "Missing on Street", IF(D107&lt;&gt;E107, "Quantity Break", IF(F107&lt;&gt;G107, "Price Break", "Matched Perfectly"))))</f>
        <v>Matched Perfectly</v>
      </c>
      <c r="D107">
        <f>IFERROR(VLOOKUP(A107, Internal_Ledger!A:G, 5, FALSE), 0)</f>
        <v>4900</v>
      </c>
      <c r="E107">
        <f>IFERROR(VLOOKUP(A107, Broker_Statement!A:G, 5, FALSE), 0)</f>
        <v>4900</v>
      </c>
      <c r="F107">
        <f>IFERROR(VLOOKUP(A107, Internal_Ledger!A:G, 6, FALSE), 0)</f>
        <v>409.32998657226563</v>
      </c>
      <c r="G107">
        <f>IFERROR(VLOOKUP(A107, Broker_Statement!A:G, 6, FALSE), 0)</f>
        <v>409.32998657226563</v>
      </c>
      <c r="H107" s="7">
        <f t="shared" si="1"/>
        <v>0</v>
      </c>
    </row>
    <row r="108" spans="1:8" x14ac:dyDescent="0.3">
      <c r="A108" t="s">
        <v>127</v>
      </c>
      <c r="B108" t="str">
        <f>IFERROR(VLOOKUP(A108, Internal_Ledger!A:B, 2, FALSE), VLOOKUP(A108, Broker_Statement!A:B, 2, FALSE))</f>
        <v>INE018A01030</v>
      </c>
      <c r="C108" t="str">
        <f>IF(COUNTIF(Internal_Ledger!A:A, A108)=0, "Missing Internal", IF(COUNTIF(Broker_Statement!A:A, A108)=0, "Missing on Street", IF(D108&lt;&gt;E108, "Quantity Break", IF(F108&lt;&gt;G108, "Price Break", "Matched Perfectly"))))</f>
        <v>Matched Perfectly</v>
      </c>
      <c r="D108">
        <f>IFERROR(VLOOKUP(A108, Internal_Ledger!A:G, 5, FALSE), 0)</f>
        <v>700</v>
      </c>
      <c r="E108">
        <f>IFERROR(VLOOKUP(A108, Broker_Statement!A:G, 5, FALSE), 0)</f>
        <v>700</v>
      </c>
      <c r="F108">
        <f>IFERROR(VLOOKUP(A108, Internal_Ledger!A:G, 6, FALSE), 0)</f>
        <v>477.08999633789063</v>
      </c>
      <c r="G108">
        <f>IFERROR(VLOOKUP(A108, Broker_Statement!A:G, 6, FALSE), 0)</f>
        <v>477.08999633789063</v>
      </c>
      <c r="H108" s="7">
        <f t="shared" si="1"/>
        <v>0</v>
      </c>
    </row>
    <row r="109" spans="1:8" x14ac:dyDescent="0.3">
      <c r="A109" t="s">
        <v>128</v>
      </c>
      <c r="B109" t="str">
        <f>IFERROR(VLOOKUP(A109, Internal_Ledger!A:B, 2, FALSE), VLOOKUP(A109, Broker_Statement!A:B, 2, FALSE))</f>
        <v>INE002A01018</v>
      </c>
      <c r="C109" t="str">
        <f>IF(COUNTIF(Internal_Ledger!A:A, A109)=0, "Missing Internal", IF(COUNTIF(Broker_Statement!A:A, A109)=0, "Missing on Street", IF(D109&lt;&gt;E109, "Quantity Break", IF(F109&lt;&gt;G109, "Price Break", "Matched Perfectly"))))</f>
        <v>Matched Perfectly</v>
      </c>
      <c r="D109">
        <f>IFERROR(VLOOKUP(A109, Internal_Ledger!A:G, 5, FALSE), 0)</f>
        <v>3100</v>
      </c>
      <c r="E109">
        <f>IFERROR(VLOOKUP(A109, Broker_Statement!A:G, 5, FALSE), 0)</f>
        <v>3100</v>
      </c>
      <c r="F109">
        <f>IFERROR(VLOOKUP(A109, Internal_Ledger!A:G, 6, FALSE), 0)</f>
        <v>501.20001220703125</v>
      </c>
      <c r="G109">
        <f>IFERROR(VLOOKUP(A109, Broker_Statement!A:G, 6, FALSE), 0)</f>
        <v>501.20001220703125</v>
      </c>
      <c r="H109" s="7">
        <f t="shared" si="1"/>
        <v>0</v>
      </c>
    </row>
    <row r="110" spans="1:8" x14ac:dyDescent="0.3">
      <c r="A110" t="s">
        <v>129</v>
      </c>
      <c r="B110" t="str">
        <f>IFERROR(VLOOKUP(A110, Internal_Ledger!A:B, 2, FALSE), VLOOKUP(A110, Broker_Statement!A:B, 2, FALSE))</f>
        <v>INE018A01030</v>
      </c>
      <c r="C110" t="str">
        <f>IF(COUNTIF(Internal_Ledger!A:A, A110)=0, "Missing Internal", IF(COUNTIF(Broker_Statement!A:A, A110)=0, "Missing on Street", IF(D110&lt;&gt;E110, "Quantity Break", IF(F110&lt;&gt;G110, "Price Break", "Matched Perfectly"))))</f>
        <v>Quantity Break</v>
      </c>
      <c r="D110">
        <f>IFERROR(VLOOKUP(A110, Internal_Ledger!A:G, 5, FALSE), 0)</f>
        <v>1100</v>
      </c>
      <c r="E110">
        <f>IFERROR(VLOOKUP(A110, Broker_Statement!A:G, 5, FALSE), 0)</f>
        <v>1050</v>
      </c>
      <c r="F110">
        <f>IFERROR(VLOOKUP(A110, Internal_Ledger!A:G, 6, FALSE), 0)</f>
        <v>171.97000122070313</v>
      </c>
      <c r="G110">
        <f>IFERROR(VLOOKUP(A110, Broker_Statement!A:G, 6, FALSE), 0)</f>
        <v>171.97000122070313</v>
      </c>
      <c r="H110" s="7">
        <f t="shared" si="1"/>
        <v>8598.5000610351563</v>
      </c>
    </row>
    <row r="111" spans="1:8" x14ac:dyDescent="0.3">
      <c r="A111" t="s">
        <v>130</v>
      </c>
      <c r="B111" t="str">
        <f>IFERROR(VLOOKUP(A111, Internal_Ledger!A:B, 2, FALSE), VLOOKUP(A111, Broker_Statement!A:B, 2, FALSE))</f>
        <v>INE002A01018</v>
      </c>
      <c r="C111" t="str">
        <f>IF(COUNTIF(Internal_Ledger!A:A, A111)=0, "Missing Internal", IF(COUNTIF(Broker_Statement!A:A, A111)=0, "Missing on Street", IF(D111&lt;&gt;E111, "Quantity Break", IF(F111&lt;&gt;G111, "Price Break", "Matched Perfectly"))))</f>
        <v>Matched Perfectly</v>
      </c>
      <c r="D111">
        <f>IFERROR(VLOOKUP(A111, Internal_Ledger!A:G, 5, FALSE), 0)</f>
        <v>3800</v>
      </c>
      <c r="E111">
        <f>IFERROR(VLOOKUP(A111, Broker_Statement!A:G, 5, FALSE), 0)</f>
        <v>3800</v>
      </c>
      <c r="F111">
        <f>IFERROR(VLOOKUP(A111, Internal_Ledger!A:G, 6, FALSE), 0)</f>
        <v>561.28997802734375</v>
      </c>
      <c r="G111">
        <f>IFERROR(VLOOKUP(A111, Broker_Statement!A:G, 6, FALSE), 0)</f>
        <v>561.28997802734375</v>
      </c>
      <c r="H111" s="7">
        <f t="shared" si="1"/>
        <v>0</v>
      </c>
    </row>
    <row r="112" spans="1:8" x14ac:dyDescent="0.3">
      <c r="A112" t="s">
        <v>131</v>
      </c>
      <c r="B112" t="str">
        <f>IFERROR(VLOOKUP(A112, Internal_Ledger!A:B, 2, FALSE), VLOOKUP(A112, Broker_Statement!A:B, 2, FALSE))</f>
        <v>INE018A01030</v>
      </c>
      <c r="C112" t="str">
        <f>IF(COUNTIF(Internal_Ledger!A:A, A112)=0, "Missing Internal", IF(COUNTIF(Broker_Statement!A:A, A112)=0, "Missing on Street", IF(D112&lt;&gt;E112, "Quantity Break", IF(F112&lt;&gt;G112, "Price Break", "Matched Perfectly"))))</f>
        <v>Matched Perfectly</v>
      </c>
      <c r="D112">
        <f>IFERROR(VLOOKUP(A112, Internal_Ledger!A:G, 5, FALSE), 0)</f>
        <v>2100</v>
      </c>
      <c r="E112">
        <f>IFERROR(VLOOKUP(A112, Broker_Statement!A:G, 5, FALSE), 0)</f>
        <v>2100</v>
      </c>
      <c r="F112">
        <f>IFERROR(VLOOKUP(A112, Internal_Ledger!A:G, 6, FALSE), 0)</f>
        <v>381.25</v>
      </c>
      <c r="G112">
        <f>IFERROR(VLOOKUP(A112, Broker_Statement!A:G, 6, FALSE), 0)</f>
        <v>381.25</v>
      </c>
      <c r="H112" s="7">
        <f t="shared" si="1"/>
        <v>0</v>
      </c>
    </row>
    <row r="113" spans="1:8" x14ac:dyDescent="0.3">
      <c r="A113" t="s">
        <v>132</v>
      </c>
      <c r="B113" t="str">
        <f>IFERROR(VLOOKUP(A113, Internal_Ledger!A:B, 2, FALSE), VLOOKUP(A113, Broker_Statement!A:B, 2, FALSE))</f>
        <v>INE009A01021</v>
      </c>
      <c r="C113" t="str">
        <f>IF(COUNTIF(Internal_Ledger!A:A, A113)=0, "Missing Internal", IF(COUNTIF(Broker_Statement!A:A, A113)=0, "Missing on Street", IF(D113&lt;&gt;E113, "Quantity Break", IF(F113&lt;&gt;G113, "Price Break", "Matched Perfectly"))))</f>
        <v>Matched Perfectly</v>
      </c>
      <c r="D113">
        <f>IFERROR(VLOOKUP(A113, Internal_Ledger!A:G, 5, FALSE), 0)</f>
        <v>2700</v>
      </c>
      <c r="E113">
        <f>IFERROR(VLOOKUP(A113, Broker_Statement!A:G, 5, FALSE), 0)</f>
        <v>2700</v>
      </c>
      <c r="F113">
        <f>IFERROR(VLOOKUP(A113, Internal_Ledger!A:G, 6, FALSE), 0)</f>
        <v>463.33999633789063</v>
      </c>
      <c r="G113">
        <f>IFERROR(VLOOKUP(A113, Broker_Statement!A:G, 6, FALSE), 0)</f>
        <v>463.33999633789063</v>
      </c>
      <c r="H113" s="7">
        <f t="shared" si="1"/>
        <v>0</v>
      </c>
    </row>
    <row r="114" spans="1:8" x14ac:dyDescent="0.3">
      <c r="A114" t="s">
        <v>133</v>
      </c>
      <c r="B114" t="str">
        <f>IFERROR(VLOOKUP(A114, Internal_Ledger!A:B, 2, FALSE), VLOOKUP(A114, Broker_Statement!A:B, 2, FALSE))</f>
        <v>INE030A01027</v>
      </c>
      <c r="C114" t="str">
        <f>IF(COUNTIF(Internal_Ledger!A:A, A114)=0, "Missing Internal", IF(COUNTIF(Broker_Statement!A:A, A114)=0, "Missing on Street", IF(D114&lt;&gt;E114, "Quantity Break", IF(F114&lt;&gt;G114, "Price Break", "Matched Perfectly"))))</f>
        <v>Matched Perfectly</v>
      </c>
      <c r="D114">
        <f>IFERROR(VLOOKUP(A114, Internal_Ledger!A:G, 5, FALSE), 0)</f>
        <v>1400</v>
      </c>
      <c r="E114">
        <f>IFERROR(VLOOKUP(A114, Broker_Statement!A:G, 5, FALSE), 0)</f>
        <v>1400</v>
      </c>
      <c r="F114">
        <f>IFERROR(VLOOKUP(A114, Internal_Ledger!A:G, 6, FALSE), 0)</f>
        <v>630.29998779296875</v>
      </c>
      <c r="G114">
        <f>IFERROR(VLOOKUP(A114, Broker_Statement!A:G, 6, FALSE), 0)</f>
        <v>630.29998779296875</v>
      </c>
      <c r="H114" s="7">
        <f t="shared" si="1"/>
        <v>0</v>
      </c>
    </row>
    <row r="115" spans="1:8" x14ac:dyDescent="0.3">
      <c r="A115" t="s">
        <v>134</v>
      </c>
      <c r="B115" t="str">
        <f>IFERROR(VLOOKUP(A115, Internal_Ledger!A:B, 2, FALSE), VLOOKUP(A115, Broker_Statement!A:B, 2, FALSE))</f>
        <v>INE030A01027</v>
      </c>
      <c r="C115" t="str">
        <f>IF(COUNTIF(Internal_Ledger!A:A, A115)=0, "Missing Internal", IF(COUNTIF(Broker_Statement!A:A, A115)=0, "Missing on Street", IF(D115&lt;&gt;E115, "Quantity Break", IF(F115&lt;&gt;G115, "Price Break", "Matched Perfectly"))))</f>
        <v>Matched Perfectly</v>
      </c>
      <c r="D115">
        <f>IFERROR(VLOOKUP(A115, Internal_Ledger!A:G, 5, FALSE), 0)</f>
        <v>1650</v>
      </c>
      <c r="E115">
        <f>IFERROR(VLOOKUP(A115, Broker_Statement!A:G, 5, FALSE), 0)</f>
        <v>1650</v>
      </c>
      <c r="F115">
        <f>IFERROR(VLOOKUP(A115, Internal_Ledger!A:G, 6, FALSE), 0)</f>
        <v>257.3800048828125</v>
      </c>
      <c r="G115">
        <f>IFERROR(VLOOKUP(A115, Broker_Statement!A:G, 6, FALSE), 0)</f>
        <v>257.3800048828125</v>
      </c>
      <c r="H115" s="7">
        <f t="shared" si="1"/>
        <v>0</v>
      </c>
    </row>
    <row r="116" spans="1:8" x14ac:dyDescent="0.3">
      <c r="A116" t="s">
        <v>135</v>
      </c>
      <c r="B116" t="str">
        <f>IFERROR(VLOOKUP(A116, Internal_Ledger!A:B, 2, FALSE), VLOOKUP(A116, Broker_Statement!A:B, 2, FALSE))</f>
        <v>INE018A01030</v>
      </c>
      <c r="C116" t="str">
        <f>IF(COUNTIF(Internal_Ledger!A:A, A116)=0, "Missing Internal", IF(COUNTIF(Broker_Statement!A:A, A116)=0, "Missing on Street", IF(D116&lt;&gt;E116, "Quantity Break", IF(F116&lt;&gt;G116, "Price Break", "Matched Perfectly"))))</f>
        <v>Matched Perfectly</v>
      </c>
      <c r="D116">
        <f>IFERROR(VLOOKUP(A116, Internal_Ledger!A:G, 5, FALSE), 0)</f>
        <v>3450</v>
      </c>
      <c r="E116">
        <f>IFERROR(VLOOKUP(A116, Broker_Statement!A:G, 5, FALSE), 0)</f>
        <v>3450</v>
      </c>
      <c r="F116">
        <f>IFERROR(VLOOKUP(A116, Internal_Ledger!A:G, 6, FALSE), 0)</f>
        <v>444.95999145507813</v>
      </c>
      <c r="G116">
        <f>IFERROR(VLOOKUP(A116, Broker_Statement!A:G, 6, FALSE), 0)</f>
        <v>444.95999145507813</v>
      </c>
      <c r="H116" s="7">
        <f t="shared" si="1"/>
        <v>0</v>
      </c>
    </row>
    <row r="117" spans="1:8" x14ac:dyDescent="0.3">
      <c r="A117" t="s">
        <v>136</v>
      </c>
      <c r="B117" t="str">
        <f>IFERROR(VLOOKUP(A117, Internal_Ledger!A:B, 2, FALSE), VLOOKUP(A117, Broker_Statement!A:B, 2, FALSE))</f>
        <v>INE002A01018</v>
      </c>
      <c r="C117" t="str">
        <f>IF(COUNTIF(Internal_Ledger!A:A, A117)=0, "Missing Internal", IF(COUNTIF(Broker_Statement!A:A, A117)=0, "Missing on Street", IF(D117&lt;&gt;E117, "Quantity Break", IF(F117&lt;&gt;G117, "Price Break", "Matched Perfectly"))))</f>
        <v>Matched Perfectly</v>
      </c>
      <c r="D117">
        <f>IFERROR(VLOOKUP(A117, Internal_Ledger!A:G, 5, FALSE), 0)</f>
        <v>1250</v>
      </c>
      <c r="E117">
        <f>IFERROR(VLOOKUP(A117, Broker_Statement!A:G, 5, FALSE), 0)</f>
        <v>1250</v>
      </c>
      <c r="F117">
        <f>IFERROR(VLOOKUP(A117, Internal_Ledger!A:G, 6, FALSE), 0)</f>
        <v>349.3800048828125</v>
      </c>
      <c r="G117">
        <f>IFERROR(VLOOKUP(A117, Broker_Statement!A:G, 6, FALSE), 0)</f>
        <v>349.3800048828125</v>
      </c>
      <c r="H117" s="7">
        <f t="shared" si="1"/>
        <v>0</v>
      </c>
    </row>
    <row r="118" spans="1:8" x14ac:dyDescent="0.3">
      <c r="A118" t="s">
        <v>137</v>
      </c>
      <c r="B118" t="str">
        <f>IFERROR(VLOOKUP(A118, Internal_Ledger!A:B, 2, FALSE), VLOOKUP(A118, Broker_Statement!A:B, 2, FALSE))</f>
        <v>INE009A01021</v>
      </c>
      <c r="C118" t="str">
        <f>IF(COUNTIF(Internal_Ledger!A:A, A118)=0, "Missing Internal", IF(COUNTIF(Broker_Statement!A:A, A118)=0, "Missing on Street", IF(D118&lt;&gt;E118, "Quantity Break", IF(F118&lt;&gt;G118, "Price Break", "Matched Perfectly"))))</f>
        <v>Matched Perfectly</v>
      </c>
      <c r="D118">
        <f>IFERROR(VLOOKUP(A118, Internal_Ledger!A:G, 5, FALSE), 0)</f>
        <v>2650</v>
      </c>
      <c r="E118">
        <f>IFERROR(VLOOKUP(A118, Broker_Statement!A:G, 5, FALSE), 0)</f>
        <v>2650</v>
      </c>
      <c r="F118">
        <f>IFERROR(VLOOKUP(A118, Internal_Ledger!A:G, 6, FALSE), 0)</f>
        <v>343.76998901367188</v>
      </c>
      <c r="G118">
        <f>IFERROR(VLOOKUP(A118, Broker_Statement!A:G, 6, FALSE), 0)</f>
        <v>343.76998901367188</v>
      </c>
      <c r="H118" s="7">
        <f t="shared" si="1"/>
        <v>0</v>
      </c>
    </row>
    <row r="119" spans="1:8" x14ac:dyDescent="0.3">
      <c r="A119" t="s">
        <v>138</v>
      </c>
      <c r="B119" t="str">
        <f>IFERROR(VLOOKUP(A119, Internal_Ledger!A:B, 2, FALSE), VLOOKUP(A119, Broker_Statement!A:B, 2, FALSE))</f>
        <v>INE009A01021</v>
      </c>
      <c r="C119" t="str">
        <f>IF(COUNTIF(Internal_Ledger!A:A, A119)=0, "Missing Internal", IF(COUNTIF(Broker_Statement!A:A, A119)=0, "Missing on Street", IF(D119&lt;&gt;E119, "Quantity Break", IF(F119&lt;&gt;G119, "Price Break", "Matched Perfectly"))))</f>
        <v>Matched Perfectly</v>
      </c>
      <c r="D119">
        <f>IFERROR(VLOOKUP(A119, Internal_Ledger!A:G, 5, FALSE), 0)</f>
        <v>4950</v>
      </c>
      <c r="E119">
        <f>IFERROR(VLOOKUP(A119, Broker_Statement!A:G, 5, FALSE), 0)</f>
        <v>4950</v>
      </c>
      <c r="F119">
        <f>IFERROR(VLOOKUP(A119, Internal_Ledger!A:G, 6, FALSE), 0)</f>
        <v>305.95999145507813</v>
      </c>
      <c r="G119">
        <f>IFERROR(VLOOKUP(A119, Broker_Statement!A:G, 6, FALSE), 0)</f>
        <v>305.95999145507813</v>
      </c>
      <c r="H119" s="7">
        <f t="shared" si="1"/>
        <v>0</v>
      </c>
    </row>
    <row r="120" spans="1:8" x14ac:dyDescent="0.3">
      <c r="A120" t="s">
        <v>139</v>
      </c>
      <c r="B120" t="str">
        <f>IFERROR(VLOOKUP(A120, Internal_Ledger!A:B, 2, FALSE), VLOOKUP(A120, Broker_Statement!A:B, 2, FALSE))</f>
        <v>INE040A01034</v>
      </c>
      <c r="C120" t="str">
        <f>IF(COUNTIF(Internal_Ledger!A:A, A120)=0, "Missing Internal", IF(COUNTIF(Broker_Statement!A:A, A120)=0, "Missing on Street", IF(D120&lt;&gt;E120, "Quantity Break", IF(F120&lt;&gt;G120, "Price Break", "Matched Perfectly"))))</f>
        <v>Matched Perfectly</v>
      </c>
      <c r="D120">
        <f>IFERROR(VLOOKUP(A120, Internal_Ledger!A:G, 5, FALSE), 0)</f>
        <v>3050</v>
      </c>
      <c r="E120">
        <f>IFERROR(VLOOKUP(A120, Broker_Statement!A:G, 5, FALSE), 0)</f>
        <v>3050</v>
      </c>
      <c r="F120">
        <f>IFERROR(VLOOKUP(A120, Internal_Ledger!A:G, 6, FALSE), 0)</f>
        <v>455.10000610351563</v>
      </c>
      <c r="G120">
        <f>IFERROR(VLOOKUP(A120, Broker_Statement!A:G, 6, FALSE), 0)</f>
        <v>455.10000610351563</v>
      </c>
      <c r="H120" s="7">
        <f t="shared" si="1"/>
        <v>0</v>
      </c>
    </row>
    <row r="121" spans="1:8" x14ac:dyDescent="0.3">
      <c r="A121" t="s">
        <v>140</v>
      </c>
      <c r="B121" t="str">
        <f>IFERROR(VLOOKUP(A121, Internal_Ledger!A:B, 2, FALSE), VLOOKUP(A121, Broker_Statement!A:B, 2, FALSE))</f>
        <v>INE040A01034</v>
      </c>
      <c r="C121" t="str">
        <f>IF(COUNTIF(Internal_Ledger!A:A, A121)=0, "Missing Internal", IF(COUNTIF(Broker_Statement!A:A, A121)=0, "Missing on Street", IF(D121&lt;&gt;E121, "Quantity Break", IF(F121&lt;&gt;G121, "Price Break", "Matched Perfectly"))))</f>
        <v>Matched Perfectly</v>
      </c>
      <c r="D121">
        <f>IFERROR(VLOOKUP(A121, Internal_Ledger!A:G, 5, FALSE), 0)</f>
        <v>4150</v>
      </c>
      <c r="E121">
        <f>IFERROR(VLOOKUP(A121, Broker_Statement!A:G, 5, FALSE), 0)</f>
        <v>4150</v>
      </c>
      <c r="F121">
        <f>IFERROR(VLOOKUP(A121, Internal_Ledger!A:G, 6, FALSE), 0)</f>
        <v>284.07000732421875</v>
      </c>
      <c r="G121">
        <f>IFERROR(VLOOKUP(A121, Broker_Statement!A:G, 6, FALSE), 0)</f>
        <v>284.07000732421875</v>
      </c>
      <c r="H121" s="7">
        <f t="shared" si="1"/>
        <v>0</v>
      </c>
    </row>
    <row r="122" spans="1:8" x14ac:dyDescent="0.3">
      <c r="A122" t="s">
        <v>141</v>
      </c>
      <c r="B122" t="str">
        <f>IFERROR(VLOOKUP(A122, Internal_Ledger!A:B, 2, FALSE), VLOOKUP(A122, Broker_Statement!A:B, 2, FALSE))</f>
        <v>INE009A01021</v>
      </c>
      <c r="C122" t="str">
        <f>IF(COUNTIF(Internal_Ledger!A:A, A122)=0, "Missing Internal", IF(COUNTIF(Broker_Statement!A:A, A122)=0, "Missing on Street", IF(D122&lt;&gt;E122, "Quantity Break", IF(F122&lt;&gt;G122, "Price Break", "Matched Perfectly"))))</f>
        <v>Matched Perfectly</v>
      </c>
      <c r="D122">
        <f>IFERROR(VLOOKUP(A122, Internal_Ledger!A:G, 5, FALSE), 0)</f>
        <v>4200</v>
      </c>
      <c r="E122">
        <f>IFERROR(VLOOKUP(A122, Broker_Statement!A:G, 5, FALSE), 0)</f>
        <v>4200</v>
      </c>
      <c r="F122">
        <f>IFERROR(VLOOKUP(A122, Internal_Ledger!A:G, 6, FALSE), 0)</f>
        <v>259.3900146484375</v>
      </c>
      <c r="G122">
        <f>IFERROR(VLOOKUP(A122, Broker_Statement!A:G, 6, FALSE), 0)</f>
        <v>259.3900146484375</v>
      </c>
      <c r="H122" s="7">
        <f t="shared" si="1"/>
        <v>0</v>
      </c>
    </row>
    <row r="123" spans="1:8" x14ac:dyDescent="0.3">
      <c r="A123" t="s">
        <v>142</v>
      </c>
      <c r="B123" t="str">
        <f>IFERROR(VLOOKUP(A123, Internal_Ledger!A:B, 2, FALSE), VLOOKUP(A123, Broker_Statement!A:B, 2, FALSE))</f>
        <v>INE040A01034</v>
      </c>
      <c r="C123" t="str">
        <f>IF(COUNTIF(Internal_Ledger!A:A, A123)=0, "Missing Internal", IF(COUNTIF(Broker_Statement!A:A, A123)=0, "Missing on Street", IF(D123&lt;&gt;E123, "Quantity Break", IF(F123&lt;&gt;G123, "Price Break", "Matched Perfectly"))))</f>
        <v>Matched Perfectly</v>
      </c>
      <c r="D123">
        <f>IFERROR(VLOOKUP(A123, Internal_Ledger!A:G, 5, FALSE), 0)</f>
        <v>4850</v>
      </c>
      <c r="E123">
        <f>IFERROR(VLOOKUP(A123, Broker_Statement!A:G, 5, FALSE), 0)</f>
        <v>4850</v>
      </c>
      <c r="F123">
        <f>IFERROR(VLOOKUP(A123, Internal_Ledger!A:G, 6, FALSE), 0)</f>
        <v>585.67999267578125</v>
      </c>
      <c r="G123">
        <f>IFERROR(VLOOKUP(A123, Broker_Statement!A:G, 6, FALSE), 0)</f>
        <v>585.67999267578125</v>
      </c>
      <c r="H123" s="7">
        <f t="shared" si="1"/>
        <v>0</v>
      </c>
    </row>
    <row r="124" spans="1:8" x14ac:dyDescent="0.3">
      <c r="A124" t="s">
        <v>143</v>
      </c>
      <c r="B124" t="str">
        <f>IFERROR(VLOOKUP(A124, Internal_Ledger!A:B, 2, FALSE), VLOOKUP(A124, Broker_Statement!A:B, 2, FALSE))</f>
        <v>INE030A01027</v>
      </c>
      <c r="C124" t="str">
        <f>IF(COUNTIF(Internal_Ledger!A:A, A124)=0, "Missing Internal", IF(COUNTIF(Broker_Statement!A:A, A124)=0, "Missing on Street", IF(D124&lt;&gt;E124, "Quantity Break", IF(F124&lt;&gt;G124, "Price Break", "Matched Perfectly"))))</f>
        <v>Price Break</v>
      </c>
      <c r="D124">
        <f>IFERROR(VLOOKUP(A124, Internal_Ledger!A:G, 5, FALSE), 0)</f>
        <v>3250</v>
      </c>
      <c r="E124">
        <f>IFERROR(VLOOKUP(A124, Broker_Statement!A:G, 5, FALSE), 0)</f>
        <v>3250</v>
      </c>
      <c r="F124">
        <f>IFERROR(VLOOKUP(A124, Internal_Ledger!A:G, 6, FALSE), 0)</f>
        <v>456.32998657226563</v>
      </c>
      <c r="G124">
        <f>IFERROR(VLOOKUP(A124, Broker_Statement!A:G, 6, FALSE), 0)</f>
        <v>456.05998656153679</v>
      </c>
      <c r="H124" s="7">
        <f t="shared" si="1"/>
        <v>877.50003486871719</v>
      </c>
    </row>
    <row r="125" spans="1:8" x14ac:dyDescent="0.3">
      <c r="A125" t="s">
        <v>144</v>
      </c>
      <c r="B125" t="str">
        <f>IFERROR(VLOOKUP(A125, Internal_Ledger!A:B, 2, FALSE), VLOOKUP(A125, Broker_Statement!A:B, 2, FALSE))</f>
        <v>INE002A01018</v>
      </c>
      <c r="C125" t="str">
        <f>IF(COUNTIF(Internal_Ledger!A:A, A125)=0, "Missing Internal", IF(COUNTIF(Broker_Statement!A:A, A125)=0, "Missing on Street", IF(D125&lt;&gt;E125, "Quantity Break", IF(F125&lt;&gt;G125, "Price Break", "Matched Perfectly"))))</f>
        <v>Matched Perfectly</v>
      </c>
      <c r="D125">
        <f>IFERROR(VLOOKUP(A125, Internal_Ledger!A:G, 5, FALSE), 0)</f>
        <v>1900</v>
      </c>
      <c r="E125">
        <f>IFERROR(VLOOKUP(A125, Broker_Statement!A:G, 5, FALSE), 0)</f>
        <v>1900</v>
      </c>
      <c r="F125">
        <f>IFERROR(VLOOKUP(A125, Internal_Ledger!A:G, 6, FALSE), 0)</f>
        <v>375.6199951171875</v>
      </c>
      <c r="G125">
        <f>IFERROR(VLOOKUP(A125, Broker_Statement!A:G, 6, FALSE), 0)</f>
        <v>375.6199951171875</v>
      </c>
      <c r="H125" s="7">
        <f t="shared" si="1"/>
        <v>0</v>
      </c>
    </row>
    <row r="126" spans="1:8" x14ac:dyDescent="0.3">
      <c r="A126" t="s">
        <v>145</v>
      </c>
      <c r="B126" t="str">
        <f>IFERROR(VLOOKUP(A126, Internal_Ledger!A:B, 2, FALSE), VLOOKUP(A126, Broker_Statement!A:B, 2, FALSE))</f>
        <v>INE040A01034</v>
      </c>
      <c r="C126" t="str">
        <f>IF(COUNTIF(Internal_Ledger!A:A, A126)=0, "Missing Internal", IF(COUNTIF(Broker_Statement!A:A, A126)=0, "Missing on Street", IF(D126&lt;&gt;E126, "Quantity Break", IF(F126&lt;&gt;G126, "Price Break", "Matched Perfectly"))))</f>
        <v>Matched Perfectly</v>
      </c>
      <c r="D126">
        <f>IFERROR(VLOOKUP(A126, Internal_Ledger!A:G, 5, FALSE), 0)</f>
        <v>3100</v>
      </c>
      <c r="E126">
        <f>IFERROR(VLOOKUP(A126, Broker_Statement!A:G, 5, FALSE), 0)</f>
        <v>3100</v>
      </c>
      <c r="F126">
        <f>IFERROR(VLOOKUP(A126, Internal_Ledger!A:G, 6, FALSE), 0)</f>
        <v>416.6199951171875</v>
      </c>
      <c r="G126">
        <f>IFERROR(VLOOKUP(A126, Broker_Statement!A:G, 6, FALSE), 0)</f>
        <v>416.6199951171875</v>
      </c>
      <c r="H126" s="7">
        <f t="shared" si="1"/>
        <v>0</v>
      </c>
    </row>
    <row r="127" spans="1:8" x14ac:dyDescent="0.3">
      <c r="A127" t="s">
        <v>146</v>
      </c>
      <c r="B127" t="str">
        <f>IFERROR(VLOOKUP(A127, Internal_Ledger!A:B, 2, FALSE), VLOOKUP(A127, Broker_Statement!A:B, 2, FALSE))</f>
        <v>INE030A01027</v>
      </c>
      <c r="C127" t="str">
        <f>IF(COUNTIF(Internal_Ledger!A:A, A127)=0, "Missing Internal", IF(COUNTIF(Broker_Statement!A:A, A127)=0, "Missing on Street", IF(D127&lt;&gt;E127, "Quantity Break", IF(F127&lt;&gt;G127, "Price Break", "Matched Perfectly"))))</f>
        <v>Matched Perfectly</v>
      </c>
      <c r="D127">
        <f>IFERROR(VLOOKUP(A127, Internal_Ledger!A:G, 5, FALSE), 0)</f>
        <v>1500</v>
      </c>
      <c r="E127">
        <f>IFERROR(VLOOKUP(A127, Broker_Statement!A:G, 5, FALSE), 0)</f>
        <v>1500</v>
      </c>
      <c r="F127">
        <f>IFERROR(VLOOKUP(A127, Internal_Ledger!A:G, 6, FALSE), 0)</f>
        <v>332.39999389648438</v>
      </c>
      <c r="G127">
        <f>IFERROR(VLOOKUP(A127, Broker_Statement!A:G, 6, FALSE), 0)</f>
        <v>332.39999389648438</v>
      </c>
      <c r="H127" s="7">
        <f t="shared" si="1"/>
        <v>0</v>
      </c>
    </row>
    <row r="128" spans="1:8" x14ac:dyDescent="0.3">
      <c r="A128" t="s">
        <v>147</v>
      </c>
      <c r="B128" t="str">
        <f>IFERROR(VLOOKUP(A128, Internal_Ledger!A:B, 2, FALSE), VLOOKUP(A128, Broker_Statement!A:B, 2, FALSE))</f>
        <v>INE009A01021</v>
      </c>
      <c r="C128" t="str">
        <f>IF(COUNTIF(Internal_Ledger!A:A, A128)=0, "Missing Internal", IF(COUNTIF(Broker_Statement!A:A, A128)=0, "Missing on Street", IF(D128&lt;&gt;E128, "Quantity Break", IF(F128&lt;&gt;G128, "Price Break", "Matched Perfectly"))))</f>
        <v>Matched Perfectly</v>
      </c>
      <c r="D128">
        <f>IFERROR(VLOOKUP(A128, Internal_Ledger!A:G, 5, FALSE), 0)</f>
        <v>3550</v>
      </c>
      <c r="E128">
        <f>IFERROR(VLOOKUP(A128, Broker_Statement!A:G, 5, FALSE), 0)</f>
        <v>3550</v>
      </c>
      <c r="F128">
        <f>IFERROR(VLOOKUP(A128, Internal_Ledger!A:G, 6, FALSE), 0)</f>
        <v>284.08999633789063</v>
      </c>
      <c r="G128">
        <f>IFERROR(VLOOKUP(A128, Broker_Statement!A:G, 6, FALSE), 0)</f>
        <v>284.08999633789063</v>
      </c>
      <c r="H128" s="7">
        <f t="shared" si="1"/>
        <v>0</v>
      </c>
    </row>
    <row r="129" spans="1:8" x14ac:dyDescent="0.3">
      <c r="A129" t="s">
        <v>148</v>
      </c>
      <c r="B129" t="str">
        <f>IFERROR(VLOOKUP(A129, Internal_Ledger!A:B, 2, FALSE), VLOOKUP(A129, Broker_Statement!A:B, 2, FALSE))</f>
        <v>INE018A01030</v>
      </c>
      <c r="C129" t="str">
        <f>IF(COUNTIF(Internal_Ledger!A:A, A129)=0, "Missing Internal", IF(COUNTIF(Broker_Statement!A:A, A129)=0, "Missing on Street", IF(D129&lt;&gt;E129, "Quantity Break", IF(F129&lt;&gt;G129, "Price Break", "Matched Perfectly"))))</f>
        <v>Matched Perfectly</v>
      </c>
      <c r="D129">
        <f>IFERROR(VLOOKUP(A129, Internal_Ledger!A:G, 5, FALSE), 0)</f>
        <v>1250</v>
      </c>
      <c r="E129">
        <f>IFERROR(VLOOKUP(A129, Broker_Statement!A:G, 5, FALSE), 0)</f>
        <v>1250</v>
      </c>
      <c r="F129">
        <f>IFERROR(VLOOKUP(A129, Internal_Ledger!A:G, 6, FALSE), 0)</f>
        <v>555.030029296875</v>
      </c>
      <c r="G129">
        <f>IFERROR(VLOOKUP(A129, Broker_Statement!A:G, 6, FALSE), 0)</f>
        <v>555.030029296875</v>
      </c>
      <c r="H129" s="7">
        <f t="shared" si="1"/>
        <v>0</v>
      </c>
    </row>
    <row r="130" spans="1:8" x14ac:dyDescent="0.3">
      <c r="A130" t="s">
        <v>150</v>
      </c>
      <c r="B130" t="str">
        <f>IFERROR(VLOOKUP(A130, Internal_Ledger!A:B, 2, FALSE), VLOOKUP(A130, Broker_Statement!A:B, 2, FALSE))</f>
        <v>INE002A01018</v>
      </c>
      <c r="C130" t="str">
        <f>IF(COUNTIF(Internal_Ledger!A:A, A130)=0, "Missing Internal", IF(COUNTIF(Broker_Statement!A:A, A130)=0, "Missing on Street", IF(D130&lt;&gt;E130, "Quantity Break", IF(F130&lt;&gt;G130, "Price Break", "Matched Perfectly"))))</f>
        <v>Matched Perfectly</v>
      </c>
      <c r="D130">
        <f>IFERROR(VLOOKUP(A130, Internal_Ledger!A:G, 5, FALSE), 0)</f>
        <v>550</v>
      </c>
      <c r="E130">
        <f>IFERROR(VLOOKUP(A130, Broker_Statement!A:G, 5, FALSE), 0)</f>
        <v>550</v>
      </c>
      <c r="F130">
        <f>IFERROR(VLOOKUP(A130, Internal_Ledger!A:G, 6, FALSE), 0)</f>
        <v>475.48001098632813</v>
      </c>
      <c r="G130">
        <f>IFERROR(VLOOKUP(A130, Broker_Statement!A:G, 6, FALSE), 0)</f>
        <v>475.48001098632813</v>
      </c>
      <c r="H130" s="7">
        <f t="shared" si="1"/>
        <v>0</v>
      </c>
    </row>
    <row r="131" spans="1:8" x14ac:dyDescent="0.3">
      <c r="A131" t="s">
        <v>151</v>
      </c>
      <c r="B131" t="str">
        <f>IFERROR(VLOOKUP(A131, Internal_Ledger!A:B, 2, FALSE), VLOOKUP(A131, Broker_Statement!A:B, 2, FALSE))</f>
        <v>INE030A01027</v>
      </c>
      <c r="C131" t="str">
        <f>IF(COUNTIF(Internal_Ledger!A:A, A131)=0, "Missing Internal", IF(COUNTIF(Broker_Statement!A:A, A131)=0, "Missing on Street", IF(D131&lt;&gt;E131, "Quantity Break", IF(F131&lt;&gt;G131, "Price Break", "Matched Perfectly"))))</f>
        <v>Matched Perfectly</v>
      </c>
      <c r="D131">
        <f>IFERROR(VLOOKUP(A131, Internal_Ledger!A:G, 5, FALSE), 0)</f>
        <v>2500</v>
      </c>
      <c r="E131">
        <f>IFERROR(VLOOKUP(A131, Broker_Statement!A:G, 5, FALSE), 0)</f>
        <v>2500</v>
      </c>
      <c r="F131">
        <f>IFERROR(VLOOKUP(A131, Internal_Ledger!A:G, 6, FALSE), 0)</f>
        <v>437.32998657226563</v>
      </c>
      <c r="G131">
        <f>IFERROR(VLOOKUP(A131, Broker_Statement!A:G, 6, FALSE), 0)</f>
        <v>437.32998657226563</v>
      </c>
      <c r="H131" s="7">
        <f t="shared" ref="H131:H194" si="2">ABS((D131*F131) - (E131*G131))</f>
        <v>0</v>
      </c>
    </row>
    <row r="132" spans="1:8" x14ac:dyDescent="0.3">
      <c r="A132" t="s">
        <v>152</v>
      </c>
      <c r="B132" t="str">
        <f>IFERROR(VLOOKUP(A132, Internal_Ledger!A:B, 2, FALSE), VLOOKUP(A132, Broker_Statement!A:B, 2, FALSE))</f>
        <v>INE018A01030</v>
      </c>
      <c r="C132" t="str">
        <f>IF(COUNTIF(Internal_Ledger!A:A, A132)=0, "Missing Internal", IF(COUNTIF(Broker_Statement!A:A, A132)=0, "Missing on Street", IF(D132&lt;&gt;E132, "Quantity Break", IF(F132&lt;&gt;G132, "Price Break", "Matched Perfectly"))))</f>
        <v>Matched Perfectly</v>
      </c>
      <c r="D132">
        <f>IFERROR(VLOOKUP(A132, Internal_Ledger!A:G, 5, FALSE), 0)</f>
        <v>1600</v>
      </c>
      <c r="E132">
        <f>IFERROR(VLOOKUP(A132, Broker_Statement!A:G, 5, FALSE), 0)</f>
        <v>1600</v>
      </c>
      <c r="F132">
        <f>IFERROR(VLOOKUP(A132, Internal_Ledger!A:G, 6, FALSE), 0)</f>
        <v>645.3699951171875</v>
      </c>
      <c r="G132">
        <f>IFERROR(VLOOKUP(A132, Broker_Statement!A:G, 6, FALSE), 0)</f>
        <v>645.3699951171875</v>
      </c>
      <c r="H132" s="7">
        <f t="shared" si="2"/>
        <v>0</v>
      </c>
    </row>
    <row r="133" spans="1:8" x14ac:dyDescent="0.3">
      <c r="A133" t="s">
        <v>153</v>
      </c>
      <c r="B133" t="str">
        <f>IFERROR(VLOOKUP(A133, Internal_Ledger!A:B, 2, FALSE), VLOOKUP(A133, Broker_Statement!A:B, 2, FALSE))</f>
        <v>INE009A01021</v>
      </c>
      <c r="C133" t="str">
        <f>IF(COUNTIF(Internal_Ledger!A:A, A133)=0, "Missing Internal", IF(COUNTIF(Broker_Statement!A:A, A133)=0, "Missing on Street", IF(D133&lt;&gt;E133, "Quantity Break", IF(F133&lt;&gt;G133, "Price Break", "Matched Perfectly"))))</f>
        <v>Matched Perfectly</v>
      </c>
      <c r="D133">
        <f>IFERROR(VLOOKUP(A133, Internal_Ledger!A:G, 5, FALSE), 0)</f>
        <v>350</v>
      </c>
      <c r="E133">
        <f>IFERROR(VLOOKUP(A133, Broker_Statement!A:G, 5, FALSE), 0)</f>
        <v>350</v>
      </c>
      <c r="F133">
        <f>IFERROR(VLOOKUP(A133, Internal_Ledger!A:G, 6, FALSE), 0)</f>
        <v>379.05999755859375</v>
      </c>
      <c r="G133">
        <f>IFERROR(VLOOKUP(A133, Broker_Statement!A:G, 6, FALSE), 0)</f>
        <v>379.05999755859375</v>
      </c>
      <c r="H133" s="7">
        <f t="shared" si="2"/>
        <v>0</v>
      </c>
    </row>
    <row r="134" spans="1:8" x14ac:dyDescent="0.3">
      <c r="A134" t="s">
        <v>154</v>
      </c>
      <c r="B134" t="str">
        <f>IFERROR(VLOOKUP(A134, Internal_Ledger!A:B, 2, FALSE), VLOOKUP(A134, Broker_Statement!A:B, 2, FALSE))</f>
        <v>INE040A01034</v>
      </c>
      <c r="C134" t="str">
        <f>IF(COUNTIF(Internal_Ledger!A:A, A134)=0, "Missing Internal", IF(COUNTIF(Broker_Statement!A:A, A134)=0, "Missing on Street", IF(D134&lt;&gt;E134, "Quantity Break", IF(F134&lt;&gt;G134, "Price Break", "Matched Perfectly"))))</f>
        <v>Matched Perfectly</v>
      </c>
      <c r="D134">
        <f>IFERROR(VLOOKUP(A134, Internal_Ledger!A:G, 5, FALSE), 0)</f>
        <v>2550</v>
      </c>
      <c r="E134">
        <f>IFERROR(VLOOKUP(A134, Broker_Statement!A:G, 5, FALSE), 0)</f>
        <v>2550</v>
      </c>
      <c r="F134">
        <f>IFERROR(VLOOKUP(A134, Internal_Ledger!A:G, 6, FALSE), 0)</f>
        <v>321.85000610351563</v>
      </c>
      <c r="G134">
        <f>IFERROR(VLOOKUP(A134, Broker_Statement!A:G, 6, FALSE), 0)</f>
        <v>321.85000610351563</v>
      </c>
      <c r="H134" s="7">
        <f t="shared" si="2"/>
        <v>0</v>
      </c>
    </row>
    <row r="135" spans="1:8" x14ac:dyDescent="0.3">
      <c r="A135" t="s">
        <v>155</v>
      </c>
      <c r="B135" t="str">
        <f>IFERROR(VLOOKUP(A135, Internal_Ledger!A:B, 2, FALSE), VLOOKUP(A135, Broker_Statement!A:B, 2, FALSE))</f>
        <v>INE009A01021</v>
      </c>
      <c r="C135" t="str">
        <f>IF(COUNTIF(Internal_Ledger!A:A, A135)=0, "Missing Internal", IF(COUNTIF(Broker_Statement!A:A, A135)=0, "Missing on Street", IF(D135&lt;&gt;E135, "Quantity Break", IF(F135&lt;&gt;G135, "Price Break", "Matched Perfectly"))))</f>
        <v>Matched Perfectly</v>
      </c>
      <c r="D135">
        <f>IFERROR(VLOOKUP(A135, Internal_Ledger!A:G, 5, FALSE), 0)</f>
        <v>3250</v>
      </c>
      <c r="E135">
        <f>IFERROR(VLOOKUP(A135, Broker_Statement!A:G, 5, FALSE), 0)</f>
        <v>3250</v>
      </c>
      <c r="F135">
        <f>IFERROR(VLOOKUP(A135, Internal_Ledger!A:G, 6, FALSE), 0)</f>
        <v>332.3800048828125</v>
      </c>
      <c r="G135">
        <f>IFERROR(VLOOKUP(A135, Broker_Statement!A:G, 6, FALSE), 0)</f>
        <v>332.3800048828125</v>
      </c>
      <c r="H135" s="7">
        <f t="shared" si="2"/>
        <v>0</v>
      </c>
    </row>
    <row r="136" spans="1:8" x14ac:dyDescent="0.3">
      <c r="A136" t="s">
        <v>156</v>
      </c>
      <c r="B136" t="str">
        <f>IFERROR(VLOOKUP(A136, Internal_Ledger!A:B, 2, FALSE), VLOOKUP(A136, Broker_Statement!A:B, 2, FALSE))</f>
        <v>INE040A01034</v>
      </c>
      <c r="C136" t="str">
        <f>IF(COUNTIF(Internal_Ledger!A:A, A136)=0, "Missing Internal", IF(COUNTIF(Broker_Statement!A:A, A136)=0, "Missing on Street", IF(D136&lt;&gt;E136, "Quantity Break", IF(F136&lt;&gt;G136, "Price Break", "Matched Perfectly"))))</f>
        <v>Matched Perfectly</v>
      </c>
      <c r="D136">
        <f>IFERROR(VLOOKUP(A136, Internal_Ledger!A:G, 5, FALSE), 0)</f>
        <v>1950</v>
      </c>
      <c r="E136">
        <f>IFERROR(VLOOKUP(A136, Broker_Statement!A:G, 5, FALSE), 0)</f>
        <v>1950</v>
      </c>
      <c r="F136">
        <f>IFERROR(VLOOKUP(A136, Internal_Ledger!A:G, 6, FALSE), 0)</f>
        <v>178.61000061035156</v>
      </c>
      <c r="G136">
        <f>IFERROR(VLOOKUP(A136, Broker_Statement!A:G, 6, FALSE), 0)</f>
        <v>178.61000061035156</v>
      </c>
      <c r="H136" s="7">
        <f t="shared" si="2"/>
        <v>0</v>
      </c>
    </row>
    <row r="137" spans="1:8" x14ac:dyDescent="0.3">
      <c r="A137" t="s">
        <v>157</v>
      </c>
      <c r="B137" t="str">
        <f>IFERROR(VLOOKUP(A137, Internal_Ledger!A:B, 2, FALSE), VLOOKUP(A137, Broker_Statement!A:B, 2, FALSE))</f>
        <v>INE002A01018</v>
      </c>
      <c r="C137" t="str">
        <f>IF(COUNTIF(Internal_Ledger!A:A, A137)=0, "Missing Internal", IF(COUNTIF(Broker_Statement!A:A, A137)=0, "Missing on Street", IF(D137&lt;&gt;E137, "Quantity Break", IF(F137&lt;&gt;G137, "Price Break", "Matched Perfectly"))))</f>
        <v>Matched Perfectly</v>
      </c>
      <c r="D137">
        <f>IFERROR(VLOOKUP(A137, Internal_Ledger!A:G, 5, FALSE), 0)</f>
        <v>1350</v>
      </c>
      <c r="E137">
        <f>IFERROR(VLOOKUP(A137, Broker_Statement!A:G, 5, FALSE), 0)</f>
        <v>1350</v>
      </c>
      <c r="F137">
        <f>IFERROR(VLOOKUP(A137, Internal_Ledger!A:G, 6, FALSE), 0)</f>
        <v>219.25</v>
      </c>
      <c r="G137">
        <f>IFERROR(VLOOKUP(A137, Broker_Statement!A:G, 6, FALSE), 0)</f>
        <v>219.25</v>
      </c>
      <c r="H137" s="7">
        <f t="shared" si="2"/>
        <v>0</v>
      </c>
    </row>
    <row r="138" spans="1:8" x14ac:dyDescent="0.3">
      <c r="A138" t="s">
        <v>158</v>
      </c>
      <c r="B138" t="str">
        <f>IFERROR(VLOOKUP(A138, Internal_Ledger!A:B, 2, FALSE), VLOOKUP(A138, Broker_Statement!A:B, 2, FALSE))</f>
        <v>INE030A01027</v>
      </c>
      <c r="C138" t="str">
        <f>IF(COUNTIF(Internal_Ledger!A:A, A138)=0, "Missing Internal", IF(COUNTIF(Broker_Statement!A:A, A138)=0, "Missing on Street", IF(D138&lt;&gt;E138, "Quantity Break", IF(F138&lt;&gt;G138, "Price Break", "Matched Perfectly"))))</f>
        <v>Matched Perfectly</v>
      </c>
      <c r="D138">
        <f>IFERROR(VLOOKUP(A138, Internal_Ledger!A:G, 5, FALSE), 0)</f>
        <v>4050</v>
      </c>
      <c r="E138">
        <f>IFERROR(VLOOKUP(A138, Broker_Statement!A:G, 5, FALSE), 0)</f>
        <v>4050</v>
      </c>
      <c r="F138">
        <f>IFERROR(VLOOKUP(A138, Internal_Ledger!A:G, 6, FALSE), 0)</f>
        <v>641.77001953125</v>
      </c>
      <c r="G138">
        <f>IFERROR(VLOOKUP(A138, Broker_Statement!A:G, 6, FALSE), 0)</f>
        <v>641.77001953125</v>
      </c>
      <c r="H138" s="7">
        <f t="shared" si="2"/>
        <v>0</v>
      </c>
    </row>
    <row r="139" spans="1:8" x14ac:dyDescent="0.3">
      <c r="A139" t="s">
        <v>159</v>
      </c>
      <c r="B139" t="str">
        <f>IFERROR(VLOOKUP(A139, Internal_Ledger!A:B, 2, FALSE), VLOOKUP(A139, Broker_Statement!A:B, 2, FALSE))</f>
        <v>INE002A01018</v>
      </c>
      <c r="C139" t="str">
        <f>IF(COUNTIF(Internal_Ledger!A:A, A139)=0, "Missing Internal", IF(COUNTIF(Broker_Statement!A:A, A139)=0, "Missing on Street", IF(D139&lt;&gt;E139, "Quantity Break", IF(F139&lt;&gt;G139, "Price Break", "Matched Perfectly"))))</f>
        <v>Matched Perfectly</v>
      </c>
      <c r="D139">
        <f>IFERROR(VLOOKUP(A139, Internal_Ledger!A:G, 5, FALSE), 0)</f>
        <v>1400</v>
      </c>
      <c r="E139">
        <f>IFERROR(VLOOKUP(A139, Broker_Statement!A:G, 5, FALSE), 0)</f>
        <v>1400</v>
      </c>
      <c r="F139">
        <f>IFERROR(VLOOKUP(A139, Internal_Ledger!A:G, 6, FALSE), 0)</f>
        <v>491.44000244140625</v>
      </c>
      <c r="G139">
        <f>IFERROR(VLOOKUP(A139, Broker_Statement!A:G, 6, FALSE), 0)</f>
        <v>491.44000244140625</v>
      </c>
      <c r="H139" s="7">
        <f t="shared" si="2"/>
        <v>0</v>
      </c>
    </row>
    <row r="140" spans="1:8" x14ac:dyDescent="0.3">
      <c r="A140" t="s">
        <v>160</v>
      </c>
      <c r="B140" t="str">
        <f>IFERROR(VLOOKUP(A140, Internal_Ledger!A:B, 2, FALSE), VLOOKUP(A140, Broker_Statement!A:B, 2, FALSE))</f>
        <v>INE009A01021</v>
      </c>
      <c r="C140" t="str">
        <f>IF(COUNTIF(Internal_Ledger!A:A, A140)=0, "Missing Internal", IF(COUNTIF(Broker_Statement!A:A, A140)=0, "Missing on Street", IF(D140&lt;&gt;E140, "Quantity Break", IF(F140&lt;&gt;G140, "Price Break", "Matched Perfectly"))))</f>
        <v>Matched Perfectly</v>
      </c>
      <c r="D140">
        <f>IFERROR(VLOOKUP(A140, Internal_Ledger!A:G, 5, FALSE), 0)</f>
        <v>800</v>
      </c>
      <c r="E140">
        <f>IFERROR(VLOOKUP(A140, Broker_Statement!A:G, 5, FALSE), 0)</f>
        <v>800</v>
      </c>
      <c r="F140">
        <f>IFERROR(VLOOKUP(A140, Internal_Ledger!A:G, 6, FALSE), 0)</f>
        <v>350.80999755859375</v>
      </c>
      <c r="G140">
        <f>IFERROR(VLOOKUP(A140, Broker_Statement!A:G, 6, FALSE), 0)</f>
        <v>350.80999755859375</v>
      </c>
      <c r="H140" s="7">
        <f t="shared" si="2"/>
        <v>0</v>
      </c>
    </row>
    <row r="141" spans="1:8" x14ac:dyDescent="0.3">
      <c r="A141" t="s">
        <v>161</v>
      </c>
      <c r="B141" t="str">
        <f>IFERROR(VLOOKUP(A141, Internal_Ledger!A:B, 2, FALSE), VLOOKUP(A141, Broker_Statement!A:B, 2, FALSE))</f>
        <v>INE018A01030</v>
      </c>
      <c r="C141" t="str">
        <f>IF(COUNTIF(Internal_Ledger!A:A, A141)=0, "Missing Internal", IF(COUNTIF(Broker_Statement!A:A, A141)=0, "Missing on Street", IF(D141&lt;&gt;E141, "Quantity Break", IF(F141&lt;&gt;G141, "Price Break", "Matched Perfectly"))))</f>
        <v>Matched Perfectly</v>
      </c>
      <c r="D141">
        <f>IFERROR(VLOOKUP(A141, Internal_Ledger!A:G, 5, FALSE), 0)</f>
        <v>1650</v>
      </c>
      <c r="E141">
        <f>IFERROR(VLOOKUP(A141, Broker_Statement!A:G, 5, FALSE), 0)</f>
        <v>1650</v>
      </c>
      <c r="F141">
        <f>IFERROR(VLOOKUP(A141, Internal_Ledger!A:G, 6, FALSE), 0)</f>
        <v>153.91000366210938</v>
      </c>
      <c r="G141">
        <f>IFERROR(VLOOKUP(A141, Broker_Statement!A:G, 6, FALSE), 0)</f>
        <v>153.91000366210938</v>
      </c>
      <c r="H141" s="7">
        <f t="shared" si="2"/>
        <v>0</v>
      </c>
    </row>
    <row r="142" spans="1:8" x14ac:dyDescent="0.3">
      <c r="A142" t="s">
        <v>162</v>
      </c>
      <c r="B142" t="str">
        <f>IFERROR(VLOOKUP(A142, Internal_Ledger!A:B, 2, FALSE), VLOOKUP(A142, Broker_Statement!A:B, 2, FALSE))</f>
        <v>INE040A01034</v>
      </c>
      <c r="C142" t="str">
        <f>IF(COUNTIF(Internal_Ledger!A:A, A142)=0, "Missing Internal", IF(COUNTIF(Broker_Statement!A:A, A142)=0, "Missing on Street", IF(D142&lt;&gt;E142, "Quantity Break", IF(F142&lt;&gt;G142, "Price Break", "Matched Perfectly"))))</f>
        <v>Matched Perfectly</v>
      </c>
      <c r="D142">
        <f>IFERROR(VLOOKUP(A142, Internal_Ledger!A:G, 5, FALSE), 0)</f>
        <v>4800</v>
      </c>
      <c r="E142">
        <f>IFERROR(VLOOKUP(A142, Broker_Statement!A:G, 5, FALSE), 0)</f>
        <v>4800</v>
      </c>
      <c r="F142">
        <f>IFERROR(VLOOKUP(A142, Internal_Ledger!A:G, 6, FALSE), 0)</f>
        <v>244.55999755859375</v>
      </c>
      <c r="G142">
        <f>IFERROR(VLOOKUP(A142, Broker_Statement!A:G, 6, FALSE), 0)</f>
        <v>244.55999755859375</v>
      </c>
      <c r="H142" s="7">
        <f t="shared" si="2"/>
        <v>0</v>
      </c>
    </row>
    <row r="143" spans="1:8" x14ac:dyDescent="0.3">
      <c r="A143" t="s">
        <v>163</v>
      </c>
      <c r="B143" t="str">
        <f>IFERROR(VLOOKUP(A143, Internal_Ledger!A:B, 2, FALSE), VLOOKUP(A143, Broker_Statement!A:B, 2, FALSE))</f>
        <v>INE009A01021</v>
      </c>
      <c r="C143" t="str">
        <f>IF(COUNTIF(Internal_Ledger!A:A, A143)=0, "Missing Internal", IF(COUNTIF(Broker_Statement!A:A, A143)=0, "Missing on Street", IF(D143&lt;&gt;E143, "Quantity Break", IF(F143&lt;&gt;G143, "Price Break", "Matched Perfectly"))))</f>
        <v>Matched Perfectly</v>
      </c>
      <c r="D143">
        <f>IFERROR(VLOOKUP(A143, Internal_Ledger!A:G, 5, FALSE), 0)</f>
        <v>2900</v>
      </c>
      <c r="E143">
        <f>IFERROR(VLOOKUP(A143, Broker_Statement!A:G, 5, FALSE), 0)</f>
        <v>2900</v>
      </c>
      <c r="F143">
        <f>IFERROR(VLOOKUP(A143, Internal_Ledger!A:G, 6, FALSE), 0)</f>
        <v>413.29000854492188</v>
      </c>
      <c r="G143">
        <f>IFERROR(VLOOKUP(A143, Broker_Statement!A:G, 6, FALSE), 0)</f>
        <v>413.29000854492188</v>
      </c>
      <c r="H143" s="7">
        <f t="shared" si="2"/>
        <v>0</v>
      </c>
    </row>
    <row r="144" spans="1:8" x14ac:dyDescent="0.3">
      <c r="A144" t="s">
        <v>164</v>
      </c>
      <c r="B144" t="str">
        <f>IFERROR(VLOOKUP(A144, Internal_Ledger!A:B, 2, FALSE), VLOOKUP(A144, Broker_Statement!A:B, 2, FALSE))</f>
        <v>INE040A01034</v>
      </c>
      <c r="C144" t="str">
        <f>IF(COUNTIF(Internal_Ledger!A:A, A144)=0, "Missing Internal", IF(COUNTIF(Broker_Statement!A:A, A144)=0, "Missing on Street", IF(D144&lt;&gt;E144, "Quantity Break", IF(F144&lt;&gt;G144, "Price Break", "Matched Perfectly"))))</f>
        <v>Missing on Street</v>
      </c>
      <c r="D144">
        <f>IFERROR(VLOOKUP(A144, Internal_Ledger!A:G, 5, FALSE), 0)</f>
        <v>3600</v>
      </c>
      <c r="E144">
        <f>IFERROR(VLOOKUP(A144, Broker_Statement!A:G, 5, FALSE), 0)</f>
        <v>0</v>
      </c>
      <c r="F144">
        <f>IFERROR(VLOOKUP(A144, Internal_Ledger!A:G, 6, FALSE), 0)</f>
        <v>272.07000732421875</v>
      </c>
      <c r="G144">
        <f>IFERROR(VLOOKUP(A144, Broker_Statement!A:G, 6, FALSE), 0)</f>
        <v>0</v>
      </c>
      <c r="H144" s="7">
        <f t="shared" si="2"/>
        <v>979452.0263671875</v>
      </c>
    </row>
    <row r="145" spans="1:8" x14ac:dyDescent="0.3">
      <c r="A145" t="s">
        <v>165</v>
      </c>
      <c r="B145" t="str">
        <f>IFERROR(VLOOKUP(A145, Internal_Ledger!A:B, 2, FALSE), VLOOKUP(A145, Broker_Statement!A:B, 2, FALSE))</f>
        <v>INE018A01030</v>
      </c>
      <c r="C145" t="str">
        <f>IF(COUNTIF(Internal_Ledger!A:A, A145)=0, "Missing Internal", IF(COUNTIF(Broker_Statement!A:A, A145)=0, "Missing on Street", IF(D145&lt;&gt;E145, "Quantity Break", IF(F145&lt;&gt;G145, "Price Break", "Matched Perfectly"))))</f>
        <v>Matched Perfectly</v>
      </c>
      <c r="D145">
        <f>IFERROR(VLOOKUP(A145, Internal_Ledger!A:G, 5, FALSE), 0)</f>
        <v>1200</v>
      </c>
      <c r="E145">
        <f>IFERROR(VLOOKUP(A145, Broker_Statement!A:G, 5, FALSE), 0)</f>
        <v>1200</v>
      </c>
      <c r="F145">
        <f>IFERROR(VLOOKUP(A145, Internal_Ledger!A:G, 6, FALSE), 0)</f>
        <v>451.32998657226563</v>
      </c>
      <c r="G145">
        <f>IFERROR(VLOOKUP(A145, Broker_Statement!A:G, 6, FALSE), 0)</f>
        <v>451.32998657226563</v>
      </c>
      <c r="H145" s="7">
        <f t="shared" si="2"/>
        <v>0</v>
      </c>
    </row>
    <row r="146" spans="1:8" x14ac:dyDescent="0.3">
      <c r="A146" t="s">
        <v>166</v>
      </c>
      <c r="B146" t="str">
        <f>IFERROR(VLOOKUP(A146, Internal_Ledger!A:B, 2, FALSE), VLOOKUP(A146, Broker_Statement!A:B, 2, FALSE))</f>
        <v>INE018A01030</v>
      </c>
      <c r="C146" t="str">
        <f>IF(COUNTIF(Internal_Ledger!A:A, A146)=0, "Missing Internal", IF(COUNTIF(Broker_Statement!A:A, A146)=0, "Missing on Street", IF(D146&lt;&gt;E146, "Quantity Break", IF(F146&lt;&gt;G146, "Price Break", "Matched Perfectly"))))</f>
        <v>Matched Perfectly</v>
      </c>
      <c r="D146">
        <f>IFERROR(VLOOKUP(A146, Internal_Ledger!A:G, 5, FALSE), 0)</f>
        <v>350</v>
      </c>
      <c r="E146">
        <f>IFERROR(VLOOKUP(A146, Broker_Statement!A:G, 5, FALSE), 0)</f>
        <v>350</v>
      </c>
      <c r="F146">
        <f>IFERROR(VLOOKUP(A146, Internal_Ledger!A:G, 6, FALSE), 0)</f>
        <v>228.61000061035156</v>
      </c>
      <c r="G146">
        <f>IFERROR(VLOOKUP(A146, Broker_Statement!A:G, 6, FALSE), 0)</f>
        <v>228.61000061035156</v>
      </c>
      <c r="H146" s="7">
        <f t="shared" si="2"/>
        <v>0</v>
      </c>
    </row>
    <row r="147" spans="1:8" x14ac:dyDescent="0.3">
      <c r="A147" t="s">
        <v>167</v>
      </c>
      <c r="B147" t="str">
        <f>IFERROR(VLOOKUP(A147, Internal_Ledger!A:B, 2, FALSE), VLOOKUP(A147, Broker_Statement!A:B, 2, FALSE))</f>
        <v>INE002A01018</v>
      </c>
      <c r="C147" t="str">
        <f>IF(COUNTIF(Internal_Ledger!A:A, A147)=0, "Missing Internal", IF(COUNTIF(Broker_Statement!A:A, A147)=0, "Missing on Street", IF(D147&lt;&gt;E147, "Quantity Break", IF(F147&lt;&gt;G147, "Price Break", "Matched Perfectly"))))</f>
        <v>Quantity Break</v>
      </c>
      <c r="D147">
        <f>IFERROR(VLOOKUP(A147, Internal_Ledger!A:G, 5, FALSE), 0)</f>
        <v>1150</v>
      </c>
      <c r="E147">
        <f>IFERROR(VLOOKUP(A147, Broker_Statement!A:G, 5, FALSE), 0)</f>
        <v>1100</v>
      </c>
      <c r="F147">
        <f>IFERROR(VLOOKUP(A147, Internal_Ledger!A:G, 6, FALSE), 0)</f>
        <v>323.27999877929688</v>
      </c>
      <c r="G147">
        <f>IFERROR(VLOOKUP(A147, Broker_Statement!A:G, 6, FALSE), 0)</f>
        <v>323.27999877929688</v>
      </c>
      <c r="H147" s="7">
        <f t="shared" si="2"/>
        <v>16163.999938964844</v>
      </c>
    </row>
    <row r="148" spans="1:8" x14ac:dyDescent="0.3">
      <c r="A148" t="s">
        <v>169</v>
      </c>
      <c r="B148" t="str">
        <f>IFERROR(VLOOKUP(A148, Internal_Ledger!A:B, 2, FALSE), VLOOKUP(A148, Broker_Statement!A:B, 2, FALSE))</f>
        <v>INE040A01034</v>
      </c>
      <c r="C148" t="str">
        <f>IF(COUNTIF(Internal_Ledger!A:A, A148)=0, "Missing Internal", IF(COUNTIF(Broker_Statement!A:A, A148)=0, "Missing on Street", IF(D148&lt;&gt;E148, "Quantity Break", IF(F148&lt;&gt;G148, "Price Break", "Matched Perfectly"))))</f>
        <v>Matched Perfectly</v>
      </c>
      <c r="D148">
        <f>IFERROR(VLOOKUP(A148, Internal_Ledger!A:G, 5, FALSE), 0)</f>
        <v>1200</v>
      </c>
      <c r="E148">
        <f>IFERROR(VLOOKUP(A148, Broker_Statement!A:G, 5, FALSE), 0)</f>
        <v>1200</v>
      </c>
      <c r="F148">
        <f>IFERROR(VLOOKUP(A148, Internal_Ledger!A:G, 6, FALSE), 0)</f>
        <v>481.39999389648438</v>
      </c>
      <c r="G148">
        <f>IFERROR(VLOOKUP(A148, Broker_Statement!A:G, 6, FALSE), 0)</f>
        <v>481.39999389648438</v>
      </c>
      <c r="H148" s="7">
        <f t="shared" si="2"/>
        <v>0</v>
      </c>
    </row>
    <row r="149" spans="1:8" x14ac:dyDescent="0.3">
      <c r="A149" t="s">
        <v>170</v>
      </c>
      <c r="B149" t="str">
        <f>IFERROR(VLOOKUP(A149, Internal_Ledger!A:B, 2, FALSE), VLOOKUP(A149, Broker_Statement!A:B, 2, FALSE))</f>
        <v>INE040A01034</v>
      </c>
      <c r="C149" t="str">
        <f>IF(COUNTIF(Internal_Ledger!A:A, A149)=0, "Missing Internal", IF(COUNTIF(Broker_Statement!A:A, A149)=0, "Missing on Street", IF(D149&lt;&gt;E149, "Quantity Break", IF(F149&lt;&gt;G149, "Price Break", "Matched Perfectly"))))</f>
        <v>Matched Perfectly</v>
      </c>
      <c r="D149">
        <f>IFERROR(VLOOKUP(A149, Internal_Ledger!A:G, 5, FALSE), 0)</f>
        <v>4400</v>
      </c>
      <c r="E149">
        <f>IFERROR(VLOOKUP(A149, Broker_Statement!A:G, 5, FALSE), 0)</f>
        <v>4400</v>
      </c>
      <c r="F149">
        <f>IFERROR(VLOOKUP(A149, Internal_Ledger!A:G, 6, FALSE), 0)</f>
        <v>231.3800048828125</v>
      </c>
      <c r="G149">
        <f>IFERROR(VLOOKUP(A149, Broker_Statement!A:G, 6, FALSE), 0)</f>
        <v>231.3800048828125</v>
      </c>
      <c r="H149" s="7">
        <f t="shared" si="2"/>
        <v>0</v>
      </c>
    </row>
    <row r="150" spans="1:8" x14ac:dyDescent="0.3">
      <c r="A150" t="s">
        <v>171</v>
      </c>
      <c r="B150" t="str">
        <f>IFERROR(VLOOKUP(A150, Internal_Ledger!A:B, 2, FALSE), VLOOKUP(A150, Broker_Statement!A:B, 2, FALSE))</f>
        <v>INE030A01027</v>
      </c>
      <c r="C150" t="str">
        <f>IF(COUNTIF(Internal_Ledger!A:A, A150)=0, "Missing Internal", IF(COUNTIF(Broker_Statement!A:A, A150)=0, "Missing on Street", IF(D150&lt;&gt;E150, "Quantity Break", IF(F150&lt;&gt;G150, "Price Break", "Matched Perfectly"))))</f>
        <v>Missing on Street</v>
      </c>
      <c r="D150">
        <f>IFERROR(VLOOKUP(A150, Internal_Ledger!A:G, 5, FALSE), 0)</f>
        <v>4600</v>
      </c>
      <c r="E150">
        <f>IFERROR(VLOOKUP(A150, Broker_Statement!A:G, 5, FALSE), 0)</f>
        <v>0</v>
      </c>
      <c r="F150">
        <f>IFERROR(VLOOKUP(A150, Internal_Ledger!A:G, 6, FALSE), 0)</f>
        <v>423.32000732421875</v>
      </c>
      <c r="G150">
        <f>IFERROR(VLOOKUP(A150, Broker_Statement!A:G, 6, FALSE), 0)</f>
        <v>0</v>
      </c>
      <c r="H150" s="7">
        <f t="shared" si="2"/>
        <v>1947272.0336914063</v>
      </c>
    </row>
    <row r="151" spans="1:8" x14ac:dyDescent="0.3">
      <c r="A151" t="s">
        <v>172</v>
      </c>
      <c r="B151" t="str">
        <f>IFERROR(VLOOKUP(A151, Internal_Ledger!A:B, 2, FALSE), VLOOKUP(A151, Broker_Statement!A:B, 2, FALSE))</f>
        <v>INE030A01027</v>
      </c>
      <c r="C151" t="str">
        <f>IF(COUNTIF(Internal_Ledger!A:A, A151)=0, "Missing Internal", IF(COUNTIF(Broker_Statement!A:A, A151)=0, "Missing on Street", IF(D151&lt;&gt;E151, "Quantity Break", IF(F151&lt;&gt;G151, "Price Break", "Matched Perfectly"))))</f>
        <v>Matched Perfectly</v>
      </c>
      <c r="D151">
        <f>IFERROR(VLOOKUP(A151, Internal_Ledger!A:G, 5, FALSE), 0)</f>
        <v>2900</v>
      </c>
      <c r="E151">
        <f>IFERROR(VLOOKUP(A151, Broker_Statement!A:G, 5, FALSE), 0)</f>
        <v>2900</v>
      </c>
      <c r="F151">
        <f>IFERROR(VLOOKUP(A151, Internal_Ledger!A:G, 6, FALSE), 0)</f>
        <v>372.51998901367188</v>
      </c>
      <c r="G151">
        <f>IFERROR(VLOOKUP(A151, Broker_Statement!A:G, 6, FALSE), 0)</f>
        <v>372.51998901367188</v>
      </c>
      <c r="H151" s="7">
        <f t="shared" si="2"/>
        <v>0</v>
      </c>
    </row>
    <row r="152" spans="1:8" x14ac:dyDescent="0.3">
      <c r="A152" t="s">
        <v>173</v>
      </c>
      <c r="B152" t="str">
        <f>IFERROR(VLOOKUP(A152, Internal_Ledger!A:B, 2, FALSE), VLOOKUP(A152, Broker_Statement!A:B, 2, FALSE))</f>
        <v>INE002A01018</v>
      </c>
      <c r="C152" t="str">
        <f>IF(COUNTIF(Internal_Ledger!A:A, A152)=0, "Missing Internal", IF(COUNTIF(Broker_Statement!A:A, A152)=0, "Missing on Street", IF(D152&lt;&gt;E152, "Quantity Break", IF(F152&lt;&gt;G152, "Price Break", "Matched Perfectly"))))</f>
        <v>Matched Perfectly</v>
      </c>
      <c r="D152">
        <f>IFERROR(VLOOKUP(A152, Internal_Ledger!A:G, 5, FALSE), 0)</f>
        <v>1850</v>
      </c>
      <c r="E152">
        <f>IFERROR(VLOOKUP(A152, Broker_Statement!A:G, 5, FALSE), 0)</f>
        <v>1850</v>
      </c>
      <c r="F152">
        <f>IFERROR(VLOOKUP(A152, Internal_Ledger!A:G, 6, FALSE), 0)</f>
        <v>465.54000854492188</v>
      </c>
      <c r="G152">
        <f>IFERROR(VLOOKUP(A152, Broker_Statement!A:G, 6, FALSE), 0)</f>
        <v>465.54000854492188</v>
      </c>
      <c r="H152" s="7">
        <f t="shared" si="2"/>
        <v>0</v>
      </c>
    </row>
    <row r="153" spans="1:8" x14ac:dyDescent="0.3">
      <c r="A153" t="s">
        <v>174</v>
      </c>
      <c r="B153" t="str">
        <f>IFERROR(VLOOKUP(A153, Internal_Ledger!A:B, 2, FALSE), VLOOKUP(A153, Broker_Statement!A:B, 2, FALSE))</f>
        <v>INE018A01030</v>
      </c>
      <c r="C153" t="str">
        <f>IF(COUNTIF(Internal_Ledger!A:A, A153)=0, "Missing Internal", IF(COUNTIF(Broker_Statement!A:A, A153)=0, "Missing on Street", IF(D153&lt;&gt;E153, "Quantity Break", IF(F153&lt;&gt;G153, "Price Break", "Matched Perfectly"))))</f>
        <v>Price Break</v>
      </c>
      <c r="D153">
        <f>IFERROR(VLOOKUP(A153, Internal_Ledger!A:G, 5, FALSE), 0)</f>
        <v>1400</v>
      </c>
      <c r="E153">
        <f>IFERROR(VLOOKUP(A153, Broker_Statement!A:G, 5, FALSE), 0)</f>
        <v>1400</v>
      </c>
      <c r="F153">
        <f>IFERROR(VLOOKUP(A153, Internal_Ledger!A:G, 6, FALSE), 0)</f>
        <v>179.3800048828125</v>
      </c>
      <c r="G153">
        <f>IFERROR(VLOOKUP(A153, Broker_Statement!A:G, 6, FALSE), 0)</f>
        <v>179.80000486969948</v>
      </c>
      <c r="H153" s="7">
        <f t="shared" si="2"/>
        <v>587.99998164176941</v>
      </c>
    </row>
    <row r="154" spans="1:8" x14ac:dyDescent="0.3">
      <c r="A154" t="s">
        <v>175</v>
      </c>
      <c r="B154" t="str">
        <f>IFERROR(VLOOKUP(A154, Internal_Ledger!A:B, 2, FALSE), VLOOKUP(A154, Broker_Statement!A:B, 2, FALSE))</f>
        <v>INE009A01021</v>
      </c>
      <c r="C154" t="str">
        <f>IF(COUNTIF(Internal_Ledger!A:A, A154)=0, "Missing Internal", IF(COUNTIF(Broker_Statement!A:A, A154)=0, "Missing on Street", IF(D154&lt;&gt;E154, "Quantity Break", IF(F154&lt;&gt;G154, "Price Break", "Matched Perfectly"))))</f>
        <v>Matched Perfectly</v>
      </c>
      <c r="D154">
        <f>IFERROR(VLOOKUP(A154, Internal_Ledger!A:G, 5, FALSE), 0)</f>
        <v>4950</v>
      </c>
      <c r="E154">
        <f>IFERROR(VLOOKUP(A154, Broker_Statement!A:G, 5, FALSE), 0)</f>
        <v>4950</v>
      </c>
      <c r="F154">
        <f>IFERROR(VLOOKUP(A154, Internal_Ledger!A:G, 6, FALSE), 0)</f>
        <v>285.510009765625</v>
      </c>
      <c r="G154">
        <f>IFERROR(VLOOKUP(A154, Broker_Statement!A:G, 6, FALSE), 0)</f>
        <v>285.510009765625</v>
      </c>
      <c r="H154" s="7">
        <f t="shared" si="2"/>
        <v>0</v>
      </c>
    </row>
    <row r="155" spans="1:8" x14ac:dyDescent="0.3">
      <c r="A155" t="s">
        <v>176</v>
      </c>
      <c r="B155" t="str">
        <f>IFERROR(VLOOKUP(A155, Internal_Ledger!A:B, 2, FALSE), VLOOKUP(A155, Broker_Statement!A:B, 2, FALSE))</f>
        <v>INE040A01034</v>
      </c>
      <c r="C155" t="str">
        <f>IF(COUNTIF(Internal_Ledger!A:A, A155)=0, "Missing Internal", IF(COUNTIF(Broker_Statement!A:A, A155)=0, "Missing on Street", IF(D155&lt;&gt;E155, "Quantity Break", IF(F155&lt;&gt;G155, "Price Break", "Matched Perfectly"))))</f>
        <v>Matched Perfectly</v>
      </c>
      <c r="D155">
        <f>IFERROR(VLOOKUP(A155, Internal_Ledger!A:G, 5, FALSE), 0)</f>
        <v>4450</v>
      </c>
      <c r="E155">
        <f>IFERROR(VLOOKUP(A155, Broker_Statement!A:G, 5, FALSE), 0)</f>
        <v>4450</v>
      </c>
      <c r="F155">
        <f>IFERROR(VLOOKUP(A155, Internal_Ledger!A:G, 6, FALSE), 0)</f>
        <v>436.25</v>
      </c>
      <c r="G155">
        <f>IFERROR(VLOOKUP(A155, Broker_Statement!A:G, 6, FALSE), 0)</f>
        <v>436.25</v>
      </c>
      <c r="H155" s="7">
        <f t="shared" si="2"/>
        <v>0</v>
      </c>
    </row>
    <row r="156" spans="1:8" x14ac:dyDescent="0.3">
      <c r="A156" t="s">
        <v>177</v>
      </c>
      <c r="B156" t="str">
        <f>IFERROR(VLOOKUP(A156, Internal_Ledger!A:B, 2, FALSE), VLOOKUP(A156, Broker_Statement!A:B, 2, FALSE))</f>
        <v>INE040A01034</v>
      </c>
      <c r="C156" t="str">
        <f>IF(COUNTIF(Internal_Ledger!A:A, A156)=0, "Missing Internal", IF(COUNTIF(Broker_Statement!A:A, A156)=0, "Missing on Street", IF(D156&lt;&gt;E156, "Quantity Break", IF(F156&lt;&gt;G156, "Price Break", "Matched Perfectly"))))</f>
        <v>Matched Perfectly</v>
      </c>
      <c r="D156">
        <f>IFERROR(VLOOKUP(A156, Internal_Ledger!A:G, 5, FALSE), 0)</f>
        <v>800</v>
      </c>
      <c r="E156">
        <f>IFERROR(VLOOKUP(A156, Broker_Statement!A:G, 5, FALSE), 0)</f>
        <v>800</v>
      </c>
      <c r="F156">
        <f>IFERROR(VLOOKUP(A156, Internal_Ledger!A:G, 6, FALSE), 0)</f>
        <v>537.010009765625</v>
      </c>
      <c r="G156">
        <f>IFERROR(VLOOKUP(A156, Broker_Statement!A:G, 6, FALSE), 0)</f>
        <v>537.010009765625</v>
      </c>
      <c r="H156" s="7">
        <f t="shared" si="2"/>
        <v>0</v>
      </c>
    </row>
    <row r="157" spans="1:8" x14ac:dyDescent="0.3">
      <c r="A157" t="s">
        <v>178</v>
      </c>
      <c r="B157" t="str">
        <f>IFERROR(VLOOKUP(A157, Internal_Ledger!A:B, 2, FALSE), VLOOKUP(A157, Broker_Statement!A:B, 2, FALSE))</f>
        <v>INE040A01034</v>
      </c>
      <c r="C157" t="str">
        <f>IF(COUNTIF(Internal_Ledger!A:A, A157)=0, "Missing Internal", IF(COUNTIF(Broker_Statement!A:A, A157)=0, "Missing on Street", IF(D157&lt;&gt;E157, "Quantity Break", IF(F157&lt;&gt;G157, "Price Break", "Matched Perfectly"))))</f>
        <v>Matched Perfectly</v>
      </c>
      <c r="D157">
        <f>IFERROR(VLOOKUP(A157, Internal_Ledger!A:G, 5, FALSE), 0)</f>
        <v>3900</v>
      </c>
      <c r="E157">
        <f>IFERROR(VLOOKUP(A157, Broker_Statement!A:G, 5, FALSE), 0)</f>
        <v>3900</v>
      </c>
      <c r="F157">
        <f>IFERROR(VLOOKUP(A157, Internal_Ledger!A:G, 6, FALSE), 0)</f>
        <v>386.8599853515625</v>
      </c>
      <c r="G157">
        <f>IFERROR(VLOOKUP(A157, Broker_Statement!A:G, 6, FALSE), 0)</f>
        <v>386.8599853515625</v>
      </c>
      <c r="H157" s="7">
        <f t="shared" si="2"/>
        <v>0</v>
      </c>
    </row>
    <row r="158" spans="1:8" x14ac:dyDescent="0.3">
      <c r="A158" t="s">
        <v>179</v>
      </c>
      <c r="B158" t="str">
        <f>IFERROR(VLOOKUP(A158, Internal_Ledger!A:B, 2, FALSE), VLOOKUP(A158, Broker_Statement!A:B, 2, FALSE))</f>
        <v>INE018A01030</v>
      </c>
      <c r="C158" t="str">
        <f>IF(COUNTIF(Internal_Ledger!A:A, A158)=0, "Missing Internal", IF(COUNTIF(Broker_Statement!A:A, A158)=0, "Missing on Street", IF(D158&lt;&gt;E158, "Quantity Break", IF(F158&lt;&gt;G158, "Price Break", "Matched Perfectly"))))</f>
        <v>Quantity Break</v>
      </c>
      <c r="D158">
        <f>IFERROR(VLOOKUP(A158, Internal_Ledger!A:G, 5, FALSE), 0)</f>
        <v>2350</v>
      </c>
      <c r="E158">
        <f>IFERROR(VLOOKUP(A158, Broker_Statement!A:G, 5, FALSE), 0)</f>
        <v>2300</v>
      </c>
      <c r="F158">
        <f>IFERROR(VLOOKUP(A158, Internal_Ledger!A:G, 6, FALSE), 0)</f>
        <v>597.1300048828125</v>
      </c>
      <c r="G158">
        <f>IFERROR(VLOOKUP(A158, Broker_Statement!A:G, 6, FALSE), 0)</f>
        <v>597.1300048828125</v>
      </c>
      <c r="H158" s="7">
        <f t="shared" si="2"/>
        <v>29856.500244140625</v>
      </c>
    </row>
    <row r="159" spans="1:8" x14ac:dyDescent="0.3">
      <c r="A159" t="s">
        <v>180</v>
      </c>
      <c r="B159" t="str">
        <f>IFERROR(VLOOKUP(A159, Internal_Ledger!A:B, 2, FALSE), VLOOKUP(A159, Broker_Statement!A:B, 2, FALSE))</f>
        <v>INE009A01021</v>
      </c>
      <c r="C159" t="str">
        <f>IF(COUNTIF(Internal_Ledger!A:A, A159)=0, "Missing Internal", IF(COUNTIF(Broker_Statement!A:A, A159)=0, "Missing on Street", IF(D159&lt;&gt;E159, "Quantity Break", IF(F159&lt;&gt;G159, "Price Break", "Matched Perfectly"))))</f>
        <v>Matched Perfectly</v>
      </c>
      <c r="D159">
        <f>IFERROR(VLOOKUP(A159, Internal_Ledger!A:G, 5, FALSE), 0)</f>
        <v>4950</v>
      </c>
      <c r="E159">
        <f>IFERROR(VLOOKUP(A159, Broker_Statement!A:G, 5, FALSE), 0)</f>
        <v>4950</v>
      </c>
      <c r="F159">
        <f>IFERROR(VLOOKUP(A159, Internal_Ledger!A:G, 6, FALSE), 0)</f>
        <v>373.42001342773438</v>
      </c>
      <c r="G159">
        <f>IFERROR(VLOOKUP(A159, Broker_Statement!A:G, 6, FALSE), 0)</f>
        <v>373.42001342773438</v>
      </c>
      <c r="H159" s="7">
        <f t="shared" si="2"/>
        <v>0</v>
      </c>
    </row>
    <row r="160" spans="1:8" x14ac:dyDescent="0.3">
      <c r="A160" t="s">
        <v>181</v>
      </c>
      <c r="B160" t="str">
        <f>IFERROR(VLOOKUP(A160, Internal_Ledger!A:B, 2, FALSE), VLOOKUP(A160, Broker_Statement!A:B, 2, FALSE))</f>
        <v>INE009A01021</v>
      </c>
      <c r="C160" t="str">
        <f>IF(COUNTIF(Internal_Ledger!A:A, A160)=0, "Missing Internal", IF(COUNTIF(Broker_Statement!A:A, A160)=0, "Missing on Street", IF(D160&lt;&gt;E160, "Quantity Break", IF(F160&lt;&gt;G160, "Price Break", "Matched Perfectly"))))</f>
        <v>Price Break</v>
      </c>
      <c r="D160">
        <f>IFERROR(VLOOKUP(A160, Internal_Ledger!A:G, 5, FALSE), 0)</f>
        <v>2900</v>
      </c>
      <c r="E160">
        <f>IFERROR(VLOOKUP(A160, Broker_Statement!A:G, 5, FALSE), 0)</f>
        <v>2900</v>
      </c>
      <c r="F160">
        <f>IFERROR(VLOOKUP(A160, Internal_Ledger!A:G, 6, FALSE), 0)</f>
        <v>580.80999755859375</v>
      </c>
      <c r="G160">
        <f>IFERROR(VLOOKUP(A160, Broker_Statement!A:G, 6, FALSE), 0)</f>
        <v>581.34999758005142</v>
      </c>
      <c r="H160" s="7">
        <f t="shared" si="2"/>
        <v>1566.0000622272491</v>
      </c>
    </row>
    <row r="161" spans="1:8" x14ac:dyDescent="0.3">
      <c r="A161" t="s">
        <v>182</v>
      </c>
      <c r="B161" t="str">
        <f>IFERROR(VLOOKUP(A161, Internal_Ledger!A:B, 2, FALSE), VLOOKUP(A161, Broker_Statement!A:B, 2, FALSE))</f>
        <v>INE040A01034</v>
      </c>
      <c r="C161" t="str">
        <f>IF(COUNTIF(Internal_Ledger!A:A, A161)=0, "Missing Internal", IF(COUNTIF(Broker_Statement!A:A, A161)=0, "Missing on Street", IF(D161&lt;&gt;E161, "Quantity Break", IF(F161&lt;&gt;G161, "Price Break", "Matched Perfectly"))))</f>
        <v>Matched Perfectly</v>
      </c>
      <c r="D161">
        <f>IFERROR(VLOOKUP(A161, Internal_Ledger!A:G, 5, FALSE), 0)</f>
        <v>1150</v>
      </c>
      <c r="E161">
        <f>IFERROR(VLOOKUP(A161, Broker_Statement!A:G, 5, FALSE), 0)</f>
        <v>1150</v>
      </c>
      <c r="F161">
        <f>IFERROR(VLOOKUP(A161, Internal_Ledger!A:G, 6, FALSE), 0)</f>
        <v>287.42001342773438</v>
      </c>
      <c r="G161">
        <f>IFERROR(VLOOKUP(A161, Broker_Statement!A:G, 6, FALSE), 0)</f>
        <v>287.42001342773438</v>
      </c>
      <c r="H161" s="7">
        <f t="shared" si="2"/>
        <v>0</v>
      </c>
    </row>
    <row r="162" spans="1:8" x14ac:dyDescent="0.3">
      <c r="A162" t="s">
        <v>183</v>
      </c>
      <c r="B162" t="str">
        <f>IFERROR(VLOOKUP(A162, Internal_Ledger!A:B, 2, FALSE), VLOOKUP(A162, Broker_Statement!A:B, 2, FALSE))</f>
        <v>INE040A01034</v>
      </c>
      <c r="C162" t="str">
        <f>IF(COUNTIF(Internal_Ledger!A:A, A162)=0, "Missing Internal", IF(COUNTIF(Broker_Statement!A:A, A162)=0, "Missing on Street", IF(D162&lt;&gt;E162, "Quantity Break", IF(F162&lt;&gt;G162, "Price Break", "Matched Perfectly"))))</f>
        <v>Matched Perfectly</v>
      </c>
      <c r="D162">
        <f>IFERROR(VLOOKUP(A162, Internal_Ledger!A:G, 5, FALSE), 0)</f>
        <v>2700</v>
      </c>
      <c r="E162">
        <f>IFERROR(VLOOKUP(A162, Broker_Statement!A:G, 5, FALSE), 0)</f>
        <v>2700</v>
      </c>
      <c r="F162">
        <f>IFERROR(VLOOKUP(A162, Internal_Ledger!A:G, 6, FALSE), 0)</f>
        <v>321.52999877929688</v>
      </c>
      <c r="G162">
        <f>IFERROR(VLOOKUP(A162, Broker_Statement!A:G, 6, FALSE), 0)</f>
        <v>321.52999877929688</v>
      </c>
      <c r="H162" s="7">
        <f t="shared" si="2"/>
        <v>0</v>
      </c>
    </row>
    <row r="163" spans="1:8" x14ac:dyDescent="0.3">
      <c r="A163" t="s">
        <v>184</v>
      </c>
      <c r="B163" t="str">
        <f>IFERROR(VLOOKUP(A163, Internal_Ledger!A:B, 2, FALSE), VLOOKUP(A163, Broker_Statement!A:B, 2, FALSE))</f>
        <v>INE009A01021</v>
      </c>
      <c r="C163" t="str">
        <f>IF(COUNTIF(Internal_Ledger!A:A, A163)=0, "Missing Internal", IF(COUNTIF(Broker_Statement!A:A, A163)=0, "Missing on Street", IF(D163&lt;&gt;E163, "Quantity Break", IF(F163&lt;&gt;G163, "Price Break", "Matched Perfectly"))))</f>
        <v>Matched Perfectly</v>
      </c>
      <c r="D163">
        <f>IFERROR(VLOOKUP(A163, Internal_Ledger!A:G, 5, FALSE), 0)</f>
        <v>2950</v>
      </c>
      <c r="E163">
        <f>IFERROR(VLOOKUP(A163, Broker_Statement!A:G, 5, FALSE), 0)</f>
        <v>2950</v>
      </c>
      <c r="F163">
        <f>IFERROR(VLOOKUP(A163, Internal_Ledger!A:G, 6, FALSE), 0)</f>
        <v>578.489990234375</v>
      </c>
      <c r="G163">
        <f>IFERROR(VLOOKUP(A163, Broker_Statement!A:G, 6, FALSE), 0)</f>
        <v>578.489990234375</v>
      </c>
      <c r="H163" s="7">
        <f t="shared" si="2"/>
        <v>0</v>
      </c>
    </row>
    <row r="164" spans="1:8" x14ac:dyDescent="0.3">
      <c r="A164" t="s">
        <v>185</v>
      </c>
      <c r="B164" t="str">
        <f>IFERROR(VLOOKUP(A164, Internal_Ledger!A:B, 2, FALSE), VLOOKUP(A164, Broker_Statement!A:B, 2, FALSE))</f>
        <v>INE009A01021</v>
      </c>
      <c r="C164" t="str">
        <f>IF(COUNTIF(Internal_Ledger!A:A, A164)=0, "Missing Internal", IF(COUNTIF(Broker_Statement!A:A, A164)=0, "Missing on Street", IF(D164&lt;&gt;E164, "Quantity Break", IF(F164&lt;&gt;G164, "Price Break", "Matched Perfectly"))))</f>
        <v>Matched Perfectly</v>
      </c>
      <c r="D164">
        <f>IFERROR(VLOOKUP(A164, Internal_Ledger!A:G, 5, FALSE), 0)</f>
        <v>1450</v>
      </c>
      <c r="E164">
        <f>IFERROR(VLOOKUP(A164, Broker_Statement!A:G, 5, FALSE), 0)</f>
        <v>1450</v>
      </c>
      <c r="F164">
        <f>IFERROR(VLOOKUP(A164, Internal_Ledger!A:G, 6, FALSE), 0)</f>
        <v>566.75</v>
      </c>
      <c r="G164">
        <f>IFERROR(VLOOKUP(A164, Broker_Statement!A:G, 6, FALSE), 0)</f>
        <v>566.75</v>
      </c>
      <c r="H164" s="7">
        <f t="shared" si="2"/>
        <v>0</v>
      </c>
    </row>
    <row r="165" spans="1:8" x14ac:dyDescent="0.3">
      <c r="A165" t="s">
        <v>186</v>
      </c>
      <c r="B165" t="str">
        <f>IFERROR(VLOOKUP(A165, Internal_Ledger!A:B, 2, FALSE), VLOOKUP(A165, Broker_Statement!A:B, 2, FALSE))</f>
        <v>INE040A01034</v>
      </c>
      <c r="C165" t="str">
        <f>IF(COUNTIF(Internal_Ledger!A:A, A165)=0, "Missing Internal", IF(COUNTIF(Broker_Statement!A:A, A165)=0, "Missing on Street", IF(D165&lt;&gt;E165, "Quantity Break", IF(F165&lt;&gt;G165, "Price Break", "Matched Perfectly"))))</f>
        <v>Matched Perfectly</v>
      </c>
      <c r="D165">
        <f>IFERROR(VLOOKUP(A165, Internal_Ledger!A:G, 5, FALSE), 0)</f>
        <v>4050</v>
      </c>
      <c r="E165">
        <f>IFERROR(VLOOKUP(A165, Broker_Statement!A:G, 5, FALSE), 0)</f>
        <v>4050</v>
      </c>
      <c r="F165">
        <f>IFERROR(VLOOKUP(A165, Internal_Ledger!A:G, 6, FALSE), 0)</f>
        <v>453.8699951171875</v>
      </c>
      <c r="G165">
        <f>IFERROR(VLOOKUP(A165, Broker_Statement!A:G, 6, FALSE), 0)</f>
        <v>453.8699951171875</v>
      </c>
      <c r="H165" s="7">
        <f t="shared" si="2"/>
        <v>0</v>
      </c>
    </row>
    <row r="166" spans="1:8" x14ac:dyDescent="0.3">
      <c r="A166" t="s">
        <v>187</v>
      </c>
      <c r="B166" t="str">
        <f>IFERROR(VLOOKUP(A166, Internal_Ledger!A:B, 2, FALSE), VLOOKUP(A166, Broker_Statement!A:B, 2, FALSE))</f>
        <v>INE018A01030</v>
      </c>
      <c r="C166" t="str">
        <f>IF(COUNTIF(Internal_Ledger!A:A, A166)=0, "Missing Internal", IF(COUNTIF(Broker_Statement!A:A, A166)=0, "Missing on Street", IF(D166&lt;&gt;E166, "Quantity Break", IF(F166&lt;&gt;G166, "Price Break", "Matched Perfectly"))))</f>
        <v>Matched Perfectly</v>
      </c>
      <c r="D166">
        <f>IFERROR(VLOOKUP(A166, Internal_Ledger!A:G, 5, FALSE), 0)</f>
        <v>300</v>
      </c>
      <c r="E166">
        <f>IFERROR(VLOOKUP(A166, Broker_Statement!A:G, 5, FALSE), 0)</f>
        <v>300</v>
      </c>
      <c r="F166">
        <f>IFERROR(VLOOKUP(A166, Internal_Ledger!A:G, 6, FALSE), 0)</f>
        <v>570.1099853515625</v>
      </c>
      <c r="G166">
        <f>IFERROR(VLOOKUP(A166, Broker_Statement!A:G, 6, FALSE), 0)</f>
        <v>570.1099853515625</v>
      </c>
      <c r="H166" s="7">
        <f t="shared" si="2"/>
        <v>0</v>
      </c>
    </row>
    <row r="167" spans="1:8" x14ac:dyDescent="0.3">
      <c r="A167" t="s">
        <v>188</v>
      </c>
      <c r="B167" t="str">
        <f>IFERROR(VLOOKUP(A167, Internal_Ledger!A:B, 2, FALSE), VLOOKUP(A167, Broker_Statement!A:B, 2, FALSE))</f>
        <v>INE002A01018</v>
      </c>
      <c r="C167" t="str">
        <f>IF(COUNTIF(Internal_Ledger!A:A, A167)=0, "Missing Internal", IF(COUNTIF(Broker_Statement!A:A, A167)=0, "Missing on Street", IF(D167&lt;&gt;E167, "Quantity Break", IF(F167&lt;&gt;G167, "Price Break", "Matched Perfectly"))))</f>
        <v>Matched Perfectly</v>
      </c>
      <c r="D167">
        <f>IFERROR(VLOOKUP(A167, Internal_Ledger!A:G, 5, FALSE), 0)</f>
        <v>2150</v>
      </c>
      <c r="E167">
        <f>IFERROR(VLOOKUP(A167, Broker_Statement!A:G, 5, FALSE), 0)</f>
        <v>2150</v>
      </c>
      <c r="F167">
        <f>IFERROR(VLOOKUP(A167, Internal_Ledger!A:G, 6, FALSE), 0)</f>
        <v>578.20001220703125</v>
      </c>
      <c r="G167">
        <f>IFERROR(VLOOKUP(A167, Broker_Statement!A:G, 6, FALSE), 0)</f>
        <v>578.20001220703125</v>
      </c>
      <c r="H167" s="7">
        <f t="shared" si="2"/>
        <v>0</v>
      </c>
    </row>
    <row r="168" spans="1:8" x14ac:dyDescent="0.3">
      <c r="A168" t="s">
        <v>189</v>
      </c>
      <c r="B168" t="str">
        <f>IFERROR(VLOOKUP(A168, Internal_Ledger!A:B, 2, FALSE), VLOOKUP(A168, Broker_Statement!A:B, 2, FALSE))</f>
        <v>INE040A01034</v>
      </c>
      <c r="C168" t="str">
        <f>IF(COUNTIF(Internal_Ledger!A:A, A168)=0, "Missing Internal", IF(COUNTIF(Broker_Statement!A:A, A168)=0, "Missing on Street", IF(D168&lt;&gt;E168, "Quantity Break", IF(F168&lt;&gt;G168, "Price Break", "Matched Perfectly"))))</f>
        <v>Matched Perfectly</v>
      </c>
      <c r="D168">
        <f>IFERROR(VLOOKUP(A168, Internal_Ledger!A:G, 5, FALSE), 0)</f>
        <v>3950</v>
      </c>
      <c r="E168">
        <f>IFERROR(VLOOKUP(A168, Broker_Statement!A:G, 5, FALSE), 0)</f>
        <v>3950</v>
      </c>
      <c r="F168">
        <f>IFERROR(VLOOKUP(A168, Internal_Ledger!A:G, 6, FALSE), 0)</f>
        <v>168.35000610351563</v>
      </c>
      <c r="G168">
        <f>IFERROR(VLOOKUP(A168, Broker_Statement!A:G, 6, FALSE), 0)</f>
        <v>168.35000610351563</v>
      </c>
      <c r="H168" s="7">
        <f t="shared" si="2"/>
        <v>0</v>
      </c>
    </row>
    <row r="169" spans="1:8" x14ac:dyDescent="0.3">
      <c r="A169" t="s">
        <v>190</v>
      </c>
      <c r="B169" t="str">
        <f>IFERROR(VLOOKUP(A169, Internal_Ledger!A:B, 2, FALSE), VLOOKUP(A169, Broker_Statement!A:B, 2, FALSE))</f>
        <v>INE030A01027</v>
      </c>
      <c r="C169" t="str">
        <f>IF(COUNTIF(Internal_Ledger!A:A, A169)=0, "Missing Internal", IF(COUNTIF(Broker_Statement!A:A, A169)=0, "Missing on Street", IF(D169&lt;&gt;E169, "Quantity Break", IF(F169&lt;&gt;G169, "Price Break", "Matched Perfectly"))))</f>
        <v>Matched Perfectly</v>
      </c>
      <c r="D169">
        <f>IFERROR(VLOOKUP(A169, Internal_Ledger!A:G, 5, FALSE), 0)</f>
        <v>1100</v>
      </c>
      <c r="E169">
        <f>IFERROR(VLOOKUP(A169, Broker_Statement!A:G, 5, FALSE), 0)</f>
        <v>1100</v>
      </c>
      <c r="F169">
        <f>IFERROR(VLOOKUP(A169, Internal_Ledger!A:G, 6, FALSE), 0)</f>
        <v>263.1099853515625</v>
      </c>
      <c r="G169">
        <f>IFERROR(VLOOKUP(A169, Broker_Statement!A:G, 6, FALSE), 0)</f>
        <v>263.1099853515625</v>
      </c>
      <c r="H169" s="7">
        <f t="shared" si="2"/>
        <v>0</v>
      </c>
    </row>
    <row r="170" spans="1:8" x14ac:dyDescent="0.3">
      <c r="A170" t="s">
        <v>191</v>
      </c>
      <c r="B170" t="str">
        <f>IFERROR(VLOOKUP(A170, Internal_Ledger!A:B, 2, FALSE), VLOOKUP(A170, Broker_Statement!A:B, 2, FALSE))</f>
        <v>INE030A01027</v>
      </c>
      <c r="C170" t="str">
        <f>IF(COUNTIF(Internal_Ledger!A:A, A170)=0, "Missing Internal", IF(COUNTIF(Broker_Statement!A:A, A170)=0, "Missing on Street", IF(D170&lt;&gt;E170, "Quantity Break", IF(F170&lt;&gt;G170, "Price Break", "Matched Perfectly"))))</f>
        <v>Matched Perfectly</v>
      </c>
      <c r="D170">
        <f>IFERROR(VLOOKUP(A170, Internal_Ledger!A:G, 5, FALSE), 0)</f>
        <v>4750</v>
      </c>
      <c r="E170">
        <f>IFERROR(VLOOKUP(A170, Broker_Statement!A:G, 5, FALSE), 0)</f>
        <v>4750</v>
      </c>
      <c r="F170">
        <f>IFERROR(VLOOKUP(A170, Internal_Ledger!A:G, 6, FALSE), 0)</f>
        <v>341.30999755859375</v>
      </c>
      <c r="G170">
        <f>IFERROR(VLOOKUP(A170, Broker_Statement!A:G, 6, FALSE), 0)</f>
        <v>341.30999755859375</v>
      </c>
      <c r="H170" s="7">
        <f t="shared" si="2"/>
        <v>0</v>
      </c>
    </row>
    <row r="171" spans="1:8" x14ac:dyDescent="0.3">
      <c r="A171" t="s">
        <v>192</v>
      </c>
      <c r="B171" t="str">
        <f>IFERROR(VLOOKUP(A171, Internal_Ledger!A:B, 2, FALSE), VLOOKUP(A171, Broker_Statement!A:B, 2, FALSE))</f>
        <v>INE002A01018</v>
      </c>
      <c r="C171" t="str">
        <f>IF(COUNTIF(Internal_Ledger!A:A, A171)=0, "Missing Internal", IF(COUNTIF(Broker_Statement!A:A, A171)=0, "Missing on Street", IF(D171&lt;&gt;E171, "Quantity Break", IF(F171&lt;&gt;G171, "Price Break", "Matched Perfectly"))))</f>
        <v>Matched Perfectly</v>
      </c>
      <c r="D171">
        <f>IFERROR(VLOOKUP(A171, Internal_Ledger!A:G, 5, FALSE), 0)</f>
        <v>2050</v>
      </c>
      <c r="E171">
        <f>IFERROR(VLOOKUP(A171, Broker_Statement!A:G, 5, FALSE), 0)</f>
        <v>2050</v>
      </c>
      <c r="F171">
        <f>IFERROR(VLOOKUP(A171, Internal_Ledger!A:G, 6, FALSE), 0)</f>
        <v>615.6099853515625</v>
      </c>
      <c r="G171">
        <f>IFERROR(VLOOKUP(A171, Broker_Statement!A:G, 6, FALSE), 0)</f>
        <v>615.6099853515625</v>
      </c>
      <c r="H171" s="7">
        <f t="shared" si="2"/>
        <v>0</v>
      </c>
    </row>
    <row r="172" spans="1:8" x14ac:dyDescent="0.3">
      <c r="A172" t="s">
        <v>193</v>
      </c>
      <c r="B172" t="str">
        <f>IFERROR(VLOOKUP(A172, Internal_Ledger!A:B, 2, FALSE), VLOOKUP(A172, Broker_Statement!A:B, 2, FALSE))</f>
        <v>INE018A01030</v>
      </c>
      <c r="C172" t="str">
        <f>IF(COUNTIF(Internal_Ledger!A:A, A172)=0, "Missing Internal", IF(COUNTIF(Broker_Statement!A:A, A172)=0, "Missing on Street", IF(D172&lt;&gt;E172, "Quantity Break", IF(F172&lt;&gt;G172, "Price Break", "Matched Perfectly"))))</f>
        <v>Matched Perfectly</v>
      </c>
      <c r="D172">
        <f>IFERROR(VLOOKUP(A172, Internal_Ledger!A:G, 5, FALSE), 0)</f>
        <v>2350</v>
      </c>
      <c r="E172">
        <f>IFERROR(VLOOKUP(A172, Broker_Statement!A:G, 5, FALSE), 0)</f>
        <v>2350</v>
      </c>
      <c r="F172">
        <f>IFERROR(VLOOKUP(A172, Internal_Ledger!A:G, 6, FALSE), 0)</f>
        <v>422.82000732421875</v>
      </c>
      <c r="G172">
        <f>IFERROR(VLOOKUP(A172, Broker_Statement!A:G, 6, FALSE), 0)</f>
        <v>422.82000732421875</v>
      </c>
      <c r="H172" s="7">
        <f t="shared" si="2"/>
        <v>0</v>
      </c>
    </row>
    <row r="173" spans="1:8" x14ac:dyDescent="0.3">
      <c r="A173" t="s">
        <v>194</v>
      </c>
      <c r="B173" t="str">
        <f>IFERROR(VLOOKUP(A173, Internal_Ledger!A:B, 2, FALSE), VLOOKUP(A173, Broker_Statement!A:B, 2, FALSE))</f>
        <v>INE002A01018</v>
      </c>
      <c r="C173" t="str">
        <f>IF(COUNTIF(Internal_Ledger!A:A, A173)=0, "Missing Internal", IF(COUNTIF(Broker_Statement!A:A, A173)=0, "Missing on Street", IF(D173&lt;&gt;E173, "Quantity Break", IF(F173&lt;&gt;G173, "Price Break", "Matched Perfectly"))))</f>
        <v>Matched Perfectly</v>
      </c>
      <c r="D173">
        <f>IFERROR(VLOOKUP(A173, Internal_Ledger!A:G, 5, FALSE), 0)</f>
        <v>1100</v>
      </c>
      <c r="E173">
        <f>IFERROR(VLOOKUP(A173, Broker_Statement!A:G, 5, FALSE), 0)</f>
        <v>1100</v>
      </c>
      <c r="F173">
        <f>IFERROR(VLOOKUP(A173, Internal_Ledger!A:G, 6, FALSE), 0)</f>
        <v>311.57998657226563</v>
      </c>
      <c r="G173">
        <f>IFERROR(VLOOKUP(A173, Broker_Statement!A:G, 6, FALSE), 0)</f>
        <v>311.57998657226563</v>
      </c>
      <c r="H173" s="7">
        <f t="shared" si="2"/>
        <v>0</v>
      </c>
    </row>
    <row r="174" spans="1:8" x14ac:dyDescent="0.3">
      <c r="A174" t="s">
        <v>195</v>
      </c>
      <c r="B174" t="str">
        <f>IFERROR(VLOOKUP(A174, Internal_Ledger!A:B, 2, FALSE), VLOOKUP(A174, Broker_Statement!A:B, 2, FALSE))</f>
        <v>INE030A01027</v>
      </c>
      <c r="C174" t="str">
        <f>IF(COUNTIF(Internal_Ledger!A:A, A174)=0, "Missing Internal", IF(COUNTIF(Broker_Statement!A:A, A174)=0, "Missing on Street", IF(D174&lt;&gt;E174, "Quantity Break", IF(F174&lt;&gt;G174, "Price Break", "Matched Perfectly"))))</f>
        <v>Matched Perfectly</v>
      </c>
      <c r="D174">
        <f>IFERROR(VLOOKUP(A174, Internal_Ledger!A:G, 5, FALSE), 0)</f>
        <v>4150</v>
      </c>
      <c r="E174">
        <f>IFERROR(VLOOKUP(A174, Broker_Statement!A:G, 5, FALSE), 0)</f>
        <v>4150</v>
      </c>
      <c r="F174">
        <f>IFERROR(VLOOKUP(A174, Internal_Ledger!A:G, 6, FALSE), 0)</f>
        <v>436.64999389648438</v>
      </c>
      <c r="G174">
        <f>IFERROR(VLOOKUP(A174, Broker_Statement!A:G, 6, FALSE), 0)</f>
        <v>436.64999389648438</v>
      </c>
      <c r="H174" s="7">
        <f t="shared" si="2"/>
        <v>0</v>
      </c>
    </row>
    <row r="175" spans="1:8" x14ac:dyDescent="0.3">
      <c r="A175" t="s">
        <v>196</v>
      </c>
      <c r="B175" t="str">
        <f>IFERROR(VLOOKUP(A175, Internal_Ledger!A:B, 2, FALSE), VLOOKUP(A175, Broker_Statement!A:B, 2, FALSE))</f>
        <v>INE009A01021</v>
      </c>
      <c r="C175" t="str">
        <f>IF(COUNTIF(Internal_Ledger!A:A, A175)=0, "Missing Internal", IF(COUNTIF(Broker_Statement!A:A, A175)=0, "Missing on Street", IF(D175&lt;&gt;E175, "Quantity Break", IF(F175&lt;&gt;G175, "Price Break", "Matched Perfectly"))))</f>
        <v>Matched Perfectly</v>
      </c>
      <c r="D175">
        <f>IFERROR(VLOOKUP(A175, Internal_Ledger!A:G, 5, FALSE), 0)</f>
        <v>2550</v>
      </c>
      <c r="E175">
        <f>IFERROR(VLOOKUP(A175, Broker_Statement!A:G, 5, FALSE), 0)</f>
        <v>2550</v>
      </c>
      <c r="F175">
        <f>IFERROR(VLOOKUP(A175, Internal_Ledger!A:G, 6, FALSE), 0)</f>
        <v>494.17999267578125</v>
      </c>
      <c r="G175">
        <f>IFERROR(VLOOKUP(A175, Broker_Statement!A:G, 6, FALSE), 0)</f>
        <v>494.17999267578125</v>
      </c>
      <c r="H175" s="7">
        <f t="shared" si="2"/>
        <v>0</v>
      </c>
    </row>
    <row r="176" spans="1:8" x14ac:dyDescent="0.3">
      <c r="A176" t="s">
        <v>197</v>
      </c>
      <c r="B176" t="str">
        <f>IFERROR(VLOOKUP(A176, Internal_Ledger!A:B, 2, FALSE), VLOOKUP(A176, Broker_Statement!A:B, 2, FALSE))</f>
        <v>INE030A01027</v>
      </c>
      <c r="C176" t="str">
        <f>IF(COUNTIF(Internal_Ledger!A:A, A176)=0, "Missing Internal", IF(COUNTIF(Broker_Statement!A:A, A176)=0, "Missing on Street", IF(D176&lt;&gt;E176, "Quantity Break", IF(F176&lt;&gt;G176, "Price Break", "Matched Perfectly"))))</f>
        <v>Matched Perfectly</v>
      </c>
      <c r="D176">
        <f>IFERROR(VLOOKUP(A176, Internal_Ledger!A:G, 5, FALSE), 0)</f>
        <v>1850</v>
      </c>
      <c r="E176">
        <f>IFERROR(VLOOKUP(A176, Broker_Statement!A:G, 5, FALSE), 0)</f>
        <v>1850</v>
      </c>
      <c r="F176">
        <f>IFERROR(VLOOKUP(A176, Internal_Ledger!A:G, 6, FALSE), 0)</f>
        <v>557.45001220703125</v>
      </c>
      <c r="G176">
        <f>IFERROR(VLOOKUP(A176, Broker_Statement!A:G, 6, FALSE), 0)</f>
        <v>557.45001220703125</v>
      </c>
      <c r="H176" s="7">
        <f t="shared" si="2"/>
        <v>0</v>
      </c>
    </row>
    <row r="177" spans="1:8" x14ac:dyDescent="0.3">
      <c r="A177" t="s">
        <v>198</v>
      </c>
      <c r="B177" t="str">
        <f>IFERROR(VLOOKUP(A177, Internal_Ledger!A:B, 2, FALSE), VLOOKUP(A177, Broker_Statement!A:B, 2, FALSE))</f>
        <v>INE018A01030</v>
      </c>
      <c r="C177" t="str">
        <f>IF(COUNTIF(Internal_Ledger!A:A, A177)=0, "Missing Internal", IF(COUNTIF(Broker_Statement!A:A, A177)=0, "Missing on Street", IF(D177&lt;&gt;E177, "Quantity Break", IF(F177&lt;&gt;G177, "Price Break", "Matched Perfectly"))))</f>
        <v>Matched Perfectly</v>
      </c>
      <c r="D177">
        <f>IFERROR(VLOOKUP(A177, Internal_Ledger!A:G, 5, FALSE), 0)</f>
        <v>4250</v>
      </c>
      <c r="E177">
        <f>IFERROR(VLOOKUP(A177, Broker_Statement!A:G, 5, FALSE), 0)</f>
        <v>4250</v>
      </c>
      <c r="F177">
        <f>IFERROR(VLOOKUP(A177, Internal_Ledger!A:G, 6, FALSE), 0)</f>
        <v>297.29000854492188</v>
      </c>
      <c r="G177">
        <f>IFERROR(VLOOKUP(A177, Broker_Statement!A:G, 6, FALSE), 0)</f>
        <v>297.29000854492188</v>
      </c>
      <c r="H177" s="7">
        <f t="shared" si="2"/>
        <v>0</v>
      </c>
    </row>
    <row r="178" spans="1:8" x14ac:dyDescent="0.3">
      <c r="A178" t="s">
        <v>199</v>
      </c>
      <c r="B178" t="str">
        <f>IFERROR(VLOOKUP(A178, Internal_Ledger!A:B, 2, FALSE), VLOOKUP(A178, Broker_Statement!A:B, 2, FALSE))</f>
        <v>INE018A01030</v>
      </c>
      <c r="C178" t="str">
        <f>IF(COUNTIF(Internal_Ledger!A:A, A178)=0, "Missing Internal", IF(COUNTIF(Broker_Statement!A:A, A178)=0, "Missing on Street", IF(D178&lt;&gt;E178, "Quantity Break", IF(F178&lt;&gt;G178, "Price Break", "Matched Perfectly"))))</f>
        <v>Matched Perfectly</v>
      </c>
      <c r="D178">
        <f>IFERROR(VLOOKUP(A178, Internal_Ledger!A:G, 5, FALSE), 0)</f>
        <v>4900</v>
      </c>
      <c r="E178">
        <f>IFERROR(VLOOKUP(A178, Broker_Statement!A:G, 5, FALSE), 0)</f>
        <v>4900</v>
      </c>
      <c r="F178">
        <f>IFERROR(VLOOKUP(A178, Internal_Ledger!A:G, 6, FALSE), 0)</f>
        <v>196.69999694824219</v>
      </c>
      <c r="G178">
        <f>IFERROR(VLOOKUP(A178, Broker_Statement!A:G, 6, FALSE), 0)</f>
        <v>196.69999694824219</v>
      </c>
      <c r="H178" s="7">
        <f t="shared" si="2"/>
        <v>0</v>
      </c>
    </row>
    <row r="179" spans="1:8" x14ac:dyDescent="0.3">
      <c r="A179" t="s">
        <v>200</v>
      </c>
      <c r="B179" t="str">
        <f>IFERROR(VLOOKUP(A179, Internal_Ledger!A:B, 2, FALSE), VLOOKUP(A179, Broker_Statement!A:B, 2, FALSE))</f>
        <v>INE002A01018</v>
      </c>
      <c r="C179" t="str">
        <f>IF(COUNTIF(Internal_Ledger!A:A, A179)=0, "Missing Internal", IF(COUNTIF(Broker_Statement!A:A, A179)=0, "Missing on Street", IF(D179&lt;&gt;E179, "Quantity Break", IF(F179&lt;&gt;G179, "Price Break", "Matched Perfectly"))))</f>
        <v>Matched Perfectly</v>
      </c>
      <c r="D179">
        <f>IFERROR(VLOOKUP(A179, Internal_Ledger!A:G, 5, FALSE), 0)</f>
        <v>3450</v>
      </c>
      <c r="E179">
        <f>IFERROR(VLOOKUP(A179, Broker_Statement!A:G, 5, FALSE), 0)</f>
        <v>3450</v>
      </c>
      <c r="F179">
        <f>IFERROR(VLOOKUP(A179, Internal_Ledger!A:G, 6, FALSE), 0)</f>
        <v>493.95001220703125</v>
      </c>
      <c r="G179">
        <f>IFERROR(VLOOKUP(A179, Broker_Statement!A:G, 6, FALSE), 0)</f>
        <v>493.95001220703125</v>
      </c>
      <c r="H179" s="7">
        <f t="shared" si="2"/>
        <v>0</v>
      </c>
    </row>
    <row r="180" spans="1:8" x14ac:dyDescent="0.3">
      <c r="A180" t="s">
        <v>201</v>
      </c>
      <c r="B180" t="str">
        <f>IFERROR(VLOOKUP(A180, Internal_Ledger!A:B, 2, FALSE), VLOOKUP(A180, Broker_Statement!A:B, 2, FALSE))</f>
        <v>INE002A01018</v>
      </c>
      <c r="C180" t="str">
        <f>IF(COUNTIF(Internal_Ledger!A:A, A180)=0, "Missing Internal", IF(COUNTIF(Broker_Statement!A:A, A180)=0, "Missing on Street", IF(D180&lt;&gt;E180, "Quantity Break", IF(F180&lt;&gt;G180, "Price Break", "Matched Perfectly"))))</f>
        <v>Matched Perfectly</v>
      </c>
      <c r="D180">
        <f>IFERROR(VLOOKUP(A180, Internal_Ledger!A:G, 5, FALSE), 0)</f>
        <v>4450</v>
      </c>
      <c r="E180">
        <f>IFERROR(VLOOKUP(A180, Broker_Statement!A:G, 5, FALSE), 0)</f>
        <v>4450</v>
      </c>
      <c r="F180">
        <f>IFERROR(VLOOKUP(A180, Internal_Ledger!A:G, 6, FALSE), 0)</f>
        <v>213.61000061035156</v>
      </c>
      <c r="G180">
        <f>IFERROR(VLOOKUP(A180, Broker_Statement!A:G, 6, FALSE), 0)</f>
        <v>213.61000061035156</v>
      </c>
      <c r="H180" s="7">
        <f t="shared" si="2"/>
        <v>0</v>
      </c>
    </row>
    <row r="181" spans="1:8" x14ac:dyDescent="0.3">
      <c r="A181" t="s">
        <v>202</v>
      </c>
      <c r="B181" t="str">
        <f>IFERROR(VLOOKUP(A181, Internal_Ledger!A:B, 2, FALSE), VLOOKUP(A181, Broker_Statement!A:B, 2, FALSE))</f>
        <v>INE009A01021</v>
      </c>
      <c r="C181" t="str">
        <f>IF(COUNTIF(Internal_Ledger!A:A, A181)=0, "Missing Internal", IF(COUNTIF(Broker_Statement!A:A, A181)=0, "Missing on Street", IF(D181&lt;&gt;E181, "Quantity Break", IF(F181&lt;&gt;G181, "Price Break", "Matched Perfectly"))))</f>
        <v>Matched Perfectly</v>
      </c>
      <c r="D181">
        <f>IFERROR(VLOOKUP(A181, Internal_Ledger!A:G, 5, FALSE), 0)</f>
        <v>4550</v>
      </c>
      <c r="E181">
        <f>IFERROR(VLOOKUP(A181, Broker_Statement!A:G, 5, FALSE), 0)</f>
        <v>4550</v>
      </c>
      <c r="F181">
        <f>IFERROR(VLOOKUP(A181, Internal_Ledger!A:G, 6, FALSE), 0)</f>
        <v>269.79000854492188</v>
      </c>
      <c r="G181">
        <f>IFERROR(VLOOKUP(A181, Broker_Statement!A:G, 6, FALSE), 0)</f>
        <v>269.79000854492188</v>
      </c>
      <c r="H181" s="7">
        <f t="shared" si="2"/>
        <v>0</v>
      </c>
    </row>
    <row r="182" spans="1:8" x14ac:dyDescent="0.3">
      <c r="A182" t="s">
        <v>203</v>
      </c>
      <c r="B182" t="str">
        <f>IFERROR(VLOOKUP(A182, Internal_Ledger!A:B, 2, FALSE), VLOOKUP(A182, Broker_Statement!A:B, 2, FALSE))</f>
        <v>INE040A01034</v>
      </c>
      <c r="C182" t="str">
        <f>IF(COUNTIF(Internal_Ledger!A:A, A182)=0, "Missing Internal", IF(COUNTIF(Broker_Statement!A:A, A182)=0, "Missing on Street", IF(D182&lt;&gt;E182, "Quantity Break", IF(F182&lt;&gt;G182, "Price Break", "Matched Perfectly"))))</f>
        <v>Matched Perfectly</v>
      </c>
      <c r="D182">
        <f>IFERROR(VLOOKUP(A182, Internal_Ledger!A:G, 5, FALSE), 0)</f>
        <v>4100</v>
      </c>
      <c r="E182">
        <f>IFERROR(VLOOKUP(A182, Broker_Statement!A:G, 5, FALSE), 0)</f>
        <v>4100</v>
      </c>
      <c r="F182">
        <f>IFERROR(VLOOKUP(A182, Internal_Ledger!A:G, 6, FALSE), 0)</f>
        <v>251.10000610351563</v>
      </c>
      <c r="G182">
        <f>IFERROR(VLOOKUP(A182, Broker_Statement!A:G, 6, FALSE), 0)</f>
        <v>251.10000610351563</v>
      </c>
      <c r="H182" s="7">
        <f t="shared" si="2"/>
        <v>0</v>
      </c>
    </row>
    <row r="183" spans="1:8" x14ac:dyDescent="0.3">
      <c r="A183" t="s">
        <v>204</v>
      </c>
      <c r="B183" t="str">
        <f>IFERROR(VLOOKUP(A183, Internal_Ledger!A:B, 2, FALSE), VLOOKUP(A183, Broker_Statement!A:B, 2, FALSE))</f>
        <v>INE030A01027</v>
      </c>
      <c r="C183" t="str">
        <f>IF(COUNTIF(Internal_Ledger!A:A, A183)=0, "Missing Internal", IF(COUNTIF(Broker_Statement!A:A, A183)=0, "Missing on Street", IF(D183&lt;&gt;E183, "Quantity Break", IF(F183&lt;&gt;G183, "Price Break", "Matched Perfectly"))))</f>
        <v>Matched Perfectly</v>
      </c>
      <c r="D183">
        <f>IFERROR(VLOOKUP(A183, Internal_Ledger!A:G, 5, FALSE), 0)</f>
        <v>2350</v>
      </c>
      <c r="E183">
        <f>IFERROR(VLOOKUP(A183, Broker_Statement!A:G, 5, FALSE), 0)</f>
        <v>2350</v>
      </c>
      <c r="F183">
        <f>IFERROR(VLOOKUP(A183, Internal_Ledger!A:G, 6, FALSE), 0)</f>
        <v>621.5</v>
      </c>
      <c r="G183">
        <f>IFERROR(VLOOKUP(A183, Broker_Statement!A:G, 6, FALSE), 0)</f>
        <v>621.5</v>
      </c>
      <c r="H183" s="7">
        <f t="shared" si="2"/>
        <v>0</v>
      </c>
    </row>
    <row r="184" spans="1:8" x14ac:dyDescent="0.3">
      <c r="A184" t="s">
        <v>205</v>
      </c>
      <c r="B184" t="str">
        <f>IFERROR(VLOOKUP(A184, Internal_Ledger!A:B, 2, FALSE), VLOOKUP(A184, Broker_Statement!A:B, 2, FALSE))</f>
        <v>INE009A01021</v>
      </c>
      <c r="C184" t="str">
        <f>IF(COUNTIF(Internal_Ledger!A:A, A184)=0, "Missing Internal", IF(COUNTIF(Broker_Statement!A:A, A184)=0, "Missing on Street", IF(D184&lt;&gt;E184, "Quantity Break", IF(F184&lt;&gt;G184, "Price Break", "Matched Perfectly"))))</f>
        <v>Matched Perfectly</v>
      </c>
      <c r="D184">
        <f>IFERROR(VLOOKUP(A184, Internal_Ledger!A:G, 5, FALSE), 0)</f>
        <v>1600</v>
      </c>
      <c r="E184">
        <f>IFERROR(VLOOKUP(A184, Broker_Statement!A:G, 5, FALSE), 0)</f>
        <v>1600</v>
      </c>
      <c r="F184">
        <f>IFERROR(VLOOKUP(A184, Internal_Ledger!A:G, 6, FALSE), 0)</f>
        <v>196.71000671386719</v>
      </c>
      <c r="G184">
        <f>IFERROR(VLOOKUP(A184, Broker_Statement!A:G, 6, FALSE), 0)</f>
        <v>196.71000671386719</v>
      </c>
      <c r="H184" s="7">
        <f t="shared" si="2"/>
        <v>0</v>
      </c>
    </row>
    <row r="185" spans="1:8" x14ac:dyDescent="0.3">
      <c r="A185" t="s">
        <v>206</v>
      </c>
      <c r="B185" t="str">
        <f>IFERROR(VLOOKUP(A185, Internal_Ledger!A:B, 2, FALSE), VLOOKUP(A185, Broker_Statement!A:B, 2, FALSE))</f>
        <v>INE040A01034</v>
      </c>
      <c r="C185" t="str">
        <f>IF(COUNTIF(Internal_Ledger!A:A, A185)=0, "Missing Internal", IF(COUNTIF(Broker_Statement!A:A, A185)=0, "Missing on Street", IF(D185&lt;&gt;E185, "Quantity Break", IF(F185&lt;&gt;G185, "Price Break", "Matched Perfectly"))))</f>
        <v>Price Break</v>
      </c>
      <c r="D185">
        <f>IFERROR(VLOOKUP(A185, Internal_Ledger!A:G, 5, FALSE), 0)</f>
        <v>2300</v>
      </c>
      <c r="E185">
        <f>IFERROR(VLOOKUP(A185, Broker_Statement!A:G, 5, FALSE), 0)</f>
        <v>2300</v>
      </c>
      <c r="F185">
        <f>IFERROR(VLOOKUP(A185, Internal_Ledger!A:G, 6, FALSE), 0)</f>
        <v>380.20999145507813</v>
      </c>
      <c r="G185">
        <f>IFERROR(VLOOKUP(A185, Broker_Statement!A:G, 6, FALSE), 0)</f>
        <v>380.02999144792557</v>
      </c>
      <c r="H185" s="7">
        <f t="shared" si="2"/>
        <v>414.00001645088196</v>
      </c>
    </row>
    <row r="186" spans="1:8" x14ac:dyDescent="0.3">
      <c r="A186" t="s">
        <v>207</v>
      </c>
      <c r="B186" t="str">
        <f>IFERROR(VLOOKUP(A186, Internal_Ledger!A:B, 2, FALSE), VLOOKUP(A186, Broker_Statement!A:B, 2, FALSE))</f>
        <v>INE030A01027</v>
      </c>
      <c r="C186" t="str">
        <f>IF(COUNTIF(Internal_Ledger!A:A, A186)=0, "Missing Internal", IF(COUNTIF(Broker_Statement!A:A, A186)=0, "Missing on Street", IF(D186&lt;&gt;E186, "Quantity Break", IF(F186&lt;&gt;G186, "Price Break", "Matched Perfectly"))))</f>
        <v>Matched Perfectly</v>
      </c>
      <c r="D186">
        <f>IFERROR(VLOOKUP(A186, Internal_Ledger!A:G, 5, FALSE), 0)</f>
        <v>1200</v>
      </c>
      <c r="E186">
        <f>IFERROR(VLOOKUP(A186, Broker_Statement!A:G, 5, FALSE), 0)</f>
        <v>1200</v>
      </c>
      <c r="F186">
        <f>IFERROR(VLOOKUP(A186, Internal_Ledger!A:G, 6, FALSE), 0)</f>
        <v>263.64999389648438</v>
      </c>
      <c r="G186">
        <f>IFERROR(VLOOKUP(A186, Broker_Statement!A:G, 6, FALSE), 0)</f>
        <v>263.64999389648438</v>
      </c>
      <c r="H186" s="7">
        <f t="shared" si="2"/>
        <v>0</v>
      </c>
    </row>
    <row r="187" spans="1:8" x14ac:dyDescent="0.3">
      <c r="A187" t="s">
        <v>208</v>
      </c>
      <c r="B187" t="str">
        <f>IFERROR(VLOOKUP(A187, Internal_Ledger!A:B, 2, FALSE), VLOOKUP(A187, Broker_Statement!A:B, 2, FALSE))</f>
        <v>INE030A01027</v>
      </c>
      <c r="C187" t="str">
        <f>IF(COUNTIF(Internal_Ledger!A:A, A187)=0, "Missing Internal", IF(COUNTIF(Broker_Statement!A:A, A187)=0, "Missing on Street", IF(D187&lt;&gt;E187, "Quantity Break", IF(F187&lt;&gt;G187, "Price Break", "Matched Perfectly"))))</f>
        <v>Matched Perfectly</v>
      </c>
      <c r="D187">
        <f>IFERROR(VLOOKUP(A187, Internal_Ledger!A:G, 5, FALSE), 0)</f>
        <v>2100</v>
      </c>
      <c r="E187">
        <f>IFERROR(VLOOKUP(A187, Broker_Statement!A:G, 5, FALSE), 0)</f>
        <v>2100</v>
      </c>
      <c r="F187">
        <f>IFERROR(VLOOKUP(A187, Internal_Ledger!A:G, 6, FALSE), 0)</f>
        <v>646.969970703125</v>
      </c>
      <c r="G187">
        <f>IFERROR(VLOOKUP(A187, Broker_Statement!A:G, 6, FALSE), 0)</f>
        <v>646.969970703125</v>
      </c>
      <c r="H187" s="7">
        <f t="shared" si="2"/>
        <v>0</v>
      </c>
    </row>
    <row r="188" spans="1:8" x14ac:dyDescent="0.3">
      <c r="A188" t="s">
        <v>209</v>
      </c>
      <c r="B188" t="str">
        <f>IFERROR(VLOOKUP(A188, Internal_Ledger!A:B, 2, FALSE), VLOOKUP(A188, Broker_Statement!A:B, 2, FALSE))</f>
        <v>INE018A01030</v>
      </c>
      <c r="C188" t="str">
        <f>IF(COUNTIF(Internal_Ledger!A:A, A188)=0, "Missing Internal", IF(COUNTIF(Broker_Statement!A:A, A188)=0, "Missing on Street", IF(D188&lt;&gt;E188, "Quantity Break", IF(F188&lt;&gt;G188, "Price Break", "Matched Perfectly"))))</f>
        <v>Matched Perfectly</v>
      </c>
      <c r="D188">
        <f>IFERROR(VLOOKUP(A188, Internal_Ledger!A:G, 5, FALSE), 0)</f>
        <v>800</v>
      </c>
      <c r="E188">
        <f>IFERROR(VLOOKUP(A188, Broker_Statement!A:G, 5, FALSE), 0)</f>
        <v>800</v>
      </c>
      <c r="F188">
        <f>IFERROR(VLOOKUP(A188, Internal_Ledger!A:G, 6, FALSE), 0)</f>
        <v>602.8800048828125</v>
      </c>
      <c r="G188">
        <f>IFERROR(VLOOKUP(A188, Broker_Statement!A:G, 6, FALSE), 0)</f>
        <v>602.8800048828125</v>
      </c>
      <c r="H188" s="7">
        <f t="shared" si="2"/>
        <v>0</v>
      </c>
    </row>
    <row r="189" spans="1:8" x14ac:dyDescent="0.3">
      <c r="A189" t="s">
        <v>210</v>
      </c>
      <c r="B189" t="str">
        <f>IFERROR(VLOOKUP(A189, Internal_Ledger!A:B, 2, FALSE), VLOOKUP(A189, Broker_Statement!A:B, 2, FALSE))</f>
        <v>INE030A01027</v>
      </c>
      <c r="C189" t="str">
        <f>IF(COUNTIF(Internal_Ledger!A:A, A189)=0, "Missing Internal", IF(COUNTIF(Broker_Statement!A:A, A189)=0, "Missing on Street", IF(D189&lt;&gt;E189, "Quantity Break", IF(F189&lt;&gt;G189, "Price Break", "Matched Perfectly"))))</f>
        <v>Matched Perfectly</v>
      </c>
      <c r="D189">
        <f>IFERROR(VLOOKUP(A189, Internal_Ledger!A:G, 5, FALSE), 0)</f>
        <v>4850</v>
      </c>
      <c r="E189">
        <f>IFERROR(VLOOKUP(A189, Broker_Statement!A:G, 5, FALSE), 0)</f>
        <v>4850</v>
      </c>
      <c r="F189">
        <f>IFERROR(VLOOKUP(A189, Internal_Ledger!A:G, 6, FALSE), 0)</f>
        <v>335.55999755859375</v>
      </c>
      <c r="G189">
        <f>IFERROR(VLOOKUP(A189, Broker_Statement!A:G, 6, FALSE), 0)</f>
        <v>335.55999755859375</v>
      </c>
      <c r="H189" s="7">
        <f t="shared" si="2"/>
        <v>0</v>
      </c>
    </row>
    <row r="190" spans="1:8" x14ac:dyDescent="0.3">
      <c r="A190" t="s">
        <v>211</v>
      </c>
      <c r="B190" t="str">
        <f>IFERROR(VLOOKUP(A190, Internal_Ledger!A:B, 2, FALSE), VLOOKUP(A190, Broker_Statement!A:B, 2, FALSE))</f>
        <v>INE009A01021</v>
      </c>
      <c r="C190" t="str">
        <f>IF(COUNTIF(Internal_Ledger!A:A, A190)=0, "Missing Internal", IF(COUNTIF(Broker_Statement!A:A, A190)=0, "Missing on Street", IF(D190&lt;&gt;E190, "Quantity Break", IF(F190&lt;&gt;G190, "Price Break", "Matched Perfectly"))))</f>
        <v>Matched Perfectly</v>
      </c>
      <c r="D190">
        <f>IFERROR(VLOOKUP(A190, Internal_Ledger!A:G, 5, FALSE), 0)</f>
        <v>600</v>
      </c>
      <c r="E190">
        <f>IFERROR(VLOOKUP(A190, Broker_Statement!A:G, 5, FALSE), 0)</f>
        <v>600</v>
      </c>
      <c r="F190">
        <f>IFERROR(VLOOKUP(A190, Internal_Ledger!A:G, 6, FALSE), 0)</f>
        <v>601.94000244140625</v>
      </c>
      <c r="G190">
        <f>IFERROR(VLOOKUP(A190, Broker_Statement!A:G, 6, FALSE), 0)</f>
        <v>601.94000244140625</v>
      </c>
      <c r="H190" s="7">
        <f t="shared" si="2"/>
        <v>0</v>
      </c>
    </row>
    <row r="191" spans="1:8" x14ac:dyDescent="0.3">
      <c r="A191" t="s">
        <v>212</v>
      </c>
      <c r="B191" t="str">
        <f>IFERROR(VLOOKUP(A191, Internal_Ledger!A:B, 2, FALSE), VLOOKUP(A191, Broker_Statement!A:B, 2, FALSE))</f>
        <v>INE040A01034</v>
      </c>
      <c r="C191" t="str">
        <f>IF(COUNTIF(Internal_Ledger!A:A, A191)=0, "Missing Internal", IF(COUNTIF(Broker_Statement!A:A, A191)=0, "Missing on Street", IF(D191&lt;&gt;E191, "Quantity Break", IF(F191&lt;&gt;G191, "Price Break", "Matched Perfectly"))))</f>
        <v>Matched Perfectly</v>
      </c>
      <c r="D191">
        <f>IFERROR(VLOOKUP(A191, Internal_Ledger!A:G, 5, FALSE), 0)</f>
        <v>2700</v>
      </c>
      <c r="E191">
        <f>IFERROR(VLOOKUP(A191, Broker_Statement!A:G, 5, FALSE), 0)</f>
        <v>2700</v>
      </c>
      <c r="F191">
        <f>IFERROR(VLOOKUP(A191, Internal_Ledger!A:G, 6, FALSE), 0)</f>
        <v>562.07000732421875</v>
      </c>
      <c r="G191">
        <f>IFERROR(VLOOKUP(A191, Broker_Statement!A:G, 6, FALSE), 0)</f>
        <v>562.07000732421875</v>
      </c>
      <c r="H191" s="7">
        <f t="shared" si="2"/>
        <v>0</v>
      </c>
    </row>
    <row r="192" spans="1:8" x14ac:dyDescent="0.3">
      <c r="A192" t="s">
        <v>213</v>
      </c>
      <c r="B192" t="str">
        <f>IFERROR(VLOOKUP(A192, Internal_Ledger!A:B, 2, FALSE), VLOOKUP(A192, Broker_Statement!A:B, 2, FALSE))</f>
        <v>INE030A01027</v>
      </c>
      <c r="C192" t="str">
        <f>IF(COUNTIF(Internal_Ledger!A:A, A192)=0, "Missing Internal", IF(COUNTIF(Broker_Statement!A:A, A192)=0, "Missing on Street", IF(D192&lt;&gt;E192, "Quantity Break", IF(F192&lt;&gt;G192, "Price Break", "Matched Perfectly"))))</f>
        <v>Price Break</v>
      </c>
      <c r="D192">
        <f>IFERROR(VLOOKUP(A192, Internal_Ledger!A:G, 5, FALSE), 0)</f>
        <v>400</v>
      </c>
      <c r="E192">
        <f>IFERROR(VLOOKUP(A192, Broker_Statement!A:G, 5, FALSE), 0)</f>
        <v>400</v>
      </c>
      <c r="F192">
        <f>IFERROR(VLOOKUP(A192, Internal_Ledger!A:G, 6, FALSE), 0)</f>
        <v>178.25999450683594</v>
      </c>
      <c r="G192">
        <f>IFERROR(VLOOKUP(A192, Broker_Statement!A:G, 6, FALSE), 0)</f>
        <v>179.22999453544617</v>
      </c>
      <c r="H192" s="7">
        <f t="shared" si="2"/>
        <v>388.0000114440918</v>
      </c>
    </row>
    <row r="193" spans="1:8" x14ac:dyDescent="0.3">
      <c r="A193" t="s">
        <v>214</v>
      </c>
      <c r="B193" t="str">
        <f>IFERROR(VLOOKUP(A193, Internal_Ledger!A:B, 2, FALSE), VLOOKUP(A193, Broker_Statement!A:B, 2, FALSE))</f>
        <v>INE002A01018</v>
      </c>
      <c r="C193" t="str">
        <f>IF(COUNTIF(Internal_Ledger!A:A, A193)=0, "Missing Internal", IF(COUNTIF(Broker_Statement!A:A, A193)=0, "Missing on Street", IF(D193&lt;&gt;E193, "Quantity Break", IF(F193&lt;&gt;G193, "Price Break", "Matched Perfectly"))))</f>
        <v>Matched Perfectly</v>
      </c>
      <c r="D193">
        <f>IFERROR(VLOOKUP(A193, Internal_Ledger!A:G, 5, FALSE), 0)</f>
        <v>650</v>
      </c>
      <c r="E193">
        <f>IFERROR(VLOOKUP(A193, Broker_Statement!A:G, 5, FALSE), 0)</f>
        <v>650</v>
      </c>
      <c r="F193">
        <f>IFERROR(VLOOKUP(A193, Internal_Ledger!A:G, 6, FALSE), 0)</f>
        <v>342.260009765625</v>
      </c>
      <c r="G193">
        <f>IFERROR(VLOOKUP(A193, Broker_Statement!A:G, 6, FALSE), 0)</f>
        <v>342.260009765625</v>
      </c>
      <c r="H193" s="7">
        <f t="shared" si="2"/>
        <v>0</v>
      </c>
    </row>
    <row r="194" spans="1:8" x14ac:dyDescent="0.3">
      <c r="A194" t="s">
        <v>215</v>
      </c>
      <c r="B194" t="str">
        <f>IFERROR(VLOOKUP(A194, Internal_Ledger!A:B, 2, FALSE), VLOOKUP(A194, Broker_Statement!A:B, 2, FALSE))</f>
        <v>INE040A01034</v>
      </c>
      <c r="C194" t="str">
        <f>IF(COUNTIF(Internal_Ledger!A:A, A194)=0, "Missing Internal", IF(COUNTIF(Broker_Statement!A:A, A194)=0, "Missing on Street", IF(D194&lt;&gt;E194, "Quantity Break", IF(F194&lt;&gt;G194, "Price Break", "Matched Perfectly"))))</f>
        <v>Matched Perfectly</v>
      </c>
      <c r="D194">
        <f>IFERROR(VLOOKUP(A194, Internal_Ledger!A:G, 5, FALSE), 0)</f>
        <v>3300</v>
      </c>
      <c r="E194">
        <f>IFERROR(VLOOKUP(A194, Broker_Statement!A:G, 5, FALSE), 0)</f>
        <v>3300</v>
      </c>
      <c r="F194">
        <f>IFERROR(VLOOKUP(A194, Internal_Ledger!A:G, 6, FALSE), 0)</f>
        <v>261.1400146484375</v>
      </c>
      <c r="G194">
        <f>IFERROR(VLOOKUP(A194, Broker_Statement!A:G, 6, FALSE), 0)</f>
        <v>261.1400146484375</v>
      </c>
      <c r="H194" s="7">
        <f t="shared" si="2"/>
        <v>0</v>
      </c>
    </row>
    <row r="195" spans="1:8" x14ac:dyDescent="0.3">
      <c r="A195" t="s">
        <v>216</v>
      </c>
      <c r="B195" t="str">
        <f>IFERROR(VLOOKUP(A195, Internal_Ledger!A:B, 2, FALSE), VLOOKUP(A195, Broker_Statement!A:B, 2, FALSE))</f>
        <v>INE040A01034</v>
      </c>
      <c r="C195" t="str">
        <f>IF(COUNTIF(Internal_Ledger!A:A, A195)=0, "Missing Internal", IF(COUNTIF(Broker_Statement!A:A, A195)=0, "Missing on Street", IF(D195&lt;&gt;E195, "Quantity Break", IF(F195&lt;&gt;G195, "Price Break", "Matched Perfectly"))))</f>
        <v>Missing on Street</v>
      </c>
      <c r="D195">
        <f>IFERROR(VLOOKUP(A195, Internal_Ledger!A:G, 5, FALSE), 0)</f>
        <v>350</v>
      </c>
      <c r="E195">
        <f>IFERROR(VLOOKUP(A195, Broker_Statement!A:G, 5, FALSE), 0)</f>
        <v>0</v>
      </c>
      <c r="F195">
        <f>IFERROR(VLOOKUP(A195, Internal_Ledger!A:G, 6, FALSE), 0)</f>
        <v>156.80999755859375</v>
      </c>
      <c r="G195">
        <f>IFERROR(VLOOKUP(A195, Broker_Statement!A:G, 6, FALSE), 0)</f>
        <v>0</v>
      </c>
      <c r="H195" s="7">
        <f t="shared" ref="H195:H258" si="3">ABS((D195*F195) - (E195*G195))</f>
        <v>54883.499145507813</v>
      </c>
    </row>
    <row r="196" spans="1:8" x14ac:dyDescent="0.3">
      <c r="A196" t="s">
        <v>217</v>
      </c>
      <c r="B196" t="str">
        <f>IFERROR(VLOOKUP(A196, Internal_Ledger!A:B, 2, FALSE), VLOOKUP(A196, Broker_Statement!A:B, 2, FALSE))</f>
        <v>INE009A01021</v>
      </c>
      <c r="C196" t="str">
        <f>IF(COUNTIF(Internal_Ledger!A:A, A196)=0, "Missing Internal", IF(COUNTIF(Broker_Statement!A:A, A196)=0, "Missing on Street", IF(D196&lt;&gt;E196, "Quantity Break", IF(F196&lt;&gt;G196, "Price Break", "Matched Perfectly"))))</f>
        <v>Matched Perfectly</v>
      </c>
      <c r="D196">
        <f>IFERROR(VLOOKUP(A196, Internal_Ledger!A:G, 5, FALSE), 0)</f>
        <v>850</v>
      </c>
      <c r="E196">
        <f>IFERROR(VLOOKUP(A196, Broker_Statement!A:G, 5, FALSE), 0)</f>
        <v>850</v>
      </c>
      <c r="F196">
        <f>IFERROR(VLOOKUP(A196, Internal_Ledger!A:G, 6, FALSE), 0)</f>
        <v>293.77999877929688</v>
      </c>
      <c r="G196">
        <f>IFERROR(VLOOKUP(A196, Broker_Statement!A:G, 6, FALSE), 0)</f>
        <v>293.77999877929688</v>
      </c>
      <c r="H196" s="7">
        <f t="shared" si="3"/>
        <v>0</v>
      </c>
    </row>
    <row r="197" spans="1:8" x14ac:dyDescent="0.3">
      <c r="A197" t="s">
        <v>218</v>
      </c>
      <c r="B197" t="str">
        <f>IFERROR(VLOOKUP(A197, Internal_Ledger!A:B, 2, FALSE), VLOOKUP(A197, Broker_Statement!A:B, 2, FALSE))</f>
        <v>INE040A01034</v>
      </c>
      <c r="C197" t="str">
        <f>IF(COUNTIF(Internal_Ledger!A:A, A197)=0, "Missing Internal", IF(COUNTIF(Broker_Statement!A:A, A197)=0, "Missing on Street", IF(D197&lt;&gt;E197, "Quantity Break", IF(F197&lt;&gt;G197, "Price Break", "Matched Perfectly"))))</f>
        <v>Matched Perfectly</v>
      </c>
      <c r="D197">
        <f>IFERROR(VLOOKUP(A197, Internal_Ledger!A:G, 5, FALSE), 0)</f>
        <v>4350</v>
      </c>
      <c r="E197">
        <f>IFERROR(VLOOKUP(A197, Broker_Statement!A:G, 5, FALSE), 0)</f>
        <v>4350</v>
      </c>
      <c r="F197">
        <f>IFERROR(VLOOKUP(A197, Internal_Ledger!A:G, 6, FALSE), 0)</f>
        <v>579.30999755859375</v>
      </c>
      <c r="G197">
        <f>IFERROR(VLOOKUP(A197, Broker_Statement!A:G, 6, FALSE), 0)</f>
        <v>579.30999755859375</v>
      </c>
      <c r="H197" s="7">
        <f t="shared" si="3"/>
        <v>0</v>
      </c>
    </row>
    <row r="198" spans="1:8" x14ac:dyDescent="0.3">
      <c r="A198" t="s">
        <v>219</v>
      </c>
      <c r="B198" t="str">
        <f>IFERROR(VLOOKUP(A198, Internal_Ledger!A:B, 2, FALSE), VLOOKUP(A198, Broker_Statement!A:B, 2, FALSE))</f>
        <v>INE018A01030</v>
      </c>
      <c r="C198" t="str">
        <f>IF(COUNTIF(Internal_Ledger!A:A, A198)=0, "Missing Internal", IF(COUNTIF(Broker_Statement!A:A, A198)=0, "Missing on Street", IF(D198&lt;&gt;E198, "Quantity Break", IF(F198&lt;&gt;G198, "Price Break", "Matched Perfectly"))))</f>
        <v>Matched Perfectly</v>
      </c>
      <c r="D198">
        <f>IFERROR(VLOOKUP(A198, Internal_Ledger!A:G, 5, FALSE), 0)</f>
        <v>1300</v>
      </c>
      <c r="E198">
        <f>IFERROR(VLOOKUP(A198, Broker_Statement!A:G, 5, FALSE), 0)</f>
        <v>1300</v>
      </c>
      <c r="F198">
        <f>IFERROR(VLOOKUP(A198, Internal_Ledger!A:G, 6, FALSE), 0)</f>
        <v>158.83999633789063</v>
      </c>
      <c r="G198">
        <f>IFERROR(VLOOKUP(A198, Broker_Statement!A:G, 6, FALSE), 0)</f>
        <v>158.83999633789063</v>
      </c>
      <c r="H198" s="7">
        <f t="shared" si="3"/>
        <v>0</v>
      </c>
    </row>
    <row r="199" spans="1:8" x14ac:dyDescent="0.3">
      <c r="A199" t="s">
        <v>220</v>
      </c>
      <c r="B199" t="str">
        <f>IFERROR(VLOOKUP(A199, Internal_Ledger!A:B, 2, FALSE), VLOOKUP(A199, Broker_Statement!A:B, 2, FALSE))</f>
        <v>INE030A01027</v>
      </c>
      <c r="C199" t="str">
        <f>IF(COUNTIF(Internal_Ledger!A:A, A199)=0, "Missing Internal", IF(COUNTIF(Broker_Statement!A:A, A199)=0, "Missing on Street", IF(D199&lt;&gt;E199, "Quantity Break", IF(F199&lt;&gt;G199, "Price Break", "Matched Perfectly"))))</f>
        <v>Matched Perfectly</v>
      </c>
      <c r="D199">
        <f>IFERROR(VLOOKUP(A199, Internal_Ledger!A:G, 5, FALSE), 0)</f>
        <v>3750</v>
      </c>
      <c r="E199">
        <f>IFERROR(VLOOKUP(A199, Broker_Statement!A:G, 5, FALSE), 0)</f>
        <v>3750</v>
      </c>
      <c r="F199">
        <f>IFERROR(VLOOKUP(A199, Internal_Ledger!A:G, 6, FALSE), 0)</f>
        <v>505.60000610351563</v>
      </c>
      <c r="G199">
        <f>IFERROR(VLOOKUP(A199, Broker_Statement!A:G, 6, FALSE), 0)</f>
        <v>505.60000610351563</v>
      </c>
      <c r="H199" s="7">
        <f t="shared" si="3"/>
        <v>0</v>
      </c>
    </row>
    <row r="200" spans="1:8" x14ac:dyDescent="0.3">
      <c r="A200" t="s">
        <v>221</v>
      </c>
      <c r="B200" t="str">
        <f>IFERROR(VLOOKUP(A200, Internal_Ledger!A:B, 2, FALSE), VLOOKUP(A200, Broker_Statement!A:B, 2, FALSE))</f>
        <v>INE002A01018</v>
      </c>
      <c r="C200" t="str">
        <f>IF(COUNTIF(Internal_Ledger!A:A, A200)=0, "Missing Internal", IF(COUNTIF(Broker_Statement!A:A, A200)=0, "Missing on Street", IF(D200&lt;&gt;E200, "Quantity Break", IF(F200&lt;&gt;G200, "Price Break", "Matched Perfectly"))))</f>
        <v>Matched Perfectly</v>
      </c>
      <c r="D200">
        <f>IFERROR(VLOOKUP(A200, Internal_Ledger!A:G, 5, FALSE), 0)</f>
        <v>4900</v>
      </c>
      <c r="E200">
        <f>IFERROR(VLOOKUP(A200, Broker_Statement!A:G, 5, FALSE), 0)</f>
        <v>4900</v>
      </c>
      <c r="F200">
        <f>IFERROR(VLOOKUP(A200, Internal_Ledger!A:G, 6, FALSE), 0)</f>
        <v>238.72999572753906</v>
      </c>
      <c r="G200">
        <f>IFERROR(VLOOKUP(A200, Broker_Statement!A:G, 6, FALSE), 0)</f>
        <v>238.72999572753906</v>
      </c>
      <c r="H200" s="7">
        <f t="shared" si="3"/>
        <v>0</v>
      </c>
    </row>
    <row r="201" spans="1:8" x14ac:dyDescent="0.3">
      <c r="A201" t="s">
        <v>222</v>
      </c>
      <c r="B201" t="str">
        <f>IFERROR(VLOOKUP(A201, Internal_Ledger!A:B, 2, FALSE), VLOOKUP(A201, Broker_Statement!A:B, 2, FALSE))</f>
        <v>INE040A01034</v>
      </c>
      <c r="C201" t="str">
        <f>IF(COUNTIF(Internal_Ledger!A:A, A201)=0, "Missing Internal", IF(COUNTIF(Broker_Statement!A:A, A201)=0, "Missing on Street", IF(D201&lt;&gt;E201, "Quantity Break", IF(F201&lt;&gt;G201, "Price Break", "Matched Perfectly"))))</f>
        <v>Matched Perfectly</v>
      </c>
      <c r="D201">
        <f>IFERROR(VLOOKUP(A201, Internal_Ledger!A:G, 5, FALSE), 0)</f>
        <v>3900</v>
      </c>
      <c r="E201">
        <f>IFERROR(VLOOKUP(A201, Broker_Statement!A:G, 5, FALSE), 0)</f>
        <v>3900</v>
      </c>
      <c r="F201">
        <f>IFERROR(VLOOKUP(A201, Internal_Ledger!A:G, 6, FALSE), 0)</f>
        <v>529.28997802734375</v>
      </c>
      <c r="G201">
        <f>IFERROR(VLOOKUP(A201, Broker_Statement!A:G, 6, FALSE), 0)</f>
        <v>529.28997802734375</v>
      </c>
      <c r="H201" s="7">
        <f t="shared" si="3"/>
        <v>0</v>
      </c>
    </row>
    <row r="202" spans="1:8" x14ac:dyDescent="0.3">
      <c r="A202" t="s">
        <v>223</v>
      </c>
      <c r="B202" t="str">
        <f>IFERROR(VLOOKUP(A202, Internal_Ledger!A:B, 2, FALSE), VLOOKUP(A202, Broker_Statement!A:B, 2, FALSE))</f>
        <v>INE002A01018</v>
      </c>
      <c r="C202" t="str">
        <f>IF(COUNTIF(Internal_Ledger!A:A, A202)=0, "Missing Internal", IF(COUNTIF(Broker_Statement!A:A, A202)=0, "Missing on Street", IF(D202&lt;&gt;E202, "Quantity Break", IF(F202&lt;&gt;G202, "Price Break", "Matched Perfectly"))))</f>
        <v>Matched Perfectly</v>
      </c>
      <c r="D202">
        <f>IFERROR(VLOOKUP(A202, Internal_Ledger!A:G, 5, FALSE), 0)</f>
        <v>1400</v>
      </c>
      <c r="E202">
        <f>IFERROR(VLOOKUP(A202, Broker_Statement!A:G, 5, FALSE), 0)</f>
        <v>1400</v>
      </c>
      <c r="F202">
        <f>IFERROR(VLOOKUP(A202, Internal_Ledger!A:G, 6, FALSE), 0)</f>
        <v>578.47998046875</v>
      </c>
      <c r="G202">
        <f>IFERROR(VLOOKUP(A202, Broker_Statement!A:G, 6, FALSE), 0)</f>
        <v>578.47998046875</v>
      </c>
      <c r="H202" s="7">
        <f t="shared" si="3"/>
        <v>0</v>
      </c>
    </row>
    <row r="203" spans="1:8" x14ac:dyDescent="0.3">
      <c r="A203" t="s">
        <v>224</v>
      </c>
      <c r="B203" t="str">
        <f>IFERROR(VLOOKUP(A203, Internal_Ledger!A:B, 2, FALSE), VLOOKUP(A203, Broker_Statement!A:B, 2, FALSE))</f>
        <v>INE018A01030</v>
      </c>
      <c r="C203" t="str">
        <f>IF(COUNTIF(Internal_Ledger!A:A, A203)=0, "Missing Internal", IF(COUNTIF(Broker_Statement!A:A, A203)=0, "Missing on Street", IF(D203&lt;&gt;E203, "Quantity Break", IF(F203&lt;&gt;G203, "Price Break", "Matched Perfectly"))))</f>
        <v>Missing on Street</v>
      </c>
      <c r="D203">
        <f>IFERROR(VLOOKUP(A203, Internal_Ledger!A:G, 5, FALSE), 0)</f>
        <v>100</v>
      </c>
      <c r="E203">
        <f>IFERROR(VLOOKUP(A203, Broker_Statement!A:G, 5, FALSE), 0)</f>
        <v>0</v>
      </c>
      <c r="F203">
        <f>IFERROR(VLOOKUP(A203, Internal_Ledger!A:G, 6, FALSE), 0)</f>
        <v>277.64999389648438</v>
      </c>
      <c r="G203">
        <f>IFERROR(VLOOKUP(A203, Broker_Statement!A:G, 6, FALSE), 0)</f>
        <v>0</v>
      </c>
      <c r="H203" s="7">
        <f t="shared" si="3"/>
        <v>27764.999389648438</v>
      </c>
    </row>
    <row r="204" spans="1:8" x14ac:dyDescent="0.3">
      <c r="A204" t="s">
        <v>225</v>
      </c>
      <c r="B204" t="str">
        <f>IFERROR(VLOOKUP(A204, Internal_Ledger!A:B, 2, FALSE), VLOOKUP(A204, Broker_Statement!A:B, 2, FALSE))</f>
        <v>INE002A01018</v>
      </c>
      <c r="C204" t="str">
        <f>IF(COUNTIF(Internal_Ledger!A:A, A204)=0, "Missing Internal", IF(COUNTIF(Broker_Statement!A:A, A204)=0, "Missing on Street", IF(D204&lt;&gt;E204, "Quantity Break", IF(F204&lt;&gt;G204, "Price Break", "Matched Perfectly"))))</f>
        <v>Quantity Break</v>
      </c>
      <c r="D204">
        <f>IFERROR(VLOOKUP(A204, Internal_Ledger!A:G, 5, FALSE), 0)</f>
        <v>3650</v>
      </c>
      <c r="E204">
        <f>IFERROR(VLOOKUP(A204, Broker_Statement!A:G, 5, FALSE), 0)</f>
        <v>3600</v>
      </c>
      <c r="F204">
        <f>IFERROR(VLOOKUP(A204, Internal_Ledger!A:G, 6, FALSE), 0)</f>
        <v>284.1300048828125</v>
      </c>
      <c r="G204">
        <f>IFERROR(VLOOKUP(A204, Broker_Statement!A:G, 6, FALSE), 0)</f>
        <v>284.1300048828125</v>
      </c>
      <c r="H204" s="7">
        <f t="shared" si="3"/>
        <v>14206.500244140625</v>
      </c>
    </row>
    <row r="205" spans="1:8" x14ac:dyDescent="0.3">
      <c r="A205" t="s">
        <v>226</v>
      </c>
      <c r="B205" t="str">
        <f>IFERROR(VLOOKUP(A205, Internal_Ledger!A:B, 2, FALSE), VLOOKUP(A205, Broker_Statement!A:B, 2, FALSE))</f>
        <v>INE002A01018</v>
      </c>
      <c r="C205" t="str">
        <f>IF(COUNTIF(Internal_Ledger!A:A, A205)=0, "Missing Internal", IF(COUNTIF(Broker_Statement!A:A, A205)=0, "Missing on Street", IF(D205&lt;&gt;E205, "Quantity Break", IF(F205&lt;&gt;G205, "Price Break", "Matched Perfectly"))))</f>
        <v>Price Break</v>
      </c>
      <c r="D205">
        <f>IFERROR(VLOOKUP(A205, Internal_Ledger!A:G, 5, FALSE), 0)</f>
        <v>4400</v>
      </c>
      <c r="E205">
        <f>IFERROR(VLOOKUP(A205, Broker_Statement!A:G, 5, FALSE), 0)</f>
        <v>4400</v>
      </c>
      <c r="F205">
        <f>IFERROR(VLOOKUP(A205, Internal_Ledger!A:G, 6, FALSE), 0)</f>
        <v>372.6099853515625</v>
      </c>
      <c r="G205">
        <f>IFERROR(VLOOKUP(A205, Broker_Statement!A:G, 6, FALSE), 0)</f>
        <v>373.25998532772064</v>
      </c>
      <c r="H205" s="7">
        <f t="shared" si="3"/>
        <v>2859.9998950958252</v>
      </c>
    </row>
    <row r="206" spans="1:8" x14ac:dyDescent="0.3">
      <c r="A206" t="s">
        <v>229</v>
      </c>
      <c r="B206" t="str">
        <f>IFERROR(VLOOKUP(A206, Internal_Ledger!A:B, 2, FALSE), VLOOKUP(A206, Broker_Statement!A:B, 2, FALSE))</f>
        <v>INE040A01034</v>
      </c>
      <c r="C206" t="str">
        <f>IF(COUNTIF(Internal_Ledger!A:A, A206)=0, "Missing Internal", IF(COUNTIF(Broker_Statement!A:A, A206)=0, "Missing on Street", IF(D206&lt;&gt;E206, "Quantity Break", IF(F206&lt;&gt;G206, "Price Break", "Matched Perfectly"))))</f>
        <v>Matched Perfectly</v>
      </c>
      <c r="D206">
        <f>IFERROR(VLOOKUP(A206, Internal_Ledger!A:G, 5, FALSE), 0)</f>
        <v>1400</v>
      </c>
      <c r="E206">
        <f>IFERROR(VLOOKUP(A206, Broker_Statement!A:G, 5, FALSE), 0)</f>
        <v>1400</v>
      </c>
      <c r="F206">
        <f>IFERROR(VLOOKUP(A206, Internal_Ledger!A:G, 6, FALSE), 0)</f>
        <v>585.219970703125</v>
      </c>
      <c r="G206">
        <f>IFERROR(VLOOKUP(A206, Broker_Statement!A:G, 6, FALSE), 0)</f>
        <v>585.219970703125</v>
      </c>
      <c r="H206" s="7">
        <f t="shared" si="3"/>
        <v>0</v>
      </c>
    </row>
    <row r="207" spans="1:8" x14ac:dyDescent="0.3">
      <c r="A207" t="s">
        <v>230</v>
      </c>
      <c r="B207" t="str">
        <f>IFERROR(VLOOKUP(A207, Internal_Ledger!A:B, 2, FALSE), VLOOKUP(A207, Broker_Statement!A:B, 2, FALSE))</f>
        <v>INE009A01021</v>
      </c>
      <c r="C207" t="str">
        <f>IF(COUNTIF(Internal_Ledger!A:A, A207)=0, "Missing Internal", IF(COUNTIF(Broker_Statement!A:A, A207)=0, "Missing on Street", IF(D207&lt;&gt;E207, "Quantity Break", IF(F207&lt;&gt;G207, "Price Break", "Matched Perfectly"))))</f>
        <v>Matched Perfectly</v>
      </c>
      <c r="D207">
        <f>IFERROR(VLOOKUP(A207, Internal_Ledger!A:G, 5, FALSE), 0)</f>
        <v>550</v>
      </c>
      <c r="E207">
        <f>IFERROR(VLOOKUP(A207, Broker_Statement!A:G, 5, FALSE), 0)</f>
        <v>550</v>
      </c>
      <c r="F207">
        <f>IFERROR(VLOOKUP(A207, Internal_Ledger!A:G, 6, FALSE), 0)</f>
        <v>486.66000366210938</v>
      </c>
      <c r="G207">
        <f>IFERROR(VLOOKUP(A207, Broker_Statement!A:G, 6, FALSE), 0)</f>
        <v>486.66000366210938</v>
      </c>
      <c r="H207" s="7">
        <f t="shared" si="3"/>
        <v>0</v>
      </c>
    </row>
    <row r="208" spans="1:8" x14ac:dyDescent="0.3">
      <c r="A208" t="s">
        <v>231</v>
      </c>
      <c r="B208" t="str">
        <f>IFERROR(VLOOKUP(A208, Internal_Ledger!A:B, 2, FALSE), VLOOKUP(A208, Broker_Statement!A:B, 2, FALSE))</f>
        <v>INE002A01018</v>
      </c>
      <c r="C208" t="str">
        <f>IF(COUNTIF(Internal_Ledger!A:A, A208)=0, "Missing Internal", IF(COUNTIF(Broker_Statement!A:A, A208)=0, "Missing on Street", IF(D208&lt;&gt;E208, "Quantity Break", IF(F208&lt;&gt;G208, "Price Break", "Matched Perfectly"))))</f>
        <v>Missing on Street</v>
      </c>
      <c r="D208">
        <f>IFERROR(VLOOKUP(A208, Internal_Ledger!A:G, 5, FALSE), 0)</f>
        <v>2900</v>
      </c>
      <c r="E208">
        <f>IFERROR(VLOOKUP(A208, Broker_Statement!A:G, 5, FALSE), 0)</f>
        <v>0</v>
      </c>
      <c r="F208">
        <f>IFERROR(VLOOKUP(A208, Internal_Ledger!A:G, 6, FALSE), 0)</f>
        <v>570.3800048828125</v>
      </c>
      <c r="G208">
        <f>IFERROR(VLOOKUP(A208, Broker_Statement!A:G, 6, FALSE), 0)</f>
        <v>0</v>
      </c>
      <c r="H208" s="7">
        <f t="shared" si="3"/>
        <v>1654102.0141601563</v>
      </c>
    </row>
    <row r="209" spans="1:8" x14ac:dyDescent="0.3">
      <c r="A209" t="s">
        <v>232</v>
      </c>
      <c r="B209" t="str">
        <f>IFERROR(VLOOKUP(A209, Internal_Ledger!A:B, 2, FALSE), VLOOKUP(A209, Broker_Statement!A:B, 2, FALSE))</f>
        <v>INE009A01021</v>
      </c>
      <c r="C209" t="str">
        <f>IF(COUNTIF(Internal_Ledger!A:A, A209)=0, "Missing Internal", IF(COUNTIF(Broker_Statement!A:A, A209)=0, "Missing on Street", IF(D209&lt;&gt;E209, "Quantity Break", IF(F209&lt;&gt;G209, "Price Break", "Matched Perfectly"))))</f>
        <v>Price Break</v>
      </c>
      <c r="D209">
        <f>IFERROR(VLOOKUP(A209, Internal_Ledger!A:G, 5, FALSE), 0)</f>
        <v>4100</v>
      </c>
      <c r="E209">
        <f>IFERROR(VLOOKUP(A209, Broker_Statement!A:G, 5, FALSE), 0)</f>
        <v>4100</v>
      </c>
      <c r="F209">
        <f>IFERROR(VLOOKUP(A209, Internal_Ledger!A:G, 6, FALSE), 0)</f>
        <v>310.1199951171875</v>
      </c>
      <c r="G209">
        <f>IFERROR(VLOOKUP(A209, Broker_Statement!A:G, 6, FALSE), 0)</f>
        <v>310.67999511957169</v>
      </c>
      <c r="H209" s="7">
        <f t="shared" si="3"/>
        <v>2296.0000097751617</v>
      </c>
    </row>
    <row r="210" spans="1:8" x14ac:dyDescent="0.3">
      <c r="A210" t="s">
        <v>233</v>
      </c>
      <c r="B210" t="str">
        <f>IFERROR(VLOOKUP(A210, Internal_Ledger!A:B, 2, FALSE), VLOOKUP(A210, Broker_Statement!A:B, 2, FALSE))</f>
        <v>INE009A01021</v>
      </c>
      <c r="C210" t="str">
        <f>IF(COUNTIF(Internal_Ledger!A:A, A210)=0, "Missing Internal", IF(COUNTIF(Broker_Statement!A:A, A210)=0, "Missing on Street", IF(D210&lt;&gt;E210, "Quantity Break", IF(F210&lt;&gt;G210, "Price Break", "Matched Perfectly"))))</f>
        <v>Matched Perfectly</v>
      </c>
      <c r="D210">
        <f>IFERROR(VLOOKUP(A210, Internal_Ledger!A:G, 5, FALSE), 0)</f>
        <v>2650</v>
      </c>
      <c r="E210">
        <f>IFERROR(VLOOKUP(A210, Broker_Statement!A:G, 5, FALSE), 0)</f>
        <v>2650</v>
      </c>
      <c r="F210">
        <f>IFERROR(VLOOKUP(A210, Internal_Ledger!A:G, 6, FALSE), 0)</f>
        <v>387.33999633789063</v>
      </c>
      <c r="G210">
        <f>IFERROR(VLOOKUP(A210, Broker_Statement!A:G, 6, FALSE), 0)</f>
        <v>387.33999633789063</v>
      </c>
      <c r="H210" s="7">
        <f t="shared" si="3"/>
        <v>0</v>
      </c>
    </row>
    <row r="211" spans="1:8" x14ac:dyDescent="0.3">
      <c r="A211" t="s">
        <v>234</v>
      </c>
      <c r="B211" t="str">
        <f>IFERROR(VLOOKUP(A211, Internal_Ledger!A:B, 2, FALSE), VLOOKUP(A211, Broker_Statement!A:B, 2, FALSE))</f>
        <v>INE030A01027</v>
      </c>
      <c r="C211" t="str">
        <f>IF(COUNTIF(Internal_Ledger!A:A, A211)=0, "Missing Internal", IF(COUNTIF(Broker_Statement!A:A, A211)=0, "Missing on Street", IF(D211&lt;&gt;E211, "Quantity Break", IF(F211&lt;&gt;G211, "Price Break", "Matched Perfectly"))))</f>
        <v>Matched Perfectly</v>
      </c>
      <c r="D211">
        <f>IFERROR(VLOOKUP(A211, Internal_Ledger!A:G, 5, FALSE), 0)</f>
        <v>4350</v>
      </c>
      <c r="E211">
        <f>IFERROR(VLOOKUP(A211, Broker_Statement!A:G, 5, FALSE), 0)</f>
        <v>4350</v>
      </c>
      <c r="F211">
        <f>IFERROR(VLOOKUP(A211, Internal_Ledger!A:G, 6, FALSE), 0)</f>
        <v>279.5</v>
      </c>
      <c r="G211">
        <f>IFERROR(VLOOKUP(A211, Broker_Statement!A:G, 6, FALSE), 0)</f>
        <v>279.5</v>
      </c>
      <c r="H211" s="7">
        <f t="shared" si="3"/>
        <v>0</v>
      </c>
    </row>
    <row r="212" spans="1:8" x14ac:dyDescent="0.3">
      <c r="A212" t="s">
        <v>235</v>
      </c>
      <c r="B212" t="str">
        <f>IFERROR(VLOOKUP(A212, Internal_Ledger!A:B, 2, FALSE), VLOOKUP(A212, Broker_Statement!A:B, 2, FALSE))</f>
        <v>INE002A01018</v>
      </c>
      <c r="C212" t="str">
        <f>IF(COUNTIF(Internal_Ledger!A:A, A212)=0, "Missing Internal", IF(COUNTIF(Broker_Statement!A:A, A212)=0, "Missing on Street", IF(D212&lt;&gt;E212, "Quantity Break", IF(F212&lt;&gt;G212, "Price Break", "Matched Perfectly"))))</f>
        <v>Matched Perfectly</v>
      </c>
      <c r="D212">
        <f>IFERROR(VLOOKUP(A212, Internal_Ledger!A:G, 5, FALSE), 0)</f>
        <v>2650</v>
      </c>
      <c r="E212">
        <f>IFERROR(VLOOKUP(A212, Broker_Statement!A:G, 5, FALSE), 0)</f>
        <v>2650</v>
      </c>
      <c r="F212">
        <f>IFERROR(VLOOKUP(A212, Internal_Ledger!A:G, 6, FALSE), 0)</f>
        <v>630.84002685546875</v>
      </c>
      <c r="G212">
        <f>IFERROR(VLOOKUP(A212, Broker_Statement!A:G, 6, FALSE), 0)</f>
        <v>630.84002685546875</v>
      </c>
      <c r="H212" s="7">
        <f t="shared" si="3"/>
        <v>0</v>
      </c>
    </row>
    <row r="213" spans="1:8" x14ac:dyDescent="0.3">
      <c r="A213" t="s">
        <v>236</v>
      </c>
      <c r="B213" t="str">
        <f>IFERROR(VLOOKUP(A213, Internal_Ledger!A:B, 2, FALSE), VLOOKUP(A213, Broker_Statement!A:B, 2, FALSE))</f>
        <v>INE009A01021</v>
      </c>
      <c r="C213" t="str">
        <f>IF(COUNTIF(Internal_Ledger!A:A, A213)=0, "Missing Internal", IF(COUNTIF(Broker_Statement!A:A, A213)=0, "Missing on Street", IF(D213&lt;&gt;E213, "Quantity Break", IF(F213&lt;&gt;G213, "Price Break", "Matched Perfectly"))))</f>
        <v>Matched Perfectly</v>
      </c>
      <c r="D213">
        <f>IFERROR(VLOOKUP(A213, Internal_Ledger!A:G, 5, FALSE), 0)</f>
        <v>3500</v>
      </c>
      <c r="E213">
        <f>IFERROR(VLOOKUP(A213, Broker_Statement!A:G, 5, FALSE), 0)</f>
        <v>3500</v>
      </c>
      <c r="F213">
        <f>IFERROR(VLOOKUP(A213, Internal_Ledger!A:G, 6, FALSE), 0)</f>
        <v>314.22000122070313</v>
      </c>
      <c r="G213">
        <f>IFERROR(VLOOKUP(A213, Broker_Statement!A:G, 6, FALSE), 0)</f>
        <v>314.22000122070313</v>
      </c>
      <c r="H213" s="7">
        <f t="shared" si="3"/>
        <v>0</v>
      </c>
    </row>
    <row r="214" spans="1:8" x14ac:dyDescent="0.3">
      <c r="A214" t="s">
        <v>237</v>
      </c>
      <c r="B214" t="str">
        <f>IFERROR(VLOOKUP(A214, Internal_Ledger!A:B, 2, FALSE), VLOOKUP(A214, Broker_Statement!A:B, 2, FALSE))</f>
        <v>INE040A01034</v>
      </c>
      <c r="C214" t="str">
        <f>IF(COUNTIF(Internal_Ledger!A:A, A214)=0, "Missing Internal", IF(COUNTIF(Broker_Statement!A:A, A214)=0, "Missing on Street", IF(D214&lt;&gt;E214, "Quantity Break", IF(F214&lt;&gt;G214, "Price Break", "Matched Perfectly"))))</f>
        <v>Matched Perfectly</v>
      </c>
      <c r="D214">
        <f>IFERROR(VLOOKUP(A214, Internal_Ledger!A:G, 5, FALSE), 0)</f>
        <v>5000</v>
      </c>
      <c r="E214">
        <f>IFERROR(VLOOKUP(A214, Broker_Statement!A:G, 5, FALSE), 0)</f>
        <v>5000</v>
      </c>
      <c r="F214">
        <f>IFERROR(VLOOKUP(A214, Internal_Ledger!A:G, 6, FALSE), 0)</f>
        <v>339.8599853515625</v>
      </c>
      <c r="G214">
        <f>IFERROR(VLOOKUP(A214, Broker_Statement!A:G, 6, FALSE), 0)</f>
        <v>339.8599853515625</v>
      </c>
      <c r="H214" s="7">
        <f t="shared" si="3"/>
        <v>0</v>
      </c>
    </row>
    <row r="215" spans="1:8" x14ac:dyDescent="0.3">
      <c r="A215" t="s">
        <v>238</v>
      </c>
      <c r="B215" t="str">
        <f>IFERROR(VLOOKUP(A215, Internal_Ledger!A:B, 2, FALSE), VLOOKUP(A215, Broker_Statement!A:B, 2, FALSE))</f>
        <v>INE018A01030</v>
      </c>
      <c r="C215" t="str">
        <f>IF(COUNTIF(Internal_Ledger!A:A, A215)=0, "Missing Internal", IF(COUNTIF(Broker_Statement!A:A, A215)=0, "Missing on Street", IF(D215&lt;&gt;E215, "Quantity Break", IF(F215&lt;&gt;G215, "Price Break", "Matched Perfectly"))))</f>
        <v>Matched Perfectly</v>
      </c>
      <c r="D215">
        <f>IFERROR(VLOOKUP(A215, Internal_Ledger!A:G, 5, FALSE), 0)</f>
        <v>4400</v>
      </c>
      <c r="E215">
        <f>IFERROR(VLOOKUP(A215, Broker_Statement!A:G, 5, FALSE), 0)</f>
        <v>4400</v>
      </c>
      <c r="F215">
        <f>IFERROR(VLOOKUP(A215, Internal_Ledger!A:G, 6, FALSE), 0)</f>
        <v>540.6400146484375</v>
      </c>
      <c r="G215">
        <f>IFERROR(VLOOKUP(A215, Broker_Statement!A:G, 6, FALSE), 0)</f>
        <v>540.6400146484375</v>
      </c>
      <c r="H215" s="7">
        <f t="shared" si="3"/>
        <v>0</v>
      </c>
    </row>
    <row r="216" spans="1:8" x14ac:dyDescent="0.3">
      <c r="A216" t="s">
        <v>239</v>
      </c>
      <c r="B216" t="str">
        <f>IFERROR(VLOOKUP(A216, Internal_Ledger!A:B, 2, FALSE), VLOOKUP(A216, Broker_Statement!A:B, 2, FALSE))</f>
        <v>INE002A01018</v>
      </c>
      <c r="C216" t="str">
        <f>IF(COUNTIF(Internal_Ledger!A:A, A216)=0, "Missing Internal", IF(COUNTIF(Broker_Statement!A:A, A216)=0, "Missing on Street", IF(D216&lt;&gt;E216, "Quantity Break", IF(F216&lt;&gt;G216, "Price Break", "Matched Perfectly"))))</f>
        <v>Matched Perfectly</v>
      </c>
      <c r="D216">
        <f>IFERROR(VLOOKUP(A216, Internal_Ledger!A:G, 5, FALSE), 0)</f>
        <v>5000</v>
      </c>
      <c r="E216">
        <f>IFERROR(VLOOKUP(A216, Broker_Statement!A:G, 5, FALSE), 0)</f>
        <v>5000</v>
      </c>
      <c r="F216">
        <f>IFERROR(VLOOKUP(A216, Internal_Ledger!A:G, 6, FALSE), 0)</f>
        <v>157.80000305175781</v>
      </c>
      <c r="G216">
        <f>IFERROR(VLOOKUP(A216, Broker_Statement!A:G, 6, FALSE), 0)</f>
        <v>157.80000305175781</v>
      </c>
      <c r="H216" s="7">
        <f t="shared" si="3"/>
        <v>0</v>
      </c>
    </row>
    <row r="217" spans="1:8" x14ac:dyDescent="0.3">
      <c r="A217" t="s">
        <v>240</v>
      </c>
      <c r="B217" t="str">
        <f>IFERROR(VLOOKUP(A217, Internal_Ledger!A:B, 2, FALSE), VLOOKUP(A217, Broker_Statement!A:B, 2, FALSE))</f>
        <v>INE030A01027</v>
      </c>
      <c r="C217" t="str">
        <f>IF(COUNTIF(Internal_Ledger!A:A, A217)=0, "Missing Internal", IF(COUNTIF(Broker_Statement!A:A, A217)=0, "Missing on Street", IF(D217&lt;&gt;E217, "Quantity Break", IF(F217&lt;&gt;G217, "Price Break", "Matched Perfectly"))))</f>
        <v>Matched Perfectly</v>
      </c>
      <c r="D217">
        <f>IFERROR(VLOOKUP(A217, Internal_Ledger!A:G, 5, FALSE), 0)</f>
        <v>750</v>
      </c>
      <c r="E217">
        <f>IFERROR(VLOOKUP(A217, Broker_Statement!A:G, 5, FALSE), 0)</f>
        <v>750</v>
      </c>
      <c r="F217">
        <f>IFERROR(VLOOKUP(A217, Internal_Ledger!A:G, 6, FALSE), 0)</f>
        <v>311.39999389648438</v>
      </c>
      <c r="G217">
        <f>IFERROR(VLOOKUP(A217, Broker_Statement!A:G, 6, FALSE), 0)</f>
        <v>311.39999389648438</v>
      </c>
      <c r="H217" s="7">
        <f t="shared" si="3"/>
        <v>0</v>
      </c>
    </row>
    <row r="218" spans="1:8" x14ac:dyDescent="0.3">
      <c r="A218" t="s">
        <v>241</v>
      </c>
      <c r="B218" t="str">
        <f>IFERROR(VLOOKUP(A218, Internal_Ledger!A:B, 2, FALSE), VLOOKUP(A218, Broker_Statement!A:B, 2, FALSE))</f>
        <v>INE040A01034</v>
      </c>
      <c r="C218" t="str">
        <f>IF(COUNTIF(Internal_Ledger!A:A, A218)=0, "Missing Internal", IF(COUNTIF(Broker_Statement!A:A, A218)=0, "Missing on Street", IF(D218&lt;&gt;E218, "Quantity Break", IF(F218&lt;&gt;G218, "Price Break", "Matched Perfectly"))))</f>
        <v>Matched Perfectly</v>
      </c>
      <c r="D218">
        <f>IFERROR(VLOOKUP(A218, Internal_Ledger!A:G, 5, FALSE), 0)</f>
        <v>400</v>
      </c>
      <c r="E218">
        <f>IFERROR(VLOOKUP(A218, Broker_Statement!A:G, 5, FALSE), 0)</f>
        <v>400</v>
      </c>
      <c r="F218">
        <f>IFERROR(VLOOKUP(A218, Internal_Ledger!A:G, 6, FALSE), 0)</f>
        <v>464.8900146484375</v>
      </c>
      <c r="G218">
        <f>IFERROR(VLOOKUP(A218, Broker_Statement!A:G, 6, FALSE), 0)</f>
        <v>464.8900146484375</v>
      </c>
      <c r="H218" s="7">
        <f t="shared" si="3"/>
        <v>0</v>
      </c>
    </row>
    <row r="219" spans="1:8" x14ac:dyDescent="0.3">
      <c r="A219" t="s">
        <v>242</v>
      </c>
      <c r="B219" t="str">
        <f>IFERROR(VLOOKUP(A219, Internal_Ledger!A:B, 2, FALSE), VLOOKUP(A219, Broker_Statement!A:B, 2, FALSE))</f>
        <v>INE030A01027</v>
      </c>
      <c r="C219" t="str">
        <f>IF(COUNTIF(Internal_Ledger!A:A, A219)=0, "Missing Internal", IF(COUNTIF(Broker_Statement!A:A, A219)=0, "Missing on Street", IF(D219&lt;&gt;E219, "Quantity Break", IF(F219&lt;&gt;G219, "Price Break", "Matched Perfectly"))))</f>
        <v>Matched Perfectly</v>
      </c>
      <c r="D219">
        <f>IFERROR(VLOOKUP(A219, Internal_Ledger!A:G, 5, FALSE), 0)</f>
        <v>900</v>
      </c>
      <c r="E219">
        <f>IFERROR(VLOOKUP(A219, Broker_Statement!A:G, 5, FALSE), 0)</f>
        <v>900</v>
      </c>
      <c r="F219">
        <f>IFERROR(VLOOKUP(A219, Internal_Ledger!A:G, 6, FALSE), 0)</f>
        <v>618.28997802734375</v>
      </c>
      <c r="G219">
        <f>IFERROR(VLOOKUP(A219, Broker_Statement!A:G, 6, FALSE), 0)</f>
        <v>618.28997802734375</v>
      </c>
      <c r="H219" s="7">
        <f t="shared" si="3"/>
        <v>0</v>
      </c>
    </row>
    <row r="220" spans="1:8" x14ac:dyDescent="0.3">
      <c r="A220" t="s">
        <v>243</v>
      </c>
      <c r="B220" t="str">
        <f>IFERROR(VLOOKUP(A220, Internal_Ledger!A:B, 2, FALSE), VLOOKUP(A220, Broker_Statement!A:B, 2, FALSE))</f>
        <v>INE002A01018</v>
      </c>
      <c r="C220" t="str">
        <f>IF(COUNTIF(Internal_Ledger!A:A, A220)=0, "Missing Internal", IF(COUNTIF(Broker_Statement!A:A, A220)=0, "Missing on Street", IF(D220&lt;&gt;E220, "Quantity Break", IF(F220&lt;&gt;G220, "Price Break", "Matched Perfectly"))))</f>
        <v>Matched Perfectly</v>
      </c>
      <c r="D220">
        <f>IFERROR(VLOOKUP(A220, Internal_Ledger!A:G, 5, FALSE), 0)</f>
        <v>850</v>
      </c>
      <c r="E220">
        <f>IFERROR(VLOOKUP(A220, Broker_Statement!A:G, 5, FALSE), 0)</f>
        <v>850</v>
      </c>
      <c r="F220">
        <f>IFERROR(VLOOKUP(A220, Internal_Ledger!A:G, 6, FALSE), 0)</f>
        <v>589.0999755859375</v>
      </c>
      <c r="G220">
        <f>IFERROR(VLOOKUP(A220, Broker_Statement!A:G, 6, FALSE), 0)</f>
        <v>589.0999755859375</v>
      </c>
      <c r="H220" s="7">
        <f t="shared" si="3"/>
        <v>0</v>
      </c>
    </row>
    <row r="221" spans="1:8" x14ac:dyDescent="0.3">
      <c r="A221" t="s">
        <v>244</v>
      </c>
      <c r="B221" t="str">
        <f>IFERROR(VLOOKUP(A221, Internal_Ledger!A:B, 2, FALSE), VLOOKUP(A221, Broker_Statement!A:B, 2, FALSE))</f>
        <v>INE018A01030</v>
      </c>
      <c r="C221" t="str">
        <f>IF(COUNTIF(Internal_Ledger!A:A, A221)=0, "Missing Internal", IF(COUNTIF(Broker_Statement!A:A, A221)=0, "Missing on Street", IF(D221&lt;&gt;E221, "Quantity Break", IF(F221&lt;&gt;G221, "Price Break", "Matched Perfectly"))))</f>
        <v>Matched Perfectly</v>
      </c>
      <c r="D221">
        <f>IFERROR(VLOOKUP(A221, Internal_Ledger!A:G, 5, FALSE), 0)</f>
        <v>4950</v>
      </c>
      <c r="E221">
        <f>IFERROR(VLOOKUP(A221, Broker_Statement!A:G, 5, FALSE), 0)</f>
        <v>4950</v>
      </c>
      <c r="F221">
        <f>IFERROR(VLOOKUP(A221, Internal_Ledger!A:G, 6, FALSE), 0)</f>
        <v>365.69000244140625</v>
      </c>
      <c r="G221">
        <f>IFERROR(VLOOKUP(A221, Broker_Statement!A:G, 6, FALSE), 0)</f>
        <v>365.69000244140625</v>
      </c>
      <c r="H221" s="7">
        <f t="shared" si="3"/>
        <v>0</v>
      </c>
    </row>
    <row r="222" spans="1:8" x14ac:dyDescent="0.3">
      <c r="A222" t="s">
        <v>245</v>
      </c>
      <c r="B222" t="str">
        <f>IFERROR(VLOOKUP(A222, Internal_Ledger!A:B, 2, FALSE), VLOOKUP(A222, Broker_Statement!A:B, 2, FALSE))</f>
        <v>INE030A01027</v>
      </c>
      <c r="C222" t="str">
        <f>IF(COUNTIF(Internal_Ledger!A:A, A222)=0, "Missing Internal", IF(COUNTIF(Broker_Statement!A:A, A222)=0, "Missing on Street", IF(D222&lt;&gt;E222, "Quantity Break", IF(F222&lt;&gt;G222, "Price Break", "Matched Perfectly"))))</f>
        <v>Matched Perfectly</v>
      </c>
      <c r="D222">
        <f>IFERROR(VLOOKUP(A222, Internal_Ledger!A:G, 5, FALSE), 0)</f>
        <v>3350</v>
      </c>
      <c r="E222">
        <f>IFERROR(VLOOKUP(A222, Broker_Statement!A:G, 5, FALSE), 0)</f>
        <v>3350</v>
      </c>
      <c r="F222">
        <f>IFERROR(VLOOKUP(A222, Internal_Ledger!A:G, 6, FALSE), 0)</f>
        <v>642.0999755859375</v>
      </c>
      <c r="G222">
        <f>IFERROR(VLOOKUP(A222, Broker_Statement!A:G, 6, FALSE), 0)</f>
        <v>642.0999755859375</v>
      </c>
      <c r="H222" s="7">
        <f t="shared" si="3"/>
        <v>0</v>
      </c>
    </row>
    <row r="223" spans="1:8" x14ac:dyDescent="0.3">
      <c r="A223" t="s">
        <v>246</v>
      </c>
      <c r="B223" t="str">
        <f>IFERROR(VLOOKUP(A223, Internal_Ledger!A:B, 2, FALSE), VLOOKUP(A223, Broker_Statement!A:B, 2, FALSE))</f>
        <v>INE018A01030</v>
      </c>
      <c r="C223" t="str">
        <f>IF(COUNTIF(Internal_Ledger!A:A, A223)=0, "Missing Internal", IF(COUNTIF(Broker_Statement!A:A, A223)=0, "Missing on Street", IF(D223&lt;&gt;E223, "Quantity Break", IF(F223&lt;&gt;G223, "Price Break", "Matched Perfectly"))))</f>
        <v>Matched Perfectly</v>
      </c>
      <c r="D223">
        <f>IFERROR(VLOOKUP(A223, Internal_Ledger!A:G, 5, FALSE), 0)</f>
        <v>3850</v>
      </c>
      <c r="E223">
        <f>IFERROR(VLOOKUP(A223, Broker_Statement!A:G, 5, FALSE), 0)</f>
        <v>3850</v>
      </c>
      <c r="F223">
        <f>IFERROR(VLOOKUP(A223, Internal_Ledger!A:G, 6, FALSE), 0)</f>
        <v>269.02999877929688</v>
      </c>
      <c r="G223">
        <f>IFERROR(VLOOKUP(A223, Broker_Statement!A:G, 6, FALSE), 0)</f>
        <v>269.02999877929688</v>
      </c>
      <c r="H223" s="7">
        <f t="shared" si="3"/>
        <v>0</v>
      </c>
    </row>
    <row r="224" spans="1:8" x14ac:dyDescent="0.3">
      <c r="A224" t="s">
        <v>247</v>
      </c>
      <c r="B224" t="str">
        <f>IFERROR(VLOOKUP(A224, Internal_Ledger!A:B, 2, FALSE), VLOOKUP(A224, Broker_Statement!A:B, 2, FALSE))</f>
        <v>INE030A01027</v>
      </c>
      <c r="C224" t="str">
        <f>IF(COUNTIF(Internal_Ledger!A:A, A224)=0, "Missing Internal", IF(COUNTIF(Broker_Statement!A:A, A224)=0, "Missing on Street", IF(D224&lt;&gt;E224, "Quantity Break", IF(F224&lt;&gt;G224, "Price Break", "Matched Perfectly"))))</f>
        <v>Matched Perfectly</v>
      </c>
      <c r="D224">
        <f>IFERROR(VLOOKUP(A224, Internal_Ledger!A:G, 5, FALSE), 0)</f>
        <v>4100</v>
      </c>
      <c r="E224">
        <f>IFERROR(VLOOKUP(A224, Broker_Statement!A:G, 5, FALSE), 0)</f>
        <v>4100</v>
      </c>
      <c r="F224">
        <f>IFERROR(VLOOKUP(A224, Internal_Ledger!A:G, 6, FALSE), 0)</f>
        <v>480.16000366210938</v>
      </c>
      <c r="G224">
        <f>IFERROR(VLOOKUP(A224, Broker_Statement!A:G, 6, FALSE), 0)</f>
        <v>480.16000366210938</v>
      </c>
      <c r="H224" s="7">
        <f t="shared" si="3"/>
        <v>0</v>
      </c>
    </row>
    <row r="225" spans="1:8" x14ac:dyDescent="0.3">
      <c r="A225" t="s">
        <v>248</v>
      </c>
      <c r="B225" t="str">
        <f>IFERROR(VLOOKUP(A225, Internal_Ledger!A:B, 2, FALSE), VLOOKUP(A225, Broker_Statement!A:B, 2, FALSE))</f>
        <v>INE018A01030</v>
      </c>
      <c r="C225" t="str">
        <f>IF(COUNTIF(Internal_Ledger!A:A, A225)=0, "Missing Internal", IF(COUNTIF(Broker_Statement!A:A, A225)=0, "Missing on Street", IF(D225&lt;&gt;E225, "Quantity Break", IF(F225&lt;&gt;G225, "Price Break", "Matched Perfectly"))))</f>
        <v>Matched Perfectly</v>
      </c>
      <c r="D225">
        <f>IFERROR(VLOOKUP(A225, Internal_Ledger!A:G, 5, FALSE), 0)</f>
        <v>3900</v>
      </c>
      <c r="E225">
        <f>IFERROR(VLOOKUP(A225, Broker_Statement!A:G, 5, FALSE), 0)</f>
        <v>3900</v>
      </c>
      <c r="F225">
        <f>IFERROR(VLOOKUP(A225, Internal_Ledger!A:G, 6, FALSE), 0)</f>
        <v>378.20999145507813</v>
      </c>
      <c r="G225">
        <f>IFERROR(VLOOKUP(A225, Broker_Statement!A:G, 6, FALSE), 0)</f>
        <v>378.20999145507813</v>
      </c>
      <c r="H225" s="7">
        <f t="shared" si="3"/>
        <v>0</v>
      </c>
    </row>
    <row r="226" spans="1:8" x14ac:dyDescent="0.3">
      <c r="A226" t="s">
        <v>249</v>
      </c>
      <c r="B226" t="str">
        <f>IFERROR(VLOOKUP(A226, Internal_Ledger!A:B, 2, FALSE), VLOOKUP(A226, Broker_Statement!A:B, 2, FALSE))</f>
        <v>INE018A01030</v>
      </c>
      <c r="C226" t="str">
        <f>IF(COUNTIF(Internal_Ledger!A:A, A226)=0, "Missing Internal", IF(COUNTIF(Broker_Statement!A:A, A226)=0, "Missing on Street", IF(D226&lt;&gt;E226, "Quantity Break", IF(F226&lt;&gt;G226, "Price Break", "Matched Perfectly"))))</f>
        <v>Matched Perfectly</v>
      </c>
      <c r="D226">
        <f>IFERROR(VLOOKUP(A226, Internal_Ledger!A:G, 5, FALSE), 0)</f>
        <v>1600</v>
      </c>
      <c r="E226">
        <f>IFERROR(VLOOKUP(A226, Broker_Statement!A:G, 5, FALSE), 0)</f>
        <v>1600</v>
      </c>
      <c r="F226">
        <f>IFERROR(VLOOKUP(A226, Internal_Ledger!A:G, 6, FALSE), 0)</f>
        <v>290.16000366210938</v>
      </c>
      <c r="G226">
        <f>IFERROR(VLOOKUP(A226, Broker_Statement!A:G, 6, FALSE), 0)</f>
        <v>290.16000366210938</v>
      </c>
      <c r="H226" s="7">
        <f t="shared" si="3"/>
        <v>0</v>
      </c>
    </row>
    <row r="227" spans="1:8" x14ac:dyDescent="0.3">
      <c r="A227" t="s">
        <v>250</v>
      </c>
      <c r="B227" t="str">
        <f>IFERROR(VLOOKUP(A227, Internal_Ledger!A:B, 2, FALSE), VLOOKUP(A227, Broker_Statement!A:B, 2, FALSE))</f>
        <v>INE009A01021</v>
      </c>
      <c r="C227" t="str">
        <f>IF(COUNTIF(Internal_Ledger!A:A, A227)=0, "Missing Internal", IF(COUNTIF(Broker_Statement!A:A, A227)=0, "Missing on Street", IF(D227&lt;&gt;E227, "Quantity Break", IF(F227&lt;&gt;G227, "Price Break", "Matched Perfectly"))))</f>
        <v>Matched Perfectly</v>
      </c>
      <c r="D227">
        <f>IFERROR(VLOOKUP(A227, Internal_Ledger!A:G, 5, FALSE), 0)</f>
        <v>3300</v>
      </c>
      <c r="E227">
        <f>IFERROR(VLOOKUP(A227, Broker_Statement!A:G, 5, FALSE), 0)</f>
        <v>3300</v>
      </c>
      <c r="F227">
        <f>IFERROR(VLOOKUP(A227, Internal_Ledger!A:G, 6, FALSE), 0)</f>
        <v>226.02999877929688</v>
      </c>
      <c r="G227">
        <f>IFERROR(VLOOKUP(A227, Broker_Statement!A:G, 6, FALSE), 0)</f>
        <v>226.02999877929688</v>
      </c>
      <c r="H227" s="7">
        <f t="shared" si="3"/>
        <v>0</v>
      </c>
    </row>
    <row r="228" spans="1:8" x14ac:dyDescent="0.3">
      <c r="A228" t="s">
        <v>251</v>
      </c>
      <c r="B228" t="str">
        <f>IFERROR(VLOOKUP(A228, Internal_Ledger!A:B, 2, FALSE), VLOOKUP(A228, Broker_Statement!A:B, 2, FALSE))</f>
        <v>INE040A01034</v>
      </c>
      <c r="C228" t="str">
        <f>IF(COUNTIF(Internal_Ledger!A:A, A228)=0, "Missing Internal", IF(COUNTIF(Broker_Statement!A:A, A228)=0, "Missing on Street", IF(D228&lt;&gt;E228, "Quantity Break", IF(F228&lt;&gt;G228, "Price Break", "Matched Perfectly"))))</f>
        <v>Matched Perfectly</v>
      </c>
      <c r="D228">
        <f>IFERROR(VLOOKUP(A228, Internal_Ledger!A:G, 5, FALSE), 0)</f>
        <v>750</v>
      </c>
      <c r="E228">
        <f>IFERROR(VLOOKUP(A228, Broker_Statement!A:G, 5, FALSE), 0)</f>
        <v>750</v>
      </c>
      <c r="F228">
        <f>IFERROR(VLOOKUP(A228, Internal_Ledger!A:G, 6, FALSE), 0)</f>
        <v>300.45999145507813</v>
      </c>
      <c r="G228">
        <f>IFERROR(VLOOKUP(A228, Broker_Statement!A:G, 6, FALSE), 0)</f>
        <v>300.45999145507813</v>
      </c>
      <c r="H228" s="7">
        <f t="shared" si="3"/>
        <v>0</v>
      </c>
    </row>
    <row r="229" spans="1:8" x14ac:dyDescent="0.3">
      <c r="A229" t="s">
        <v>252</v>
      </c>
      <c r="B229" t="str">
        <f>IFERROR(VLOOKUP(A229, Internal_Ledger!A:B, 2, FALSE), VLOOKUP(A229, Broker_Statement!A:B, 2, FALSE))</f>
        <v>INE009A01021</v>
      </c>
      <c r="C229" t="str">
        <f>IF(COUNTIF(Internal_Ledger!A:A, A229)=0, "Missing Internal", IF(COUNTIF(Broker_Statement!A:A, A229)=0, "Missing on Street", IF(D229&lt;&gt;E229, "Quantity Break", IF(F229&lt;&gt;G229, "Price Break", "Matched Perfectly"))))</f>
        <v>Matched Perfectly</v>
      </c>
      <c r="D229">
        <f>IFERROR(VLOOKUP(A229, Internal_Ledger!A:G, 5, FALSE), 0)</f>
        <v>4250</v>
      </c>
      <c r="E229">
        <f>IFERROR(VLOOKUP(A229, Broker_Statement!A:G, 5, FALSE), 0)</f>
        <v>4250</v>
      </c>
      <c r="F229">
        <f>IFERROR(VLOOKUP(A229, Internal_Ledger!A:G, 6, FALSE), 0)</f>
        <v>601.6400146484375</v>
      </c>
      <c r="G229">
        <f>IFERROR(VLOOKUP(A229, Broker_Statement!A:G, 6, FALSE), 0)</f>
        <v>601.6400146484375</v>
      </c>
      <c r="H229" s="7">
        <f t="shared" si="3"/>
        <v>0</v>
      </c>
    </row>
    <row r="230" spans="1:8" x14ac:dyDescent="0.3">
      <c r="A230" t="s">
        <v>253</v>
      </c>
      <c r="B230" t="str">
        <f>IFERROR(VLOOKUP(A230, Internal_Ledger!A:B, 2, FALSE), VLOOKUP(A230, Broker_Statement!A:B, 2, FALSE))</f>
        <v>INE040A01034</v>
      </c>
      <c r="C230" t="str">
        <f>IF(COUNTIF(Internal_Ledger!A:A, A230)=0, "Missing Internal", IF(COUNTIF(Broker_Statement!A:A, A230)=0, "Missing on Street", IF(D230&lt;&gt;E230, "Quantity Break", IF(F230&lt;&gt;G230, "Price Break", "Matched Perfectly"))))</f>
        <v>Matched Perfectly</v>
      </c>
      <c r="D230">
        <f>IFERROR(VLOOKUP(A230, Internal_Ledger!A:G, 5, FALSE), 0)</f>
        <v>3650</v>
      </c>
      <c r="E230">
        <f>IFERROR(VLOOKUP(A230, Broker_Statement!A:G, 5, FALSE), 0)</f>
        <v>3650</v>
      </c>
      <c r="F230">
        <f>IFERROR(VLOOKUP(A230, Internal_Ledger!A:G, 6, FALSE), 0)</f>
        <v>616.8499755859375</v>
      </c>
      <c r="G230">
        <f>IFERROR(VLOOKUP(A230, Broker_Statement!A:G, 6, FALSE), 0)</f>
        <v>616.8499755859375</v>
      </c>
      <c r="H230" s="7">
        <f t="shared" si="3"/>
        <v>0</v>
      </c>
    </row>
    <row r="231" spans="1:8" x14ac:dyDescent="0.3">
      <c r="A231" t="s">
        <v>254</v>
      </c>
      <c r="B231" t="str">
        <f>IFERROR(VLOOKUP(A231, Internal_Ledger!A:B, 2, FALSE), VLOOKUP(A231, Broker_Statement!A:B, 2, FALSE))</f>
        <v>INE040A01034</v>
      </c>
      <c r="C231" t="str">
        <f>IF(COUNTIF(Internal_Ledger!A:A, A231)=0, "Missing Internal", IF(COUNTIF(Broker_Statement!A:A, A231)=0, "Missing on Street", IF(D231&lt;&gt;E231, "Quantity Break", IF(F231&lt;&gt;G231, "Price Break", "Matched Perfectly"))))</f>
        <v>Matched Perfectly</v>
      </c>
      <c r="D231">
        <f>IFERROR(VLOOKUP(A231, Internal_Ledger!A:G, 5, FALSE), 0)</f>
        <v>1900</v>
      </c>
      <c r="E231">
        <f>IFERROR(VLOOKUP(A231, Broker_Statement!A:G, 5, FALSE), 0)</f>
        <v>1900</v>
      </c>
      <c r="F231">
        <f>IFERROR(VLOOKUP(A231, Internal_Ledger!A:G, 6, FALSE), 0)</f>
        <v>448.989990234375</v>
      </c>
      <c r="G231">
        <f>IFERROR(VLOOKUP(A231, Broker_Statement!A:G, 6, FALSE), 0)</f>
        <v>448.989990234375</v>
      </c>
      <c r="H231" s="7">
        <f t="shared" si="3"/>
        <v>0</v>
      </c>
    </row>
    <row r="232" spans="1:8" x14ac:dyDescent="0.3">
      <c r="A232" t="s">
        <v>255</v>
      </c>
      <c r="B232" t="str">
        <f>IFERROR(VLOOKUP(A232, Internal_Ledger!A:B, 2, FALSE), VLOOKUP(A232, Broker_Statement!A:B, 2, FALSE))</f>
        <v>INE009A01021</v>
      </c>
      <c r="C232" t="str">
        <f>IF(COUNTIF(Internal_Ledger!A:A, A232)=0, "Missing Internal", IF(COUNTIF(Broker_Statement!A:A, A232)=0, "Missing on Street", IF(D232&lt;&gt;E232, "Quantity Break", IF(F232&lt;&gt;G232, "Price Break", "Matched Perfectly"))))</f>
        <v>Price Break</v>
      </c>
      <c r="D232">
        <f>IFERROR(VLOOKUP(A232, Internal_Ledger!A:G, 5, FALSE), 0)</f>
        <v>1200</v>
      </c>
      <c r="E232">
        <f>IFERROR(VLOOKUP(A232, Broker_Statement!A:G, 5, FALSE), 0)</f>
        <v>1200</v>
      </c>
      <c r="F232">
        <f>IFERROR(VLOOKUP(A232, Internal_Ledger!A:G, 6, FALSE), 0)</f>
        <v>183.52999877929688</v>
      </c>
      <c r="G232">
        <f>IFERROR(VLOOKUP(A232, Broker_Statement!A:G, 6, FALSE), 0)</f>
        <v>182.92999875545502</v>
      </c>
      <c r="H232" s="7">
        <f t="shared" si="3"/>
        <v>720.00002861022949</v>
      </c>
    </row>
    <row r="233" spans="1:8" x14ac:dyDescent="0.3">
      <c r="A233" t="s">
        <v>256</v>
      </c>
      <c r="B233" t="str">
        <f>IFERROR(VLOOKUP(A233, Internal_Ledger!A:B, 2, FALSE), VLOOKUP(A233, Broker_Statement!A:B, 2, FALSE))</f>
        <v>INE030A01027</v>
      </c>
      <c r="C233" t="str">
        <f>IF(COUNTIF(Internal_Ledger!A:A, A233)=0, "Missing Internal", IF(COUNTIF(Broker_Statement!A:A, A233)=0, "Missing on Street", IF(D233&lt;&gt;E233, "Quantity Break", IF(F233&lt;&gt;G233, "Price Break", "Matched Perfectly"))))</f>
        <v>Matched Perfectly</v>
      </c>
      <c r="D233">
        <f>IFERROR(VLOOKUP(A233, Internal_Ledger!A:G, 5, FALSE), 0)</f>
        <v>2450</v>
      </c>
      <c r="E233">
        <f>IFERROR(VLOOKUP(A233, Broker_Statement!A:G, 5, FALSE), 0)</f>
        <v>2450</v>
      </c>
      <c r="F233">
        <f>IFERROR(VLOOKUP(A233, Internal_Ledger!A:G, 6, FALSE), 0)</f>
        <v>490.92999267578125</v>
      </c>
      <c r="G233">
        <f>IFERROR(VLOOKUP(A233, Broker_Statement!A:G, 6, FALSE), 0)</f>
        <v>490.92999267578125</v>
      </c>
      <c r="H233" s="7">
        <f t="shared" si="3"/>
        <v>0</v>
      </c>
    </row>
    <row r="234" spans="1:8" x14ac:dyDescent="0.3">
      <c r="A234" t="s">
        <v>257</v>
      </c>
      <c r="B234" t="str">
        <f>IFERROR(VLOOKUP(A234, Internal_Ledger!A:B, 2, FALSE), VLOOKUP(A234, Broker_Statement!A:B, 2, FALSE))</f>
        <v>INE002A01018</v>
      </c>
      <c r="C234" t="str">
        <f>IF(COUNTIF(Internal_Ledger!A:A, A234)=0, "Missing Internal", IF(COUNTIF(Broker_Statement!A:A, A234)=0, "Missing on Street", IF(D234&lt;&gt;E234, "Quantity Break", IF(F234&lt;&gt;G234, "Price Break", "Matched Perfectly"))))</f>
        <v>Matched Perfectly</v>
      </c>
      <c r="D234">
        <f>IFERROR(VLOOKUP(A234, Internal_Ledger!A:G, 5, FALSE), 0)</f>
        <v>2200</v>
      </c>
      <c r="E234">
        <f>IFERROR(VLOOKUP(A234, Broker_Statement!A:G, 5, FALSE), 0)</f>
        <v>2200</v>
      </c>
      <c r="F234">
        <f>IFERROR(VLOOKUP(A234, Internal_Ledger!A:G, 6, FALSE), 0)</f>
        <v>315.32998657226563</v>
      </c>
      <c r="G234">
        <f>IFERROR(VLOOKUP(A234, Broker_Statement!A:G, 6, FALSE), 0)</f>
        <v>315.32998657226563</v>
      </c>
      <c r="H234" s="7">
        <f t="shared" si="3"/>
        <v>0</v>
      </c>
    </row>
    <row r="235" spans="1:8" x14ac:dyDescent="0.3">
      <c r="A235" t="s">
        <v>258</v>
      </c>
      <c r="B235" t="str">
        <f>IFERROR(VLOOKUP(A235, Internal_Ledger!A:B, 2, FALSE), VLOOKUP(A235, Broker_Statement!A:B, 2, FALSE))</f>
        <v>INE018A01030</v>
      </c>
      <c r="C235" t="str">
        <f>IF(COUNTIF(Internal_Ledger!A:A, A235)=0, "Missing Internal", IF(COUNTIF(Broker_Statement!A:A, A235)=0, "Missing on Street", IF(D235&lt;&gt;E235, "Quantity Break", IF(F235&lt;&gt;G235, "Price Break", "Matched Perfectly"))))</f>
        <v>Matched Perfectly</v>
      </c>
      <c r="D235">
        <f>IFERROR(VLOOKUP(A235, Internal_Ledger!A:G, 5, FALSE), 0)</f>
        <v>2250</v>
      </c>
      <c r="E235">
        <f>IFERROR(VLOOKUP(A235, Broker_Statement!A:G, 5, FALSE), 0)</f>
        <v>2250</v>
      </c>
      <c r="F235">
        <f>IFERROR(VLOOKUP(A235, Internal_Ledger!A:G, 6, FALSE), 0)</f>
        <v>461.26998901367188</v>
      </c>
      <c r="G235">
        <f>IFERROR(VLOOKUP(A235, Broker_Statement!A:G, 6, FALSE), 0)</f>
        <v>461.26998901367188</v>
      </c>
      <c r="H235" s="7">
        <f t="shared" si="3"/>
        <v>0</v>
      </c>
    </row>
    <row r="236" spans="1:8" x14ac:dyDescent="0.3">
      <c r="A236" t="s">
        <v>259</v>
      </c>
      <c r="B236" t="str">
        <f>IFERROR(VLOOKUP(A236, Internal_Ledger!A:B, 2, FALSE), VLOOKUP(A236, Broker_Statement!A:B, 2, FALSE))</f>
        <v>INE040A01034</v>
      </c>
      <c r="C236" t="str">
        <f>IF(COUNTIF(Internal_Ledger!A:A, A236)=0, "Missing Internal", IF(COUNTIF(Broker_Statement!A:A, A236)=0, "Missing on Street", IF(D236&lt;&gt;E236, "Quantity Break", IF(F236&lt;&gt;G236, "Price Break", "Matched Perfectly"))))</f>
        <v>Matched Perfectly</v>
      </c>
      <c r="D236">
        <f>IFERROR(VLOOKUP(A236, Internal_Ledger!A:G, 5, FALSE), 0)</f>
        <v>300</v>
      </c>
      <c r="E236">
        <f>IFERROR(VLOOKUP(A236, Broker_Statement!A:G, 5, FALSE), 0)</f>
        <v>300</v>
      </c>
      <c r="F236">
        <f>IFERROR(VLOOKUP(A236, Internal_Ledger!A:G, 6, FALSE), 0)</f>
        <v>455.17001342773438</v>
      </c>
      <c r="G236">
        <f>IFERROR(VLOOKUP(A236, Broker_Statement!A:G, 6, FALSE), 0)</f>
        <v>455.17001342773438</v>
      </c>
      <c r="H236" s="7">
        <f t="shared" si="3"/>
        <v>0</v>
      </c>
    </row>
    <row r="237" spans="1:8" x14ac:dyDescent="0.3">
      <c r="A237" t="s">
        <v>260</v>
      </c>
      <c r="B237" t="str">
        <f>IFERROR(VLOOKUP(A237, Internal_Ledger!A:B, 2, FALSE), VLOOKUP(A237, Broker_Statement!A:B, 2, FALSE))</f>
        <v>INE018A01030</v>
      </c>
      <c r="C237" t="str">
        <f>IF(COUNTIF(Internal_Ledger!A:A, A237)=0, "Missing Internal", IF(COUNTIF(Broker_Statement!A:A, A237)=0, "Missing on Street", IF(D237&lt;&gt;E237, "Quantity Break", IF(F237&lt;&gt;G237, "Price Break", "Matched Perfectly"))))</f>
        <v>Matched Perfectly</v>
      </c>
      <c r="D237">
        <f>IFERROR(VLOOKUP(A237, Internal_Ledger!A:G, 5, FALSE), 0)</f>
        <v>3000</v>
      </c>
      <c r="E237">
        <f>IFERROR(VLOOKUP(A237, Broker_Statement!A:G, 5, FALSE), 0)</f>
        <v>3000</v>
      </c>
      <c r="F237">
        <f>IFERROR(VLOOKUP(A237, Internal_Ledger!A:G, 6, FALSE), 0)</f>
        <v>525.84002685546875</v>
      </c>
      <c r="G237">
        <f>IFERROR(VLOOKUP(A237, Broker_Statement!A:G, 6, FALSE), 0)</f>
        <v>525.84002685546875</v>
      </c>
      <c r="H237" s="7">
        <f t="shared" si="3"/>
        <v>0</v>
      </c>
    </row>
    <row r="238" spans="1:8" x14ac:dyDescent="0.3">
      <c r="A238" t="s">
        <v>261</v>
      </c>
      <c r="B238" t="str">
        <f>IFERROR(VLOOKUP(A238, Internal_Ledger!A:B, 2, FALSE), VLOOKUP(A238, Broker_Statement!A:B, 2, FALSE))</f>
        <v>INE040A01034</v>
      </c>
      <c r="C238" t="str">
        <f>IF(COUNTIF(Internal_Ledger!A:A, A238)=0, "Missing Internal", IF(COUNTIF(Broker_Statement!A:A, A238)=0, "Missing on Street", IF(D238&lt;&gt;E238, "Quantity Break", IF(F238&lt;&gt;G238, "Price Break", "Matched Perfectly"))))</f>
        <v>Matched Perfectly</v>
      </c>
      <c r="D238">
        <f>IFERROR(VLOOKUP(A238, Internal_Ledger!A:G, 5, FALSE), 0)</f>
        <v>4350</v>
      </c>
      <c r="E238">
        <f>IFERROR(VLOOKUP(A238, Broker_Statement!A:G, 5, FALSE), 0)</f>
        <v>4350</v>
      </c>
      <c r="F238">
        <f>IFERROR(VLOOKUP(A238, Internal_Ledger!A:G, 6, FALSE), 0)</f>
        <v>406.07000732421875</v>
      </c>
      <c r="G238">
        <f>IFERROR(VLOOKUP(A238, Broker_Statement!A:G, 6, FALSE), 0)</f>
        <v>406.07000732421875</v>
      </c>
      <c r="H238" s="7">
        <f t="shared" si="3"/>
        <v>0</v>
      </c>
    </row>
    <row r="239" spans="1:8" x14ac:dyDescent="0.3">
      <c r="A239" t="s">
        <v>262</v>
      </c>
      <c r="B239" t="str">
        <f>IFERROR(VLOOKUP(A239, Internal_Ledger!A:B, 2, FALSE), VLOOKUP(A239, Broker_Statement!A:B, 2, FALSE))</f>
        <v>INE040A01034</v>
      </c>
      <c r="C239" t="str">
        <f>IF(COUNTIF(Internal_Ledger!A:A, A239)=0, "Missing Internal", IF(COUNTIF(Broker_Statement!A:A, A239)=0, "Missing on Street", IF(D239&lt;&gt;E239, "Quantity Break", IF(F239&lt;&gt;G239, "Price Break", "Matched Perfectly"))))</f>
        <v>Price Break</v>
      </c>
      <c r="D239">
        <f>IFERROR(VLOOKUP(A239, Internal_Ledger!A:G, 5, FALSE), 0)</f>
        <v>150</v>
      </c>
      <c r="E239">
        <f>IFERROR(VLOOKUP(A239, Broker_Statement!A:G, 5, FALSE), 0)</f>
        <v>150</v>
      </c>
      <c r="F239">
        <f>IFERROR(VLOOKUP(A239, Internal_Ledger!A:G, 6, FALSE), 0)</f>
        <v>636.02001953125</v>
      </c>
      <c r="G239">
        <f>IFERROR(VLOOKUP(A239, Broker_Statement!A:G, 6, FALSE), 0)</f>
        <v>635.59001952409744</v>
      </c>
      <c r="H239" s="7">
        <f t="shared" si="3"/>
        <v>64.500001072883606</v>
      </c>
    </row>
    <row r="240" spans="1:8" x14ac:dyDescent="0.3">
      <c r="A240" t="s">
        <v>263</v>
      </c>
      <c r="B240" t="str">
        <f>IFERROR(VLOOKUP(A240, Internal_Ledger!A:B, 2, FALSE), VLOOKUP(A240, Broker_Statement!A:B, 2, FALSE))</f>
        <v>INE009A01021</v>
      </c>
      <c r="C240" t="str">
        <f>IF(COUNTIF(Internal_Ledger!A:A, A240)=0, "Missing Internal", IF(COUNTIF(Broker_Statement!A:A, A240)=0, "Missing on Street", IF(D240&lt;&gt;E240, "Quantity Break", IF(F240&lt;&gt;G240, "Price Break", "Matched Perfectly"))))</f>
        <v>Matched Perfectly</v>
      </c>
      <c r="D240">
        <f>IFERROR(VLOOKUP(A240, Internal_Ledger!A:G, 5, FALSE), 0)</f>
        <v>1450</v>
      </c>
      <c r="E240">
        <f>IFERROR(VLOOKUP(A240, Broker_Statement!A:G, 5, FALSE), 0)</f>
        <v>1450</v>
      </c>
      <c r="F240">
        <f>IFERROR(VLOOKUP(A240, Internal_Ledger!A:G, 6, FALSE), 0)</f>
        <v>632.5999755859375</v>
      </c>
      <c r="G240">
        <f>IFERROR(VLOOKUP(A240, Broker_Statement!A:G, 6, FALSE), 0)</f>
        <v>632.5999755859375</v>
      </c>
      <c r="H240" s="7">
        <f t="shared" si="3"/>
        <v>0</v>
      </c>
    </row>
    <row r="241" spans="1:8" x14ac:dyDescent="0.3">
      <c r="A241" t="s">
        <v>264</v>
      </c>
      <c r="B241" t="str">
        <f>IFERROR(VLOOKUP(A241, Internal_Ledger!A:B, 2, FALSE), VLOOKUP(A241, Broker_Statement!A:B, 2, FALSE))</f>
        <v>INE030A01027</v>
      </c>
      <c r="C241" t="str">
        <f>IF(COUNTIF(Internal_Ledger!A:A, A241)=0, "Missing Internal", IF(COUNTIF(Broker_Statement!A:A, A241)=0, "Missing on Street", IF(D241&lt;&gt;E241, "Quantity Break", IF(F241&lt;&gt;G241, "Price Break", "Matched Perfectly"))))</f>
        <v>Matched Perfectly</v>
      </c>
      <c r="D241">
        <f>IFERROR(VLOOKUP(A241, Internal_Ledger!A:G, 5, FALSE), 0)</f>
        <v>300</v>
      </c>
      <c r="E241">
        <f>IFERROR(VLOOKUP(A241, Broker_Statement!A:G, 5, FALSE), 0)</f>
        <v>300</v>
      </c>
      <c r="F241">
        <f>IFERROR(VLOOKUP(A241, Internal_Ledger!A:G, 6, FALSE), 0)</f>
        <v>393.05999755859375</v>
      </c>
      <c r="G241">
        <f>IFERROR(VLOOKUP(A241, Broker_Statement!A:G, 6, FALSE), 0)</f>
        <v>393.05999755859375</v>
      </c>
      <c r="H241" s="7">
        <f t="shared" si="3"/>
        <v>0</v>
      </c>
    </row>
    <row r="242" spans="1:8" x14ac:dyDescent="0.3">
      <c r="A242" t="s">
        <v>266</v>
      </c>
      <c r="B242" t="str">
        <f>IFERROR(VLOOKUP(A242, Internal_Ledger!A:B, 2, FALSE), VLOOKUP(A242, Broker_Statement!A:B, 2, FALSE))</f>
        <v>INE018A01030</v>
      </c>
      <c r="C242" t="str">
        <f>IF(COUNTIF(Internal_Ledger!A:A, A242)=0, "Missing Internal", IF(COUNTIF(Broker_Statement!A:A, A242)=0, "Missing on Street", IF(D242&lt;&gt;E242, "Quantity Break", IF(F242&lt;&gt;G242, "Price Break", "Matched Perfectly"))))</f>
        <v>Matched Perfectly</v>
      </c>
      <c r="D242">
        <f>IFERROR(VLOOKUP(A242, Internal_Ledger!A:G, 5, FALSE), 0)</f>
        <v>3750</v>
      </c>
      <c r="E242">
        <f>IFERROR(VLOOKUP(A242, Broker_Statement!A:G, 5, FALSE), 0)</f>
        <v>3750</v>
      </c>
      <c r="F242">
        <f>IFERROR(VLOOKUP(A242, Internal_Ledger!A:G, 6, FALSE), 0)</f>
        <v>344.42999267578125</v>
      </c>
      <c r="G242">
        <f>IFERROR(VLOOKUP(A242, Broker_Statement!A:G, 6, FALSE), 0)</f>
        <v>344.42999267578125</v>
      </c>
      <c r="H242" s="7">
        <f t="shared" si="3"/>
        <v>0</v>
      </c>
    </row>
    <row r="243" spans="1:8" x14ac:dyDescent="0.3">
      <c r="A243" t="s">
        <v>267</v>
      </c>
      <c r="B243" t="str">
        <f>IFERROR(VLOOKUP(A243, Internal_Ledger!A:B, 2, FALSE), VLOOKUP(A243, Broker_Statement!A:B, 2, FALSE))</f>
        <v>INE002A01018</v>
      </c>
      <c r="C243" t="str">
        <f>IF(COUNTIF(Internal_Ledger!A:A, A243)=0, "Missing Internal", IF(COUNTIF(Broker_Statement!A:A, A243)=0, "Missing on Street", IF(D243&lt;&gt;E243, "Quantity Break", IF(F243&lt;&gt;G243, "Price Break", "Matched Perfectly"))))</f>
        <v>Matched Perfectly</v>
      </c>
      <c r="D243">
        <f>IFERROR(VLOOKUP(A243, Internal_Ledger!A:G, 5, FALSE), 0)</f>
        <v>3000</v>
      </c>
      <c r="E243">
        <f>IFERROR(VLOOKUP(A243, Broker_Statement!A:G, 5, FALSE), 0)</f>
        <v>3000</v>
      </c>
      <c r="F243">
        <f>IFERROR(VLOOKUP(A243, Internal_Ledger!A:G, 6, FALSE), 0)</f>
        <v>576.19000244140625</v>
      </c>
      <c r="G243">
        <f>IFERROR(VLOOKUP(A243, Broker_Statement!A:G, 6, FALSE), 0)</f>
        <v>576.19000244140625</v>
      </c>
      <c r="H243" s="7">
        <f t="shared" si="3"/>
        <v>0</v>
      </c>
    </row>
    <row r="244" spans="1:8" x14ac:dyDescent="0.3">
      <c r="A244" t="s">
        <v>268</v>
      </c>
      <c r="B244" t="str">
        <f>IFERROR(VLOOKUP(A244, Internal_Ledger!A:B, 2, FALSE), VLOOKUP(A244, Broker_Statement!A:B, 2, FALSE))</f>
        <v>INE040A01034</v>
      </c>
      <c r="C244" t="str">
        <f>IF(COUNTIF(Internal_Ledger!A:A, A244)=0, "Missing Internal", IF(COUNTIF(Broker_Statement!A:A, A244)=0, "Missing on Street", IF(D244&lt;&gt;E244, "Quantity Break", IF(F244&lt;&gt;G244, "Price Break", "Matched Perfectly"))))</f>
        <v>Matched Perfectly</v>
      </c>
      <c r="D244">
        <f>IFERROR(VLOOKUP(A244, Internal_Ledger!A:G, 5, FALSE), 0)</f>
        <v>700</v>
      </c>
      <c r="E244">
        <f>IFERROR(VLOOKUP(A244, Broker_Statement!A:G, 5, FALSE), 0)</f>
        <v>700</v>
      </c>
      <c r="F244">
        <f>IFERROR(VLOOKUP(A244, Internal_Ledger!A:G, 6, FALSE), 0)</f>
        <v>519.3499755859375</v>
      </c>
      <c r="G244">
        <f>IFERROR(VLOOKUP(A244, Broker_Statement!A:G, 6, FALSE), 0)</f>
        <v>519.3499755859375</v>
      </c>
      <c r="H244" s="7">
        <f t="shared" si="3"/>
        <v>0</v>
      </c>
    </row>
    <row r="245" spans="1:8" x14ac:dyDescent="0.3">
      <c r="A245" t="s">
        <v>269</v>
      </c>
      <c r="B245" t="str">
        <f>IFERROR(VLOOKUP(A245, Internal_Ledger!A:B, 2, FALSE), VLOOKUP(A245, Broker_Statement!A:B, 2, FALSE))</f>
        <v>INE040A01034</v>
      </c>
      <c r="C245" t="str">
        <f>IF(COUNTIF(Internal_Ledger!A:A, A245)=0, "Missing Internal", IF(COUNTIF(Broker_Statement!A:A, A245)=0, "Missing on Street", IF(D245&lt;&gt;E245, "Quantity Break", IF(F245&lt;&gt;G245, "Price Break", "Matched Perfectly"))))</f>
        <v>Matched Perfectly</v>
      </c>
      <c r="D245">
        <f>IFERROR(VLOOKUP(A245, Internal_Ledger!A:G, 5, FALSE), 0)</f>
        <v>1400</v>
      </c>
      <c r="E245">
        <f>IFERROR(VLOOKUP(A245, Broker_Statement!A:G, 5, FALSE), 0)</f>
        <v>1400</v>
      </c>
      <c r="F245">
        <f>IFERROR(VLOOKUP(A245, Internal_Ledger!A:G, 6, FALSE), 0)</f>
        <v>376.23001098632813</v>
      </c>
      <c r="G245">
        <f>IFERROR(VLOOKUP(A245, Broker_Statement!A:G, 6, FALSE), 0)</f>
        <v>376.23001098632813</v>
      </c>
      <c r="H245" s="7">
        <f t="shared" si="3"/>
        <v>0</v>
      </c>
    </row>
    <row r="246" spans="1:8" x14ac:dyDescent="0.3">
      <c r="A246" t="s">
        <v>270</v>
      </c>
      <c r="B246" t="str">
        <f>IFERROR(VLOOKUP(A246, Internal_Ledger!A:B, 2, FALSE), VLOOKUP(A246, Broker_Statement!A:B, 2, FALSE))</f>
        <v>INE002A01018</v>
      </c>
      <c r="C246" t="str">
        <f>IF(COUNTIF(Internal_Ledger!A:A, A246)=0, "Missing Internal", IF(COUNTIF(Broker_Statement!A:A, A246)=0, "Missing on Street", IF(D246&lt;&gt;E246, "Quantity Break", IF(F246&lt;&gt;G246, "Price Break", "Matched Perfectly"))))</f>
        <v>Matched Perfectly</v>
      </c>
      <c r="D246">
        <f>IFERROR(VLOOKUP(A246, Internal_Ledger!A:G, 5, FALSE), 0)</f>
        <v>1300</v>
      </c>
      <c r="E246">
        <f>IFERROR(VLOOKUP(A246, Broker_Statement!A:G, 5, FALSE), 0)</f>
        <v>1300</v>
      </c>
      <c r="F246">
        <f>IFERROR(VLOOKUP(A246, Internal_Ledger!A:G, 6, FALSE), 0)</f>
        <v>589.04998779296875</v>
      </c>
      <c r="G246">
        <f>IFERROR(VLOOKUP(A246, Broker_Statement!A:G, 6, FALSE), 0)</f>
        <v>589.04998779296875</v>
      </c>
      <c r="H246" s="7">
        <f t="shared" si="3"/>
        <v>0</v>
      </c>
    </row>
    <row r="247" spans="1:8" x14ac:dyDescent="0.3">
      <c r="A247" t="s">
        <v>271</v>
      </c>
      <c r="B247" t="str">
        <f>IFERROR(VLOOKUP(A247, Internal_Ledger!A:B, 2, FALSE), VLOOKUP(A247, Broker_Statement!A:B, 2, FALSE))</f>
        <v>INE002A01018</v>
      </c>
      <c r="C247" t="str">
        <f>IF(COUNTIF(Internal_Ledger!A:A, A247)=0, "Missing Internal", IF(COUNTIF(Broker_Statement!A:A, A247)=0, "Missing on Street", IF(D247&lt;&gt;E247, "Quantity Break", IF(F247&lt;&gt;G247, "Price Break", "Matched Perfectly"))))</f>
        <v>Matched Perfectly</v>
      </c>
      <c r="D247">
        <f>IFERROR(VLOOKUP(A247, Internal_Ledger!A:G, 5, FALSE), 0)</f>
        <v>1550</v>
      </c>
      <c r="E247">
        <f>IFERROR(VLOOKUP(A247, Broker_Statement!A:G, 5, FALSE), 0)</f>
        <v>1550</v>
      </c>
      <c r="F247">
        <f>IFERROR(VLOOKUP(A247, Internal_Ledger!A:G, 6, FALSE), 0)</f>
        <v>173.69000244140625</v>
      </c>
      <c r="G247">
        <f>IFERROR(VLOOKUP(A247, Broker_Statement!A:G, 6, FALSE), 0)</f>
        <v>173.69000244140625</v>
      </c>
      <c r="H247" s="7">
        <f t="shared" si="3"/>
        <v>0</v>
      </c>
    </row>
    <row r="248" spans="1:8" x14ac:dyDescent="0.3">
      <c r="A248" t="s">
        <v>272</v>
      </c>
      <c r="B248" t="str">
        <f>IFERROR(VLOOKUP(A248, Internal_Ledger!A:B, 2, FALSE), VLOOKUP(A248, Broker_Statement!A:B, 2, FALSE))</f>
        <v>INE009A01021</v>
      </c>
      <c r="C248" t="str">
        <f>IF(COUNTIF(Internal_Ledger!A:A, A248)=0, "Missing Internal", IF(COUNTIF(Broker_Statement!A:A, A248)=0, "Missing on Street", IF(D248&lt;&gt;E248, "Quantity Break", IF(F248&lt;&gt;G248, "Price Break", "Matched Perfectly"))))</f>
        <v>Matched Perfectly</v>
      </c>
      <c r="D248">
        <f>IFERROR(VLOOKUP(A248, Internal_Ledger!A:G, 5, FALSE), 0)</f>
        <v>4700</v>
      </c>
      <c r="E248">
        <f>IFERROR(VLOOKUP(A248, Broker_Statement!A:G, 5, FALSE), 0)</f>
        <v>4700</v>
      </c>
      <c r="F248">
        <f>IFERROR(VLOOKUP(A248, Internal_Ledger!A:G, 6, FALSE), 0)</f>
        <v>516.280029296875</v>
      </c>
      <c r="G248">
        <f>IFERROR(VLOOKUP(A248, Broker_Statement!A:G, 6, FALSE), 0)</f>
        <v>516.280029296875</v>
      </c>
      <c r="H248" s="7">
        <f t="shared" si="3"/>
        <v>0</v>
      </c>
    </row>
    <row r="249" spans="1:8" x14ac:dyDescent="0.3">
      <c r="A249" t="s">
        <v>273</v>
      </c>
      <c r="B249" t="str">
        <f>IFERROR(VLOOKUP(A249, Internal_Ledger!A:B, 2, FALSE), VLOOKUP(A249, Broker_Statement!A:B, 2, FALSE))</f>
        <v>INE009A01021</v>
      </c>
      <c r="C249" t="str">
        <f>IF(COUNTIF(Internal_Ledger!A:A, A249)=0, "Missing Internal", IF(COUNTIF(Broker_Statement!A:A, A249)=0, "Missing on Street", IF(D249&lt;&gt;E249, "Quantity Break", IF(F249&lt;&gt;G249, "Price Break", "Matched Perfectly"))))</f>
        <v>Matched Perfectly</v>
      </c>
      <c r="D249">
        <f>IFERROR(VLOOKUP(A249, Internal_Ledger!A:G, 5, FALSE), 0)</f>
        <v>1250</v>
      </c>
      <c r="E249">
        <f>IFERROR(VLOOKUP(A249, Broker_Statement!A:G, 5, FALSE), 0)</f>
        <v>1250</v>
      </c>
      <c r="F249">
        <f>IFERROR(VLOOKUP(A249, Internal_Ledger!A:G, 6, FALSE), 0)</f>
        <v>617.1199951171875</v>
      </c>
      <c r="G249">
        <f>IFERROR(VLOOKUP(A249, Broker_Statement!A:G, 6, FALSE), 0)</f>
        <v>617.1199951171875</v>
      </c>
      <c r="H249" s="7">
        <f t="shared" si="3"/>
        <v>0</v>
      </c>
    </row>
    <row r="250" spans="1:8" x14ac:dyDescent="0.3">
      <c r="A250" t="s">
        <v>274</v>
      </c>
      <c r="B250" t="str">
        <f>IFERROR(VLOOKUP(A250, Internal_Ledger!A:B, 2, FALSE), VLOOKUP(A250, Broker_Statement!A:B, 2, FALSE))</f>
        <v>INE009A01021</v>
      </c>
      <c r="C250" t="str">
        <f>IF(COUNTIF(Internal_Ledger!A:A, A250)=0, "Missing Internal", IF(COUNTIF(Broker_Statement!A:A, A250)=0, "Missing on Street", IF(D250&lt;&gt;E250, "Quantity Break", IF(F250&lt;&gt;G250, "Price Break", "Matched Perfectly"))))</f>
        <v>Matched Perfectly</v>
      </c>
      <c r="D250">
        <f>IFERROR(VLOOKUP(A250, Internal_Ledger!A:G, 5, FALSE), 0)</f>
        <v>4700</v>
      </c>
      <c r="E250">
        <f>IFERROR(VLOOKUP(A250, Broker_Statement!A:G, 5, FALSE), 0)</f>
        <v>4700</v>
      </c>
      <c r="F250">
        <f>IFERROR(VLOOKUP(A250, Internal_Ledger!A:G, 6, FALSE), 0)</f>
        <v>391.20999145507813</v>
      </c>
      <c r="G250">
        <f>IFERROR(VLOOKUP(A250, Broker_Statement!A:G, 6, FALSE), 0)</f>
        <v>391.20999145507813</v>
      </c>
      <c r="H250" s="7">
        <f t="shared" si="3"/>
        <v>0</v>
      </c>
    </row>
    <row r="251" spans="1:8" x14ac:dyDescent="0.3">
      <c r="A251" t="s">
        <v>275</v>
      </c>
      <c r="B251" t="str">
        <f>IFERROR(VLOOKUP(A251, Internal_Ledger!A:B, 2, FALSE), VLOOKUP(A251, Broker_Statement!A:B, 2, FALSE))</f>
        <v>INE040A01034</v>
      </c>
      <c r="C251" t="str">
        <f>IF(COUNTIF(Internal_Ledger!A:A, A251)=0, "Missing Internal", IF(COUNTIF(Broker_Statement!A:A, A251)=0, "Missing on Street", IF(D251&lt;&gt;E251, "Quantity Break", IF(F251&lt;&gt;G251, "Price Break", "Matched Perfectly"))))</f>
        <v>Matched Perfectly</v>
      </c>
      <c r="D251">
        <f>IFERROR(VLOOKUP(A251, Internal_Ledger!A:G, 5, FALSE), 0)</f>
        <v>3550</v>
      </c>
      <c r="E251">
        <f>IFERROR(VLOOKUP(A251, Broker_Statement!A:G, 5, FALSE), 0)</f>
        <v>3550</v>
      </c>
      <c r="F251">
        <f>IFERROR(VLOOKUP(A251, Internal_Ledger!A:G, 6, FALSE), 0)</f>
        <v>259.82000732421875</v>
      </c>
      <c r="G251">
        <f>IFERROR(VLOOKUP(A251, Broker_Statement!A:G, 6, FALSE), 0)</f>
        <v>259.82000732421875</v>
      </c>
      <c r="H251" s="7">
        <f t="shared" si="3"/>
        <v>0</v>
      </c>
    </row>
    <row r="252" spans="1:8" x14ac:dyDescent="0.3">
      <c r="A252" t="s">
        <v>277</v>
      </c>
      <c r="B252" t="str">
        <f>IFERROR(VLOOKUP(A252, Internal_Ledger!A:B, 2, FALSE), VLOOKUP(A252, Broker_Statement!A:B, 2, FALSE))</f>
        <v>INE030A01027</v>
      </c>
      <c r="C252" t="str">
        <f>IF(COUNTIF(Internal_Ledger!A:A, A252)=0, "Missing Internal", IF(COUNTIF(Broker_Statement!A:A, A252)=0, "Missing on Street", IF(D252&lt;&gt;E252, "Quantity Break", IF(F252&lt;&gt;G252, "Price Break", "Matched Perfectly"))))</f>
        <v>Matched Perfectly</v>
      </c>
      <c r="D252">
        <f>IFERROR(VLOOKUP(A252, Internal_Ledger!A:G, 5, FALSE), 0)</f>
        <v>1650</v>
      </c>
      <c r="E252">
        <f>IFERROR(VLOOKUP(A252, Broker_Statement!A:G, 5, FALSE), 0)</f>
        <v>1650</v>
      </c>
      <c r="F252">
        <f>IFERROR(VLOOKUP(A252, Internal_Ledger!A:G, 6, FALSE), 0)</f>
        <v>583.32000732421875</v>
      </c>
      <c r="G252">
        <f>IFERROR(VLOOKUP(A252, Broker_Statement!A:G, 6, FALSE), 0)</f>
        <v>583.32000732421875</v>
      </c>
      <c r="H252" s="7">
        <f t="shared" si="3"/>
        <v>0</v>
      </c>
    </row>
    <row r="253" spans="1:8" x14ac:dyDescent="0.3">
      <c r="A253" t="s">
        <v>278</v>
      </c>
      <c r="B253" t="str">
        <f>IFERROR(VLOOKUP(A253, Internal_Ledger!A:B, 2, FALSE), VLOOKUP(A253, Broker_Statement!A:B, 2, FALSE))</f>
        <v>INE009A01021</v>
      </c>
      <c r="C253" t="str">
        <f>IF(COUNTIF(Internal_Ledger!A:A, A253)=0, "Missing Internal", IF(COUNTIF(Broker_Statement!A:A, A253)=0, "Missing on Street", IF(D253&lt;&gt;E253, "Quantity Break", IF(F253&lt;&gt;G253, "Price Break", "Matched Perfectly"))))</f>
        <v>Matched Perfectly</v>
      </c>
      <c r="D253">
        <f>IFERROR(VLOOKUP(A253, Internal_Ledger!A:G, 5, FALSE), 0)</f>
        <v>4400</v>
      </c>
      <c r="E253">
        <f>IFERROR(VLOOKUP(A253, Broker_Statement!A:G, 5, FALSE), 0)</f>
        <v>4400</v>
      </c>
      <c r="F253">
        <f>IFERROR(VLOOKUP(A253, Internal_Ledger!A:G, 6, FALSE), 0)</f>
        <v>372.72000122070313</v>
      </c>
      <c r="G253">
        <f>IFERROR(VLOOKUP(A253, Broker_Statement!A:G, 6, FALSE), 0)</f>
        <v>372.72000122070313</v>
      </c>
      <c r="H253" s="7">
        <f t="shared" si="3"/>
        <v>0</v>
      </c>
    </row>
    <row r="254" spans="1:8" x14ac:dyDescent="0.3">
      <c r="A254" t="s">
        <v>279</v>
      </c>
      <c r="B254" t="str">
        <f>IFERROR(VLOOKUP(A254, Internal_Ledger!A:B, 2, FALSE), VLOOKUP(A254, Broker_Statement!A:B, 2, FALSE))</f>
        <v>INE002A01018</v>
      </c>
      <c r="C254" t="str">
        <f>IF(COUNTIF(Internal_Ledger!A:A, A254)=0, "Missing Internal", IF(COUNTIF(Broker_Statement!A:A, A254)=0, "Missing on Street", IF(D254&lt;&gt;E254, "Quantity Break", IF(F254&lt;&gt;G254, "Price Break", "Matched Perfectly"))))</f>
        <v>Missing on Street</v>
      </c>
      <c r="D254">
        <f>IFERROR(VLOOKUP(A254, Internal_Ledger!A:G, 5, FALSE), 0)</f>
        <v>350</v>
      </c>
      <c r="E254">
        <f>IFERROR(VLOOKUP(A254, Broker_Statement!A:G, 5, FALSE), 0)</f>
        <v>0</v>
      </c>
      <c r="F254">
        <f>IFERROR(VLOOKUP(A254, Internal_Ledger!A:G, 6, FALSE), 0)</f>
        <v>645.84002685546875</v>
      </c>
      <c r="G254">
        <f>IFERROR(VLOOKUP(A254, Broker_Statement!A:G, 6, FALSE), 0)</f>
        <v>0</v>
      </c>
      <c r="H254" s="7">
        <f t="shared" si="3"/>
        <v>226044.00939941406</v>
      </c>
    </row>
    <row r="255" spans="1:8" x14ac:dyDescent="0.3">
      <c r="A255" t="s">
        <v>280</v>
      </c>
      <c r="B255" t="str">
        <f>IFERROR(VLOOKUP(A255, Internal_Ledger!A:B, 2, FALSE), VLOOKUP(A255, Broker_Statement!A:B, 2, FALSE))</f>
        <v>INE040A01034</v>
      </c>
      <c r="C255" t="str">
        <f>IF(COUNTIF(Internal_Ledger!A:A, A255)=0, "Missing Internal", IF(COUNTIF(Broker_Statement!A:A, A255)=0, "Missing on Street", IF(D255&lt;&gt;E255, "Quantity Break", IF(F255&lt;&gt;G255, "Price Break", "Matched Perfectly"))))</f>
        <v>Matched Perfectly</v>
      </c>
      <c r="D255">
        <f>IFERROR(VLOOKUP(A255, Internal_Ledger!A:G, 5, FALSE), 0)</f>
        <v>1950</v>
      </c>
      <c r="E255">
        <f>IFERROR(VLOOKUP(A255, Broker_Statement!A:G, 5, FALSE), 0)</f>
        <v>1950</v>
      </c>
      <c r="F255">
        <f>IFERROR(VLOOKUP(A255, Internal_Ledger!A:G, 6, FALSE), 0)</f>
        <v>570.30999755859375</v>
      </c>
      <c r="G255">
        <f>IFERROR(VLOOKUP(A255, Broker_Statement!A:G, 6, FALSE), 0)</f>
        <v>570.30999755859375</v>
      </c>
      <c r="H255" s="7">
        <f t="shared" si="3"/>
        <v>0</v>
      </c>
    </row>
    <row r="256" spans="1:8" x14ac:dyDescent="0.3">
      <c r="A256" t="s">
        <v>281</v>
      </c>
      <c r="B256" t="str">
        <f>IFERROR(VLOOKUP(A256, Internal_Ledger!A:B, 2, FALSE), VLOOKUP(A256, Broker_Statement!A:B, 2, FALSE))</f>
        <v>INE018A01030</v>
      </c>
      <c r="C256" t="str">
        <f>IF(COUNTIF(Internal_Ledger!A:A, A256)=0, "Missing Internal", IF(COUNTIF(Broker_Statement!A:A, A256)=0, "Missing on Street", IF(D256&lt;&gt;E256, "Quantity Break", IF(F256&lt;&gt;G256, "Price Break", "Matched Perfectly"))))</f>
        <v>Matched Perfectly</v>
      </c>
      <c r="D256">
        <f>IFERROR(VLOOKUP(A256, Internal_Ledger!A:G, 5, FALSE), 0)</f>
        <v>3150</v>
      </c>
      <c r="E256">
        <f>IFERROR(VLOOKUP(A256, Broker_Statement!A:G, 5, FALSE), 0)</f>
        <v>3150</v>
      </c>
      <c r="F256">
        <f>IFERROR(VLOOKUP(A256, Internal_Ledger!A:G, 6, FALSE), 0)</f>
        <v>355.66000366210938</v>
      </c>
      <c r="G256">
        <f>IFERROR(VLOOKUP(A256, Broker_Statement!A:G, 6, FALSE), 0)</f>
        <v>355.66000366210938</v>
      </c>
      <c r="H256" s="7">
        <f t="shared" si="3"/>
        <v>0</v>
      </c>
    </row>
    <row r="257" spans="1:8" x14ac:dyDescent="0.3">
      <c r="A257" t="s">
        <v>282</v>
      </c>
      <c r="B257" t="str">
        <f>IFERROR(VLOOKUP(A257, Internal_Ledger!A:B, 2, FALSE), VLOOKUP(A257, Broker_Statement!A:B, 2, FALSE))</f>
        <v>INE030A01027</v>
      </c>
      <c r="C257" t="str">
        <f>IF(COUNTIF(Internal_Ledger!A:A, A257)=0, "Missing Internal", IF(COUNTIF(Broker_Statement!A:A, A257)=0, "Missing on Street", IF(D257&lt;&gt;E257, "Quantity Break", IF(F257&lt;&gt;G257, "Price Break", "Matched Perfectly"))))</f>
        <v>Matched Perfectly</v>
      </c>
      <c r="D257">
        <f>IFERROR(VLOOKUP(A257, Internal_Ledger!A:G, 5, FALSE), 0)</f>
        <v>1550</v>
      </c>
      <c r="E257">
        <f>IFERROR(VLOOKUP(A257, Broker_Statement!A:G, 5, FALSE), 0)</f>
        <v>1550</v>
      </c>
      <c r="F257">
        <f>IFERROR(VLOOKUP(A257, Internal_Ledger!A:G, 6, FALSE), 0)</f>
        <v>444.489990234375</v>
      </c>
      <c r="G257">
        <f>IFERROR(VLOOKUP(A257, Broker_Statement!A:G, 6, FALSE), 0)</f>
        <v>444.489990234375</v>
      </c>
      <c r="H257" s="7">
        <f t="shared" si="3"/>
        <v>0</v>
      </c>
    </row>
    <row r="258" spans="1:8" x14ac:dyDescent="0.3">
      <c r="A258" t="s">
        <v>283</v>
      </c>
      <c r="B258" t="str">
        <f>IFERROR(VLOOKUP(A258, Internal_Ledger!A:B, 2, FALSE), VLOOKUP(A258, Broker_Statement!A:B, 2, FALSE))</f>
        <v>INE030A01027</v>
      </c>
      <c r="C258" t="str">
        <f>IF(COUNTIF(Internal_Ledger!A:A, A258)=0, "Missing Internal", IF(COUNTIF(Broker_Statement!A:A, A258)=0, "Missing on Street", IF(D258&lt;&gt;E258, "Quantity Break", IF(F258&lt;&gt;G258, "Price Break", "Matched Perfectly"))))</f>
        <v>Matched Perfectly</v>
      </c>
      <c r="D258">
        <f>IFERROR(VLOOKUP(A258, Internal_Ledger!A:G, 5, FALSE), 0)</f>
        <v>1100</v>
      </c>
      <c r="E258">
        <f>IFERROR(VLOOKUP(A258, Broker_Statement!A:G, 5, FALSE), 0)</f>
        <v>1100</v>
      </c>
      <c r="F258">
        <f>IFERROR(VLOOKUP(A258, Internal_Ledger!A:G, 6, FALSE), 0)</f>
        <v>369.6099853515625</v>
      </c>
      <c r="G258">
        <f>IFERROR(VLOOKUP(A258, Broker_Statement!A:G, 6, FALSE), 0)</f>
        <v>369.6099853515625</v>
      </c>
      <c r="H258" s="7">
        <f t="shared" si="3"/>
        <v>0</v>
      </c>
    </row>
    <row r="259" spans="1:8" x14ac:dyDescent="0.3">
      <c r="A259" t="s">
        <v>284</v>
      </c>
      <c r="B259" t="str">
        <f>IFERROR(VLOOKUP(A259, Internal_Ledger!A:B, 2, FALSE), VLOOKUP(A259, Broker_Statement!A:B, 2, FALSE))</f>
        <v>INE009A01021</v>
      </c>
      <c r="C259" t="str">
        <f>IF(COUNTIF(Internal_Ledger!A:A, A259)=0, "Missing Internal", IF(COUNTIF(Broker_Statement!A:A, A259)=0, "Missing on Street", IF(D259&lt;&gt;E259, "Quantity Break", IF(F259&lt;&gt;G259, "Price Break", "Matched Perfectly"))))</f>
        <v>Matched Perfectly</v>
      </c>
      <c r="D259">
        <f>IFERROR(VLOOKUP(A259, Internal_Ledger!A:G, 5, FALSE), 0)</f>
        <v>1850</v>
      </c>
      <c r="E259">
        <f>IFERROR(VLOOKUP(A259, Broker_Statement!A:G, 5, FALSE), 0)</f>
        <v>1850</v>
      </c>
      <c r="F259">
        <f>IFERROR(VLOOKUP(A259, Internal_Ledger!A:G, 6, FALSE), 0)</f>
        <v>636.69000244140625</v>
      </c>
      <c r="G259">
        <f>IFERROR(VLOOKUP(A259, Broker_Statement!A:G, 6, FALSE), 0)</f>
        <v>636.69000244140625</v>
      </c>
      <c r="H259" s="7">
        <f t="shared" ref="H259:H322" si="4">ABS((D259*F259) - (E259*G259))</f>
        <v>0</v>
      </c>
    </row>
    <row r="260" spans="1:8" x14ac:dyDescent="0.3">
      <c r="A260" t="s">
        <v>285</v>
      </c>
      <c r="B260" t="str">
        <f>IFERROR(VLOOKUP(A260, Internal_Ledger!A:B, 2, FALSE), VLOOKUP(A260, Broker_Statement!A:B, 2, FALSE))</f>
        <v>INE009A01021</v>
      </c>
      <c r="C260" t="str">
        <f>IF(COUNTIF(Internal_Ledger!A:A, A260)=0, "Missing Internal", IF(COUNTIF(Broker_Statement!A:A, A260)=0, "Missing on Street", IF(D260&lt;&gt;E260, "Quantity Break", IF(F260&lt;&gt;G260, "Price Break", "Matched Perfectly"))))</f>
        <v>Matched Perfectly</v>
      </c>
      <c r="D260">
        <f>IFERROR(VLOOKUP(A260, Internal_Ledger!A:G, 5, FALSE), 0)</f>
        <v>2650</v>
      </c>
      <c r="E260">
        <f>IFERROR(VLOOKUP(A260, Broker_Statement!A:G, 5, FALSE), 0)</f>
        <v>2650</v>
      </c>
      <c r="F260">
        <f>IFERROR(VLOOKUP(A260, Internal_Ledger!A:G, 6, FALSE), 0)</f>
        <v>616.5</v>
      </c>
      <c r="G260">
        <f>IFERROR(VLOOKUP(A260, Broker_Statement!A:G, 6, FALSE), 0)</f>
        <v>616.5</v>
      </c>
      <c r="H260" s="7">
        <f t="shared" si="4"/>
        <v>0</v>
      </c>
    </row>
    <row r="261" spans="1:8" x14ac:dyDescent="0.3">
      <c r="A261" t="s">
        <v>286</v>
      </c>
      <c r="B261" t="str">
        <f>IFERROR(VLOOKUP(A261, Internal_Ledger!A:B, 2, FALSE), VLOOKUP(A261, Broker_Statement!A:B, 2, FALSE))</f>
        <v>INE018A01030</v>
      </c>
      <c r="C261" t="str">
        <f>IF(COUNTIF(Internal_Ledger!A:A, A261)=0, "Missing Internal", IF(COUNTIF(Broker_Statement!A:A, A261)=0, "Missing on Street", IF(D261&lt;&gt;E261, "Quantity Break", IF(F261&lt;&gt;G261, "Price Break", "Matched Perfectly"))))</f>
        <v>Matched Perfectly</v>
      </c>
      <c r="D261">
        <f>IFERROR(VLOOKUP(A261, Internal_Ledger!A:G, 5, FALSE), 0)</f>
        <v>450</v>
      </c>
      <c r="E261">
        <f>IFERROR(VLOOKUP(A261, Broker_Statement!A:G, 5, FALSE), 0)</f>
        <v>450</v>
      </c>
      <c r="F261">
        <f>IFERROR(VLOOKUP(A261, Internal_Ledger!A:G, 6, FALSE), 0)</f>
        <v>556.45001220703125</v>
      </c>
      <c r="G261">
        <f>IFERROR(VLOOKUP(A261, Broker_Statement!A:G, 6, FALSE), 0)</f>
        <v>556.45001220703125</v>
      </c>
      <c r="H261" s="7">
        <f t="shared" si="4"/>
        <v>0</v>
      </c>
    </row>
    <row r="262" spans="1:8" x14ac:dyDescent="0.3">
      <c r="A262" t="s">
        <v>287</v>
      </c>
      <c r="B262" t="str">
        <f>IFERROR(VLOOKUP(A262, Internal_Ledger!A:B, 2, FALSE), VLOOKUP(A262, Broker_Statement!A:B, 2, FALSE))</f>
        <v>INE018A01030</v>
      </c>
      <c r="C262" t="str">
        <f>IF(COUNTIF(Internal_Ledger!A:A, A262)=0, "Missing Internal", IF(COUNTIF(Broker_Statement!A:A, A262)=0, "Missing on Street", IF(D262&lt;&gt;E262, "Quantity Break", IF(F262&lt;&gt;G262, "Price Break", "Matched Perfectly"))))</f>
        <v>Matched Perfectly</v>
      </c>
      <c r="D262">
        <f>IFERROR(VLOOKUP(A262, Internal_Ledger!A:G, 5, FALSE), 0)</f>
        <v>4850</v>
      </c>
      <c r="E262">
        <f>IFERROR(VLOOKUP(A262, Broker_Statement!A:G, 5, FALSE), 0)</f>
        <v>4850</v>
      </c>
      <c r="F262">
        <f>IFERROR(VLOOKUP(A262, Internal_Ledger!A:G, 6, FALSE), 0)</f>
        <v>445.54000854492188</v>
      </c>
      <c r="G262">
        <f>IFERROR(VLOOKUP(A262, Broker_Statement!A:G, 6, FALSE), 0)</f>
        <v>445.54000854492188</v>
      </c>
      <c r="H262" s="7">
        <f t="shared" si="4"/>
        <v>0</v>
      </c>
    </row>
    <row r="263" spans="1:8" x14ac:dyDescent="0.3">
      <c r="A263" t="s">
        <v>288</v>
      </c>
      <c r="B263" t="str">
        <f>IFERROR(VLOOKUP(A263, Internal_Ledger!A:B, 2, FALSE), VLOOKUP(A263, Broker_Statement!A:B, 2, FALSE))</f>
        <v>INE018A01030</v>
      </c>
      <c r="C263" t="str">
        <f>IF(COUNTIF(Internal_Ledger!A:A, A263)=0, "Missing Internal", IF(COUNTIF(Broker_Statement!A:A, A263)=0, "Missing on Street", IF(D263&lt;&gt;E263, "Quantity Break", IF(F263&lt;&gt;G263, "Price Break", "Matched Perfectly"))))</f>
        <v>Matched Perfectly</v>
      </c>
      <c r="D263">
        <f>IFERROR(VLOOKUP(A263, Internal_Ledger!A:G, 5, FALSE), 0)</f>
        <v>3550</v>
      </c>
      <c r="E263">
        <f>IFERROR(VLOOKUP(A263, Broker_Statement!A:G, 5, FALSE), 0)</f>
        <v>3550</v>
      </c>
      <c r="F263">
        <f>IFERROR(VLOOKUP(A263, Internal_Ledger!A:G, 6, FALSE), 0)</f>
        <v>592.27001953125</v>
      </c>
      <c r="G263">
        <f>IFERROR(VLOOKUP(A263, Broker_Statement!A:G, 6, FALSE), 0)</f>
        <v>592.27001953125</v>
      </c>
      <c r="H263" s="7">
        <f t="shared" si="4"/>
        <v>0</v>
      </c>
    </row>
    <row r="264" spans="1:8" x14ac:dyDescent="0.3">
      <c r="A264" t="s">
        <v>289</v>
      </c>
      <c r="B264" t="str">
        <f>IFERROR(VLOOKUP(A264, Internal_Ledger!A:B, 2, FALSE), VLOOKUP(A264, Broker_Statement!A:B, 2, FALSE))</f>
        <v>INE002A01018</v>
      </c>
      <c r="C264" t="str">
        <f>IF(COUNTIF(Internal_Ledger!A:A, A264)=0, "Missing Internal", IF(COUNTIF(Broker_Statement!A:A, A264)=0, "Missing on Street", IF(D264&lt;&gt;E264, "Quantity Break", IF(F264&lt;&gt;G264, "Price Break", "Matched Perfectly"))))</f>
        <v>Price Break</v>
      </c>
      <c r="D264">
        <f>IFERROR(VLOOKUP(A264, Internal_Ledger!A:G, 5, FALSE), 0)</f>
        <v>800</v>
      </c>
      <c r="E264">
        <f>IFERROR(VLOOKUP(A264, Broker_Statement!A:G, 5, FALSE), 0)</f>
        <v>800</v>
      </c>
      <c r="F264">
        <f>IFERROR(VLOOKUP(A264, Internal_Ledger!A:G, 6, FALSE), 0)</f>
        <v>399.77999877929688</v>
      </c>
      <c r="G264">
        <f>IFERROR(VLOOKUP(A264, Broker_Statement!A:G, 6, FALSE), 0)</f>
        <v>400.13999879360199</v>
      </c>
      <c r="H264" s="7">
        <f t="shared" si="4"/>
        <v>288.0000114440918</v>
      </c>
    </row>
    <row r="265" spans="1:8" x14ac:dyDescent="0.3">
      <c r="A265" t="s">
        <v>290</v>
      </c>
      <c r="B265" t="str">
        <f>IFERROR(VLOOKUP(A265, Internal_Ledger!A:B, 2, FALSE), VLOOKUP(A265, Broker_Statement!A:B, 2, FALSE))</f>
        <v>INE030A01027</v>
      </c>
      <c r="C265" t="str">
        <f>IF(COUNTIF(Internal_Ledger!A:A, A265)=0, "Missing Internal", IF(COUNTIF(Broker_Statement!A:A, A265)=0, "Missing on Street", IF(D265&lt;&gt;E265, "Quantity Break", IF(F265&lt;&gt;G265, "Price Break", "Matched Perfectly"))))</f>
        <v>Matched Perfectly</v>
      </c>
      <c r="D265">
        <f>IFERROR(VLOOKUP(A265, Internal_Ledger!A:G, 5, FALSE), 0)</f>
        <v>3000</v>
      </c>
      <c r="E265">
        <f>IFERROR(VLOOKUP(A265, Broker_Statement!A:G, 5, FALSE), 0)</f>
        <v>3000</v>
      </c>
      <c r="F265">
        <f>IFERROR(VLOOKUP(A265, Internal_Ledger!A:G, 6, FALSE), 0)</f>
        <v>644.1500244140625</v>
      </c>
      <c r="G265">
        <f>IFERROR(VLOOKUP(A265, Broker_Statement!A:G, 6, FALSE), 0)</f>
        <v>644.1500244140625</v>
      </c>
      <c r="H265" s="7">
        <f t="shared" si="4"/>
        <v>0</v>
      </c>
    </row>
    <row r="266" spans="1:8" x14ac:dyDescent="0.3">
      <c r="A266" t="s">
        <v>291</v>
      </c>
      <c r="B266" t="str">
        <f>IFERROR(VLOOKUP(A266, Internal_Ledger!A:B, 2, FALSE), VLOOKUP(A266, Broker_Statement!A:B, 2, FALSE))</f>
        <v>INE002A01018</v>
      </c>
      <c r="C266" t="str">
        <f>IF(COUNTIF(Internal_Ledger!A:A, A266)=0, "Missing Internal", IF(COUNTIF(Broker_Statement!A:A, A266)=0, "Missing on Street", IF(D266&lt;&gt;E266, "Quantity Break", IF(F266&lt;&gt;G266, "Price Break", "Matched Perfectly"))))</f>
        <v>Matched Perfectly</v>
      </c>
      <c r="D266">
        <f>IFERROR(VLOOKUP(A266, Internal_Ledger!A:G, 5, FALSE), 0)</f>
        <v>4650</v>
      </c>
      <c r="E266">
        <f>IFERROR(VLOOKUP(A266, Broker_Statement!A:G, 5, FALSE), 0)</f>
        <v>4650</v>
      </c>
      <c r="F266">
        <f>IFERROR(VLOOKUP(A266, Internal_Ledger!A:G, 6, FALSE), 0)</f>
        <v>404.45001220703125</v>
      </c>
      <c r="G266">
        <f>IFERROR(VLOOKUP(A266, Broker_Statement!A:G, 6, FALSE), 0)</f>
        <v>404.45001220703125</v>
      </c>
      <c r="H266" s="7">
        <f t="shared" si="4"/>
        <v>0</v>
      </c>
    </row>
    <row r="267" spans="1:8" x14ac:dyDescent="0.3">
      <c r="A267" t="s">
        <v>293</v>
      </c>
      <c r="B267" t="str">
        <f>IFERROR(VLOOKUP(A267, Internal_Ledger!A:B, 2, FALSE), VLOOKUP(A267, Broker_Statement!A:B, 2, FALSE))</f>
        <v>INE002A01018</v>
      </c>
      <c r="C267" t="str">
        <f>IF(COUNTIF(Internal_Ledger!A:A, A267)=0, "Missing Internal", IF(COUNTIF(Broker_Statement!A:A, A267)=0, "Missing on Street", IF(D267&lt;&gt;E267, "Quantity Break", IF(F267&lt;&gt;G267, "Price Break", "Matched Perfectly"))))</f>
        <v>Matched Perfectly</v>
      </c>
      <c r="D267">
        <f>IFERROR(VLOOKUP(A267, Internal_Ledger!A:G, 5, FALSE), 0)</f>
        <v>1950</v>
      </c>
      <c r="E267">
        <f>IFERROR(VLOOKUP(A267, Broker_Statement!A:G, 5, FALSE), 0)</f>
        <v>1950</v>
      </c>
      <c r="F267">
        <f>IFERROR(VLOOKUP(A267, Internal_Ledger!A:G, 6, FALSE), 0)</f>
        <v>637.66998291015625</v>
      </c>
      <c r="G267">
        <f>IFERROR(VLOOKUP(A267, Broker_Statement!A:G, 6, FALSE), 0)</f>
        <v>637.66998291015625</v>
      </c>
      <c r="H267" s="7">
        <f t="shared" si="4"/>
        <v>0</v>
      </c>
    </row>
    <row r="268" spans="1:8" x14ac:dyDescent="0.3">
      <c r="A268" t="s">
        <v>294</v>
      </c>
      <c r="B268" t="str">
        <f>IFERROR(VLOOKUP(A268, Internal_Ledger!A:B, 2, FALSE), VLOOKUP(A268, Broker_Statement!A:B, 2, FALSE))</f>
        <v>INE030A01027</v>
      </c>
      <c r="C268" t="str">
        <f>IF(COUNTIF(Internal_Ledger!A:A, A268)=0, "Missing Internal", IF(COUNTIF(Broker_Statement!A:A, A268)=0, "Missing on Street", IF(D268&lt;&gt;E268, "Quantity Break", IF(F268&lt;&gt;G268, "Price Break", "Matched Perfectly"))))</f>
        <v>Matched Perfectly</v>
      </c>
      <c r="D268">
        <f>IFERROR(VLOOKUP(A268, Internal_Ledger!A:G, 5, FALSE), 0)</f>
        <v>2500</v>
      </c>
      <c r="E268">
        <f>IFERROR(VLOOKUP(A268, Broker_Statement!A:G, 5, FALSE), 0)</f>
        <v>2500</v>
      </c>
      <c r="F268">
        <f>IFERROR(VLOOKUP(A268, Internal_Ledger!A:G, 6, FALSE), 0)</f>
        <v>522.1400146484375</v>
      </c>
      <c r="G268">
        <f>IFERROR(VLOOKUP(A268, Broker_Statement!A:G, 6, FALSE), 0)</f>
        <v>522.1400146484375</v>
      </c>
      <c r="H268" s="7">
        <f t="shared" si="4"/>
        <v>0</v>
      </c>
    </row>
    <row r="269" spans="1:8" x14ac:dyDescent="0.3">
      <c r="A269" t="s">
        <v>295</v>
      </c>
      <c r="B269" t="str">
        <f>IFERROR(VLOOKUP(A269, Internal_Ledger!A:B, 2, FALSE), VLOOKUP(A269, Broker_Statement!A:B, 2, FALSE))</f>
        <v>INE018A01030</v>
      </c>
      <c r="C269" t="str">
        <f>IF(COUNTIF(Internal_Ledger!A:A, A269)=0, "Missing Internal", IF(COUNTIF(Broker_Statement!A:A, A269)=0, "Missing on Street", IF(D269&lt;&gt;E269, "Quantity Break", IF(F269&lt;&gt;G269, "Price Break", "Matched Perfectly"))))</f>
        <v>Matched Perfectly</v>
      </c>
      <c r="D269">
        <f>IFERROR(VLOOKUP(A269, Internal_Ledger!A:G, 5, FALSE), 0)</f>
        <v>4450</v>
      </c>
      <c r="E269">
        <f>IFERROR(VLOOKUP(A269, Broker_Statement!A:G, 5, FALSE), 0)</f>
        <v>4450</v>
      </c>
      <c r="F269">
        <f>IFERROR(VLOOKUP(A269, Internal_Ledger!A:G, 6, FALSE), 0)</f>
        <v>315.739990234375</v>
      </c>
      <c r="G269">
        <f>IFERROR(VLOOKUP(A269, Broker_Statement!A:G, 6, FALSE), 0)</f>
        <v>315.739990234375</v>
      </c>
      <c r="H269" s="7">
        <f t="shared" si="4"/>
        <v>0</v>
      </c>
    </row>
    <row r="270" spans="1:8" x14ac:dyDescent="0.3">
      <c r="A270" t="s">
        <v>296</v>
      </c>
      <c r="B270" t="str">
        <f>IFERROR(VLOOKUP(A270, Internal_Ledger!A:B, 2, FALSE), VLOOKUP(A270, Broker_Statement!A:B, 2, FALSE))</f>
        <v>INE040A01034</v>
      </c>
      <c r="C270" t="str">
        <f>IF(COUNTIF(Internal_Ledger!A:A, A270)=0, "Missing Internal", IF(COUNTIF(Broker_Statement!A:A, A270)=0, "Missing on Street", IF(D270&lt;&gt;E270, "Quantity Break", IF(F270&lt;&gt;G270, "Price Break", "Matched Perfectly"))))</f>
        <v>Matched Perfectly</v>
      </c>
      <c r="D270">
        <f>IFERROR(VLOOKUP(A270, Internal_Ledger!A:G, 5, FALSE), 0)</f>
        <v>950</v>
      </c>
      <c r="E270">
        <f>IFERROR(VLOOKUP(A270, Broker_Statement!A:G, 5, FALSE), 0)</f>
        <v>950</v>
      </c>
      <c r="F270">
        <f>IFERROR(VLOOKUP(A270, Internal_Ledger!A:G, 6, FALSE), 0)</f>
        <v>432.07998657226563</v>
      </c>
      <c r="G270">
        <f>IFERROR(VLOOKUP(A270, Broker_Statement!A:G, 6, FALSE), 0)</f>
        <v>432.07998657226563</v>
      </c>
      <c r="H270" s="7">
        <f t="shared" si="4"/>
        <v>0</v>
      </c>
    </row>
    <row r="271" spans="1:8" x14ac:dyDescent="0.3">
      <c r="A271" t="s">
        <v>297</v>
      </c>
      <c r="B271" t="str">
        <f>IFERROR(VLOOKUP(A271, Internal_Ledger!A:B, 2, FALSE), VLOOKUP(A271, Broker_Statement!A:B, 2, FALSE))</f>
        <v>INE018A01030</v>
      </c>
      <c r="C271" t="str">
        <f>IF(COUNTIF(Internal_Ledger!A:A, A271)=0, "Missing Internal", IF(COUNTIF(Broker_Statement!A:A, A271)=0, "Missing on Street", IF(D271&lt;&gt;E271, "Quantity Break", IF(F271&lt;&gt;G271, "Price Break", "Matched Perfectly"))))</f>
        <v>Matched Perfectly</v>
      </c>
      <c r="D271">
        <f>IFERROR(VLOOKUP(A271, Internal_Ledger!A:G, 5, FALSE), 0)</f>
        <v>2800</v>
      </c>
      <c r="E271">
        <f>IFERROR(VLOOKUP(A271, Broker_Statement!A:G, 5, FALSE), 0)</f>
        <v>2800</v>
      </c>
      <c r="F271">
        <f>IFERROR(VLOOKUP(A271, Internal_Ledger!A:G, 6, FALSE), 0)</f>
        <v>373.91000366210938</v>
      </c>
      <c r="G271">
        <f>IFERROR(VLOOKUP(A271, Broker_Statement!A:G, 6, FALSE), 0)</f>
        <v>373.91000366210938</v>
      </c>
      <c r="H271" s="7">
        <f t="shared" si="4"/>
        <v>0</v>
      </c>
    </row>
    <row r="272" spans="1:8" x14ac:dyDescent="0.3">
      <c r="A272" t="s">
        <v>298</v>
      </c>
      <c r="B272" t="str">
        <f>IFERROR(VLOOKUP(A272, Internal_Ledger!A:B, 2, FALSE), VLOOKUP(A272, Broker_Statement!A:B, 2, FALSE))</f>
        <v>INE009A01021</v>
      </c>
      <c r="C272" t="str">
        <f>IF(COUNTIF(Internal_Ledger!A:A, A272)=0, "Missing Internal", IF(COUNTIF(Broker_Statement!A:A, A272)=0, "Missing on Street", IF(D272&lt;&gt;E272, "Quantity Break", IF(F272&lt;&gt;G272, "Price Break", "Matched Perfectly"))))</f>
        <v>Matched Perfectly</v>
      </c>
      <c r="D272">
        <f>IFERROR(VLOOKUP(A272, Internal_Ledger!A:G, 5, FALSE), 0)</f>
        <v>3200</v>
      </c>
      <c r="E272">
        <f>IFERROR(VLOOKUP(A272, Broker_Statement!A:G, 5, FALSE), 0)</f>
        <v>3200</v>
      </c>
      <c r="F272">
        <f>IFERROR(VLOOKUP(A272, Internal_Ledger!A:G, 6, FALSE), 0)</f>
        <v>565.91998291015625</v>
      </c>
      <c r="G272">
        <f>IFERROR(VLOOKUP(A272, Broker_Statement!A:G, 6, FALSE), 0)</f>
        <v>565.91998291015625</v>
      </c>
      <c r="H272" s="7">
        <f t="shared" si="4"/>
        <v>0</v>
      </c>
    </row>
    <row r="273" spans="1:8" x14ac:dyDescent="0.3">
      <c r="A273" t="s">
        <v>299</v>
      </c>
      <c r="B273" t="str">
        <f>IFERROR(VLOOKUP(A273, Internal_Ledger!A:B, 2, FALSE), VLOOKUP(A273, Broker_Statement!A:B, 2, FALSE))</f>
        <v>INE009A01021</v>
      </c>
      <c r="C273" t="str">
        <f>IF(COUNTIF(Internal_Ledger!A:A, A273)=0, "Missing Internal", IF(COUNTIF(Broker_Statement!A:A, A273)=0, "Missing on Street", IF(D273&lt;&gt;E273, "Quantity Break", IF(F273&lt;&gt;G273, "Price Break", "Matched Perfectly"))))</f>
        <v>Matched Perfectly</v>
      </c>
      <c r="D273">
        <f>IFERROR(VLOOKUP(A273, Internal_Ledger!A:G, 5, FALSE), 0)</f>
        <v>1800</v>
      </c>
      <c r="E273">
        <f>IFERROR(VLOOKUP(A273, Broker_Statement!A:G, 5, FALSE), 0)</f>
        <v>1800</v>
      </c>
      <c r="F273">
        <f>IFERROR(VLOOKUP(A273, Internal_Ledger!A:G, 6, FALSE), 0)</f>
        <v>439.3699951171875</v>
      </c>
      <c r="G273">
        <f>IFERROR(VLOOKUP(A273, Broker_Statement!A:G, 6, FALSE), 0)</f>
        <v>439.3699951171875</v>
      </c>
      <c r="H273" s="7">
        <f t="shared" si="4"/>
        <v>0</v>
      </c>
    </row>
    <row r="274" spans="1:8" x14ac:dyDescent="0.3">
      <c r="A274" t="s">
        <v>300</v>
      </c>
      <c r="B274" t="str">
        <f>IFERROR(VLOOKUP(A274, Internal_Ledger!A:B, 2, FALSE), VLOOKUP(A274, Broker_Statement!A:B, 2, FALSE))</f>
        <v>INE009A01021</v>
      </c>
      <c r="C274" t="str">
        <f>IF(COUNTIF(Internal_Ledger!A:A, A274)=0, "Missing Internal", IF(COUNTIF(Broker_Statement!A:A, A274)=0, "Missing on Street", IF(D274&lt;&gt;E274, "Quantity Break", IF(F274&lt;&gt;G274, "Price Break", "Matched Perfectly"))))</f>
        <v>Matched Perfectly</v>
      </c>
      <c r="D274">
        <f>IFERROR(VLOOKUP(A274, Internal_Ledger!A:G, 5, FALSE), 0)</f>
        <v>1150</v>
      </c>
      <c r="E274">
        <f>IFERROR(VLOOKUP(A274, Broker_Statement!A:G, 5, FALSE), 0)</f>
        <v>1150</v>
      </c>
      <c r="F274">
        <f>IFERROR(VLOOKUP(A274, Internal_Ledger!A:G, 6, FALSE), 0)</f>
        <v>190.72999572753906</v>
      </c>
      <c r="G274">
        <f>IFERROR(VLOOKUP(A274, Broker_Statement!A:G, 6, FALSE), 0)</f>
        <v>190.72999572753906</v>
      </c>
      <c r="H274" s="7">
        <f t="shared" si="4"/>
        <v>0</v>
      </c>
    </row>
    <row r="275" spans="1:8" x14ac:dyDescent="0.3">
      <c r="A275" t="s">
        <v>301</v>
      </c>
      <c r="B275" t="str">
        <f>IFERROR(VLOOKUP(A275, Internal_Ledger!A:B, 2, FALSE), VLOOKUP(A275, Broker_Statement!A:B, 2, FALSE))</f>
        <v>INE040A01034</v>
      </c>
      <c r="C275" t="str">
        <f>IF(COUNTIF(Internal_Ledger!A:A, A275)=0, "Missing Internal", IF(COUNTIF(Broker_Statement!A:A, A275)=0, "Missing on Street", IF(D275&lt;&gt;E275, "Quantity Break", IF(F275&lt;&gt;G275, "Price Break", "Matched Perfectly"))))</f>
        <v>Matched Perfectly</v>
      </c>
      <c r="D275">
        <f>IFERROR(VLOOKUP(A275, Internal_Ledger!A:G, 5, FALSE), 0)</f>
        <v>1000</v>
      </c>
      <c r="E275">
        <f>IFERROR(VLOOKUP(A275, Broker_Statement!A:G, 5, FALSE), 0)</f>
        <v>1000</v>
      </c>
      <c r="F275">
        <f>IFERROR(VLOOKUP(A275, Internal_Ledger!A:G, 6, FALSE), 0)</f>
        <v>260.8599853515625</v>
      </c>
      <c r="G275">
        <f>IFERROR(VLOOKUP(A275, Broker_Statement!A:G, 6, FALSE), 0)</f>
        <v>260.8599853515625</v>
      </c>
      <c r="H275" s="7">
        <f t="shared" si="4"/>
        <v>0</v>
      </c>
    </row>
    <row r="276" spans="1:8" x14ac:dyDescent="0.3">
      <c r="A276" t="s">
        <v>302</v>
      </c>
      <c r="B276" t="str">
        <f>IFERROR(VLOOKUP(A276, Internal_Ledger!A:B, 2, FALSE), VLOOKUP(A276, Broker_Statement!A:B, 2, FALSE))</f>
        <v>INE002A01018</v>
      </c>
      <c r="C276" t="str">
        <f>IF(COUNTIF(Internal_Ledger!A:A, A276)=0, "Missing Internal", IF(COUNTIF(Broker_Statement!A:A, A276)=0, "Missing on Street", IF(D276&lt;&gt;E276, "Quantity Break", IF(F276&lt;&gt;G276, "Price Break", "Matched Perfectly"))))</f>
        <v>Matched Perfectly</v>
      </c>
      <c r="D276">
        <f>IFERROR(VLOOKUP(A276, Internal_Ledger!A:G, 5, FALSE), 0)</f>
        <v>1250</v>
      </c>
      <c r="E276">
        <f>IFERROR(VLOOKUP(A276, Broker_Statement!A:G, 5, FALSE), 0)</f>
        <v>1250</v>
      </c>
      <c r="F276">
        <f>IFERROR(VLOOKUP(A276, Internal_Ledger!A:G, 6, FALSE), 0)</f>
        <v>206.8699951171875</v>
      </c>
      <c r="G276">
        <f>IFERROR(VLOOKUP(A276, Broker_Statement!A:G, 6, FALSE), 0)</f>
        <v>206.8699951171875</v>
      </c>
      <c r="H276" s="7">
        <f t="shared" si="4"/>
        <v>0</v>
      </c>
    </row>
    <row r="277" spans="1:8" x14ac:dyDescent="0.3">
      <c r="A277" t="s">
        <v>303</v>
      </c>
      <c r="B277" t="str">
        <f>IFERROR(VLOOKUP(A277, Internal_Ledger!A:B, 2, FALSE), VLOOKUP(A277, Broker_Statement!A:B, 2, FALSE))</f>
        <v>INE002A01018</v>
      </c>
      <c r="C277" t="str">
        <f>IF(COUNTIF(Internal_Ledger!A:A, A277)=0, "Missing Internal", IF(COUNTIF(Broker_Statement!A:A, A277)=0, "Missing on Street", IF(D277&lt;&gt;E277, "Quantity Break", IF(F277&lt;&gt;G277, "Price Break", "Matched Perfectly"))))</f>
        <v>Matched Perfectly</v>
      </c>
      <c r="D277">
        <f>IFERROR(VLOOKUP(A277, Internal_Ledger!A:G, 5, FALSE), 0)</f>
        <v>900</v>
      </c>
      <c r="E277">
        <f>IFERROR(VLOOKUP(A277, Broker_Statement!A:G, 5, FALSE), 0)</f>
        <v>900</v>
      </c>
      <c r="F277">
        <f>IFERROR(VLOOKUP(A277, Internal_Ledger!A:G, 6, FALSE), 0)</f>
        <v>263.3900146484375</v>
      </c>
      <c r="G277">
        <f>IFERROR(VLOOKUP(A277, Broker_Statement!A:G, 6, FALSE), 0)</f>
        <v>263.3900146484375</v>
      </c>
      <c r="H277" s="7">
        <f t="shared" si="4"/>
        <v>0</v>
      </c>
    </row>
    <row r="278" spans="1:8" x14ac:dyDescent="0.3">
      <c r="A278" t="s">
        <v>305</v>
      </c>
      <c r="B278" t="str">
        <f>IFERROR(VLOOKUP(A278, Internal_Ledger!A:B, 2, FALSE), VLOOKUP(A278, Broker_Statement!A:B, 2, FALSE))</f>
        <v>INE018A01030</v>
      </c>
      <c r="C278" t="str">
        <f>IF(COUNTIF(Internal_Ledger!A:A, A278)=0, "Missing Internal", IF(COUNTIF(Broker_Statement!A:A, A278)=0, "Missing on Street", IF(D278&lt;&gt;E278, "Quantity Break", IF(F278&lt;&gt;G278, "Price Break", "Matched Perfectly"))))</f>
        <v>Matched Perfectly</v>
      </c>
      <c r="D278">
        <f>IFERROR(VLOOKUP(A278, Internal_Ledger!A:G, 5, FALSE), 0)</f>
        <v>950</v>
      </c>
      <c r="E278">
        <f>IFERROR(VLOOKUP(A278, Broker_Statement!A:G, 5, FALSE), 0)</f>
        <v>950</v>
      </c>
      <c r="F278">
        <f>IFERROR(VLOOKUP(A278, Internal_Ledger!A:G, 6, FALSE), 0)</f>
        <v>227.94999694824219</v>
      </c>
      <c r="G278">
        <f>IFERROR(VLOOKUP(A278, Broker_Statement!A:G, 6, FALSE), 0)</f>
        <v>227.94999694824219</v>
      </c>
      <c r="H278" s="7">
        <f t="shared" si="4"/>
        <v>0</v>
      </c>
    </row>
    <row r="279" spans="1:8" x14ac:dyDescent="0.3">
      <c r="A279" t="s">
        <v>306</v>
      </c>
      <c r="B279" t="str">
        <f>IFERROR(VLOOKUP(A279, Internal_Ledger!A:B, 2, FALSE), VLOOKUP(A279, Broker_Statement!A:B, 2, FALSE))</f>
        <v>INE009A01021</v>
      </c>
      <c r="C279" t="str">
        <f>IF(COUNTIF(Internal_Ledger!A:A, A279)=0, "Missing Internal", IF(COUNTIF(Broker_Statement!A:A, A279)=0, "Missing on Street", IF(D279&lt;&gt;E279, "Quantity Break", IF(F279&lt;&gt;G279, "Price Break", "Matched Perfectly"))))</f>
        <v>Price Break</v>
      </c>
      <c r="D279">
        <f>IFERROR(VLOOKUP(A279, Internal_Ledger!A:G, 5, FALSE), 0)</f>
        <v>550</v>
      </c>
      <c r="E279">
        <f>IFERROR(VLOOKUP(A279, Broker_Statement!A:G, 5, FALSE), 0)</f>
        <v>550</v>
      </c>
      <c r="F279">
        <f>IFERROR(VLOOKUP(A279, Internal_Ledger!A:G, 6, FALSE), 0)</f>
        <v>509.20001220703125</v>
      </c>
      <c r="G279">
        <f>IFERROR(VLOOKUP(A279, Broker_Statement!A:G, 6, FALSE), 0)</f>
        <v>508.9100122153759</v>
      </c>
      <c r="H279" s="7">
        <f t="shared" si="4"/>
        <v>159.49999541044235</v>
      </c>
    </row>
    <row r="280" spans="1:8" x14ac:dyDescent="0.3">
      <c r="A280" t="s">
        <v>307</v>
      </c>
      <c r="B280" t="str">
        <f>IFERROR(VLOOKUP(A280, Internal_Ledger!A:B, 2, FALSE), VLOOKUP(A280, Broker_Statement!A:B, 2, FALSE))</f>
        <v>INE002A01018</v>
      </c>
      <c r="C280" t="str">
        <f>IF(COUNTIF(Internal_Ledger!A:A, A280)=0, "Missing Internal", IF(COUNTIF(Broker_Statement!A:A, A280)=0, "Missing on Street", IF(D280&lt;&gt;E280, "Quantity Break", IF(F280&lt;&gt;G280, "Price Break", "Matched Perfectly"))))</f>
        <v>Matched Perfectly</v>
      </c>
      <c r="D280">
        <f>IFERROR(VLOOKUP(A280, Internal_Ledger!A:G, 5, FALSE), 0)</f>
        <v>4500</v>
      </c>
      <c r="E280">
        <f>IFERROR(VLOOKUP(A280, Broker_Statement!A:G, 5, FALSE), 0)</f>
        <v>4500</v>
      </c>
      <c r="F280">
        <f>IFERROR(VLOOKUP(A280, Internal_Ledger!A:G, 6, FALSE), 0)</f>
        <v>556.02001953125</v>
      </c>
      <c r="G280">
        <f>IFERROR(VLOOKUP(A280, Broker_Statement!A:G, 6, FALSE), 0)</f>
        <v>556.02001953125</v>
      </c>
      <c r="H280" s="7">
        <f t="shared" si="4"/>
        <v>0</v>
      </c>
    </row>
    <row r="281" spans="1:8" x14ac:dyDescent="0.3">
      <c r="A281" t="s">
        <v>308</v>
      </c>
      <c r="B281" t="str">
        <f>IFERROR(VLOOKUP(A281, Internal_Ledger!A:B, 2, FALSE), VLOOKUP(A281, Broker_Statement!A:B, 2, FALSE))</f>
        <v>INE040A01034</v>
      </c>
      <c r="C281" t="str">
        <f>IF(COUNTIF(Internal_Ledger!A:A, A281)=0, "Missing Internal", IF(COUNTIF(Broker_Statement!A:A, A281)=0, "Missing on Street", IF(D281&lt;&gt;E281, "Quantity Break", IF(F281&lt;&gt;G281, "Price Break", "Matched Perfectly"))))</f>
        <v>Matched Perfectly</v>
      </c>
      <c r="D281">
        <f>IFERROR(VLOOKUP(A281, Internal_Ledger!A:G, 5, FALSE), 0)</f>
        <v>450</v>
      </c>
      <c r="E281">
        <f>IFERROR(VLOOKUP(A281, Broker_Statement!A:G, 5, FALSE), 0)</f>
        <v>450</v>
      </c>
      <c r="F281">
        <f>IFERROR(VLOOKUP(A281, Internal_Ledger!A:G, 6, FALSE), 0)</f>
        <v>191.53999328613281</v>
      </c>
      <c r="G281">
        <f>IFERROR(VLOOKUP(A281, Broker_Statement!A:G, 6, FALSE), 0)</f>
        <v>191.53999328613281</v>
      </c>
      <c r="H281" s="7">
        <f t="shared" si="4"/>
        <v>0</v>
      </c>
    </row>
    <row r="282" spans="1:8" x14ac:dyDescent="0.3">
      <c r="A282" t="s">
        <v>309</v>
      </c>
      <c r="B282" t="str">
        <f>IFERROR(VLOOKUP(A282, Internal_Ledger!A:B, 2, FALSE), VLOOKUP(A282, Broker_Statement!A:B, 2, FALSE))</f>
        <v>INE009A01021</v>
      </c>
      <c r="C282" t="str">
        <f>IF(COUNTIF(Internal_Ledger!A:A, A282)=0, "Missing Internal", IF(COUNTIF(Broker_Statement!A:A, A282)=0, "Missing on Street", IF(D282&lt;&gt;E282, "Quantity Break", IF(F282&lt;&gt;G282, "Price Break", "Matched Perfectly"))))</f>
        <v>Matched Perfectly</v>
      </c>
      <c r="D282">
        <f>IFERROR(VLOOKUP(A282, Internal_Ledger!A:G, 5, FALSE), 0)</f>
        <v>2500</v>
      </c>
      <c r="E282">
        <f>IFERROR(VLOOKUP(A282, Broker_Statement!A:G, 5, FALSE), 0)</f>
        <v>2500</v>
      </c>
      <c r="F282">
        <f>IFERROR(VLOOKUP(A282, Internal_Ledger!A:G, 6, FALSE), 0)</f>
        <v>297.83999633789063</v>
      </c>
      <c r="G282">
        <f>IFERROR(VLOOKUP(A282, Broker_Statement!A:G, 6, FALSE), 0)</f>
        <v>297.83999633789063</v>
      </c>
      <c r="H282" s="7">
        <f t="shared" si="4"/>
        <v>0</v>
      </c>
    </row>
    <row r="283" spans="1:8" x14ac:dyDescent="0.3">
      <c r="A283" t="s">
        <v>310</v>
      </c>
      <c r="B283" t="str">
        <f>IFERROR(VLOOKUP(A283, Internal_Ledger!A:B, 2, FALSE), VLOOKUP(A283, Broker_Statement!A:B, 2, FALSE))</f>
        <v>INE002A01018</v>
      </c>
      <c r="C283" t="str">
        <f>IF(COUNTIF(Internal_Ledger!A:A, A283)=0, "Missing Internal", IF(COUNTIF(Broker_Statement!A:A, A283)=0, "Missing on Street", IF(D283&lt;&gt;E283, "Quantity Break", IF(F283&lt;&gt;G283, "Price Break", "Matched Perfectly"))))</f>
        <v>Quantity Break</v>
      </c>
      <c r="D283">
        <f>IFERROR(VLOOKUP(A283, Internal_Ledger!A:G, 5, FALSE), 0)</f>
        <v>2700</v>
      </c>
      <c r="E283">
        <f>IFERROR(VLOOKUP(A283, Broker_Statement!A:G, 5, FALSE), 0)</f>
        <v>2650</v>
      </c>
      <c r="F283">
        <f>IFERROR(VLOOKUP(A283, Internal_Ledger!A:G, 6, FALSE), 0)</f>
        <v>440.16000366210938</v>
      </c>
      <c r="G283">
        <f>IFERROR(VLOOKUP(A283, Broker_Statement!A:G, 6, FALSE), 0)</f>
        <v>440.16000366210938</v>
      </c>
      <c r="H283" s="7">
        <f t="shared" si="4"/>
        <v>22008.000183105469</v>
      </c>
    </row>
    <row r="284" spans="1:8" x14ac:dyDescent="0.3">
      <c r="A284" t="s">
        <v>311</v>
      </c>
      <c r="B284" t="str">
        <f>IFERROR(VLOOKUP(A284, Internal_Ledger!A:B, 2, FALSE), VLOOKUP(A284, Broker_Statement!A:B, 2, FALSE))</f>
        <v>INE018A01030</v>
      </c>
      <c r="C284" t="str">
        <f>IF(COUNTIF(Internal_Ledger!A:A, A284)=0, "Missing Internal", IF(COUNTIF(Broker_Statement!A:A, A284)=0, "Missing on Street", IF(D284&lt;&gt;E284, "Quantity Break", IF(F284&lt;&gt;G284, "Price Break", "Matched Perfectly"))))</f>
        <v>Missing on Street</v>
      </c>
      <c r="D284">
        <f>IFERROR(VLOOKUP(A284, Internal_Ledger!A:G, 5, FALSE), 0)</f>
        <v>1700</v>
      </c>
      <c r="E284">
        <f>IFERROR(VLOOKUP(A284, Broker_Statement!A:G, 5, FALSE), 0)</f>
        <v>0</v>
      </c>
      <c r="F284">
        <f>IFERROR(VLOOKUP(A284, Internal_Ledger!A:G, 6, FALSE), 0)</f>
        <v>375.79000854492188</v>
      </c>
      <c r="G284">
        <f>IFERROR(VLOOKUP(A284, Broker_Statement!A:G, 6, FALSE), 0)</f>
        <v>0</v>
      </c>
      <c r="H284" s="7">
        <f t="shared" si="4"/>
        <v>638843.01452636719</v>
      </c>
    </row>
    <row r="285" spans="1:8" x14ac:dyDescent="0.3">
      <c r="A285" t="s">
        <v>312</v>
      </c>
      <c r="B285" t="str">
        <f>IFERROR(VLOOKUP(A285, Internal_Ledger!A:B, 2, FALSE), VLOOKUP(A285, Broker_Statement!A:B, 2, FALSE))</f>
        <v>INE018A01030</v>
      </c>
      <c r="C285" t="str">
        <f>IF(COUNTIF(Internal_Ledger!A:A, A285)=0, "Missing Internal", IF(COUNTIF(Broker_Statement!A:A, A285)=0, "Missing on Street", IF(D285&lt;&gt;E285, "Quantity Break", IF(F285&lt;&gt;G285, "Price Break", "Matched Perfectly"))))</f>
        <v>Matched Perfectly</v>
      </c>
      <c r="D285">
        <f>IFERROR(VLOOKUP(A285, Internal_Ledger!A:G, 5, FALSE), 0)</f>
        <v>1200</v>
      </c>
      <c r="E285">
        <f>IFERROR(VLOOKUP(A285, Broker_Statement!A:G, 5, FALSE), 0)</f>
        <v>1200</v>
      </c>
      <c r="F285">
        <f>IFERROR(VLOOKUP(A285, Internal_Ledger!A:G, 6, FALSE), 0)</f>
        <v>551.8699951171875</v>
      </c>
      <c r="G285">
        <f>IFERROR(VLOOKUP(A285, Broker_Statement!A:G, 6, FALSE), 0)</f>
        <v>551.8699951171875</v>
      </c>
      <c r="H285" s="7">
        <f t="shared" si="4"/>
        <v>0</v>
      </c>
    </row>
    <row r="286" spans="1:8" x14ac:dyDescent="0.3">
      <c r="A286" t="s">
        <v>313</v>
      </c>
      <c r="B286" t="str">
        <f>IFERROR(VLOOKUP(A286, Internal_Ledger!A:B, 2, FALSE), VLOOKUP(A286, Broker_Statement!A:B, 2, FALSE))</f>
        <v>INE009A01021</v>
      </c>
      <c r="C286" t="str">
        <f>IF(COUNTIF(Internal_Ledger!A:A, A286)=0, "Missing Internal", IF(COUNTIF(Broker_Statement!A:A, A286)=0, "Missing on Street", IF(D286&lt;&gt;E286, "Quantity Break", IF(F286&lt;&gt;G286, "Price Break", "Matched Perfectly"))))</f>
        <v>Matched Perfectly</v>
      </c>
      <c r="D286">
        <f>IFERROR(VLOOKUP(A286, Internal_Ledger!A:G, 5, FALSE), 0)</f>
        <v>2000</v>
      </c>
      <c r="E286">
        <f>IFERROR(VLOOKUP(A286, Broker_Statement!A:G, 5, FALSE), 0)</f>
        <v>2000</v>
      </c>
      <c r="F286">
        <f>IFERROR(VLOOKUP(A286, Internal_Ledger!A:G, 6, FALSE), 0)</f>
        <v>503.57998657226563</v>
      </c>
      <c r="G286">
        <f>IFERROR(VLOOKUP(A286, Broker_Statement!A:G, 6, FALSE), 0)</f>
        <v>503.57998657226563</v>
      </c>
      <c r="H286" s="7">
        <f t="shared" si="4"/>
        <v>0</v>
      </c>
    </row>
    <row r="287" spans="1:8" x14ac:dyDescent="0.3">
      <c r="A287" t="s">
        <v>314</v>
      </c>
      <c r="B287" t="str">
        <f>IFERROR(VLOOKUP(A287, Internal_Ledger!A:B, 2, FALSE), VLOOKUP(A287, Broker_Statement!A:B, 2, FALSE))</f>
        <v>INE040A01034</v>
      </c>
      <c r="C287" t="str">
        <f>IF(COUNTIF(Internal_Ledger!A:A, A287)=0, "Missing Internal", IF(COUNTIF(Broker_Statement!A:A, A287)=0, "Missing on Street", IF(D287&lt;&gt;E287, "Quantity Break", IF(F287&lt;&gt;G287, "Price Break", "Matched Perfectly"))))</f>
        <v>Matched Perfectly</v>
      </c>
      <c r="D287">
        <f>IFERROR(VLOOKUP(A287, Internal_Ledger!A:G, 5, FALSE), 0)</f>
        <v>3700</v>
      </c>
      <c r="E287">
        <f>IFERROR(VLOOKUP(A287, Broker_Statement!A:G, 5, FALSE), 0)</f>
        <v>3700</v>
      </c>
      <c r="F287">
        <f>IFERROR(VLOOKUP(A287, Internal_Ledger!A:G, 6, FALSE), 0)</f>
        <v>637.1099853515625</v>
      </c>
      <c r="G287">
        <f>IFERROR(VLOOKUP(A287, Broker_Statement!A:G, 6, FALSE), 0)</f>
        <v>637.1099853515625</v>
      </c>
      <c r="H287" s="7">
        <f t="shared" si="4"/>
        <v>0</v>
      </c>
    </row>
    <row r="288" spans="1:8" x14ac:dyDescent="0.3">
      <c r="A288" t="s">
        <v>315</v>
      </c>
      <c r="B288" t="str">
        <f>IFERROR(VLOOKUP(A288, Internal_Ledger!A:B, 2, FALSE), VLOOKUP(A288, Broker_Statement!A:B, 2, FALSE))</f>
        <v>INE009A01021</v>
      </c>
      <c r="C288" t="str">
        <f>IF(COUNTIF(Internal_Ledger!A:A, A288)=0, "Missing Internal", IF(COUNTIF(Broker_Statement!A:A, A288)=0, "Missing on Street", IF(D288&lt;&gt;E288, "Quantity Break", IF(F288&lt;&gt;G288, "Price Break", "Matched Perfectly"))))</f>
        <v>Matched Perfectly</v>
      </c>
      <c r="D288">
        <f>IFERROR(VLOOKUP(A288, Internal_Ledger!A:G, 5, FALSE), 0)</f>
        <v>4750</v>
      </c>
      <c r="E288">
        <f>IFERROR(VLOOKUP(A288, Broker_Statement!A:G, 5, FALSE), 0)</f>
        <v>4750</v>
      </c>
      <c r="F288">
        <f>IFERROR(VLOOKUP(A288, Internal_Ledger!A:G, 6, FALSE), 0)</f>
        <v>506.75</v>
      </c>
      <c r="G288">
        <f>IFERROR(VLOOKUP(A288, Broker_Statement!A:G, 6, FALSE), 0)</f>
        <v>506.75</v>
      </c>
      <c r="H288" s="7">
        <f t="shared" si="4"/>
        <v>0</v>
      </c>
    </row>
    <row r="289" spans="1:8" x14ac:dyDescent="0.3">
      <c r="A289" t="s">
        <v>316</v>
      </c>
      <c r="B289" t="str">
        <f>IFERROR(VLOOKUP(A289, Internal_Ledger!A:B, 2, FALSE), VLOOKUP(A289, Broker_Statement!A:B, 2, FALSE))</f>
        <v>INE002A01018</v>
      </c>
      <c r="C289" t="str">
        <f>IF(COUNTIF(Internal_Ledger!A:A, A289)=0, "Missing Internal", IF(COUNTIF(Broker_Statement!A:A, A289)=0, "Missing on Street", IF(D289&lt;&gt;E289, "Quantity Break", IF(F289&lt;&gt;G289, "Price Break", "Matched Perfectly"))))</f>
        <v>Quantity Break</v>
      </c>
      <c r="D289">
        <f>IFERROR(VLOOKUP(A289, Internal_Ledger!A:G, 5, FALSE), 0)</f>
        <v>1450</v>
      </c>
      <c r="E289">
        <f>IFERROR(VLOOKUP(A289, Broker_Statement!A:G, 5, FALSE), 0)</f>
        <v>1400</v>
      </c>
      <c r="F289">
        <f>IFERROR(VLOOKUP(A289, Internal_Ledger!A:G, 6, FALSE), 0)</f>
        <v>320.489990234375</v>
      </c>
      <c r="G289">
        <f>IFERROR(VLOOKUP(A289, Broker_Statement!A:G, 6, FALSE), 0)</f>
        <v>320.489990234375</v>
      </c>
      <c r="H289" s="7">
        <f t="shared" si="4"/>
        <v>16024.49951171875</v>
      </c>
    </row>
    <row r="290" spans="1:8" x14ac:dyDescent="0.3">
      <c r="A290" t="s">
        <v>318</v>
      </c>
      <c r="B290" t="str">
        <f>IFERROR(VLOOKUP(A290, Internal_Ledger!A:B, 2, FALSE), VLOOKUP(A290, Broker_Statement!A:B, 2, FALSE))</f>
        <v>INE030A01027</v>
      </c>
      <c r="C290" t="str">
        <f>IF(COUNTIF(Internal_Ledger!A:A, A290)=0, "Missing Internal", IF(COUNTIF(Broker_Statement!A:A, A290)=0, "Missing on Street", IF(D290&lt;&gt;E290, "Quantity Break", IF(F290&lt;&gt;G290, "Price Break", "Matched Perfectly"))))</f>
        <v>Matched Perfectly</v>
      </c>
      <c r="D290">
        <f>IFERROR(VLOOKUP(A290, Internal_Ledger!A:G, 5, FALSE), 0)</f>
        <v>1200</v>
      </c>
      <c r="E290">
        <f>IFERROR(VLOOKUP(A290, Broker_Statement!A:G, 5, FALSE), 0)</f>
        <v>1200</v>
      </c>
      <c r="F290">
        <f>IFERROR(VLOOKUP(A290, Internal_Ledger!A:G, 6, FALSE), 0)</f>
        <v>514.219970703125</v>
      </c>
      <c r="G290">
        <f>IFERROR(VLOOKUP(A290, Broker_Statement!A:G, 6, FALSE), 0)</f>
        <v>514.219970703125</v>
      </c>
      <c r="H290" s="7">
        <f t="shared" si="4"/>
        <v>0</v>
      </c>
    </row>
    <row r="291" spans="1:8" x14ac:dyDescent="0.3">
      <c r="A291" t="s">
        <v>319</v>
      </c>
      <c r="B291" t="str">
        <f>IFERROR(VLOOKUP(A291, Internal_Ledger!A:B, 2, FALSE), VLOOKUP(A291, Broker_Statement!A:B, 2, FALSE))</f>
        <v>INE002A01018</v>
      </c>
      <c r="C291" t="str">
        <f>IF(COUNTIF(Internal_Ledger!A:A, A291)=0, "Missing Internal", IF(COUNTIF(Broker_Statement!A:A, A291)=0, "Missing on Street", IF(D291&lt;&gt;E291, "Quantity Break", IF(F291&lt;&gt;G291, "Price Break", "Matched Perfectly"))))</f>
        <v>Matched Perfectly</v>
      </c>
      <c r="D291">
        <f>IFERROR(VLOOKUP(A291, Internal_Ledger!A:G, 5, FALSE), 0)</f>
        <v>1400</v>
      </c>
      <c r="E291">
        <f>IFERROR(VLOOKUP(A291, Broker_Statement!A:G, 5, FALSE), 0)</f>
        <v>1400</v>
      </c>
      <c r="F291">
        <f>IFERROR(VLOOKUP(A291, Internal_Ledger!A:G, 6, FALSE), 0)</f>
        <v>391.04000854492188</v>
      </c>
      <c r="G291">
        <f>IFERROR(VLOOKUP(A291, Broker_Statement!A:G, 6, FALSE), 0)</f>
        <v>391.04000854492188</v>
      </c>
      <c r="H291" s="7">
        <f t="shared" si="4"/>
        <v>0</v>
      </c>
    </row>
    <row r="292" spans="1:8" x14ac:dyDescent="0.3">
      <c r="A292" t="s">
        <v>320</v>
      </c>
      <c r="B292" t="str">
        <f>IFERROR(VLOOKUP(A292, Internal_Ledger!A:B, 2, FALSE), VLOOKUP(A292, Broker_Statement!A:B, 2, FALSE))</f>
        <v>INE040A01034</v>
      </c>
      <c r="C292" t="str">
        <f>IF(COUNTIF(Internal_Ledger!A:A, A292)=0, "Missing Internal", IF(COUNTIF(Broker_Statement!A:A, A292)=0, "Missing on Street", IF(D292&lt;&gt;E292, "Quantity Break", IF(F292&lt;&gt;G292, "Price Break", "Matched Perfectly"))))</f>
        <v>Matched Perfectly</v>
      </c>
      <c r="D292">
        <f>IFERROR(VLOOKUP(A292, Internal_Ledger!A:G, 5, FALSE), 0)</f>
        <v>4300</v>
      </c>
      <c r="E292">
        <f>IFERROR(VLOOKUP(A292, Broker_Statement!A:G, 5, FALSE), 0)</f>
        <v>4300</v>
      </c>
      <c r="F292">
        <f>IFERROR(VLOOKUP(A292, Internal_Ledger!A:G, 6, FALSE), 0)</f>
        <v>316.510009765625</v>
      </c>
      <c r="G292">
        <f>IFERROR(VLOOKUP(A292, Broker_Statement!A:G, 6, FALSE), 0)</f>
        <v>316.510009765625</v>
      </c>
      <c r="H292" s="7">
        <f t="shared" si="4"/>
        <v>0</v>
      </c>
    </row>
    <row r="293" spans="1:8" x14ac:dyDescent="0.3">
      <c r="A293" t="s">
        <v>321</v>
      </c>
      <c r="B293" t="str">
        <f>IFERROR(VLOOKUP(A293, Internal_Ledger!A:B, 2, FALSE), VLOOKUP(A293, Broker_Statement!A:B, 2, FALSE))</f>
        <v>INE040A01034</v>
      </c>
      <c r="C293" t="str">
        <f>IF(COUNTIF(Internal_Ledger!A:A, A293)=0, "Missing Internal", IF(COUNTIF(Broker_Statement!A:A, A293)=0, "Missing on Street", IF(D293&lt;&gt;E293, "Quantity Break", IF(F293&lt;&gt;G293, "Price Break", "Matched Perfectly"))))</f>
        <v>Matched Perfectly</v>
      </c>
      <c r="D293">
        <f>IFERROR(VLOOKUP(A293, Internal_Ledger!A:G, 5, FALSE), 0)</f>
        <v>4250</v>
      </c>
      <c r="E293">
        <f>IFERROR(VLOOKUP(A293, Broker_Statement!A:G, 5, FALSE), 0)</f>
        <v>4250</v>
      </c>
      <c r="F293">
        <f>IFERROR(VLOOKUP(A293, Internal_Ledger!A:G, 6, FALSE), 0)</f>
        <v>505.75</v>
      </c>
      <c r="G293">
        <f>IFERROR(VLOOKUP(A293, Broker_Statement!A:G, 6, FALSE), 0)</f>
        <v>505.75</v>
      </c>
      <c r="H293" s="7">
        <f t="shared" si="4"/>
        <v>0</v>
      </c>
    </row>
    <row r="294" spans="1:8" x14ac:dyDescent="0.3">
      <c r="A294" t="s">
        <v>322</v>
      </c>
      <c r="B294" t="str">
        <f>IFERROR(VLOOKUP(A294, Internal_Ledger!A:B, 2, FALSE), VLOOKUP(A294, Broker_Statement!A:B, 2, FALSE))</f>
        <v>INE009A01021</v>
      </c>
      <c r="C294" t="str">
        <f>IF(COUNTIF(Internal_Ledger!A:A, A294)=0, "Missing Internal", IF(COUNTIF(Broker_Statement!A:A, A294)=0, "Missing on Street", IF(D294&lt;&gt;E294, "Quantity Break", IF(F294&lt;&gt;G294, "Price Break", "Matched Perfectly"))))</f>
        <v>Matched Perfectly</v>
      </c>
      <c r="D294">
        <f>IFERROR(VLOOKUP(A294, Internal_Ledger!A:G, 5, FALSE), 0)</f>
        <v>1200</v>
      </c>
      <c r="E294">
        <f>IFERROR(VLOOKUP(A294, Broker_Statement!A:G, 5, FALSE), 0)</f>
        <v>1200</v>
      </c>
      <c r="F294">
        <f>IFERROR(VLOOKUP(A294, Internal_Ledger!A:G, 6, FALSE), 0)</f>
        <v>535.0999755859375</v>
      </c>
      <c r="G294">
        <f>IFERROR(VLOOKUP(A294, Broker_Statement!A:G, 6, FALSE), 0)</f>
        <v>535.0999755859375</v>
      </c>
      <c r="H294" s="7">
        <f t="shared" si="4"/>
        <v>0</v>
      </c>
    </row>
    <row r="295" spans="1:8" x14ac:dyDescent="0.3">
      <c r="A295" t="s">
        <v>323</v>
      </c>
      <c r="B295" t="str">
        <f>IFERROR(VLOOKUP(A295, Internal_Ledger!A:B, 2, FALSE), VLOOKUP(A295, Broker_Statement!A:B, 2, FALSE))</f>
        <v>INE009A01021</v>
      </c>
      <c r="C295" t="str">
        <f>IF(COUNTIF(Internal_Ledger!A:A, A295)=0, "Missing Internal", IF(COUNTIF(Broker_Statement!A:A, A295)=0, "Missing on Street", IF(D295&lt;&gt;E295, "Quantity Break", IF(F295&lt;&gt;G295, "Price Break", "Matched Perfectly"))))</f>
        <v>Matched Perfectly</v>
      </c>
      <c r="D295">
        <f>IFERROR(VLOOKUP(A295, Internal_Ledger!A:G, 5, FALSE), 0)</f>
        <v>2450</v>
      </c>
      <c r="E295">
        <f>IFERROR(VLOOKUP(A295, Broker_Statement!A:G, 5, FALSE), 0)</f>
        <v>2450</v>
      </c>
      <c r="F295">
        <f>IFERROR(VLOOKUP(A295, Internal_Ledger!A:G, 6, FALSE), 0)</f>
        <v>509.8699951171875</v>
      </c>
      <c r="G295">
        <f>IFERROR(VLOOKUP(A295, Broker_Statement!A:G, 6, FALSE), 0)</f>
        <v>509.8699951171875</v>
      </c>
      <c r="H295" s="7">
        <f t="shared" si="4"/>
        <v>0</v>
      </c>
    </row>
    <row r="296" spans="1:8" x14ac:dyDescent="0.3">
      <c r="A296" t="s">
        <v>324</v>
      </c>
      <c r="B296" t="str">
        <f>IFERROR(VLOOKUP(A296, Internal_Ledger!A:B, 2, FALSE), VLOOKUP(A296, Broker_Statement!A:B, 2, FALSE))</f>
        <v>INE018A01030</v>
      </c>
      <c r="C296" t="str">
        <f>IF(COUNTIF(Internal_Ledger!A:A, A296)=0, "Missing Internal", IF(COUNTIF(Broker_Statement!A:A, A296)=0, "Missing on Street", IF(D296&lt;&gt;E296, "Quantity Break", IF(F296&lt;&gt;G296, "Price Break", "Matched Perfectly"))))</f>
        <v>Matched Perfectly</v>
      </c>
      <c r="D296">
        <f>IFERROR(VLOOKUP(A296, Internal_Ledger!A:G, 5, FALSE), 0)</f>
        <v>2900</v>
      </c>
      <c r="E296">
        <f>IFERROR(VLOOKUP(A296, Broker_Statement!A:G, 5, FALSE), 0)</f>
        <v>2900</v>
      </c>
      <c r="F296">
        <f>IFERROR(VLOOKUP(A296, Internal_Ledger!A:G, 6, FALSE), 0)</f>
        <v>335.57998657226563</v>
      </c>
      <c r="G296">
        <f>IFERROR(VLOOKUP(A296, Broker_Statement!A:G, 6, FALSE), 0)</f>
        <v>335.57998657226563</v>
      </c>
      <c r="H296" s="7">
        <f t="shared" si="4"/>
        <v>0</v>
      </c>
    </row>
    <row r="297" spans="1:8" x14ac:dyDescent="0.3">
      <c r="A297" t="s">
        <v>325</v>
      </c>
      <c r="B297" t="str">
        <f>IFERROR(VLOOKUP(A297, Internal_Ledger!A:B, 2, FALSE), VLOOKUP(A297, Broker_Statement!A:B, 2, FALSE))</f>
        <v>INE018A01030</v>
      </c>
      <c r="C297" t="str">
        <f>IF(COUNTIF(Internal_Ledger!A:A, A297)=0, "Missing Internal", IF(COUNTIF(Broker_Statement!A:A, A297)=0, "Missing on Street", IF(D297&lt;&gt;E297, "Quantity Break", IF(F297&lt;&gt;G297, "Price Break", "Matched Perfectly"))))</f>
        <v>Matched Perfectly</v>
      </c>
      <c r="D297">
        <f>IFERROR(VLOOKUP(A297, Internal_Ledger!A:G, 5, FALSE), 0)</f>
        <v>3200</v>
      </c>
      <c r="E297">
        <f>IFERROR(VLOOKUP(A297, Broker_Statement!A:G, 5, FALSE), 0)</f>
        <v>3200</v>
      </c>
      <c r="F297">
        <f>IFERROR(VLOOKUP(A297, Internal_Ledger!A:G, 6, FALSE), 0)</f>
        <v>452.07998657226563</v>
      </c>
      <c r="G297">
        <f>IFERROR(VLOOKUP(A297, Broker_Statement!A:G, 6, FALSE), 0)</f>
        <v>452.07998657226563</v>
      </c>
      <c r="H297" s="7">
        <f t="shared" si="4"/>
        <v>0</v>
      </c>
    </row>
    <row r="298" spans="1:8" x14ac:dyDescent="0.3">
      <c r="A298" t="s">
        <v>326</v>
      </c>
      <c r="B298" t="str">
        <f>IFERROR(VLOOKUP(A298, Internal_Ledger!A:B, 2, FALSE), VLOOKUP(A298, Broker_Statement!A:B, 2, FALSE))</f>
        <v>INE030A01027</v>
      </c>
      <c r="C298" t="str">
        <f>IF(COUNTIF(Internal_Ledger!A:A, A298)=0, "Missing Internal", IF(COUNTIF(Broker_Statement!A:A, A298)=0, "Missing on Street", IF(D298&lt;&gt;E298, "Quantity Break", IF(F298&lt;&gt;G298, "Price Break", "Matched Perfectly"))))</f>
        <v>Price Break</v>
      </c>
      <c r="D298">
        <f>IFERROR(VLOOKUP(A298, Internal_Ledger!A:G, 5, FALSE), 0)</f>
        <v>3400</v>
      </c>
      <c r="E298">
        <f>IFERROR(VLOOKUP(A298, Broker_Statement!A:G, 5, FALSE), 0)</f>
        <v>3400</v>
      </c>
      <c r="F298">
        <f>IFERROR(VLOOKUP(A298, Internal_Ledger!A:G, 6, FALSE), 0)</f>
        <v>514.94000244140625</v>
      </c>
      <c r="G298">
        <f>IFERROR(VLOOKUP(A298, Broker_Statement!A:G, 6, FALSE), 0)</f>
        <v>515.22000244259834</v>
      </c>
      <c r="H298" s="7">
        <f t="shared" si="4"/>
        <v>952.00000405311584</v>
      </c>
    </row>
    <row r="299" spans="1:8" x14ac:dyDescent="0.3">
      <c r="A299" t="s">
        <v>327</v>
      </c>
      <c r="B299" t="str">
        <f>IFERROR(VLOOKUP(A299, Internal_Ledger!A:B, 2, FALSE), VLOOKUP(A299, Broker_Statement!A:B, 2, FALSE))</f>
        <v>INE002A01018</v>
      </c>
      <c r="C299" t="str">
        <f>IF(COUNTIF(Internal_Ledger!A:A, A299)=0, "Missing Internal", IF(COUNTIF(Broker_Statement!A:A, A299)=0, "Missing on Street", IF(D299&lt;&gt;E299, "Quantity Break", IF(F299&lt;&gt;G299, "Price Break", "Matched Perfectly"))))</f>
        <v>Matched Perfectly</v>
      </c>
      <c r="D299">
        <f>IFERROR(VLOOKUP(A299, Internal_Ledger!A:G, 5, FALSE), 0)</f>
        <v>4850</v>
      </c>
      <c r="E299">
        <f>IFERROR(VLOOKUP(A299, Broker_Statement!A:G, 5, FALSE), 0)</f>
        <v>4850</v>
      </c>
      <c r="F299">
        <f>IFERROR(VLOOKUP(A299, Internal_Ledger!A:G, 6, FALSE), 0)</f>
        <v>468.3599853515625</v>
      </c>
      <c r="G299">
        <f>IFERROR(VLOOKUP(A299, Broker_Statement!A:G, 6, FALSE), 0)</f>
        <v>468.3599853515625</v>
      </c>
      <c r="H299" s="7">
        <f t="shared" si="4"/>
        <v>0</v>
      </c>
    </row>
    <row r="300" spans="1:8" x14ac:dyDescent="0.3">
      <c r="A300" t="s">
        <v>328</v>
      </c>
      <c r="B300" t="str">
        <f>IFERROR(VLOOKUP(A300, Internal_Ledger!A:B, 2, FALSE), VLOOKUP(A300, Broker_Statement!A:B, 2, FALSE))</f>
        <v>INE030A01027</v>
      </c>
      <c r="C300" t="str">
        <f>IF(COUNTIF(Internal_Ledger!A:A, A300)=0, "Missing Internal", IF(COUNTIF(Broker_Statement!A:A, A300)=0, "Missing on Street", IF(D300&lt;&gt;E300, "Quantity Break", IF(F300&lt;&gt;G300, "Price Break", "Matched Perfectly"))))</f>
        <v>Matched Perfectly</v>
      </c>
      <c r="D300">
        <f>IFERROR(VLOOKUP(A300, Internal_Ledger!A:G, 5, FALSE), 0)</f>
        <v>2500</v>
      </c>
      <c r="E300">
        <f>IFERROR(VLOOKUP(A300, Broker_Statement!A:G, 5, FALSE), 0)</f>
        <v>2500</v>
      </c>
      <c r="F300">
        <f>IFERROR(VLOOKUP(A300, Internal_Ledger!A:G, 6, FALSE), 0)</f>
        <v>406.83999633789063</v>
      </c>
      <c r="G300">
        <f>IFERROR(VLOOKUP(A300, Broker_Statement!A:G, 6, FALSE), 0)</f>
        <v>406.83999633789063</v>
      </c>
      <c r="H300" s="7">
        <f t="shared" si="4"/>
        <v>0</v>
      </c>
    </row>
    <row r="301" spans="1:8" x14ac:dyDescent="0.3">
      <c r="A301" t="s">
        <v>329</v>
      </c>
      <c r="B301" t="str">
        <f>IFERROR(VLOOKUP(A301, Internal_Ledger!A:B, 2, FALSE), VLOOKUP(A301, Broker_Statement!A:B, 2, FALSE))</f>
        <v>INE009A01021</v>
      </c>
      <c r="C301" t="str">
        <f>IF(COUNTIF(Internal_Ledger!A:A, A301)=0, "Missing Internal", IF(COUNTIF(Broker_Statement!A:A, A301)=0, "Missing on Street", IF(D301&lt;&gt;E301, "Quantity Break", IF(F301&lt;&gt;G301, "Price Break", "Matched Perfectly"))))</f>
        <v>Matched Perfectly</v>
      </c>
      <c r="D301">
        <f>IFERROR(VLOOKUP(A301, Internal_Ledger!A:G, 5, FALSE), 0)</f>
        <v>4200</v>
      </c>
      <c r="E301">
        <f>IFERROR(VLOOKUP(A301, Broker_Statement!A:G, 5, FALSE), 0)</f>
        <v>4200</v>
      </c>
      <c r="F301">
        <f>IFERROR(VLOOKUP(A301, Internal_Ledger!A:G, 6, FALSE), 0)</f>
        <v>332.30999755859375</v>
      </c>
      <c r="G301">
        <f>IFERROR(VLOOKUP(A301, Broker_Statement!A:G, 6, FALSE), 0)</f>
        <v>332.30999755859375</v>
      </c>
      <c r="H301" s="7">
        <f t="shared" si="4"/>
        <v>0</v>
      </c>
    </row>
    <row r="302" spans="1:8" x14ac:dyDescent="0.3">
      <c r="A302" t="s">
        <v>330</v>
      </c>
      <c r="B302" t="str">
        <f>IFERROR(VLOOKUP(A302, Internal_Ledger!A:B, 2, FALSE), VLOOKUP(A302, Broker_Statement!A:B, 2, FALSE))</f>
        <v>INE030A01027</v>
      </c>
      <c r="C302" t="str">
        <f>IF(COUNTIF(Internal_Ledger!A:A, A302)=0, "Missing Internal", IF(COUNTIF(Broker_Statement!A:A, A302)=0, "Missing on Street", IF(D302&lt;&gt;E302, "Quantity Break", IF(F302&lt;&gt;G302, "Price Break", "Matched Perfectly"))))</f>
        <v>Matched Perfectly</v>
      </c>
      <c r="D302">
        <f>IFERROR(VLOOKUP(A302, Internal_Ledger!A:G, 5, FALSE), 0)</f>
        <v>2250</v>
      </c>
      <c r="E302">
        <f>IFERROR(VLOOKUP(A302, Broker_Statement!A:G, 5, FALSE), 0)</f>
        <v>2250</v>
      </c>
      <c r="F302">
        <f>IFERROR(VLOOKUP(A302, Internal_Ledger!A:G, 6, FALSE), 0)</f>
        <v>173.21000671386719</v>
      </c>
      <c r="G302">
        <f>IFERROR(VLOOKUP(A302, Broker_Statement!A:G, 6, FALSE), 0)</f>
        <v>173.21000671386719</v>
      </c>
      <c r="H302" s="7">
        <f t="shared" si="4"/>
        <v>0</v>
      </c>
    </row>
    <row r="303" spans="1:8" x14ac:dyDescent="0.3">
      <c r="A303" t="s">
        <v>331</v>
      </c>
      <c r="B303" t="str">
        <f>IFERROR(VLOOKUP(A303, Internal_Ledger!A:B, 2, FALSE), VLOOKUP(A303, Broker_Statement!A:B, 2, FALSE))</f>
        <v>INE030A01027</v>
      </c>
      <c r="C303" t="str">
        <f>IF(COUNTIF(Internal_Ledger!A:A, A303)=0, "Missing Internal", IF(COUNTIF(Broker_Statement!A:A, A303)=0, "Missing on Street", IF(D303&lt;&gt;E303, "Quantity Break", IF(F303&lt;&gt;G303, "Price Break", "Matched Perfectly"))))</f>
        <v>Quantity Break</v>
      </c>
      <c r="D303">
        <f>IFERROR(VLOOKUP(A303, Internal_Ledger!A:G, 5, FALSE), 0)</f>
        <v>4250</v>
      </c>
      <c r="E303">
        <f>IFERROR(VLOOKUP(A303, Broker_Statement!A:G, 5, FALSE), 0)</f>
        <v>4200</v>
      </c>
      <c r="F303">
        <f>IFERROR(VLOOKUP(A303, Internal_Ledger!A:G, 6, FALSE), 0)</f>
        <v>409.739990234375</v>
      </c>
      <c r="G303">
        <f>IFERROR(VLOOKUP(A303, Broker_Statement!A:G, 6, FALSE), 0)</f>
        <v>409.739990234375</v>
      </c>
      <c r="H303" s="7">
        <f t="shared" si="4"/>
        <v>20486.99951171875</v>
      </c>
    </row>
    <row r="304" spans="1:8" x14ac:dyDescent="0.3">
      <c r="A304" t="s">
        <v>332</v>
      </c>
      <c r="B304" t="str">
        <f>IFERROR(VLOOKUP(A304, Internal_Ledger!A:B, 2, FALSE), VLOOKUP(A304, Broker_Statement!A:B, 2, FALSE))</f>
        <v>INE009A01021</v>
      </c>
      <c r="C304" t="str">
        <f>IF(COUNTIF(Internal_Ledger!A:A, A304)=0, "Missing Internal", IF(COUNTIF(Broker_Statement!A:A, A304)=0, "Missing on Street", IF(D304&lt;&gt;E304, "Quantity Break", IF(F304&lt;&gt;G304, "Price Break", "Matched Perfectly"))))</f>
        <v>Matched Perfectly</v>
      </c>
      <c r="D304">
        <f>IFERROR(VLOOKUP(A304, Internal_Ledger!A:G, 5, FALSE), 0)</f>
        <v>3600</v>
      </c>
      <c r="E304">
        <f>IFERROR(VLOOKUP(A304, Broker_Statement!A:G, 5, FALSE), 0)</f>
        <v>3600</v>
      </c>
      <c r="F304">
        <f>IFERROR(VLOOKUP(A304, Internal_Ledger!A:G, 6, FALSE), 0)</f>
        <v>213.28999328613281</v>
      </c>
      <c r="G304">
        <f>IFERROR(VLOOKUP(A304, Broker_Statement!A:G, 6, FALSE), 0)</f>
        <v>213.28999328613281</v>
      </c>
      <c r="H304" s="7">
        <f t="shared" si="4"/>
        <v>0</v>
      </c>
    </row>
    <row r="305" spans="1:8" x14ac:dyDescent="0.3">
      <c r="A305" t="s">
        <v>333</v>
      </c>
      <c r="B305" t="str">
        <f>IFERROR(VLOOKUP(A305, Internal_Ledger!A:B, 2, FALSE), VLOOKUP(A305, Broker_Statement!A:B, 2, FALSE))</f>
        <v>INE002A01018</v>
      </c>
      <c r="C305" t="str">
        <f>IF(COUNTIF(Internal_Ledger!A:A, A305)=0, "Missing Internal", IF(COUNTIF(Broker_Statement!A:A, A305)=0, "Missing on Street", IF(D305&lt;&gt;E305, "Quantity Break", IF(F305&lt;&gt;G305, "Price Break", "Matched Perfectly"))))</f>
        <v>Matched Perfectly</v>
      </c>
      <c r="D305">
        <f>IFERROR(VLOOKUP(A305, Internal_Ledger!A:G, 5, FALSE), 0)</f>
        <v>3200</v>
      </c>
      <c r="E305">
        <f>IFERROR(VLOOKUP(A305, Broker_Statement!A:G, 5, FALSE), 0)</f>
        <v>3200</v>
      </c>
      <c r="F305">
        <f>IFERROR(VLOOKUP(A305, Internal_Ledger!A:G, 6, FALSE), 0)</f>
        <v>572.19000244140625</v>
      </c>
      <c r="G305">
        <f>IFERROR(VLOOKUP(A305, Broker_Statement!A:G, 6, FALSE), 0)</f>
        <v>572.19000244140625</v>
      </c>
      <c r="H305" s="7">
        <f t="shared" si="4"/>
        <v>0</v>
      </c>
    </row>
    <row r="306" spans="1:8" x14ac:dyDescent="0.3">
      <c r="A306" t="s">
        <v>334</v>
      </c>
      <c r="B306" t="str">
        <f>IFERROR(VLOOKUP(A306, Internal_Ledger!A:B, 2, FALSE), VLOOKUP(A306, Broker_Statement!A:B, 2, FALSE))</f>
        <v>INE040A01034</v>
      </c>
      <c r="C306" t="str">
        <f>IF(COUNTIF(Internal_Ledger!A:A, A306)=0, "Missing Internal", IF(COUNTIF(Broker_Statement!A:A, A306)=0, "Missing on Street", IF(D306&lt;&gt;E306, "Quantity Break", IF(F306&lt;&gt;G306, "Price Break", "Matched Perfectly"))))</f>
        <v>Matched Perfectly</v>
      </c>
      <c r="D306">
        <f>IFERROR(VLOOKUP(A306, Internal_Ledger!A:G, 5, FALSE), 0)</f>
        <v>2250</v>
      </c>
      <c r="E306">
        <f>IFERROR(VLOOKUP(A306, Broker_Statement!A:G, 5, FALSE), 0)</f>
        <v>2250</v>
      </c>
      <c r="F306">
        <f>IFERROR(VLOOKUP(A306, Internal_Ledger!A:G, 6, FALSE), 0)</f>
        <v>450.6199951171875</v>
      </c>
      <c r="G306">
        <f>IFERROR(VLOOKUP(A306, Broker_Statement!A:G, 6, FALSE), 0)</f>
        <v>450.6199951171875</v>
      </c>
      <c r="H306" s="7">
        <f t="shared" si="4"/>
        <v>0</v>
      </c>
    </row>
    <row r="307" spans="1:8" x14ac:dyDescent="0.3">
      <c r="A307" t="s">
        <v>335</v>
      </c>
      <c r="B307" t="str">
        <f>IFERROR(VLOOKUP(A307, Internal_Ledger!A:B, 2, FALSE), VLOOKUP(A307, Broker_Statement!A:B, 2, FALSE))</f>
        <v>INE009A01021</v>
      </c>
      <c r="C307" t="str">
        <f>IF(COUNTIF(Internal_Ledger!A:A, A307)=0, "Missing Internal", IF(COUNTIF(Broker_Statement!A:A, A307)=0, "Missing on Street", IF(D307&lt;&gt;E307, "Quantity Break", IF(F307&lt;&gt;G307, "Price Break", "Matched Perfectly"))))</f>
        <v>Matched Perfectly</v>
      </c>
      <c r="D307">
        <f>IFERROR(VLOOKUP(A307, Internal_Ledger!A:G, 5, FALSE), 0)</f>
        <v>2750</v>
      </c>
      <c r="E307">
        <f>IFERROR(VLOOKUP(A307, Broker_Statement!A:G, 5, FALSE), 0)</f>
        <v>2750</v>
      </c>
      <c r="F307">
        <f>IFERROR(VLOOKUP(A307, Internal_Ledger!A:G, 6, FALSE), 0)</f>
        <v>152.63999938964844</v>
      </c>
      <c r="G307">
        <f>IFERROR(VLOOKUP(A307, Broker_Statement!A:G, 6, FALSE), 0)</f>
        <v>152.63999938964844</v>
      </c>
      <c r="H307" s="7">
        <f t="shared" si="4"/>
        <v>0</v>
      </c>
    </row>
    <row r="308" spans="1:8" x14ac:dyDescent="0.3">
      <c r="A308" t="s">
        <v>336</v>
      </c>
      <c r="B308" t="str">
        <f>IFERROR(VLOOKUP(A308, Internal_Ledger!A:B, 2, FALSE), VLOOKUP(A308, Broker_Statement!A:B, 2, FALSE))</f>
        <v>INE040A01034</v>
      </c>
      <c r="C308" t="str">
        <f>IF(COUNTIF(Internal_Ledger!A:A, A308)=0, "Missing Internal", IF(COUNTIF(Broker_Statement!A:A, A308)=0, "Missing on Street", IF(D308&lt;&gt;E308, "Quantity Break", IF(F308&lt;&gt;G308, "Price Break", "Matched Perfectly"))))</f>
        <v>Matched Perfectly</v>
      </c>
      <c r="D308">
        <f>IFERROR(VLOOKUP(A308, Internal_Ledger!A:G, 5, FALSE), 0)</f>
        <v>2400</v>
      </c>
      <c r="E308">
        <f>IFERROR(VLOOKUP(A308, Broker_Statement!A:G, 5, FALSE), 0)</f>
        <v>2400</v>
      </c>
      <c r="F308">
        <f>IFERROR(VLOOKUP(A308, Internal_Ledger!A:G, 6, FALSE), 0)</f>
        <v>188.14999389648438</v>
      </c>
      <c r="G308">
        <f>IFERROR(VLOOKUP(A308, Broker_Statement!A:G, 6, FALSE), 0)</f>
        <v>188.14999389648438</v>
      </c>
      <c r="H308" s="7">
        <f t="shared" si="4"/>
        <v>0</v>
      </c>
    </row>
    <row r="309" spans="1:8" x14ac:dyDescent="0.3">
      <c r="A309" t="s">
        <v>337</v>
      </c>
      <c r="B309" t="str">
        <f>IFERROR(VLOOKUP(A309, Internal_Ledger!A:B, 2, FALSE), VLOOKUP(A309, Broker_Statement!A:B, 2, FALSE))</f>
        <v>INE002A01018</v>
      </c>
      <c r="C309" t="str">
        <f>IF(COUNTIF(Internal_Ledger!A:A, A309)=0, "Missing Internal", IF(COUNTIF(Broker_Statement!A:A, A309)=0, "Missing on Street", IF(D309&lt;&gt;E309, "Quantity Break", IF(F309&lt;&gt;G309, "Price Break", "Matched Perfectly"))))</f>
        <v>Matched Perfectly</v>
      </c>
      <c r="D309">
        <f>IFERROR(VLOOKUP(A309, Internal_Ledger!A:G, 5, FALSE), 0)</f>
        <v>2700</v>
      </c>
      <c r="E309">
        <f>IFERROR(VLOOKUP(A309, Broker_Statement!A:G, 5, FALSE), 0)</f>
        <v>2700</v>
      </c>
      <c r="F309">
        <f>IFERROR(VLOOKUP(A309, Internal_Ledger!A:G, 6, FALSE), 0)</f>
        <v>562.69000244140625</v>
      </c>
      <c r="G309">
        <f>IFERROR(VLOOKUP(A309, Broker_Statement!A:G, 6, FALSE), 0)</f>
        <v>562.69000244140625</v>
      </c>
      <c r="H309" s="7">
        <f t="shared" si="4"/>
        <v>0</v>
      </c>
    </row>
    <row r="310" spans="1:8" x14ac:dyDescent="0.3">
      <c r="A310" t="s">
        <v>338</v>
      </c>
      <c r="B310" t="str">
        <f>IFERROR(VLOOKUP(A310, Internal_Ledger!A:B, 2, FALSE), VLOOKUP(A310, Broker_Statement!A:B, 2, FALSE))</f>
        <v>INE030A01027</v>
      </c>
      <c r="C310" t="str">
        <f>IF(COUNTIF(Internal_Ledger!A:A, A310)=0, "Missing Internal", IF(COUNTIF(Broker_Statement!A:A, A310)=0, "Missing on Street", IF(D310&lt;&gt;E310, "Quantity Break", IF(F310&lt;&gt;G310, "Price Break", "Matched Perfectly"))))</f>
        <v>Price Break</v>
      </c>
      <c r="D310">
        <f>IFERROR(VLOOKUP(A310, Internal_Ledger!A:G, 5, FALSE), 0)</f>
        <v>2350</v>
      </c>
      <c r="E310">
        <f>IFERROR(VLOOKUP(A310, Broker_Statement!A:G, 5, FALSE), 0)</f>
        <v>2350</v>
      </c>
      <c r="F310">
        <f>IFERROR(VLOOKUP(A310, Internal_Ledger!A:G, 6, FALSE), 0)</f>
        <v>537.90997314453125</v>
      </c>
      <c r="G310">
        <f>IFERROR(VLOOKUP(A310, Broker_Statement!A:G, 6, FALSE), 0)</f>
        <v>538.69997316598892</v>
      </c>
      <c r="H310" s="7">
        <f t="shared" si="4"/>
        <v>1856.5000504255295</v>
      </c>
    </row>
    <row r="311" spans="1:8" x14ac:dyDescent="0.3">
      <c r="A311" t="s">
        <v>339</v>
      </c>
      <c r="B311" t="str">
        <f>IFERROR(VLOOKUP(A311, Internal_Ledger!A:B, 2, FALSE), VLOOKUP(A311, Broker_Statement!A:B, 2, FALSE))</f>
        <v>INE018A01030</v>
      </c>
      <c r="C311" t="str">
        <f>IF(COUNTIF(Internal_Ledger!A:A, A311)=0, "Missing Internal", IF(COUNTIF(Broker_Statement!A:A, A311)=0, "Missing on Street", IF(D311&lt;&gt;E311, "Quantity Break", IF(F311&lt;&gt;G311, "Price Break", "Matched Perfectly"))))</f>
        <v>Matched Perfectly</v>
      </c>
      <c r="D311">
        <f>IFERROR(VLOOKUP(A311, Internal_Ledger!A:G, 5, FALSE), 0)</f>
        <v>3850</v>
      </c>
      <c r="E311">
        <f>IFERROR(VLOOKUP(A311, Broker_Statement!A:G, 5, FALSE), 0)</f>
        <v>3850</v>
      </c>
      <c r="F311">
        <f>IFERROR(VLOOKUP(A311, Internal_Ledger!A:G, 6, FALSE), 0)</f>
        <v>579.739990234375</v>
      </c>
      <c r="G311">
        <f>IFERROR(VLOOKUP(A311, Broker_Statement!A:G, 6, FALSE), 0)</f>
        <v>579.739990234375</v>
      </c>
      <c r="H311" s="7">
        <f t="shared" si="4"/>
        <v>0</v>
      </c>
    </row>
    <row r="312" spans="1:8" x14ac:dyDescent="0.3">
      <c r="A312" t="s">
        <v>340</v>
      </c>
      <c r="B312" t="str">
        <f>IFERROR(VLOOKUP(A312, Internal_Ledger!A:B, 2, FALSE), VLOOKUP(A312, Broker_Statement!A:B, 2, FALSE))</f>
        <v>INE018A01030</v>
      </c>
      <c r="C312" t="str">
        <f>IF(COUNTIF(Internal_Ledger!A:A, A312)=0, "Missing Internal", IF(COUNTIF(Broker_Statement!A:A, A312)=0, "Missing on Street", IF(D312&lt;&gt;E312, "Quantity Break", IF(F312&lt;&gt;G312, "Price Break", "Matched Perfectly"))))</f>
        <v>Matched Perfectly</v>
      </c>
      <c r="D312">
        <f>IFERROR(VLOOKUP(A312, Internal_Ledger!A:G, 5, FALSE), 0)</f>
        <v>3300</v>
      </c>
      <c r="E312">
        <f>IFERROR(VLOOKUP(A312, Broker_Statement!A:G, 5, FALSE), 0)</f>
        <v>3300</v>
      </c>
      <c r="F312">
        <f>IFERROR(VLOOKUP(A312, Internal_Ledger!A:G, 6, FALSE), 0)</f>
        <v>150.99000549316406</v>
      </c>
      <c r="G312">
        <f>IFERROR(VLOOKUP(A312, Broker_Statement!A:G, 6, FALSE), 0)</f>
        <v>150.99000549316406</v>
      </c>
      <c r="H312" s="7">
        <f t="shared" si="4"/>
        <v>0</v>
      </c>
    </row>
    <row r="313" spans="1:8" x14ac:dyDescent="0.3">
      <c r="A313" t="s">
        <v>341</v>
      </c>
      <c r="B313" t="str">
        <f>IFERROR(VLOOKUP(A313, Internal_Ledger!A:B, 2, FALSE), VLOOKUP(A313, Broker_Statement!A:B, 2, FALSE))</f>
        <v>INE018A01030</v>
      </c>
      <c r="C313" t="str">
        <f>IF(COUNTIF(Internal_Ledger!A:A, A313)=0, "Missing Internal", IF(COUNTIF(Broker_Statement!A:A, A313)=0, "Missing on Street", IF(D313&lt;&gt;E313, "Quantity Break", IF(F313&lt;&gt;G313, "Price Break", "Matched Perfectly"))))</f>
        <v>Matched Perfectly</v>
      </c>
      <c r="D313">
        <f>IFERROR(VLOOKUP(A313, Internal_Ledger!A:G, 5, FALSE), 0)</f>
        <v>3400</v>
      </c>
      <c r="E313">
        <f>IFERROR(VLOOKUP(A313, Broker_Statement!A:G, 5, FALSE), 0)</f>
        <v>3400</v>
      </c>
      <c r="F313">
        <f>IFERROR(VLOOKUP(A313, Internal_Ledger!A:G, 6, FALSE), 0)</f>
        <v>626.6099853515625</v>
      </c>
      <c r="G313">
        <f>IFERROR(VLOOKUP(A313, Broker_Statement!A:G, 6, FALSE), 0)</f>
        <v>626.6099853515625</v>
      </c>
      <c r="H313" s="7">
        <f t="shared" si="4"/>
        <v>0</v>
      </c>
    </row>
    <row r="314" spans="1:8" x14ac:dyDescent="0.3">
      <c r="A314" t="s">
        <v>342</v>
      </c>
      <c r="B314" t="str">
        <f>IFERROR(VLOOKUP(A314, Internal_Ledger!A:B, 2, FALSE), VLOOKUP(A314, Broker_Statement!A:B, 2, FALSE))</f>
        <v>INE009A01021</v>
      </c>
      <c r="C314" t="str">
        <f>IF(COUNTIF(Internal_Ledger!A:A, A314)=0, "Missing Internal", IF(COUNTIF(Broker_Statement!A:A, A314)=0, "Missing on Street", IF(D314&lt;&gt;E314, "Quantity Break", IF(F314&lt;&gt;G314, "Price Break", "Matched Perfectly"))))</f>
        <v>Matched Perfectly</v>
      </c>
      <c r="D314">
        <f>IFERROR(VLOOKUP(A314, Internal_Ledger!A:G, 5, FALSE), 0)</f>
        <v>3750</v>
      </c>
      <c r="E314">
        <f>IFERROR(VLOOKUP(A314, Broker_Statement!A:G, 5, FALSE), 0)</f>
        <v>3750</v>
      </c>
      <c r="F314">
        <f>IFERROR(VLOOKUP(A314, Internal_Ledger!A:G, 6, FALSE), 0)</f>
        <v>180.67999267578125</v>
      </c>
      <c r="G314">
        <f>IFERROR(VLOOKUP(A314, Broker_Statement!A:G, 6, FALSE), 0)</f>
        <v>180.67999267578125</v>
      </c>
      <c r="H314" s="7">
        <f t="shared" si="4"/>
        <v>0</v>
      </c>
    </row>
    <row r="315" spans="1:8" x14ac:dyDescent="0.3">
      <c r="A315" t="s">
        <v>343</v>
      </c>
      <c r="B315" t="str">
        <f>IFERROR(VLOOKUP(A315, Internal_Ledger!A:B, 2, FALSE), VLOOKUP(A315, Broker_Statement!A:B, 2, FALSE))</f>
        <v>INE009A01021</v>
      </c>
      <c r="C315" t="str">
        <f>IF(COUNTIF(Internal_Ledger!A:A, A315)=0, "Missing Internal", IF(COUNTIF(Broker_Statement!A:A, A315)=0, "Missing on Street", IF(D315&lt;&gt;E315, "Quantity Break", IF(F315&lt;&gt;G315, "Price Break", "Matched Perfectly"))))</f>
        <v>Quantity Break</v>
      </c>
      <c r="D315">
        <f>IFERROR(VLOOKUP(A315, Internal_Ledger!A:G, 5, FALSE), 0)</f>
        <v>3800</v>
      </c>
      <c r="E315">
        <f>IFERROR(VLOOKUP(A315, Broker_Statement!A:G, 5, FALSE), 0)</f>
        <v>3750</v>
      </c>
      <c r="F315">
        <f>IFERROR(VLOOKUP(A315, Internal_Ledger!A:G, 6, FALSE), 0)</f>
        <v>489.17001342773438</v>
      </c>
      <c r="G315">
        <f>IFERROR(VLOOKUP(A315, Broker_Statement!A:G, 6, FALSE), 0)</f>
        <v>489.17001342773438</v>
      </c>
      <c r="H315" s="7">
        <f t="shared" si="4"/>
        <v>24458.500671386719</v>
      </c>
    </row>
    <row r="316" spans="1:8" x14ac:dyDescent="0.3">
      <c r="A316" t="s">
        <v>344</v>
      </c>
      <c r="B316" t="str">
        <f>IFERROR(VLOOKUP(A316, Internal_Ledger!A:B, 2, FALSE), VLOOKUP(A316, Broker_Statement!A:B, 2, FALSE))</f>
        <v>INE002A01018</v>
      </c>
      <c r="C316" t="str">
        <f>IF(COUNTIF(Internal_Ledger!A:A, A316)=0, "Missing Internal", IF(COUNTIF(Broker_Statement!A:A, A316)=0, "Missing on Street", IF(D316&lt;&gt;E316, "Quantity Break", IF(F316&lt;&gt;G316, "Price Break", "Matched Perfectly"))))</f>
        <v>Matched Perfectly</v>
      </c>
      <c r="D316">
        <f>IFERROR(VLOOKUP(A316, Internal_Ledger!A:G, 5, FALSE), 0)</f>
        <v>3950</v>
      </c>
      <c r="E316">
        <f>IFERROR(VLOOKUP(A316, Broker_Statement!A:G, 5, FALSE), 0)</f>
        <v>3950</v>
      </c>
      <c r="F316">
        <f>IFERROR(VLOOKUP(A316, Internal_Ledger!A:G, 6, FALSE), 0)</f>
        <v>272.6300048828125</v>
      </c>
      <c r="G316">
        <f>IFERROR(VLOOKUP(A316, Broker_Statement!A:G, 6, FALSE), 0)</f>
        <v>272.6300048828125</v>
      </c>
      <c r="H316" s="7">
        <f t="shared" si="4"/>
        <v>0</v>
      </c>
    </row>
    <row r="317" spans="1:8" x14ac:dyDescent="0.3">
      <c r="A317" t="s">
        <v>345</v>
      </c>
      <c r="B317" t="str">
        <f>IFERROR(VLOOKUP(A317, Internal_Ledger!A:B, 2, FALSE), VLOOKUP(A317, Broker_Statement!A:B, 2, FALSE))</f>
        <v>INE018A01030</v>
      </c>
      <c r="C317" t="str">
        <f>IF(COUNTIF(Internal_Ledger!A:A, A317)=0, "Missing Internal", IF(COUNTIF(Broker_Statement!A:A, A317)=0, "Missing on Street", IF(D317&lt;&gt;E317, "Quantity Break", IF(F317&lt;&gt;G317, "Price Break", "Matched Perfectly"))))</f>
        <v>Quantity Break</v>
      </c>
      <c r="D317">
        <f>IFERROR(VLOOKUP(A317, Internal_Ledger!A:G, 5, FALSE), 0)</f>
        <v>3950</v>
      </c>
      <c r="E317">
        <f>IFERROR(VLOOKUP(A317, Broker_Statement!A:G, 5, FALSE), 0)</f>
        <v>3900</v>
      </c>
      <c r="F317">
        <f>IFERROR(VLOOKUP(A317, Internal_Ledger!A:G, 6, FALSE), 0)</f>
        <v>442.42999267578125</v>
      </c>
      <c r="G317">
        <f>IFERROR(VLOOKUP(A317, Broker_Statement!A:G, 6, FALSE), 0)</f>
        <v>442.42999267578125</v>
      </c>
      <c r="H317" s="7">
        <f t="shared" si="4"/>
        <v>22121.499633789063</v>
      </c>
    </row>
    <row r="318" spans="1:8" x14ac:dyDescent="0.3">
      <c r="A318" t="s">
        <v>346</v>
      </c>
      <c r="B318" t="str">
        <f>IFERROR(VLOOKUP(A318, Internal_Ledger!A:B, 2, FALSE), VLOOKUP(A318, Broker_Statement!A:B, 2, FALSE))</f>
        <v>INE040A01034</v>
      </c>
      <c r="C318" t="str">
        <f>IF(COUNTIF(Internal_Ledger!A:A, A318)=0, "Missing Internal", IF(COUNTIF(Broker_Statement!A:A, A318)=0, "Missing on Street", IF(D318&lt;&gt;E318, "Quantity Break", IF(F318&lt;&gt;G318, "Price Break", "Matched Perfectly"))))</f>
        <v>Matched Perfectly</v>
      </c>
      <c r="D318">
        <f>IFERROR(VLOOKUP(A318, Internal_Ledger!A:G, 5, FALSE), 0)</f>
        <v>350</v>
      </c>
      <c r="E318">
        <f>IFERROR(VLOOKUP(A318, Broker_Statement!A:G, 5, FALSE), 0)</f>
        <v>350</v>
      </c>
      <c r="F318">
        <f>IFERROR(VLOOKUP(A318, Internal_Ledger!A:G, 6, FALSE), 0)</f>
        <v>209.89999389648438</v>
      </c>
      <c r="G318">
        <f>IFERROR(VLOOKUP(A318, Broker_Statement!A:G, 6, FALSE), 0)</f>
        <v>209.89999389648438</v>
      </c>
      <c r="H318" s="7">
        <f t="shared" si="4"/>
        <v>0</v>
      </c>
    </row>
    <row r="319" spans="1:8" x14ac:dyDescent="0.3">
      <c r="A319" t="s">
        <v>347</v>
      </c>
      <c r="B319" t="str">
        <f>IFERROR(VLOOKUP(A319, Internal_Ledger!A:B, 2, FALSE), VLOOKUP(A319, Broker_Statement!A:B, 2, FALSE))</f>
        <v>INE018A01030</v>
      </c>
      <c r="C319" t="str">
        <f>IF(COUNTIF(Internal_Ledger!A:A, A319)=0, "Missing Internal", IF(COUNTIF(Broker_Statement!A:A, A319)=0, "Missing on Street", IF(D319&lt;&gt;E319, "Quantity Break", IF(F319&lt;&gt;G319, "Price Break", "Matched Perfectly"))))</f>
        <v>Matched Perfectly</v>
      </c>
      <c r="D319">
        <f>IFERROR(VLOOKUP(A319, Internal_Ledger!A:G, 5, FALSE), 0)</f>
        <v>3350</v>
      </c>
      <c r="E319">
        <f>IFERROR(VLOOKUP(A319, Broker_Statement!A:G, 5, FALSE), 0)</f>
        <v>3350</v>
      </c>
      <c r="F319">
        <f>IFERROR(VLOOKUP(A319, Internal_Ledger!A:G, 6, FALSE), 0)</f>
        <v>642.719970703125</v>
      </c>
      <c r="G319">
        <f>IFERROR(VLOOKUP(A319, Broker_Statement!A:G, 6, FALSE), 0)</f>
        <v>642.719970703125</v>
      </c>
      <c r="H319" s="7">
        <f t="shared" si="4"/>
        <v>0</v>
      </c>
    </row>
    <row r="320" spans="1:8" x14ac:dyDescent="0.3">
      <c r="A320" t="s">
        <v>348</v>
      </c>
      <c r="B320" t="str">
        <f>IFERROR(VLOOKUP(A320, Internal_Ledger!A:B, 2, FALSE), VLOOKUP(A320, Broker_Statement!A:B, 2, FALSE))</f>
        <v>INE002A01018</v>
      </c>
      <c r="C320" t="str">
        <f>IF(COUNTIF(Internal_Ledger!A:A, A320)=0, "Missing Internal", IF(COUNTIF(Broker_Statement!A:A, A320)=0, "Missing on Street", IF(D320&lt;&gt;E320, "Quantity Break", IF(F320&lt;&gt;G320, "Price Break", "Matched Perfectly"))))</f>
        <v>Matched Perfectly</v>
      </c>
      <c r="D320">
        <f>IFERROR(VLOOKUP(A320, Internal_Ledger!A:G, 5, FALSE), 0)</f>
        <v>2700</v>
      </c>
      <c r="E320">
        <f>IFERROR(VLOOKUP(A320, Broker_Statement!A:G, 5, FALSE), 0)</f>
        <v>2700</v>
      </c>
      <c r="F320">
        <f>IFERROR(VLOOKUP(A320, Internal_Ledger!A:G, 6, FALSE), 0)</f>
        <v>277.97000122070313</v>
      </c>
      <c r="G320">
        <f>IFERROR(VLOOKUP(A320, Broker_Statement!A:G, 6, FALSE), 0)</f>
        <v>277.97000122070313</v>
      </c>
      <c r="H320" s="7">
        <f t="shared" si="4"/>
        <v>0</v>
      </c>
    </row>
    <row r="321" spans="1:8" x14ac:dyDescent="0.3">
      <c r="A321" t="s">
        <v>349</v>
      </c>
      <c r="B321" t="str">
        <f>IFERROR(VLOOKUP(A321, Internal_Ledger!A:B, 2, FALSE), VLOOKUP(A321, Broker_Statement!A:B, 2, FALSE))</f>
        <v>INE002A01018</v>
      </c>
      <c r="C321" t="str">
        <f>IF(COUNTIF(Internal_Ledger!A:A, A321)=0, "Missing Internal", IF(COUNTIF(Broker_Statement!A:A, A321)=0, "Missing on Street", IF(D321&lt;&gt;E321, "Quantity Break", IF(F321&lt;&gt;G321, "Price Break", "Matched Perfectly"))))</f>
        <v>Missing on Street</v>
      </c>
      <c r="D321">
        <f>IFERROR(VLOOKUP(A321, Internal_Ledger!A:G, 5, FALSE), 0)</f>
        <v>300</v>
      </c>
      <c r="E321">
        <f>IFERROR(VLOOKUP(A321, Broker_Statement!A:G, 5, FALSE), 0)</f>
        <v>0</v>
      </c>
      <c r="F321">
        <f>IFERROR(VLOOKUP(A321, Internal_Ledger!A:G, 6, FALSE), 0)</f>
        <v>526.16998291015625</v>
      </c>
      <c r="G321">
        <f>IFERROR(VLOOKUP(A321, Broker_Statement!A:G, 6, FALSE), 0)</f>
        <v>0</v>
      </c>
      <c r="H321" s="7">
        <f t="shared" si="4"/>
        <v>157850.99487304688</v>
      </c>
    </row>
    <row r="322" spans="1:8" x14ac:dyDescent="0.3">
      <c r="A322" t="s">
        <v>350</v>
      </c>
      <c r="B322" t="str">
        <f>IFERROR(VLOOKUP(A322, Internal_Ledger!A:B, 2, FALSE), VLOOKUP(A322, Broker_Statement!A:B, 2, FALSE))</f>
        <v>INE018A01030</v>
      </c>
      <c r="C322" t="str">
        <f>IF(COUNTIF(Internal_Ledger!A:A, A322)=0, "Missing Internal", IF(COUNTIF(Broker_Statement!A:A, A322)=0, "Missing on Street", IF(D322&lt;&gt;E322, "Quantity Break", IF(F322&lt;&gt;G322, "Price Break", "Matched Perfectly"))))</f>
        <v>Price Break</v>
      </c>
      <c r="D322">
        <f>IFERROR(VLOOKUP(A322, Internal_Ledger!A:G, 5, FALSE), 0)</f>
        <v>950</v>
      </c>
      <c r="E322">
        <f>IFERROR(VLOOKUP(A322, Broker_Statement!A:G, 5, FALSE), 0)</f>
        <v>950</v>
      </c>
      <c r="F322">
        <f>IFERROR(VLOOKUP(A322, Internal_Ledger!A:G, 6, FALSE), 0)</f>
        <v>225.72000122070313</v>
      </c>
      <c r="G322">
        <f>IFERROR(VLOOKUP(A322, Broker_Statement!A:G, 6, FALSE), 0)</f>
        <v>225.97000122070313</v>
      </c>
      <c r="H322" s="7">
        <f t="shared" si="4"/>
        <v>237.5</v>
      </c>
    </row>
    <row r="323" spans="1:8" x14ac:dyDescent="0.3">
      <c r="A323" t="s">
        <v>351</v>
      </c>
      <c r="B323" t="str">
        <f>IFERROR(VLOOKUP(A323, Internal_Ledger!A:B, 2, FALSE), VLOOKUP(A323, Broker_Statement!A:B, 2, FALSE))</f>
        <v>INE018A01030</v>
      </c>
      <c r="C323" t="str">
        <f>IF(COUNTIF(Internal_Ledger!A:A, A323)=0, "Missing Internal", IF(COUNTIF(Broker_Statement!A:A, A323)=0, "Missing on Street", IF(D323&lt;&gt;E323, "Quantity Break", IF(F323&lt;&gt;G323, "Price Break", "Matched Perfectly"))))</f>
        <v>Matched Perfectly</v>
      </c>
      <c r="D323">
        <f>IFERROR(VLOOKUP(A323, Internal_Ledger!A:G, 5, FALSE), 0)</f>
        <v>1850</v>
      </c>
      <c r="E323">
        <f>IFERROR(VLOOKUP(A323, Broker_Statement!A:G, 5, FALSE), 0)</f>
        <v>1850</v>
      </c>
      <c r="F323">
        <f>IFERROR(VLOOKUP(A323, Internal_Ledger!A:G, 6, FALSE), 0)</f>
        <v>323.44000244140625</v>
      </c>
      <c r="G323">
        <f>IFERROR(VLOOKUP(A323, Broker_Statement!A:G, 6, FALSE), 0)</f>
        <v>323.44000244140625</v>
      </c>
      <c r="H323" s="7">
        <f t="shared" ref="H323:H386" si="5">ABS((D323*F323) - (E323*G323))</f>
        <v>0</v>
      </c>
    </row>
    <row r="324" spans="1:8" x14ac:dyDescent="0.3">
      <c r="A324" t="s">
        <v>352</v>
      </c>
      <c r="B324" t="str">
        <f>IFERROR(VLOOKUP(A324, Internal_Ledger!A:B, 2, FALSE), VLOOKUP(A324, Broker_Statement!A:B, 2, FALSE))</f>
        <v>INE030A01027</v>
      </c>
      <c r="C324" t="str">
        <f>IF(COUNTIF(Internal_Ledger!A:A, A324)=0, "Missing Internal", IF(COUNTIF(Broker_Statement!A:A, A324)=0, "Missing on Street", IF(D324&lt;&gt;E324, "Quantity Break", IF(F324&lt;&gt;G324, "Price Break", "Matched Perfectly"))))</f>
        <v>Matched Perfectly</v>
      </c>
      <c r="D324">
        <f>IFERROR(VLOOKUP(A324, Internal_Ledger!A:G, 5, FALSE), 0)</f>
        <v>2050</v>
      </c>
      <c r="E324">
        <f>IFERROR(VLOOKUP(A324, Broker_Statement!A:G, 5, FALSE), 0)</f>
        <v>2050</v>
      </c>
      <c r="F324">
        <f>IFERROR(VLOOKUP(A324, Internal_Ledger!A:G, 6, FALSE), 0)</f>
        <v>198.3699951171875</v>
      </c>
      <c r="G324">
        <f>IFERROR(VLOOKUP(A324, Broker_Statement!A:G, 6, FALSE), 0)</f>
        <v>198.3699951171875</v>
      </c>
      <c r="H324" s="7">
        <f t="shared" si="5"/>
        <v>0</v>
      </c>
    </row>
    <row r="325" spans="1:8" x14ac:dyDescent="0.3">
      <c r="A325" t="s">
        <v>353</v>
      </c>
      <c r="B325" t="str">
        <f>IFERROR(VLOOKUP(A325, Internal_Ledger!A:B, 2, FALSE), VLOOKUP(A325, Broker_Statement!A:B, 2, FALSE))</f>
        <v>INE009A01021</v>
      </c>
      <c r="C325" t="str">
        <f>IF(COUNTIF(Internal_Ledger!A:A, A325)=0, "Missing Internal", IF(COUNTIF(Broker_Statement!A:A, A325)=0, "Missing on Street", IF(D325&lt;&gt;E325, "Quantity Break", IF(F325&lt;&gt;G325, "Price Break", "Matched Perfectly"))))</f>
        <v>Missing on Street</v>
      </c>
      <c r="D325">
        <f>IFERROR(VLOOKUP(A325, Internal_Ledger!A:G, 5, FALSE), 0)</f>
        <v>1050</v>
      </c>
      <c r="E325">
        <f>IFERROR(VLOOKUP(A325, Broker_Statement!A:G, 5, FALSE), 0)</f>
        <v>0</v>
      </c>
      <c r="F325">
        <f>IFERROR(VLOOKUP(A325, Internal_Ledger!A:G, 6, FALSE), 0)</f>
        <v>455.989990234375</v>
      </c>
      <c r="G325">
        <f>IFERROR(VLOOKUP(A325, Broker_Statement!A:G, 6, FALSE), 0)</f>
        <v>0</v>
      </c>
      <c r="H325" s="7">
        <f t="shared" si="5"/>
        <v>478789.48974609375</v>
      </c>
    </row>
    <row r="326" spans="1:8" x14ac:dyDescent="0.3">
      <c r="A326" t="s">
        <v>354</v>
      </c>
      <c r="B326" t="str">
        <f>IFERROR(VLOOKUP(A326, Internal_Ledger!A:B, 2, FALSE), VLOOKUP(A326, Broker_Statement!A:B, 2, FALSE))</f>
        <v>INE018A01030</v>
      </c>
      <c r="C326" t="str">
        <f>IF(COUNTIF(Internal_Ledger!A:A, A326)=0, "Missing Internal", IF(COUNTIF(Broker_Statement!A:A, A326)=0, "Missing on Street", IF(D326&lt;&gt;E326, "Quantity Break", IF(F326&lt;&gt;G326, "Price Break", "Matched Perfectly"))))</f>
        <v>Matched Perfectly</v>
      </c>
      <c r="D326">
        <f>IFERROR(VLOOKUP(A326, Internal_Ledger!A:G, 5, FALSE), 0)</f>
        <v>650</v>
      </c>
      <c r="E326">
        <f>IFERROR(VLOOKUP(A326, Broker_Statement!A:G, 5, FALSE), 0)</f>
        <v>650</v>
      </c>
      <c r="F326">
        <f>IFERROR(VLOOKUP(A326, Internal_Ledger!A:G, 6, FALSE), 0)</f>
        <v>395.17999267578125</v>
      </c>
      <c r="G326">
        <f>IFERROR(VLOOKUP(A326, Broker_Statement!A:G, 6, FALSE), 0)</f>
        <v>395.17999267578125</v>
      </c>
      <c r="H326" s="7">
        <f t="shared" si="5"/>
        <v>0</v>
      </c>
    </row>
    <row r="327" spans="1:8" x14ac:dyDescent="0.3">
      <c r="A327" t="s">
        <v>355</v>
      </c>
      <c r="B327" t="str">
        <f>IFERROR(VLOOKUP(A327, Internal_Ledger!A:B, 2, FALSE), VLOOKUP(A327, Broker_Statement!A:B, 2, FALSE))</f>
        <v>INE002A01018</v>
      </c>
      <c r="C327" t="str">
        <f>IF(COUNTIF(Internal_Ledger!A:A, A327)=0, "Missing Internal", IF(COUNTIF(Broker_Statement!A:A, A327)=0, "Missing on Street", IF(D327&lt;&gt;E327, "Quantity Break", IF(F327&lt;&gt;G327, "Price Break", "Matched Perfectly"))))</f>
        <v>Matched Perfectly</v>
      </c>
      <c r="D327">
        <f>IFERROR(VLOOKUP(A327, Internal_Ledger!A:G, 5, FALSE), 0)</f>
        <v>550</v>
      </c>
      <c r="E327">
        <f>IFERROR(VLOOKUP(A327, Broker_Statement!A:G, 5, FALSE), 0)</f>
        <v>550</v>
      </c>
      <c r="F327">
        <f>IFERROR(VLOOKUP(A327, Internal_Ledger!A:G, 6, FALSE), 0)</f>
        <v>368.79000854492188</v>
      </c>
      <c r="G327">
        <f>IFERROR(VLOOKUP(A327, Broker_Statement!A:G, 6, FALSE), 0)</f>
        <v>368.79000854492188</v>
      </c>
      <c r="H327" s="7">
        <f t="shared" si="5"/>
        <v>0</v>
      </c>
    </row>
    <row r="328" spans="1:8" x14ac:dyDescent="0.3">
      <c r="A328" t="s">
        <v>356</v>
      </c>
      <c r="B328" t="str">
        <f>IFERROR(VLOOKUP(A328, Internal_Ledger!A:B, 2, FALSE), VLOOKUP(A328, Broker_Statement!A:B, 2, FALSE))</f>
        <v>INE018A01030</v>
      </c>
      <c r="C328" t="str">
        <f>IF(COUNTIF(Internal_Ledger!A:A, A328)=0, "Missing Internal", IF(COUNTIF(Broker_Statement!A:A, A328)=0, "Missing on Street", IF(D328&lt;&gt;E328, "Quantity Break", IF(F328&lt;&gt;G328, "Price Break", "Matched Perfectly"))))</f>
        <v>Quantity Break</v>
      </c>
      <c r="D328">
        <f>IFERROR(VLOOKUP(A328, Internal_Ledger!A:G, 5, FALSE), 0)</f>
        <v>3200</v>
      </c>
      <c r="E328">
        <f>IFERROR(VLOOKUP(A328, Broker_Statement!A:G, 5, FALSE), 0)</f>
        <v>3150</v>
      </c>
      <c r="F328">
        <f>IFERROR(VLOOKUP(A328, Internal_Ledger!A:G, 6, FALSE), 0)</f>
        <v>522.69000244140625</v>
      </c>
      <c r="G328">
        <f>IFERROR(VLOOKUP(A328, Broker_Statement!A:G, 6, FALSE), 0)</f>
        <v>522.69000244140625</v>
      </c>
      <c r="H328" s="7">
        <f t="shared" si="5"/>
        <v>26134.500122070313</v>
      </c>
    </row>
    <row r="329" spans="1:8" x14ac:dyDescent="0.3">
      <c r="A329" t="s">
        <v>357</v>
      </c>
      <c r="B329" t="str">
        <f>IFERROR(VLOOKUP(A329, Internal_Ledger!A:B, 2, FALSE), VLOOKUP(A329, Broker_Statement!A:B, 2, FALSE))</f>
        <v>INE030A01027</v>
      </c>
      <c r="C329" t="str">
        <f>IF(COUNTIF(Internal_Ledger!A:A, A329)=0, "Missing Internal", IF(COUNTIF(Broker_Statement!A:A, A329)=0, "Missing on Street", IF(D329&lt;&gt;E329, "Quantity Break", IF(F329&lt;&gt;G329, "Price Break", "Matched Perfectly"))))</f>
        <v>Matched Perfectly</v>
      </c>
      <c r="D329">
        <f>IFERROR(VLOOKUP(A329, Internal_Ledger!A:G, 5, FALSE), 0)</f>
        <v>700</v>
      </c>
      <c r="E329">
        <f>IFERROR(VLOOKUP(A329, Broker_Statement!A:G, 5, FALSE), 0)</f>
        <v>700</v>
      </c>
      <c r="F329">
        <f>IFERROR(VLOOKUP(A329, Internal_Ledger!A:G, 6, FALSE), 0)</f>
        <v>536.67999267578125</v>
      </c>
      <c r="G329">
        <f>IFERROR(VLOOKUP(A329, Broker_Statement!A:G, 6, FALSE), 0)</f>
        <v>536.67999267578125</v>
      </c>
      <c r="H329" s="7">
        <f t="shared" si="5"/>
        <v>0</v>
      </c>
    </row>
    <row r="330" spans="1:8" x14ac:dyDescent="0.3">
      <c r="A330" t="s">
        <v>358</v>
      </c>
      <c r="B330" t="str">
        <f>IFERROR(VLOOKUP(A330, Internal_Ledger!A:B, 2, FALSE), VLOOKUP(A330, Broker_Statement!A:B, 2, FALSE))</f>
        <v>INE040A01034</v>
      </c>
      <c r="C330" t="str">
        <f>IF(COUNTIF(Internal_Ledger!A:A, A330)=0, "Missing Internal", IF(COUNTIF(Broker_Statement!A:A, A330)=0, "Missing on Street", IF(D330&lt;&gt;E330, "Quantity Break", IF(F330&lt;&gt;G330, "Price Break", "Matched Perfectly"))))</f>
        <v>Matched Perfectly</v>
      </c>
      <c r="D330">
        <f>IFERROR(VLOOKUP(A330, Internal_Ledger!A:G, 5, FALSE), 0)</f>
        <v>1750</v>
      </c>
      <c r="E330">
        <f>IFERROR(VLOOKUP(A330, Broker_Statement!A:G, 5, FALSE), 0)</f>
        <v>1750</v>
      </c>
      <c r="F330">
        <f>IFERROR(VLOOKUP(A330, Internal_Ledger!A:G, 6, FALSE), 0)</f>
        <v>289.3599853515625</v>
      </c>
      <c r="G330">
        <f>IFERROR(VLOOKUP(A330, Broker_Statement!A:G, 6, FALSE), 0)</f>
        <v>289.3599853515625</v>
      </c>
      <c r="H330" s="7">
        <f t="shared" si="5"/>
        <v>0</v>
      </c>
    </row>
    <row r="331" spans="1:8" x14ac:dyDescent="0.3">
      <c r="A331" t="s">
        <v>359</v>
      </c>
      <c r="B331" t="str">
        <f>IFERROR(VLOOKUP(A331, Internal_Ledger!A:B, 2, FALSE), VLOOKUP(A331, Broker_Statement!A:B, 2, FALSE))</f>
        <v>INE030A01027</v>
      </c>
      <c r="C331" t="str">
        <f>IF(COUNTIF(Internal_Ledger!A:A, A331)=0, "Missing Internal", IF(COUNTIF(Broker_Statement!A:A, A331)=0, "Missing on Street", IF(D331&lt;&gt;E331, "Quantity Break", IF(F331&lt;&gt;G331, "Price Break", "Matched Perfectly"))))</f>
        <v>Matched Perfectly</v>
      </c>
      <c r="D331">
        <f>IFERROR(VLOOKUP(A331, Internal_Ledger!A:G, 5, FALSE), 0)</f>
        <v>3450</v>
      </c>
      <c r="E331">
        <f>IFERROR(VLOOKUP(A331, Broker_Statement!A:G, 5, FALSE), 0)</f>
        <v>3450</v>
      </c>
      <c r="F331">
        <f>IFERROR(VLOOKUP(A331, Internal_Ledger!A:G, 6, FALSE), 0)</f>
        <v>493.55999755859375</v>
      </c>
      <c r="G331">
        <f>IFERROR(VLOOKUP(A331, Broker_Statement!A:G, 6, FALSE), 0)</f>
        <v>493.55999755859375</v>
      </c>
      <c r="H331" s="7">
        <f t="shared" si="5"/>
        <v>0</v>
      </c>
    </row>
    <row r="332" spans="1:8" x14ac:dyDescent="0.3">
      <c r="A332" t="s">
        <v>360</v>
      </c>
      <c r="B332" t="str">
        <f>IFERROR(VLOOKUP(A332, Internal_Ledger!A:B, 2, FALSE), VLOOKUP(A332, Broker_Statement!A:B, 2, FALSE))</f>
        <v>INE009A01021</v>
      </c>
      <c r="C332" t="str">
        <f>IF(COUNTIF(Internal_Ledger!A:A, A332)=0, "Missing Internal", IF(COUNTIF(Broker_Statement!A:A, A332)=0, "Missing on Street", IF(D332&lt;&gt;E332, "Quantity Break", IF(F332&lt;&gt;G332, "Price Break", "Matched Perfectly"))))</f>
        <v>Missing on Street</v>
      </c>
      <c r="D332">
        <f>IFERROR(VLOOKUP(A332, Internal_Ledger!A:G, 5, FALSE), 0)</f>
        <v>4850</v>
      </c>
      <c r="E332">
        <f>IFERROR(VLOOKUP(A332, Broker_Statement!A:G, 5, FALSE), 0)</f>
        <v>0</v>
      </c>
      <c r="F332">
        <f>IFERROR(VLOOKUP(A332, Internal_Ledger!A:G, 6, FALSE), 0)</f>
        <v>474.45999145507813</v>
      </c>
      <c r="G332">
        <f>IFERROR(VLOOKUP(A332, Broker_Statement!A:G, 6, FALSE), 0)</f>
        <v>0</v>
      </c>
      <c r="H332" s="7">
        <f t="shared" si="5"/>
        <v>2301130.9585571289</v>
      </c>
    </row>
    <row r="333" spans="1:8" x14ac:dyDescent="0.3">
      <c r="A333" t="s">
        <v>361</v>
      </c>
      <c r="B333" t="str">
        <f>IFERROR(VLOOKUP(A333, Internal_Ledger!A:B, 2, FALSE), VLOOKUP(A333, Broker_Statement!A:B, 2, FALSE))</f>
        <v>INE030A01027</v>
      </c>
      <c r="C333" t="str">
        <f>IF(COUNTIF(Internal_Ledger!A:A, A333)=0, "Missing Internal", IF(COUNTIF(Broker_Statement!A:A, A333)=0, "Missing on Street", IF(D333&lt;&gt;E333, "Quantity Break", IF(F333&lt;&gt;G333, "Price Break", "Matched Perfectly"))))</f>
        <v>Matched Perfectly</v>
      </c>
      <c r="D333">
        <f>IFERROR(VLOOKUP(A333, Internal_Ledger!A:G, 5, FALSE), 0)</f>
        <v>3600</v>
      </c>
      <c r="E333">
        <f>IFERROR(VLOOKUP(A333, Broker_Statement!A:G, 5, FALSE), 0)</f>
        <v>3600</v>
      </c>
      <c r="F333">
        <f>IFERROR(VLOOKUP(A333, Internal_Ledger!A:G, 6, FALSE), 0)</f>
        <v>387.10000610351563</v>
      </c>
      <c r="G333">
        <f>IFERROR(VLOOKUP(A333, Broker_Statement!A:G, 6, FALSE), 0)</f>
        <v>387.10000610351563</v>
      </c>
      <c r="H333" s="7">
        <f t="shared" si="5"/>
        <v>0</v>
      </c>
    </row>
    <row r="334" spans="1:8" x14ac:dyDescent="0.3">
      <c r="A334" t="s">
        <v>362</v>
      </c>
      <c r="B334" t="str">
        <f>IFERROR(VLOOKUP(A334, Internal_Ledger!A:B, 2, FALSE), VLOOKUP(A334, Broker_Statement!A:B, 2, FALSE))</f>
        <v>INE002A01018</v>
      </c>
      <c r="C334" t="str">
        <f>IF(COUNTIF(Internal_Ledger!A:A, A334)=0, "Missing Internal", IF(COUNTIF(Broker_Statement!A:A, A334)=0, "Missing on Street", IF(D334&lt;&gt;E334, "Quantity Break", IF(F334&lt;&gt;G334, "Price Break", "Matched Perfectly"))))</f>
        <v>Matched Perfectly</v>
      </c>
      <c r="D334">
        <f>IFERROR(VLOOKUP(A334, Internal_Ledger!A:G, 5, FALSE), 0)</f>
        <v>4650</v>
      </c>
      <c r="E334">
        <f>IFERROR(VLOOKUP(A334, Broker_Statement!A:G, 5, FALSE), 0)</f>
        <v>4650</v>
      </c>
      <c r="F334">
        <f>IFERROR(VLOOKUP(A334, Internal_Ledger!A:G, 6, FALSE), 0)</f>
        <v>295.239990234375</v>
      </c>
      <c r="G334">
        <f>IFERROR(VLOOKUP(A334, Broker_Statement!A:G, 6, FALSE), 0)</f>
        <v>295.239990234375</v>
      </c>
      <c r="H334" s="7">
        <f t="shared" si="5"/>
        <v>0</v>
      </c>
    </row>
    <row r="335" spans="1:8" x14ac:dyDescent="0.3">
      <c r="A335" t="s">
        <v>363</v>
      </c>
      <c r="B335" t="str">
        <f>IFERROR(VLOOKUP(A335, Internal_Ledger!A:B, 2, FALSE), VLOOKUP(A335, Broker_Statement!A:B, 2, FALSE))</f>
        <v>INE002A01018</v>
      </c>
      <c r="C335" t="str">
        <f>IF(COUNTIF(Internal_Ledger!A:A, A335)=0, "Missing Internal", IF(COUNTIF(Broker_Statement!A:A, A335)=0, "Missing on Street", IF(D335&lt;&gt;E335, "Quantity Break", IF(F335&lt;&gt;G335, "Price Break", "Matched Perfectly"))))</f>
        <v>Matched Perfectly</v>
      </c>
      <c r="D335">
        <f>IFERROR(VLOOKUP(A335, Internal_Ledger!A:G, 5, FALSE), 0)</f>
        <v>1600</v>
      </c>
      <c r="E335">
        <f>IFERROR(VLOOKUP(A335, Broker_Statement!A:G, 5, FALSE), 0)</f>
        <v>1600</v>
      </c>
      <c r="F335">
        <f>IFERROR(VLOOKUP(A335, Internal_Ledger!A:G, 6, FALSE), 0)</f>
        <v>158.44000244140625</v>
      </c>
      <c r="G335">
        <f>IFERROR(VLOOKUP(A335, Broker_Statement!A:G, 6, FALSE), 0)</f>
        <v>158.44000244140625</v>
      </c>
      <c r="H335" s="7">
        <f t="shared" si="5"/>
        <v>0</v>
      </c>
    </row>
    <row r="336" spans="1:8" x14ac:dyDescent="0.3">
      <c r="A336" t="s">
        <v>364</v>
      </c>
      <c r="B336" t="str">
        <f>IFERROR(VLOOKUP(A336, Internal_Ledger!A:B, 2, FALSE), VLOOKUP(A336, Broker_Statement!A:B, 2, FALSE))</f>
        <v>INE018A01030</v>
      </c>
      <c r="C336" t="str">
        <f>IF(COUNTIF(Internal_Ledger!A:A, A336)=0, "Missing Internal", IF(COUNTIF(Broker_Statement!A:A, A336)=0, "Missing on Street", IF(D336&lt;&gt;E336, "Quantity Break", IF(F336&lt;&gt;G336, "Price Break", "Matched Perfectly"))))</f>
        <v>Quantity Break</v>
      </c>
      <c r="D336">
        <f>IFERROR(VLOOKUP(A336, Internal_Ledger!A:G, 5, FALSE), 0)</f>
        <v>100</v>
      </c>
      <c r="E336">
        <f>IFERROR(VLOOKUP(A336, Broker_Statement!A:G, 5, FALSE), 0)</f>
        <v>50</v>
      </c>
      <c r="F336">
        <f>IFERROR(VLOOKUP(A336, Internal_Ledger!A:G, 6, FALSE), 0)</f>
        <v>399.1400146484375</v>
      </c>
      <c r="G336">
        <f>IFERROR(VLOOKUP(A336, Broker_Statement!A:G, 6, FALSE), 0)</f>
        <v>399.1400146484375</v>
      </c>
      <c r="H336" s="7">
        <f t="shared" si="5"/>
        <v>19957.000732421875</v>
      </c>
    </row>
    <row r="337" spans="1:8" x14ac:dyDescent="0.3">
      <c r="A337" t="s">
        <v>365</v>
      </c>
      <c r="B337" t="str">
        <f>IFERROR(VLOOKUP(A337, Internal_Ledger!A:B, 2, FALSE), VLOOKUP(A337, Broker_Statement!A:B, 2, FALSE))</f>
        <v>INE030A01027</v>
      </c>
      <c r="C337" t="str">
        <f>IF(COUNTIF(Internal_Ledger!A:A, A337)=0, "Missing Internal", IF(COUNTIF(Broker_Statement!A:A, A337)=0, "Missing on Street", IF(D337&lt;&gt;E337, "Quantity Break", IF(F337&lt;&gt;G337, "Price Break", "Matched Perfectly"))))</f>
        <v>Price Break</v>
      </c>
      <c r="D337">
        <f>IFERROR(VLOOKUP(A337, Internal_Ledger!A:G, 5, FALSE), 0)</f>
        <v>2650</v>
      </c>
      <c r="E337">
        <f>IFERROR(VLOOKUP(A337, Broker_Statement!A:G, 5, FALSE), 0)</f>
        <v>2650</v>
      </c>
      <c r="F337">
        <f>IFERROR(VLOOKUP(A337, Internal_Ledger!A:G, 6, FALSE), 0)</f>
        <v>346.83999633789063</v>
      </c>
      <c r="G337">
        <f>IFERROR(VLOOKUP(A337, Broker_Statement!A:G, 6, FALSE), 0)</f>
        <v>347.14999634027481</v>
      </c>
      <c r="H337" s="7">
        <f t="shared" si="5"/>
        <v>821.50000631809235</v>
      </c>
    </row>
    <row r="338" spans="1:8" x14ac:dyDescent="0.3">
      <c r="A338" t="s">
        <v>366</v>
      </c>
      <c r="B338" t="str">
        <f>IFERROR(VLOOKUP(A338, Internal_Ledger!A:B, 2, FALSE), VLOOKUP(A338, Broker_Statement!A:B, 2, FALSE))</f>
        <v>INE009A01021</v>
      </c>
      <c r="C338" t="str">
        <f>IF(COUNTIF(Internal_Ledger!A:A, A338)=0, "Missing Internal", IF(COUNTIF(Broker_Statement!A:A, A338)=0, "Missing on Street", IF(D338&lt;&gt;E338, "Quantity Break", IF(F338&lt;&gt;G338, "Price Break", "Matched Perfectly"))))</f>
        <v>Matched Perfectly</v>
      </c>
      <c r="D338">
        <f>IFERROR(VLOOKUP(A338, Internal_Ledger!A:G, 5, FALSE), 0)</f>
        <v>3350</v>
      </c>
      <c r="E338">
        <f>IFERROR(VLOOKUP(A338, Broker_Statement!A:G, 5, FALSE), 0)</f>
        <v>3350</v>
      </c>
      <c r="F338">
        <f>IFERROR(VLOOKUP(A338, Internal_Ledger!A:G, 6, FALSE), 0)</f>
        <v>559.03997802734375</v>
      </c>
      <c r="G338">
        <f>IFERROR(VLOOKUP(A338, Broker_Statement!A:G, 6, FALSE), 0)</f>
        <v>559.03997802734375</v>
      </c>
      <c r="H338" s="7">
        <f t="shared" si="5"/>
        <v>0</v>
      </c>
    </row>
    <row r="339" spans="1:8" x14ac:dyDescent="0.3">
      <c r="A339" t="s">
        <v>368</v>
      </c>
      <c r="B339" t="str">
        <f>IFERROR(VLOOKUP(A339, Internal_Ledger!A:B, 2, FALSE), VLOOKUP(A339, Broker_Statement!A:B, 2, FALSE))</f>
        <v>INE018A01030</v>
      </c>
      <c r="C339" t="str">
        <f>IF(COUNTIF(Internal_Ledger!A:A, A339)=0, "Missing Internal", IF(COUNTIF(Broker_Statement!A:A, A339)=0, "Missing on Street", IF(D339&lt;&gt;E339, "Quantity Break", IF(F339&lt;&gt;G339, "Price Break", "Matched Perfectly"))))</f>
        <v>Price Break</v>
      </c>
      <c r="D339">
        <f>IFERROR(VLOOKUP(A339, Internal_Ledger!A:G, 5, FALSE), 0)</f>
        <v>3800</v>
      </c>
      <c r="E339">
        <f>IFERROR(VLOOKUP(A339, Broker_Statement!A:G, 5, FALSE), 0)</f>
        <v>3800</v>
      </c>
      <c r="F339">
        <f>IFERROR(VLOOKUP(A339, Internal_Ledger!A:G, 6, FALSE), 0)</f>
        <v>624.02001953125</v>
      </c>
      <c r="G339">
        <f>IFERROR(VLOOKUP(A339, Broker_Statement!A:G, 6, FALSE), 0)</f>
        <v>624.54001951217651</v>
      </c>
      <c r="H339" s="7">
        <f t="shared" si="5"/>
        <v>1975.999927520752</v>
      </c>
    </row>
    <row r="340" spans="1:8" x14ac:dyDescent="0.3">
      <c r="A340" t="s">
        <v>369</v>
      </c>
      <c r="B340" t="str">
        <f>IFERROR(VLOOKUP(A340, Internal_Ledger!A:B, 2, FALSE), VLOOKUP(A340, Broker_Statement!A:B, 2, FALSE))</f>
        <v>INE018A01030</v>
      </c>
      <c r="C340" t="str">
        <f>IF(COUNTIF(Internal_Ledger!A:A, A340)=0, "Missing Internal", IF(COUNTIF(Broker_Statement!A:A, A340)=0, "Missing on Street", IF(D340&lt;&gt;E340, "Quantity Break", IF(F340&lt;&gt;G340, "Price Break", "Matched Perfectly"))))</f>
        <v>Matched Perfectly</v>
      </c>
      <c r="D340">
        <f>IFERROR(VLOOKUP(A340, Internal_Ledger!A:G, 5, FALSE), 0)</f>
        <v>4900</v>
      </c>
      <c r="E340">
        <f>IFERROR(VLOOKUP(A340, Broker_Statement!A:G, 5, FALSE), 0)</f>
        <v>4900</v>
      </c>
      <c r="F340">
        <f>IFERROR(VLOOKUP(A340, Internal_Ledger!A:G, 6, FALSE), 0)</f>
        <v>470.66000366210938</v>
      </c>
      <c r="G340">
        <f>IFERROR(VLOOKUP(A340, Broker_Statement!A:G, 6, FALSE), 0)</f>
        <v>470.66000366210938</v>
      </c>
      <c r="H340" s="7">
        <f t="shared" si="5"/>
        <v>0</v>
      </c>
    </row>
    <row r="341" spans="1:8" x14ac:dyDescent="0.3">
      <c r="A341" t="s">
        <v>370</v>
      </c>
      <c r="B341" t="str">
        <f>IFERROR(VLOOKUP(A341, Internal_Ledger!A:B, 2, FALSE), VLOOKUP(A341, Broker_Statement!A:B, 2, FALSE))</f>
        <v>INE002A01018</v>
      </c>
      <c r="C341" t="str">
        <f>IF(COUNTIF(Internal_Ledger!A:A, A341)=0, "Missing Internal", IF(COUNTIF(Broker_Statement!A:A, A341)=0, "Missing on Street", IF(D341&lt;&gt;E341, "Quantity Break", IF(F341&lt;&gt;G341, "Price Break", "Matched Perfectly"))))</f>
        <v>Matched Perfectly</v>
      </c>
      <c r="D341">
        <f>IFERROR(VLOOKUP(A341, Internal_Ledger!A:G, 5, FALSE), 0)</f>
        <v>2000</v>
      </c>
      <c r="E341">
        <f>IFERROR(VLOOKUP(A341, Broker_Statement!A:G, 5, FALSE), 0)</f>
        <v>2000</v>
      </c>
      <c r="F341">
        <f>IFERROR(VLOOKUP(A341, Internal_Ledger!A:G, 6, FALSE), 0)</f>
        <v>252.82000732421875</v>
      </c>
      <c r="G341">
        <f>IFERROR(VLOOKUP(A341, Broker_Statement!A:G, 6, FALSE), 0)</f>
        <v>252.82000732421875</v>
      </c>
      <c r="H341" s="7">
        <f t="shared" si="5"/>
        <v>0</v>
      </c>
    </row>
    <row r="342" spans="1:8" x14ac:dyDescent="0.3">
      <c r="A342" t="s">
        <v>371</v>
      </c>
      <c r="B342" t="str">
        <f>IFERROR(VLOOKUP(A342, Internal_Ledger!A:B, 2, FALSE), VLOOKUP(A342, Broker_Statement!A:B, 2, FALSE))</f>
        <v>INE018A01030</v>
      </c>
      <c r="C342" t="str">
        <f>IF(COUNTIF(Internal_Ledger!A:A, A342)=0, "Missing Internal", IF(COUNTIF(Broker_Statement!A:A, A342)=0, "Missing on Street", IF(D342&lt;&gt;E342, "Quantity Break", IF(F342&lt;&gt;G342, "Price Break", "Matched Perfectly"))))</f>
        <v>Matched Perfectly</v>
      </c>
      <c r="D342">
        <f>IFERROR(VLOOKUP(A342, Internal_Ledger!A:G, 5, FALSE), 0)</f>
        <v>400</v>
      </c>
      <c r="E342">
        <f>IFERROR(VLOOKUP(A342, Broker_Statement!A:G, 5, FALSE), 0)</f>
        <v>400</v>
      </c>
      <c r="F342">
        <f>IFERROR(VLOOKUP(A342, Internal_Ledger!A:G, 6, FALSE), 0)</f>
        <v>352.55999755859375</v>
      </c>
      <c r="G342">
        <f>IFERROR(VLOOKUP(A342, Broker_Statement!A:G, 6, FALSE), 0)</f>
        <v>352.55999755859375</v>
      </c>
      <c r="H342" s="7">
        <f t="shared" si="5"/>
        <v>0</v>
      </c>
    </row>
    <row r="343" spans="1:8" x14ac:dyDescent="0.3">
      <c r="A343" t="s">
        <v>372</v>
      </c>
      <c r="B343" t="str">
        <f>IFERROR(VLOOKUP(A343, Internal_Ledger!A:B, 2, FALSE), VLOOKUP(A343, Broker_Statement!A:B, 2, FALSE))</f>
        <v>INE040A01034</v>
      </c>
      <c r="C343" t="str">
        <f>IF(COUNTIF(Internal_Ledger!A:A, A343)=0, "Missing Internal", IF(COUNTIF(Broker_Statement!A:A, A343)=0, "Missing on Street", IF(D343&lt;&gt;E343, "Quantity Break", IF(F343&lt;&gt;G343, "Price Break", "Matched Perfectly"))))</f>
        <v>Missing on Street</v>
      </c>
      <c r="D343">
        <f>IFERROR(VLOOKUP(A343, Internal_Ledger!A:G, 5, FALSE), 0)</f>
        <v>1850</v>
      </c>
      <c r="E343">
        <f>IFERROR(VLOOKUP(A343, Broker_Statement!A:G, 5, FALSE), 0)</f>
        <v>0</v>
      </c>
      <c r="F343">
        <f>IFERROR(VLOOKUP(A343, Internal_Ledger!A:G, 6, FALSE), 0)</f>
        <v>350.6199951171875</v>
      </c>
      <c r="G343">
        <f>IFERROR(VLOOKUP(A343, Broker_Statement!A:G, 6, FALSE), 0)</f>
        <v>0</v>
      </c>
      <c r="H343" s="7">
        <f t="shared" si="5"/>
        <v>648646.99096679688</v>
      </c>
    </row>
    <row r="344" spans="1:8" x14ac:dyDescent="0.3">
      <c r="A344" t="s">
        <v>373</v>
      </c>
      <c r="B344" t="str">
        <f>IFERROR(VLOOKUP(A344, Internal_Ledger!A:B, 2, FALSE), VLOOKUP(A344, Broker_Statement!A:B, 2, FALSE))</f>
        <v>INE018A01030</v>
      </c>
      <c r="C344" t="str">
        <f>IF(COUNTIF(Internal_Ledger!A:A, A344)=0, "Missing Internal", IF(COUNTIF(Broker_Statement!A:A, A344)=0, "Missing on Street", IF(D344&lt;&gt;E344, "Quantity Break", IF(F344&lt;&gt;G344, "Price Break", "Matched Perfectly"))))</f>
        <v>Matched Perfectly</v>
      </c>
      <c r="D344">
        <f>IFERROR(VLOOKUP(A344, Internal_Ledger!A:G, 5, FALSE), 0)</f>
        <v>3850</v>
      </c>
      <c r="E344">
        <f>IFERROR(VLOOKUP(A344, Broker_Statement!A:G, 5, FALSE), 0)</f>
        <v>3850</v>
      </c>
      <c r="F344">
        <f>IFERROR(VLOOKUP(A344, Internal_Ledger!A:G, 6, FALSE), 0)</f>
        <v>285.82000732421875</v>
      </c>
      <c r="G344">
        <f>IFERROR(VLOOKUP(A344, Broker_Statement!A:G, 6, FALSE), 0)</f>
        <v>285.82000732421875</v>
      </c>
      <c r="H344" s="7">
        <f t="shared" si="5"/>
        <v>0</v>
      </c>
    </row>
    <row r="345" spans="1:8" x14ac:dyDescent="0.3">
      <c r="A345" t="s">
        <v>374</v>
      </c>
      <c r="B345" t="str">
        <f>IFERROR(VLOOKUP(A345, Internal_Ledger!A:B, 2, FALSE), VLOOKUP(A345, Broker_Statement!A:B, 2, FALSE))</f>
        <v>INE018A01030</v>
      </c>
      <c r="C345" t="str">
        <f>IF(COUNTIF(Internal_Ledger!A:A, A345)=0, "Missing Internal", IF(COUNTIF(Broker_Statement!A:A, A345)=0, "Missing on Street", IF(D345&lt;&gt;E345, "Quantity Break", IF(F345&lt;&gt;G345, "Price Break", "Matched Perfectly"))))</f>
        <v>Matched Perfectly</v>
      </c>
      <c r="D345">
        <f>IFERROR(VLOOKUP(A345, Internal_Ledger!A:G, 5, FALSE), 0)</f>
        <v>2300</v>
      </c>
      <c r="E345">
        <f>IFERROR(VLOOKUP(A345, Broker_Statement!A:G, 5, FALSE), 0)</f>
        <v>2300</v>
      </c>
      <c r="F345">
        <f>IFERROR(VLOOKUP(A345, Internal_Ledger!A:G, 6, FALSE), 0)</f>
        <v>544.3900146484375</v>
      </c>
      <c r="G345">
        <f>IFERROR(VLOOKUP(A345, Broker_Statement!A:G, 6, FALSE), 0)</f>
        <v>544.3900146484375</v>
      </c>
      <c r="H345" s="7">
        <f t="shared" si="5"/>
        <v>0</v>
      </c>
    </row>
    <row r="346" spans="1:8" x14ac:dyDescent="0.3">
      <c r="A346" t="s">
        <v>375</v>
      </c>
      <c r="B346" t="str">
        <f>IFERROR(VLOOKUP(A346, Internal_Ledger!A:B, 2, FALSE), VLOOKUP(A346, Broker_Statement!A:B, 2, FALSE))</f>
        <v>INE002A01018</v>
      </c>
      <c r="C346" t="str">
        <f>IF(COUNTIF(Internal_Ledger!A:A, A346)=0, "Missing Internal", IF(COUNTIF(Broker_Statement!A:A, A346)=0, "Missing on Street", IF(D346&lt;&gt;E346, "Quantity Break", IF(F346&lt;&gt;G346, "Price Break", "Matched Perfectly"))))</f>
        <v>Matched Perfectly</v>
      </c>
      <c r="D346">
        <f>IFERROR(VLOOKUP(A346, Internal_Ledger!A:G, 5, FALSE), 0)</f>
        <v>3100</v>
      </c>
      <c r="E346">
        <f>IFERROR(VLOOKUP(A346, Broker_Statement!A:G, 5, FALSE), 0)</f>
        <v>3100</v>
      </c>
      <c r="F346">
        <f>IFERROR(VLOOKUP(A346, Internal_Ledger!A:G, 6, FALSE), 0)</f>
        <v>235.74000549316406</v>
      </c>
      <c r="G346">
        <f>IFERROR(VLOOKUP(A346, Broker_Statement!A:G, 6, FALSE), 0)</f>
        <v>235.74000549316406</v>
      </c>
      <c r="H346" s="7">
        <f t="shared" si="5"/>
        <v>0</v>
      </c>
    </row>
    <row r="347" spans="1:8" x14ac:dyDescent="0.3">
      <c r="A347" t="s">
        <v>376</v>
      </c>
      <c r="B347" t="str">
        <f>IFERROR(VLOOKUP(A347, Internal_Ledger!A:B, 2, FALSE), VLOOKUP(A347, Broker_Statement!A:B, 2, FALSE))</f>
        <v>INE030A01027</v>
      </c>
      <c r="C347" t="str">
        <f>IF(COUNTIF(Internal_Ledger!A:A, A347)=0, "Missing Internal", IF(COUNTIF(Broker_Statement!A:A, A347)=0, "Missing on Street", IF(D347&lt;&gt;E347, "Quantity Break", IF(F347&lt;&gt;G347, "Price Break", "Matched Perfectly"))))</f>
        <v>Matched Perfectly</v>
      </c>
      <c r="D347">
        <f>IFERROR(VLOOKUP(A347, Internal_Ledger!A:G, 5, FALSE), 0)</f>
        <v>1100</v>
      </c>
      <c r="E347">
        <f>IFERROR(VLOOKUP(A347, Broker_Statement!A:G, 5, FALSE), 0)</f>
        <v>1100</v>
      </c>
      <c r="F347">
        <f>IFERROR(VLOOKUP(A347, Internal_Ledger!A:G, 6, FALSE), 0)</f>
        <v>601.41998291015625</v>
      </c>
      <c r="G347">
        <f>IFERROR(VLOOKUP(A347, Broker_Statement!A:G, 6, FALSE), 0)</f>
        <v>601.41998291015625</v>
      </c>
      <c r="H347" s="7">
        <f t="shared" si="5"/>
        <v>0</v>
      </c>
    </row>
    <row r="348" spans="1:8" x14ac:dyDescent="0.3">
      <c r="A348" t="s">
        <v>377</v>
      </c>
      <c r="B348" t="str">
        <f>IFERROR(VLOOKUP(A348, Internal_Ledger!A:B, 2, FALSE), VLOOKUP(A348, Broker_Statement!A:B, 2, FALSE))</f>
        <v>INE018A01030</v>
      </c>
      <c r="C348" t="str">
        <f>IF(COUNTIF(Internal_Ledger!A:A, A348)=0, "Missing Internal", IF(COUNTIF(Broker_Statement!A:A, A348)=0, "Missing on Street", IF(D348&lt;&gt;E348, "Quantity Break", IF(F348&lt;&gt;G348, "Price Break", "Matched Perfectly"))))</f>
        <v>Matched Perfectly</v>
      </c>
      <c r="D348">
        <f>IFERROR(VLOOKUP(A348, Internal_Ledger!A:G, 5, FALSE), 0)</f>
        <v>4500</v>
      </c>
      <c r="E348">
        <f>IFERROR(VLOOKUP(A348, Broker_Statement!A:G, 5, FALSE), 0)</f>
        <v>4500</v>
      </c>
      <c r="F348">
        <f>IFERROR(VLOOKUP(A348, Internal_Ledger!A:G, 6, FALSE), 0)</f>
        <v>629.05999755859375</v>
      </c>
      <c r="G348">
        <f>IFERROR(VLOOKUP(A348, Broker_Statement!A:G, 6, FALSE), 0)</f>
        <v>629.05999755859375</v>
      </c>
      <c r="H348" s="7">
        <f t="shared" si="5"/>
        <v>0</v>
      </c>
    </row>
    <row r="349" spans="1:8" x14ac:dyDescent="0.3">
      <c r="A349" t="s">
        <v>378</v>
      </c>
      <c r="B349" t="str">
        <f>IFERROR(VLOOKUP(A349, Internal_Ledger!A:B, 2, FALSE), VLOOKUP(A349, Broker_Statement!A:B, 2, FALSE))</f>
        <v>INE030A01027</v>
      </c>
      <c r="C349" t="str">
        <f>IF(COUNTIF(Internal_Ledger!A:A, A349)=0, "Missing Internal", IF(COUNTIF(Broker_Statement!A:A, A349)=0, "Missing on Street", IF(D349&lt;&gt;E349, "Quantity Break", IF(F349&lt;&gt;G349, "Price Break", "Matched Perfectly"))))</f>
        <v>Matched Perfectly</v>
      </c>
      <c r="D349">
        <f>IFERROR(VLOOKUP(A349, Internal_Ledger!A:G, 5, FALSE), 0)</f>
        <v>4750</v>
      </c>
      <c r="E349">
        <f>IFERROR(VLOOKUP(A349, Broker_Statement!A:G, 5, FALSE), 0)</f>
        <v>4750</v>
      </c>
      <c r="F349">
        <f>IFERROR(VLOOKUP(A349, Internal_Ledger!A:G, 6, FALSE), 0)</f>
        <v>168.41999816894531</v>
      </c>
      <c r="G349">
        <f>IFERROR(VLOOKUP(A349, Broker_Statement!A:G, 6, FALSE), 0)</f>
        <v>168.41999816894531</v>
      </c>
      <c r="H349" s="7">
        <f t="shared" si="5"/>
        <v>0</v>
      </c>
    </row>
    <row r="350" spans="1:8" x14ac:dyDescent="0.3">
      <c r="A350" t="s">
        <v>379</v>
      </c>
      <c r="B350" t="str">
        <f>IFERROR(VLOOKUP(A350, Internal_Ledger!A:B, 2, FALSE), VLOOKUP(A350, Broker_Statement!A:B, 2, FALSE))</f>
        <v>INE030A01027</v>
      </c>
      <c r="C350" t="str">
        <f>IF(COUNTIF(Internal_Ledger!A:A, A350)=0, "Missing Internal", IF(COUNTIF(Broker_Statement!A:A, A350)=0, "Missing on Street", IF(D350&lt;&gt;E350, "Quantity Break", IF(F350&lt;&gt;G350, "Price Break", "Matched Perfectly"))))</f>
        <v>Matched Perfectly</v>
      </c>
      <c r="D350">
        <f>IFERROR(VLOOKUP(A350, Internal_Ledger!A:G, 5, FALSE), 0)</f>
        <v>2600</v>
      </c>
      <c r="E350">
        <f>IFERROR(VLOOKUP(A350, Broker_Statement!A:G, 5, FALSE), 0)</f>
        <v>2600</v>
      </c>
      <c r="F350">
        <f>IFERROR(VLOOKUP(A350, Internal_Ledger!A:G, 6, FALSE), 0)</f>
        <v>471.1099853515625</v>
      </c>
      <c r="G350">
        <f>IFERROR(VLOOKUP(A350, Broker_Statement!A:G, 6, FALSE), 0)</f>
        <v>471.1099853515625</v>
      </c>
      <c r="H350" s="7">
        <f t="shared" si="5"/>
        <v>0</v>
      </c>
    </row>
    <row r="351" spans="1:8" x14ac:dyDescent="0.3">
      <c r="A351" t="s">
        <v>380</v>
      </c>
      <c r="B351" t="str">
        <f>IFERROR(VLOOKUP(A351, Internal_Ledger!A:B, 2, FALSE), VLOOKUP(A351, Broker_Statement!A:B, 2, FALSE))</f>
        <v>INE040A01034</v>
      </c>
      <c r="C351" t="str">
        <f>IF(COUNTIF(Internal_Ledger!A:A, A351)=0, "Missing Internal", IF(COUNTIF(Broker_Statement!A:A, A351)=0, "Missing on Street", IF(D351&lt;&gt;E351, "Quantity Break", IF(F351&lt;&gt;G351, "Price Break", "Matched Perfectly"))))</f>
        <v>Matched Perfectly</v>
      </c>
      <c r="D351">
        <f>IFERROR(VLOOKUP(A351, Internal_Ledger!A:G, 5, FALSE), 0)</f>
        <v>3700</v>
      </c>
      <c r="E351">
        <f>IFERROR(VLOOKUP(A351, Broker_Statement!A:G, 5, FALSE), 0)</f>
        <v>3700</v>
      </c>
      <c r="F351">
        <f>IFERROR(VLOOKUP(A351, Internal_Ledger!A:G, 6, FALSE), 0)</f>
        <v>201.16000366210938</v>
      </c>
      <c r="G351">
        <f>IFERROR(VLOOKUP(A351, Broker_Statement!A:G, 6, FALSE), 0)</f>
        <v>201.16000366210938</v>
      </c>
      <c r="H351" s="7">
        <f t="shared" si="5"/>
        <v>0</v>
      </c>
    </row>
    <row r="352" spans="1:8" x14ac:dyDescent="0.3">
      <c r="A352" t="s">
        <v>382</v>
      </c>
      <c r="B352" t="str">
        <f>IFERROR(VLOOKUP(A352, Internal_Ledger!A:B, 2, FALSE), VLOOKUP(A352, Broker_Statement!A:B, 2, FALSE))</f>
        <v>INE018A01030</v>
      </c>
      <c r="C352" t="str">
        <f>IF(COUNTIF(Internal_Ledger!A:A, A352)=0, "Missing Internal", IF(COUNTIF(Broker_Statement!A:A, A352)=0, "Missing on Street", IF(D352&lt;&gt;E352, "Quantity Break", IF(F352&lt;&gt;G352, "Price Break", "Matched Perfectly"))))</f>
        <v>Matched Perfectly</v>
      </c>
      <c r="D352">
        <f>IFERROR(VLOOKUP(A352, Internal_Ledger!A:G, 5, FALSE), 0)</f>
        <v>3900</v>
      </c>
      <c r="E352">
        <f>IFERROR(VLOOKUP(A352, Broker_Statement!A:G, 5, FALSE), 0)</f>
        <v>3900</v>
      </c>
      <c r="F352">
        <f>IFERROR(VLOOKUP(A352, Internal_Ledger!A:G, 6, FALSE), 0)</f>
        <v>519.20001220703125</v>
      </c>
      <c r="G352">
        <f>IFERROR(VLOOKUP(A352, Broker_Statement!A:G, 6, FALSE), 0)</f>
        <v>519.20001220703125</v>
      </c>
      <c r="H352" s="7">
        <f t="shared" si="5"/>
        <v>0</v>
      </c>
    </row>
    <row r="353" spans="1:8" x14ac:dyDescent="0.3">
      <c r="A353" t="s">
        <v>383</v>
      </c>
      <c r="B353" t="str">
        <f>IFERROR(VLOOKUP(A353, Internal_Ledger!A:B, 2, FALSE), VLOOKUP(A353, Broker_Statement!A:B, 2, FALSE))</f>
        <v>INE018A01030</v>
      </c>
      <c r="C353" t="str">
        <f>IF(COUNTIF(Internal_Ledger!A:A, A353)=0, "Missing Internal", IF(COUNTIF(Broker_Statement!A:A, A353)=0, "Missing on Street", IF(D353&lt;&gt;E353, "Quantity Break", IF(F353&lt;&gt;G353, "Price Break", "Matched Perfectly"))))</f>
        <v>Matched Perfectly</v>
      </c>
      <c r="D353">
        <f>IFERROR(VLOOKUP(A353, Internal_Ledger!A:G, 5, FALSE), 0)</f>
        <v>3400</v>
      </c>
      <c r="E353">
        <f>IFERROR(VLOOKUP(A353, Broker_Statement!A:G, 5, FALSE), 0)</f>
        <v>3400</v>
      </c>
      <c r="F353">
        <f>IFERROR(VLOOKUP(A353, Internal_Ledger!A:G, 6, FALSE), 0)</f>
        <v>493.95999145507813</v>
      </c>
      <c r="G353">
        <f>IFERROR(VLOOKUP(A353, Broker_Statement!A:G, 6, FALSE), 0)</f>
        <v>493.95999145507813</v>
      </c>
      <c r="H353" s="7">
        <f t="shared" si="5"/>
        <v>0</v>
      </c>
    </row>
    <row r="354" spans="1:8" x14ac:dyDescent="0.3">
      <c r="A354" t="s">
        <v>384</v>
      </c>
      <c r="B354" t="str">
        <f>IFERROR(VLOOKUP(A354, Internal_Ledger!A:B, 2, FALSE), VLOOKUP(A354, Broker_Statement!A:B, 2, FALSE))</f>
        <v>INE002A01018</v>
      </c>
      <c r="C354" t="str">
        <f>IF(COUNTIF(Internal_Ledger!A:A, A354)=0, "Missing Internal", IF(COUNTIF(Broker_Statement!A:A, A354)=0, "Missing on Street", IF(D354&lt;&gt;E354, "Quantity Break", IF(F354&lt;&gt;G354, "Price Break", "Matched Perfectly"))))</f>
        <v>Matched Perfectly</v>
      </c>
      <c r="D354">
        <f>IFERROR(VLOOKUP(A354, Internal_Ledger!A:G, 5, FALSE), 0)</f>
        <v>4350</v>
      </c>
      <c r="E354">
        <f>IFERROR(VLOOKUP(A354, Broker_Statement!A:G, 5, FALSE), 0)</f>
        <v>4350</v>
      </c>
      <c r="F354">
        <f>IFERROR(VLOOKUP(A354, Internal_Ledger!A:G, 6, FALSE), 0)</f>
        <v>485.54000854492188</v>
      </c>
      <c r="G354">
        <f>IFERROR(VLOOKUP(A354, Broker_Statement!A:G, 6, FALSE), 0)</f>
        <v>485.54000854492188</v>
      </c>
      <c r="H354" s="7">
        <f t="shared" si="5"/>
        <v>0</v>
      </c>
    </row>
    <row r="355" spans="1:8" x14ac:dyDescent="0.3">
      <c r="A355" t="s">
        <v>385</v>
      </c>
      <c r="B355" t="str">
        <f>IFERROR(VLOOKUP(A355, Internal_Ledger!A:B, 2, FALSE), VLOOKUP(A355, Broker_Statement!A:B, 2, FALSE))</f>
        <v>INE009A01021</v>
      </c>
      <c r="C355" t="str">
        <f>IF(COUNTIF(Internal_Ledger!A:A, A355)=0, "Missing Internal", IF(COUNTIF(Broker_Statement!A:A, A355)=0, "Missing on Street", IF(D355&lt;&gt;E355, "Quantity Break", IF(F355&lt;&gt;G355, "Price Break", "Matched Perfectly"))))</f>
        <v>Matched Perfectly</v>
      </c>
      <c r="D355">
        <f>IFERROR(VLOOKUP(A355, Internal_Ledger!A:G, 5, FALSE), 0)</f>
        <v>4350</v>
      </c>
      <c r="E355">
        <f>IFERROR(VLOOKUP(A355, Broker_Statement!A:G, 5, FALSE), 0)</f>
        <v>4350</v>
      </c>
      <c r="F355">
        <f>IFERROR(VLOOKUP(A355, Internal_Ledger!A:G, 6, FALSE), 0)</f>
        <v>383.20001220703125</v>
      </c>
      <c r="G355">
        <f>IFERROR(VLOOKUP(A355, Broker_Statement!A:G, 6, FALSE), 0)</f>
        <v>383.20001220703125</v>
      </c>
      <c r="H355" s="7">
        <f t="shared" si="5"/>
        <v>0</v>
      </c>
    </row>
    <row r="356" spans="1:8" x14ac:dyDescent="0.3">
      <c r="A356" t="s">
        <v>386</v>
      </c>
      <c r="B356" t="str">
        <f>IFERROR(VLOOKUP(A356, Internal_Ledger!A:B, 2, FALSE), VLOOKUP(A356, Broker_Statement!A:B, 2, FALSE))</f>
        <v>INE030A01027</v>
      </c>
      <c r="C356" t="str">
        <f>IF(COUNTIF(Internal_Ledger!A:A, A356)=0, "Missing Internal", IF(COUNTIF(Broker_Statement!A:A, A356)=0, "Missing on Street", IF(D356&lt;&gt;E356, "Quantity Break", IF(F356&lt;&gt;G356, "Price Break", "Matched Perfectly"))))</f>
        <v>Matched Perfectly</v>
      </c>
      <c r="D356">
        <f>IFERROR(VLOOKUP(A356, Internal_Ledger!A:G, 5, FALSE), 0)</f>
        <v>1450</v>
      </c>
      <c r="E356">
        <f>IFERROR(VLOOKUP(A356, Broker_Statement!A:G, 5, FALSE), 0)</f>
        <v>1450</v>
      </c>
      <c r="F356">
        <f>IFERROR(VLOOKUP(A356, Internal_Ledger!A:G, 6, FALSE), 0)</f>
        <v>311.33999633789063</v>
      </c>
      <c r="G356">
        <f>IFERROR(VLOOKUP(A356, Broker_Statement!A:G, 6, FALSE), 0)</f>
        <v>311.33999633789063</v>
      </c>
      <c r="H356" s="7">
        <f t="shared" si="5"/>
        <v>0</v>
      </c>
    </row>
    <row r="357" spans="1:8" x14ac:dyDescent="0.3">
      <c r="A357" t="s">
        <v>387</v>
      </c>
      <c r="B357" t="str">
        <f>IFERROR(VLOOKUP(A357, Internal_Ledger!A:B, 2, FALSE), VLOOKUP(A357, Broker_Statement!A:B, 2, FALSE))</f>
        <v>INE018A01030</v>
      </c>
      <c r="C357" t="str">
        <f>IF(COUNTIF(Internal_Ledger!A:A, A357)=0, "Missing Internal", IF(COUNTIF(Broker_Statement!A:A, A357)=0, "Missing on Street", IF(D357&lt;&gt;E357, "Quantity Break", IF(F357&lt;&gt;G357, "Price Break", "Matched Perfectly"))))</f>
        <v>Matched Perfectly</v>
      </c>
      <c r="D357">
        <f>IFERROR(VLOOKUP(A357, Internal_Ledger!A:G, 5, FALSE), 0)</f>
        <v>1450</v>
      </c>
      <c r="E357">
        <f>IFERROR(VLOOKUP(A357, Broker_Statement!A:G, 5, FALSE), 0)</f>
        <v>1450</v>
      </c>
      <c r="F357">
        <f>IFERROR(VLOOKUP(A357, Internal_Ledger!A:G, 6, FALSE), 0)</f>
        <v>247.41000366210938</v>
      </c>
      <c r="G357">
        <f>IFERROR(VLOOKUP(A357, Broker_Statement!A:G, 6, FALSE), 0)</f>
        <v>247.41000366210938</v>
      </c>
      <c r="H357" s="7">
        <f t="shared" si="5"/>
        <v>0</v>
      </c>
    </row>
    <row r="358" spans="1:8" x14ac:dyDescent="0.3">
      <c r="A358" t="s">
        <v>388</v>
      </c>
      <c r="B358" t="str">
        <f>IFERROR(VLOOKUP(A358, Internal_Ledger!A:B, 2, FALSE), VLOOKUP(A358, Broker_Statement!A:B, 2, FALSE))</f>
        <v>INE009A01021</v>
      </c>
      <c r="C358" t="str">
        <f>IF(COUNTIF(Internal_Ledger!A:A, A358)=0, "Missing Internal", IF(COUNTIF(Broker_Statement!A:A, A358)=0, "Missing on Street", IF(D358&lt;&gt;E358, "Quantity Break", IF(F358&lt;&gt;G358, "Price Break", "Matched Perfectly"))))</f>
        <v>Quantity Break</v>
      </c>
      <c r="D358">
        <f>IFERROR(VLOOKUP(A358, Internal_Ledger!A:G, 5, FALSE), 0)</f>
        <v>3800</v>
      </c>
      <c r="E358">
        <f>IFERROR(VLOOKUP(A358, Broker_Statement!A:G, 5, FALSE), 0)</f>
        <v>3750</v>
      </c>
      <c r="F358">
        <f>IFERROR(VLOOKUP(A358, Internal_Ledger!A:G, 6, FALSE), 0)</f>
        <v>485.57000732421875</v>
      </c>
      <c r="G358">
        <f>IFERROR(VLOOKUP(A358, Broker_Statement!A:G, 6, FALSE), 0)</f>
        <v>485.57000732421875</v>
      </c>
      <c r="H358" s="7">
        <f t="shared" si="5"/>
        <v>24278.500366210938</v>
      </c>
    </row>
    <row r="359" spans="1:8" x14ac:dyDescent="0.3">
      <c r="A359" t="s">
        <v>389</v>
      </c>
      <c r="B359" t="str">
        <f>IFERROR(VLOOKUP(A359, Internal_Ledger!A:B, 2, FALSE), VLOOKUP(A359, Broker_Statement!A:B, 2, FALSE))</f>
        <v>INE030A01027</v>
      </c>
      <c r="C359" t="str">
        <f>IF(COUNTIF(Internal_Ledger!A:A, A359)=0, "Missing Internal", IF(COUNTIF(Broker_Statement!A:A, A359)=0, "Missing on Street", IF(D359&lt;&gt;E359, "Quantity Break", IF(F359&lt;&gt;G359, "Price Break", "Matched Perfectly"))))</f>
        <v>Matched Perfectly</v>
      </c>
      <c r="D359">
        <f>IFERROR(VLOOKUP(A359, Internal_Ledger!A:G, 5, FALSE), 0)</f>
        <v>2450</v>
      </c>
      <c r="E359">
        <f>IFERROR(VLOOKUP(A359, Broker_Statement!A:G, 5, FALSE), 0)</f>
        <v>2450</v>
      </c>
      <c r="F359">
        <f>IFERROR(VLOOKUP(A359, Internal_Ledger!A:G, 6, FALSE), 0)</f>
        <v>617.82000732421875</v>
      </c>
      <c r="G359">
        <f>IFERROR(VLOOKUP(A359, Broker_Statement!A:G, 6, FALSE), 0)</f>
        <v>617.82000732421875</v>
      </c>
      <c r="H359" s="7">
        <f t="shared" si="5"/>
        <v>0</v>
      </c>
    </row>
    <row r="360" spans="1:8" x14ac:dyDescent="0.3">
      <c r="A360" t="s">
        <v>390</v>
      </c>
      <c r="B360" t="str">
        <f>IFERROR(VLOOKUP(A360, Internal_Ledger!A:B, 2, FALSE), VLOOKUP(A360, Broker_Statement!A:B, 2, FALSE))</f>
        <v>INE002A01018</v>
      </c>
      <c r="C360" t="str">
        <f>IF(COUNTIF(Internal_Ledger!A:A, A360)=0, "Missing Internal", IF(COUNTIF(Broker_Statement!A:A, A360)=0, "Missing on Street", IF(D360&lt;&gt;E360, "Quantity Break", IF(F360&lt;&gt;G360, "Price Break", "Matched Perfectly"))))</f>
        <v>Matched Perfectly</v>
      </c>
      <c r="D360">
        <f>IFERROR(VLOOKUP(A360, Internal_Ledger!A:G, 5, FALSE), 0)</f>
        <v>4000</v>
      </c>
      <c r="E360">
        <f>IFERROR(VLOOKUP(A360, Broker_Statement!A:G, 5, FALSE), 0)</f>
        <v>4000</v>
      </c>
      <c r="F360">
        <f>IFERROR(VLOOKUP(A360, Internal_Ledger!A:G, 6, FALSE), 0)</f>
        <v>329.739990234375</v>
      </c>
      <c r="G360">
        <f>IFERROR(VLOOKUP(A360, Broker_Statement!A:G, 6, FALSE), 0)</f>
        <v>329.739990234375</v>
      </c>
      <c r="H360" s="7">
        <f t="shared" si="5"/>
        <v>0</v>
      </c>
    </row>
    <row r="361" spans="1:8" x14ac:dyDescent="0.3">
      <c r="A361" t="s">
        <v>391</v>
      </c>
      <c r="B361" t="str">
        <f>IFERROR(VLOOKUP(A361, Internal_Ledger!A:B, 2, FALSE), VLOOKUP(A361, Broker_Statement!A:B, 2, FALSE))</f>
        <v>INE030A01027</v>
      </c>
      <c r="C361" t="str">
        <f>IF(COUNTIF(Internal_Ledger!A:A, A361)=0, "Missing Internal", IF(COUNTIF(Broker_Statement!A:A, A361)=0, "Missing on Street", IF(D361&lt;&gt;E361, "Quantity Break", IF(F361&lt;&gt;G361, "Price Break", "Matched Perfectly"))))</f>
        <v>Matched Perfectly</v>
      </c>
      <c r="D361">
        <f>IFERROR(VLOOKUP(A361, Internal_Ledger!A:G, 5, FALSE), 0)</f>
        <v>1950</v>
      </c>
      <c r="E361">
        <f>IFERROR(VLOOKUP(A361, Broker_Statement!A:G, 5, FALSE), 0)</f>
        <v>1950</v>
      </c>
      <c r="F361">
        <f>IFERROR(VLOOKUP(A361, Internal_Ledger!A:G, 6, FALSE), 0)</f>
        <v>432.3900146484375</v>
      </c>
      <c r="G361">
        <f>IFERROR(VLOOKUP(A361, Broker_Statement!A:G, 6, FALSE), 0)</f>
        <v>432.3900146484375</v>
      </c>
      <c r="H361" s="7">
        <f t="shared" si="5"/>
        <v>0</v>
      </c>
    </row>
    <row r="362" spans="1:8" x14ac:dyDescent="0.3">
      <c r="A362" t="s">
        <v>392</v>
      </c>
      <c r="B362" t="str">
        <f>IFERROR(VLOOKUP(A362, Internal_Ledger!A:B, 2, FALSE), VLOOKUP(A362, Broker_Statement!A:B, 2, FALSE))</f>
        <v>INE009A01021</v>
      </c>
      <c r="C362" t="str">
        <f>IF(COUNTIF(Internal_Ledger!A:A, A362)=0, "Missing Internal", IF(COUNTIF(Broker_Statement!A:A, A362)=0, "Missing on Street", IF(D362&lt;&gt;E362, "Quantity Break", IF(F362&lt;&gt;G362, "Price Break", "Matched Perfectly"))))</f>
        <v>Matched Perfectly</v>
      </c>
      <c r="D362">
        <f>IFERROR(VLOOKUP(A362, Internal_Ledger!A:G, 5, FALSE), 0)</f>
        <v>1250</v>
      </c>
      <c r="E362">
        <f>IFERROR(VLOOKUP(A362, Broker_Statement!A:G, 5, FALSE), 0)</f>
        <v>1250</v>
      </c>
      <c r="F362">
        <f>IFERROR(VLOOKUP(A362, Internal_Ledger!A:G, 6, FALSE), 0)</f>
        <v>177.55999755859375</v>
      </c>
      <c r="G362">
        <f>IFERROR(VLOOKUP(A362, Broker_Statement!A:G, 6, FALSE), 0)</f>
        <v>177.55999755859375</v>
      </c>
      <c r="H362" s="7">
        <f t="shared" si="5"/>
        <v>0</v>
      </c>
    </row>
    <row r="363" spans="1:8" x14ac:dyDescent="0.3">
      <c r="A363" t="s">
        <v>393</v>
      </c>
      <c r="B363" t="str">
        <f>IFERROR(VLOOKUP(A363, Internal_Ledger!A:B, 2, FALSE), VLOOKUP(A363, Broker_Statement!A:B, 2, FALSE))</f>
        <v>INE002A01018</v>
      </c>
      <c r="C363" t="str">
        <f>IF(COUNTIF(Internal_Ledger!A:A, A363)=0, "Missing Internal", IF(COUNTIF(Broker_Statement!A:A, A363)=0, "Missing on Street", IF(D363&lt;&gt;E363, "Quantity Break", IF(F363&lt;&gt;G363, "Price Break", "Matched Perfectly"))))</f>
        <v>Matched Perfectly</v>
      </c>
      <c r="D363">
        <f>IFERROR(VLOOKUP(A363, Internal_Ledger!A:G, 5, FALSE), 0)</f>
        <v>50</v>
      </c>
      <c r="E363">
        <f>IFERROR(VLOOKUP(A363, Broker_Statement!A:G, 5, FALSE), 0)</f>
        <v>50</v>
      </c>
      <c r="F363">
        <f>IFERROR(VLOOKUP(A363, Internal_Ledger!A:G, 6, FALSE), 0)</f>
        <v>527.989990234375</v>
      </c>
      <c r="G363">
        <f>IFERROR(VLOOKUP(A363, Broker_Statement!A:G, 6, FALSE), 0)</f>
        <v>527.989990234375</v>
      </c>
      <c r="H363" s="7">
        <f t="shared" si="5"/>
        <v>0</v>
      </c>
    </row>
    <row r="364" spans="1:8" x14ac:dyDescent="0.3">
      <c r="A364" t="s">
        <v>394</v>
      </c>
      <c r="B364" t="str">
        <f>IFERROR(VLOOKUP(A364, Internal_Ledger!A:B, 2, FALSE), VLOOKUP(A364, Broker_Statement!A:B, 2, FALSE))</f>
        <v>INE009A01021</v>
      </c>
      <c r="C364" t="str">
        <f>IF(COUNTIF(Internal_Ledger!A:A, A364)=0, "Missing Internal", IF(COUNTIF(Broker_Statement!A:A, A364)=0, "Missing on Street", IF(D364&lt;&gt;E364, "Quantity Break", IF(F364&lt;&gt;G364, "Price Break", "Matched Perfectly"))))</f>
        <v>Missing on Street</v>
      </c>
      <c r="D364">
        <f>IFERROR(VLOOKUP(A364, Internal_Ledger!A:G, 5, FALSE), 0)</f>
        <v>400</v>
      </c>
      <c r="E364">
        <f>IFERROR(VLOOKUP(A364, Broker_Statement!A:G, 5, FALSE), 0)</f>
        <v>0</v>
      </c>
      <c r="F364">
        <f>IFERROR(VLOOKUP(A364, Internal_Ledger!A:G, 6, FALSE), 0)</f>
        <v>179.6300048828125</v>
      </c>
      <c r="G364">
        <f>IFERROR(VLOOKUP(A364, Broker_Statement!A:G, 6, FALSE), 0)</f>
        <v>0</v>
      </c>
      <c r="H364" s="7">
        <f t="shared" si="5"/>
        <v>71852.001953125</v>
      </c>
    </row>
    <row r="365" spans="1:8" x14ac:dyDescent="0.3">
      <c r="A365" t="s">
        <v>395</v>
      </c>
      <c r="B365" t="str">
        <f>IFERROR(VLOOKUP(A365, Internal_Ledger!A:B, 2, FALSE), VLOOKUP(A365, Broker_Statement!A:B, 2, FALSE))</f>
        <v>INE002A01018</v>
      </c>
      <c r="C365" t="str">
        <f>IF(COUNTIF(Internal_Ledger!A:A, A365)=0, "Missing Internal", IF(COUNTIF(Broker_Statement!A:A, A365)=0, "Missing on Street", IF(D365&lt;&gt;E365, "Quantity Break", IF(F365&lt;&gt;G365, "Price Break", "Matched Perfectly"))))</f>
        <v>Matched Perfectly</v>
      </c>
      <c r="D365">
        <f>IFERROR(VLOOKUP(A365, Internal_Ledger!A:G, 5, FALSE), 0)</f>
        <v>1700</v>
      </c>
      <c r="E365">
        <f>IFERROR(VLOOKUP(A365, Broker_Statement!A:G, 5, FALSE), 0)</f>
        <v>1700</v>
      </c>
      <c r="F365">
        <f>IFERROR(VLOOKUP(A365, Internal_Ledger!A:G, 6, FALSE), 0)</f>
        <v>257.6300048828125</v>
      </c>
      <c r="G365">
        <f>IFERROR(VLOOKUP(A365, Broker_Statement!A:G, 6, FALSE), 0)</f>
        <v>257.6300048828125</v>
      </c>
      <c r="H365" s="7">
        <f t="shared" si="5"/>
        <v>0</v>
      </c>
    </row>
    <row r="366" spans="1:8" x14ac:dyDescent="0.3">
      <c r="A366" t="s">
        <v>396</v>
      </c>
      <c r="B366" t="str">
        <f>IFERROR(VLOOKUP(A366, Internal_Ledger!A:B, 2, FALSE), VLOOKUP(A366, Broker_Statement!A:B, 2, FALSE))</f>
        <v>INE030A01027</v>
      </c>
      <c r="C366" t="str">
        <f>IF(COUNTIF(Internal_Ledger!A:A, A366)=0, "Missing Internal", IF(COUNTIF(Broker_Statement!A:A, A366)=0, "Missing on Street", IF(D366&lt;&gt;E366, "Quantity Break", IF(F366&lt;&gt;G366, "Price Break", "Matched Perfectly"))))</f>
        <v>Matched Perfectly</v>
      </c>
      <c r="D366">
        <f>IFERROR(VLOOKUP(A366, Internal_Ledger!A:G, 5, FALSE), 0)</f>
        <v>2050</v>
      </c>
      <c r="E366">
        <f>IFERROR(VLOOKUP(A366, Broker_Statement!A:G, 5, FALSE), 0)</f>
        <v>2050</v>
      </c>
      <c r="F366">
        <f>IFERROR(VLOOKUP(A366, Internal_Ledger!A:G, 6, FALSE), 0)</f>
        <v>233.13999938964844</v>
      </c>
      <c r="G366">
        <f>IFERROR(VLOOKUP(A366, Broker_Statement!A:G, 6, FALSE), 0)</f>
        <v>233.13999938964844</v>
      </c>
      <c r="H366" s="7">
        <f t="shared" si="5"/>
        <v>0</v>
      </c>
    </row>
    <row r="367" spans="1:8" x14ac:dyDescent="0.3">
      <c r="A367" t="s">
        <v>397</v>
      </c>
      <c r="B367" t="str">
        <f>IFERROR(VLOOKUP(A367, Internal_Ledger!A:B, 2, FALSE), VLOOKUP(A367, Broker_Statement!A:B, 2, FALSE))</f>
        <v>INE040A01034</v>
      </c>
      <c r="C367" t="str">
        <f>IF(COUNTIF(Internal_Ledger!A:A, A367)=0, "Missing Internal", IF(COUNTIF(Broker_Statement!A:A, A367)=0, "Missing on Street", IF(D367&lt;&gt;E367, "Quantity Break", IF(F367&lt;&gt;G367, "Price Break", "Matched Perfectly"))))</f>
        <v>Matched Perfectly</v>
      </c>
      <c r="D367">
        <f>IFERROR(VLOOKUP(A367, Internal_Ledger!A:G, 5, FALSE), 0)</f>
        <v>2700</v>
      </c>
      <c r="E367">
        <f>IFERROR(VLOOKUP(A367, Broker_Statement!A:G, 5, FALSE), 0)</f>
        <v>2700</v>
      </c>
      <c r="F367">
        <f>IFERROR(VLOOKUP(A367, Internal_Ledger!A:G, 6, FALSE), 0)</f>
        <v>232.60000610351563</v>
      </c>
      <c r="G367">
        <f>IFERROR(VLOOKUP(A367, Broker_Statement!A:G, 6, FALSE), 0)</f>
        <v>232.60000610351563</v>
      </c>
      <c r="H367" s="7">
        <f t="shared" si="5"/>
        <v>0</v>
      </c>
    </row>
    <row r="368" spans="1:8" x14ac:dyDescent="0.3">
      <c r="A368" t="s">
        <v>398</v>
      </c>
      <c r="B368" t="str">
        <f>IFERROR(VLOOKUP(A368, Internal_Ledger!A:B, 2, FALSE), VLOOKUP(A368, Broker_Statement!A:B, 2, FALSE))</f>
        <v>INE040A01034</v>
      </c>
      <c r="C368" t="str">
        <f>IF(COUNTIF(Internal_Ledger!A:A, A368)=0, "Missing Internal", IF(COUNTIF(Broker_Statement!A:A, A368)=0, "Missing on Street", IF(D368&lt;&gt;E368, "Quantity Break", IF(F368&lt;&gt;G368, "Price Break", "Matched Perfectly"))))</f>
        <v>Matched Perfectly</v>
      </c>
      <c r="D368">
        <f>IFERROR(VLOOKUP(A368, Internal_Ledger!A:G, 5, FALSE), 0)</f>
        <v>4150</v>
      </c>
      <c r="E368">
        <f>IFERROR(VLOOKUP(A368, Broker_Statement!A:G, 5, FALSE), 0)</f>
        <v>4150</v>
      </c>
      <c r="F368">
        <f>IFERROR(VLOOKUP(A368, Internal_Ledger!A:G, 6, FALSE), 0)</f>
        <v>536.54998779296875</v>
      </c>
      <c r="G368">
        <f>IFERROR(VLOOKUP(A368, Broker_Statement!A:G, 6, FALSE), 0)</f>
        <v>536.54998779296875</v>
      </c>
      <c r="H368" s="7">
        <f t="shared" si="5"/>
        <v>0</v>
      </c>
    </row>
    <row r="369" spans="1:8" x14ac:dyDescent="0.3">
      <c r="A369" t="s">
        <v>399</v>
      </c>
      <c r="B369" t="str">
        <f>IFERROR(VLOOKUP(A369, Internal_Ledger!A:B, 2, FALSE), VLOOKUP(A369, Broker_Statement!A:B, 2, FALSE))</f>
        <v>INE030A01027</v>
      </c>
      <c r="C369" t="str">
        <f>IF(COUNTIF(Internal_Ledger!A:A, A369)=0, "Missing Internal", IF(COUNTIF(Broker_Statement!A:A, A369)=0, "Missing on Street", IF(D369&lt;&gt;E369, "Quantity Break", IF(F369&lt;&gt;G369, "Price Break", "Matched Perfectly"))))</f>
        <v>Quantity Break</v>
      </c>
      <c r="D369">
        <f>IFERROR(VLOOKUP(A369, Internal_Ledger!A:G, 5, FALSE), 0)</f>
        <v>1650</v>
      </c>
      <c r="E369">
        <f>IFERROR(VLOOKUP(A369, Broker_Statement!A:G, 5, FALSE), 0)</f>
        <v>1600</v>
      </c>
      <c r="F369">
        <f>IFERROR(VLOOKUP(A369, Internal_Ledger!A:G, 6, FALSE), 0)</f>
        <v>189.69000244140625</v>
      </c>
      <c r="G369">
        <f>IFERROR(VLOOKUP(A369, Broker_Statement!A:G, 6, FALSE), 0)</f>
        <v>189.69000244140625</v>
      </c>
      <c r="H369" s="7">
        <f t="shared" si="5"/>
        <v>9484.5001220703125</v>
      </c>
    </row>
    <row r="370" spans="1:8" x14ac:dyDescent="0.3">
      <c r="A370" t="s">
        <v>400</v>
      </c>
      <c r="B370" t="str">
        <f>IFERROR(VLOOKUP(A370, Internal_Ledger!A:B, 2, FALSE), VLOOKUP(A370, Broker_Statement!A:B, 2, FALSE))</f>
        <v>INE040A01034</v>
      </c>
      <c r="C370" t="str">
        <f>IF(COUNTIF(Internal_Ledger!A:A, A370)=0, "Missing Internal", IF(COUNTIF(Broker_Statement!A:A, A370)=0, "Missing on Street", IF(D370&lt;&gt;E370, "Quantity Break", IF(F370&lt;&gt;G370, "Price Break", "Matched Perfectly"))))</f>
        <v>Matched Perfectly</v>
      </c>
      <c r="D370">
        <f>IFERROR(VLOOKUP(A370, Internal_Ledger!A:G, 5, FALSE), 0)</f>
        <v>4850</v>
      </c>
      <c r="E370">
        <f>IFERROR(VLOOKUP(A370, Broker_Statement!A:G, 5, FALSE), 0)</f>
        <v>4850</v>
      </c>
      <c r="F370">
        <f>IFERROR(VLOOKUP(A370, Internal_Ledger!A:G, 6, FALSE), 0)</f>
        <v>269.260009765625</v>
      </c>
      <c r="G370">
        <f>IFERROR(VLOOKUP(A370, Broker_Statement!A:G, 6, FALSE), 0)</f>
        <v>269.260009765625</v>
      </c>
      <c r="H370" s="7">
        <f t="shared" si="5"/>
        <v>0</v>
      </c>
    </row>
    <row r="371" spans="1:8" x14ac:dyDescent="0.3">
      <c r="A371" t="s">
        <v>401</v>
      </c>
      <c r="B371" t="str">
        <f>IFERROR(VLOOKUP(A371, Internal_Ledger!A:B, 2, FALSE), VLOOKUP(A371, Broker_Statement!A:B, 2, FALSE))</f>
        <v>INE040A01034</v>
      </c>
      <c r="C371" t="str">
        <f>IF(COUNTIF(Internal_Ledger!A:A, A371)=0, "Missing Internal", IF(COUNTIF(Broker_Statement!A:A, A371)=0, "Missing on Street", IF(D371&lt;&gt;E371, "Quantity Break", IF(F371&lt;&gt;G371, "Price Break", "Matched Perfectly"))))</f>
        <v>Matched Perfectly</v>
      </c>
      <c r="D371">
        <f>IFERROR(VLOOKUP(A371, Internal_Ledger!A:G, 5, FALSE), 0)</f>
        <v>3600</v>
      </c>
      <c r="E371">
        <f>IFERROR(VLOOKUP(A371, Broker_Statement!A:G, 5, FALSE), 0)</f>
        <v>3600</v>
      </c>
      <c r="F371">
        <f>IFERROR(VLOOKUP(A371, Internal_Ledger!A:G, 6, FALSE), 0)</f>
        <v>483.3699951171875</v>
      </c>
      <c r="G371">
        <f>IFERROR(VLOOKUP(A371, Broker_Statement!A:G, 6, FALSE), 0)</f>
        <v>483.3699951171875</v>
      </c>
      <c r="H371" s="7">
        <f t="shared" si="5"/>
        <v>0</v>
      </c>
    </row>
    <row r="372" spans="1:8" x14ac:dyDescent="0.3">
      <c r="A372" t="s">
        <v>402</v>
      </c>
      <c r="B372" t="str">
        <f>IFERROR(VLOOKUP(A372, Internal_Ledger!A:B, 2, FALSE), VLOOKUP(A372, Broker_Statement!A:B, 2, FALSE))</f>
        <v>INE002A01018</v>
      </c>
      <c r="C372" t="str">
        <f>IF(COUNTIF(Internal_Ledger!A:A, A372)=0, "Missing Internal", IF(COUNTIF(Broker_Statement!A:A, A372)=0, "Missing on Street", IF(D372&lt;&gt;E372, "Quantity Break", IF(F372&lt;&gt;G372, "Price Break", "Matched Perfectly"))))</f>
        <v>Quantity Break</v>
      </c>
      <c r="D372">
        <f>IFERROR(VLOOKUP(A372, Internal_Ledger!A:G, 5, FALSE), 0)</f>
        <v>1200</v>
      </c>
      <c r="E372">
        <f>IFERROR(VLOOKUP(A372, Broker_Statement!A:G, 5, FALSE), 0)</f>
        <v>1150</v>
      </c>
      <c r="F372">
        <f>IFERROR(VLOOKUP(A372, Internal_Ledger!A:G, 6, FALSE), 0)</f>
        <v>396.33999633789063</v>
      </c>
      <c r="G372">
        <f>IFERROR(VLOOKUP(A372, Broker_Statement!A:G, 6, FALSE), 0)</f>
        <v>396.33999633789063</v>
      </c>
      <c r="H372" s="7">
        <f t="shared" si="5"/>
        <v>19816.999816894531</v>
      </c>
    </row>
    <row r="373" spans="1:8" x14ac:dyDescent="0.3">
      <c r="A373" t="s">
        <v>403</v>
      </c>
      <c r="B373" t="str">
        <f>IFERROR(VLOOKUP(A373, Internal_Ledger!A:B, 2, FALSE), VLOOKUP(A373, Broker_Statement!A:B, 2, FALSE))</f>
        <v>INE018A01030</v>
      </c>
      <c r="C373" t="str">
        <f>IF(COUNTIF(Internal_Ledger!A:A, A373)=0, "Missing Internal", IF(COUNTIF(Broker_Statement!A:A, A373)=0, "Missing on Street", IF(D373&lt;&gt;E373, "Quantity Break", IF(F373&lt;&gt;G373, "Price Break", "Matched Perfectly"))))</f>
        <v>Matched Perfectly</v>
      </c>
      <c r="D373">
        <f>IFERROR(VLOOKUP(A373, Internal_Ledger!A:G, 5, FALSE), 0)</f>
        <v>4400</v>
      </c>
      <c r="E373">
        <f>IFERROR(VLOOKUP(A373, Broker_Statement!A:G, 5, FALSE), 0)</f>
        <v>4400</v>
      </c>
      <c r="F373">
        <f>IFERROR(VLOOKUP(A373, Internal_Ledger!A:G, 6, FALSE), 0)</f>
        <v>202.94000244140625</v>
      </c>
      <c r="G373">
        <f>IFERROR(VLOOKUP(A373, Broker_Statement!A:G, 6, FALSE), 0)</f>
        <v>202.94000244140625</v>
      </c>
      <c r="H373" s="7">
        <f t="shared" si="5"/>
        <v>0</v>
      </c>
    </row>
    <row r="374" spans="1:8" x14ac:dyDescent="0.3">
      <c r="A374" t="s">
        <v>404</v>
      </c>
      <c r="B374" t="str">
        <f>IFERROR(VLOOKUP(A374, Internal_Ledger!A:B, 2, FALSE), VLOOKUP(A374, Broker_Statement!A:B, 2, FALSE))</f>
        <v>INE018A01030</v>
      </c>
      <c r="C374" t="str">
        <f>IF(COUNTIF(Internal_Ledger!A:A, A374)=0, "Missing Internal", IF(COUNTIF(Broker_Statement!A:A, A374)=0, "Missing on Street", IF(D374&lt;&gt;E374, "Quantity Break", IF(F374&lt;&gt;G374, "Price Break", "Matched Perfectly"))))</f>
        <v>Matched Perfectly</v>
      </c>
      <c r="D374">
        <f>IFERROR(VLOOKUP(A374, Internal_Ledger!A:G, 5, FALSE), 0)</f>
        <v>4550</v>
      </c>
      <c r="E374">
        <f>IFERROR(VLOOKUP(A374, Broker_Statement!A:G, 5, FALSE), 0)</f>
        <v>4550</v>
      </c>
      <c r="F374">
        <f>IFERROR(VLOOKUP(A374, Internal_Ledger!A:G, 6, FALSE), 0)</f>
        <v>598.17999267578125</v>
      </c>
      <c r="G374">
        <f>IFERROR(VLOOKUP(A374, Broker_Statement!A:G, 6, FALSE), 0)</f>
        <v>598.17999267578125</v>
      </c>
      <c r="H374" s="7">
        <f t="shared" si="5"/>
        <v>0</v>
      </c>
    </row>
    <row r="375" spans="1:8" x14ac:dyDescent="0.3">
      <c r="A375" t="s">
        <v>405</v>
      </c>
      <c r="B375" t="str">
        <f>IFERROR(VLOOKUP(A375, Internal_Ledger!A:B, 2, FALSE), VLOOKUP(A375, Broker_Statement!A:B, 2, FALSE))</f>
        <v>INE040A01034</v>
      </c>
      <c r="C375" t="str">
        <f>IF(COUNTIF(Internal_Ledger!A:A, A375)=0, "Missing Internal", IF(COUNTIF(Broker_Statement!A:A, A375)=0, "Missing on Street", IF(D375&lt;&gt;E375, "Quantity Break", IF(F375&lt;&gt;G375, "Price Break", "Matched Perfectly"))))</f>
        <v>Matched Perfectly</v>
      </c>
      <c r="D375">
        <f>IFERROR(VLOOKUP(A375, Internal_Ledger!A:G, 5, FALSE), 0)</f>
        <v>1550</v>
      </c>
      <c r="E375">
        <f>IFERROR(VLOOKUP(A375, Broker_Statement!A:G, 5, FALSE), 0)</f>
        <v>1550</v>
      </c>
      <c r="F375">
        <f>IFERROR(VLOOKUP(A375, Internal_Ledger!A:G, 6, FALSE), 0)</f>
        <v>414.79998779296875</v>
      </c>
      <c r="G375">
        <f>IFERROR(VLOOKUP(A375, Broker_Statement!A:G, 6, FALSE), 0)</f>
        <v>414.79998779296875</v>
      </c>
      <c r="H375" s="7">
        <f t="shared" si="5"/>
        <v>0</v>
      </c>
    </row>
    <row r="376" spans="1:8" x14ac:dyDescent="0.3">
      <c r="A376" t="s">
        <v>406</v>
      </c>
      <c r="B376" t="str">
        <f>IFERROR(VLOOKUP(A376, Internal_Ledger!A:B, 2, FALSE), VLOOKUP(A376, Broker_Statement!A:B, 2, FALSE))</f>
        <v>INE030A01027</v>
      </c>
      <c r="C376" t="str">
        <f>IF(COUNTIF(Internal_Ledger!A:A, A376)=0, "Missing Internal", IF(COUNTIF(Broker_Statement!A:A, A376)=0, "Missing on Street", IF(D376&lt;&gt;E376, "Quantity Break", IF(F376&lt;&gt;G376, "Price Break", "Matched Perfectly"))))</f>
        <v>Matched Perfectly</v>
      </c>
      <c r="D376">
        <f>IFERROR(VLOOKUP(A376, Internal_Ledger!A:G, 5, FALSE), 0)</f>
        <v>2100</v>
      </c>
      <c r="E376">
        <f>IFERROR(VLOOKUP(A376, Broker_Statement!A:G, 5, FALSE), 0)</f>
        <v>2100</v>
      </c>
      <c r="F376">
        <f>IFERROR(VLOOKUP(A376, Internal_Ledger!A:G, 6, FALSE), 0)</f>
        <v>325.17999267578125</v>
      </c>
      <c r="G376">
        <f>IFERROR(VLOOKUP(A376, Broker_Statement!A:G, 6, FALSE), 0)</f>
        <v>325.17999267578125</v>
      </c>
      <c r="H376" s="7">
        <f t="shared" si="5"/>
        <v>0</v>
      </c>
    </row>
    <row r="377" spans="1:8" x14ac:dyDescent="0.3">
      <c r="A377" t="s">
        <v>407</v>
      </c>
      <c r="B377" t="str">
        <f>IFERROR(VLOOKUP(A377, Internal_Ledger!A:B, 2, FALSE), VLOOKUP(A377, Broker_Statement!A:B, 2, FALSE))</f>
        <v>INE030A01027</v>
      </c>
      <c r="C377" t="str">
        <f>IF(COUNTIF(Internal_Ledger!A:A, A377)=0, "Missing Internal", IF(COUNTIF(Broker_Statement!A:A, A377)=0, "Missing on Street", IF(D377&lt;&gt;E377, "Quantity Break", IF(F377&lt;&gt;G377, "Price Break", "Matched Perfectly"))))</f>
        <v>Missing on Street</v>
      </c>
      <c r="D377">
        <f>IFERROR(VLOOKUP(A377, Internal_Ledger!A:G, 5, FALSE), 0)</f>
        <v>1600</v>
      </c>
      <c r="E377">
        <f>IFERROR(VLOOKUP(A377, Broker_Statement!A:G, 5, FALSE), 0)</f>
        <v>0</v>
      </c>
      <c r="F377">
        <f>IFERROR(VLOOKUP(A377, Internal_Ledger!A:G, 6, FALSE), 0)</f>
        <v>529.54998779296875</v>
      </c>
      <c r="G377">
        <f>IFERROR(VLOOKUP(A377, Broker_Statement!A:G, 6, FALSE), 0)</f>
        <v>0</v>
      </c>
      <c r="H377" s="7">
        <f t="shared" si="5"/>
        <v>847279.98046875</v>
      </c>
    </row>
    <row r="378" spans="1:8" x14ac:dyDescent="0.3">
      <c r="A378" t="s">
        <v>408</v>
      </c>
      <c r="B378" t="str">
        <f>IFERROR(VLOOKUP(A378, Internal_Ledger!A:B, 2, FALSE), VLOOKUP(A378, Broker_Statement!A:B, 2, FALSE))</f>
        <v>INE018A01030</v>
      </c>
      <c r="C378" t="str">
        <f>IF(COUNTIF(Internal_Ledger!A:A, A378)=0, "Missing Internal", IF(COUNTIF(Broker_Statement!A:A, A378)=0, "Missing on Street", IF(D378&lt;&gt;E378, "Quantity Break", IF(F378&lt;&gt;G378, "Price Break", "Matched Perfectly"))))</f>
        <v>Matched Perfectly</v>
      </c>
      <c r="D378">
        <f>IFERROR(VLOOKUP(A378, Internal_Ledger!A:G, 5, FALSE), 0)</f>
        <v>4400</v>
      </c>
      <c r="E378">
        <f>IFERROR(VLOOKUP(A378, Broker_Statement!A:G, 5, FALSE), 0)</f>
        <v>4400</v>
      </c>
      <c r="F378">
        <f>IFERROR(VLOOKUP(A378, Internal_Ledger!A:G, 6, FALSE), 0)</f>
        <v>477.45001220703125</v>
      </c>
      <c r="G378">
        <f>IFERROR(VLOOKUP(A378, Broker_Statement!A:G, 6, FALSE), 0)</f>
        <v>477.45001220703125</v>
      </c>
      <c r="H378" s="7">
        <f t="shared" si="5"/>
        <v>0</v>
      </c>
    </row>
    <row r="379" spans="1:8" x14ac:dyDescent="0.3">
      <c r="A379" t="s">
        <v>409</v>
      </c>
      <c r="B379" t="str">
        <f>IFERROR(VLOOKUP(A379, Internal_Ledger!A:B, 2, FALSE), VLOOKUP(A379, Broker_Statement!A:B, 2, FALSE))</f>
        <v>INE009A01021</v>
      </c>
      <c r="C379" t="str">
        <f>IF(COUNTIF(Internal_Ledger!A:A, A379)=0, "Missing Internal", IF(COUNTIF(Broker_Statement!A:A, A379)=0, "Missing on Street", IF(D379&lt;&gt;E379, "Quantity Break", IF(F379&lt;&gt;G379, "Price Break", "Matched Perfectly"))))</f>
        <v>Matched Perfectly</v>
      </c>
      <c r="D379">
        <f>IFERROR(VLOOKUP(A379, Internal_Ledger!A:G, 5, FALSE), 0)</f>
        <v>3150</v>
      </c>
      <c r="E379">
        <f>IFERROR(VLOOKUP(A379, Broker_Statement!A:G, 5, FALSE), 0)</f>
        <v>3150</v>
      </c>
      <c r="F379">
        <f>IFERROR(VLOOKUP(A379, Internal_Ledger!A:G, 6, FALSE), 0)</f>
        <v>294.239990234375</v>
      </c>
      <c r="G379">
        <f>IFERROR(VLOOKUP(A379, Broker_Statement!A:G, 6, FALSE), 0)</f>
        <v>294.239990234375</v>
      </c>
      <c r="H379" s="7">
        <f t="shared" si="5"/>
        <v>0</v>
      </c>
    </row>
    <row r="380" spans="1:8" x14ac:dyDescent="0.3">
      <c r="A380" t="s">
        <v>410</v>
      </c>
      <c r="B380" t="str">
        <f>IFERROR(VLOOKUP(A380, Internal_Ledger!A:B, 2, FALSE), VLOOKUP(A380, Broker_Statement!A:B, 2, FALSE))</f>
        <v>INE040A01034</v>
      </c>
      <c r="C380" t="str">
        <f>IF(COUNTIF(Internal_Ledger!A:A, A380)=0, "Missing Internal", IF(COUNTIF(Broker_Statement!A:A, A380)=0, "Missing on Street", IF(D380&lt;&gt;E380, "Quantity Break", IF(F380&lt;&gt;G380, "Price Break", "Matched Perfectly"))))</f>
        <v>Price Break</v>
      </c>
      <c r="D380">
        <f>IFERROR(VLOOKUP(A380, Internal_Ledger!A:G, 5, FALSE), 0)</f>
        <v>4700</v>
      </c>
      <c r="E380">
        <f>IFERROR(VLOOKUP(A380, Broker_Statement!A:G, 5, FALSE), 0)</f>
        <v>4700</v>
      </c>
      <c r="F380">
        <f>IFERROR(VLOOKUP(A380, Internal_Ledger!A:G, 6, FALSE), 0)</f>
        <v>209.52000427246094</v>
      </c>
      <c r="G380">
        <f>IFERROR(VLOOKUP(A380, Broker_Statement!A:G, 6, FALSE), 0)</f>
        <v>208.96000427007675</v>
      </c>
      <c r="H380" s="7">
        <f t="shared" si="5"/>
        <v>2632.0000112056732</v>
      </c>
    </row>
    <row r="381" spans="1:8" x14ac:dyDescent="0.3">
      <c r="A381" t="s">
        <v>411</v>
      </c>
      <c r="B381" t="str">
        <f>IFERROR(VLOOKUP(A381, Internal_Ledger!A:B, 2, FALSE), VLOOKUP(A381, Broker_Statement!A:B, 2, FALSE))</f>
        <v>INE040A01034</v>
      </c>
      <c r="C381" t="str">
        <f>IF(COUNTIF(Internal_Ledger!A:A, A381)=0, "Missing Internal", IF(COUNTIF(Broker_Statement!A:A, A381)=0, "Missing on Street", IF(D381&lt;&gt;E381, "Quantity Break", IF(F381&lt;&gt;G381, "Price Break", "Matched Perfectly"))))</f>
        <v>Matched Perfectly</v>
      </c>
      <c r="D381">
        <f>IFERROR(VLOOKUP(A381, Internal_Ledger!A:G, 5, FALSE), 0)</f>
        <v>2600</v>
      </c>
      <c r="E381">
        <f>IFERROR(VLOOKUP(A381, Broker_Statement!A:G, 5, FALSE), 0)</f>
        <v>2600</v>
      </c>
      <c r="F381">
        <f>IFERROR(VLOOKUP(A381, Internal_Ledger!A:G, 6, FALSE), 0)</f>
        <v>506.260009765625</v>
      </c>
      <c r="G381">
        <f>IFERROR(VLOOKUP(A381, Broker_Statement!A:G, 6, FALSE), 0)</f>
        <v>506.260009765625</v>
      </c>
      <c r="H381" s="7">
        <f t="shared" si="5"/>
        <v>0</v>
      </c>
    </row>
    <row r="382" spans="1:8" x14ac:dyDescent="0.3">
      <c r="A382" t="s">
        <v>412</v>
      </c>
      <c r="B382" t="str">
        <f>IFERROR(VLOOKUP(A382, Internal_Ledger!A:B, 2, FALSE), VLOOKUP(A382, Broker_Statement!A:B, 2, FALSE))</f>
        <v>INE030A01027</v>
      </c>
      <c r="C382" t="str">
        <f>IF(COUNTIF(Internal_Ledger!A:A, A382)=0, "Missing Internal", IF(COUNTIF(Broker_Statement!A:A, A382)=0, "Missing on Street", IF(D382&lt;&gt;E382, "Quantity Break", IF(F382&lt;&gt;G382, "Price Break", "Matched Perfectly"))))</f>
        <v>Matched Perfectly</v>
      </c>
      <c r="D382">
        <f>IFERROR(VLOOKUP(A382, Internal_Ledger!A:G, 5, FALSE), 0)</f>
        <v>2100</v>
      </c>
      <c r="E382">
        <f>IFERROR(VLOOKUP(A382, Broker_Statement!A:G, 5, FALSE), 0)</f>
        <v>2100</v>
      </c>
      <c r="F382">
        <f>IFERROR(VLOOKUP(A382, Internal_Ledger!A:G, 6, FALSE), 0)</f>
        <v>356.70999145507813</v>
      </c>
      <c r="G382">
        <f>IFERROR(VLOOKUP(A382, Broker_Statement!A:G, 6, FALSE), 0)</f>
        <v>356.70999145507813</v>
      </c>
      <c r="H382" s="7">
        <f t="shared" si="5"/>
        <v>0</v>
      </c>
    </row>
    <row r="383" spans="1:8" x14ac:dyDescent="0.3">
      <c r="A383" t="s">
        <v>413</v>
      </c>
      <c r="B383" t="str">
        <f>IFERROR(VLOOKUP(A383, Internal_Ledger!A:B, 2, FALSE), VLOOKUP(A383, Broker_Statement!A:B, 2, FALSE))</f>
        <v>INE040A01034</v>
      </c>
      <c r="C383" t="str">
        <f>IF(COUNTIF(Internal_Ledger!A:A, A383)=0, "Missing Internal", IF(COUNTIF(Broker_Statement!A:A, A383)=0, "Missing on Street", IF(D383&lt;&gt;E383, "Quantity Break", IF(F383&lt;&gt;G383, "Price Break", "Matched Perfectly"))))</f>
        <v>Matched Perfectly</v>
      </c>
      <c r="D383">
        <f>IFERROR(VLOOKUP(A383, Internal_Ledger!A:G, 5, FALSE), 0)</f>
        <v>1250</v>
      </c>
      <c r="E383">
        <f>IFERROR(VLOOKUP(A383, Broker_Statement!A:G, 5, FALSE), 0)</f>
        <v>1250</v>
      </c>
      <c r="F383">
        <f>IFERROR(VLOOKUP(A383, Internal_Ledger!A:G, 6, FALSE), 0)</f>
        <v>389.8900146484375</v>
      </c>
      <c r="G383">
        <f>IFERROR(VLOOKUP(A383, Broker_Statement!A:G, 6, FALSE), 0)</f>
        <v>389.8900146484375</v>
      </c>
      <c r="H383" s="7">
        <f t="shared" si="5"/>
        <v>0</v>
      </c>
    </row>
    <row r="384" spans="1:8" x14ac:dyDescent="0.3">
      <c r="A384" t="s">
        <v>414</v>
      </c>
      <c r="B384" t="str">
        <f>IFERROR(VLOOKUP(A384, Internal_Ledger!A:B, 2, FALSE), VLOOKUP(A384, Broker_Statement!A:B, 2, FALSE))</f>
        <v>INE030A01027</v>
      </c>
      <c r="C384" t="str">
        <f>IF(COUNTIF(Internal_Ledger!A:A, A384)=0, "Missing Internal", IF(COUNTIF(Broker_Statement!A:A, A384)=0, "Missing on Street", IF(D384&lt;&gt;E384, "Quantity Break", IF(F384&lt;&gt;G384, "Price Break", "Matched Perfectly"))))</f>
        <v>Matched Perfectly</v>
      </c>
      <c r="D384">
        <f>IFERROR(VLOOKUP(A384, Internal_Ledger!A:G, 5, FALSE), 0)</f>
        <v>3600</v>
      </c>
      <c r="E384">
        <f>IFERROR(VLOOKUP(A384, Broker_Statement!A:G, 5, FALSE), 0)</f>
        <v>3600</v>
      </c>
      <c r="F384">
        <f>IFERROR(VLOOKUP(A384, Internal_Ledger!A:G, 6, FALSE), 0)</f>
        <v>221.72000122070313</v>
      </c>
      <c r="G384">
        <f>IFERROR(VLOOKUP(A384, Broker_Statement!A:G, 6, FALSE), 0)</f>
        <v>221.72000122070313</v>
      </c>
      <c r="H384" s="7">
        <f t="shared" si="5"/>
        <v>0</v>
      </c>
    </row>
    <row r="385" spans="1:8" x14ac:dyDescent="0.3">
      <c r="A385" t="s">
        <v>415</v>
      </c>
      <c r="B385" t="str">
        <f>IFERROR(VLOOKUP(A385, Internal_Ledger!A:B, 2, FALSE), VLOOKUP(A385, Broker_Statement!A:B, 2, FALSE))</f>
        <v>INE030A01027</v>
      </c>
      <c r="C385" t="str">
        <f>IF(COUNTIF(Internal_Ledger!A:A, A385)=0, "Missing Internal", IF(COUNTIF(Broker_Statement!A:A, A385)=0, "Missing on Street", IF(D385&lt;&gt;E385, "Quantity Break", IF(F385&lt;&gt;G385, "Price Break", "Matched Perfectly"))))</f>
        <v>Matched Perfectly</v>
      </c>
      <c r="D385">
        <f>IFERROR(VLOOKUP(A385, Internal_Ledger!A:G, 5, FALSE), 0)</f>
        <v>1950</v>
      </c>
      <c r="E385">
        <f>IFERROR(VLOOKUP(A385, Broker_Statement!A:G, 5, FALSE), 0)</f>
        <v>1950</v>
      </c>
      <c r="F385">
        <f>IFERROR(VLOOKUP(A385, Internal_Ledger!A:G, 6, FALSE), 0)</f>
        <v>249.77000427246094</v>
      </c>
      <c r="G385">
        <f>IFERROR(VLOOKUP(A385, Broker_Statement!A:G, 6, FALSE), 0)</f>
        <v>249.77000427246094</v>
      </c>
      <c r="H385" s="7">
        <f t="shared" si="5"/>
        <v>0</v>
      </c>
    </row>
    <row r="386" spans="1:8" x14ac:dyDescent="0.3">
      <c r="A386" t="s">
        <v>416</v>
      </c>
      <c r="B386" t="str">
        <f>IFERROR(VLOOKUP(A386, Internal_Ledger!A:B, 2, FALSE), VLOOKUP(A386, Broker_Statement!A:B, 2, FALSE))</f>
        <v>INE040A01034</v>
      </c>
      <c r="C386" t="str">
        <f>IF(COUNTIF(Internal_Ledger!A:A, A386)=0, "Missing Internal", IF(COUNTIF(Broker_Statement!A:A, A386)=0, "Missing on Street", IF(D386&lt;&gt;E386, "Quantity Break", IF(F386&lt;&gt;G386, "Price Break", "Matched Perfectly"))))</f>
        <v>Matched Perfectly</v>
      </c>
      <c r="D386">
        <f>IFERROR(VLOOKUP(A386, Internal_Ledger!A:G, 5, FALSE), 0)</f>
        <v>4950</v>
      </c>
      <c r="E386">
        <f>IFERROR(VLOOKUP(A386, Broker_Statement!A:G, 5, FALSE), 0)</f>
        <v>4950</v>
      </c>
      <c r="F386">
        <f>IFERROR(VLOOKUP(A386, Internal_Ledger!A:G, 6, FALSE), 0)</f>
        <v>379.6099853515625</v>
      </c>
      <c r="G386">
        <f>IFERROR(VLOOKUP(A386, Broker_Statement!A:G, 6, FALSE), 0)</f>
        <v>379.6099853515625</v>
      </c>
      <c r="H386" s="7">
        <f t="shared" si="5"/>
        <v>0</v>
      </c>
    </row>
    <row r="387" spans="1:8" x14ac:dyDescent="0.3">
      <c r="A387" t="s">
        <v>417</v>
      </c>
      <c r="B387" t="str">
        <f>IFERROR(VLOOKUP(A387, Internal_Ledger!A:B, 2, FALSE), VLOOKUP(A387, Broker_Statement!A:B, 2, FALSE))</f>
        <v>INE009A01021</v>
      </c>
      <c r="C387" t="str">
        <f>IF(COUNTIF(Internal_Ledger!A:A, A387)=0, "Missing Internal", IF(COUNTIF(Broker_Statement!A:A, A387)=0, "Missing on Street", IF(D387&lt;&gt;E387, "Quantity Break", IF(F387&lt;&gt;G387, "Price Break", "Matched Perfectly"))))</f>
        <v>Matched Perfectly</v>
      </c>
      <c r="D387">
        <f>IFERROR(VLOOKUP(A387, Internal_Ledger!A:G, 5, FALSE), 0)</f>
        <v>4850</v>
      </c>
      <c r="E387">
        <f>IFERROR(VLOOKUP(A387, Broker_Statement!A:G, 5, FALSE), 0)</f>
        <v>4850</v>
      </c>
      <c r="F387">
        <f>IFERROR(VLOOKUP(A387, Internal_Ledger!A:G, 6, FALSE), 0)</f>
        <v>510.80999755859375</v>
      </c>
      <c r="G387">
        <f>IFERROR(VLOOKUP(A387, Broker_Statement!A:G, 6, FALSE), 0)</f>
        <v>510.80999755859375</v>
      </c>
      <c r="H387" s="7">
        <f t="shared" ref="H387:H450" si="6">ABS((D387*F387) - (E387*G387))</f>
        <v>0</v>
      </c>
    </row>
    <row r="388" spans="1:8" x14ac:dyDescent="0.3">
      <c r="A388" t="s">
        <v>418</v>
      </c>
      <c r="B388" t="str">
        <f>IFERROR(VLOOKUP(A388, Internal_Ledger!A:B, 2, FALSE), VLOOKUP(A388, Broker_Statement!A:B, 2, FALSE))</f>
        <v>INE018A01030</v>
      </c>
      <c r="C388" t="str">
        <f>IF(COUNTIF(Internal_Ledger!A:A, A388)=0, "Missing Internal", IF(COUNTIF(Broker_Statement!A:A, A388)=0, "Missing on Street", IF(D388&lt;&gt;E388, "Quantity Break", IF(F388&lt;&gt;G388, "Price Break", "Matched Perfectly"))))</f>
        <v>Matched Perfectly</v>
      </c>
      <c r="D388">
        <f>IFERROR(VLOOKUP(A388, Internal_Ledger!A:G, 5, FALSE), 0)</f>
        <v>3450</v>
      </c>
      <c r="E388">
        <f>IFERROR(VLOOKUP(A388, Broker_Statement!A:G, 5, FALSE), 0)</f>
        <v>3450</v>
      </c>
      <c r="F388">
        <f>IFERROR(VLOOKUP(A388, Internal_Ledger!A:G, 6, FALSE), 0)</f>
        <v>392.239990234375</v>
      </c>
      <c r="G388">
        <f>IFERROR(VLOOKUP(A388, Broker_Statement!A:G, 6, FALSE), 0)</f>
        <v>392.239990234375</v>
      </c>
      <c r="H388" s="7">
        <f t="shared" si="6"/>
        <v>0</v>
      </c>
    </row>
    <row r="389" spans="1:8" x14ac:dyDescent="0.3">
      <c r="A389" t="s">
        <v>419</v>
      </c>
      <c r="B389" t="str">
        <f>IFERROR(VLOOKUP(A389, Internal_Ledger!A:B, 2, FALSE), VLOOKUP(A389, Broker_Statement!A:B, 2, FALSE))</f>
        <v>INE040A01034</v>
      </c>
      <c r="C389" t="str">
        <f>IF(COUNTIF(Internal_Ledger!A:A, A389)=0, "Missing Internal", IF(COUNTIF(Broker_Statement!A:A, A389)=0, "Missing on Street", IF(D389&lt;&gt;E389, "Quantity Break", IF(F389&lt;&gt;G389, "Price Break", "Matched Perfectly"))))</f>
        <v>Matched Perfectly</v>
      </c>
      <c r="D389">
        <f>IFERROR(VLOOKUP(A389, Internal_Ledger!A:G, 5, FALSE), 0)</f>
        <v>1800</v>
      </c>
      <c r="E389">
        <f>IFERROR(VLOOKUP(A389, Broker_Statement!A:G, 5, FALSE), 0)</f>
        <v>1800</v>
      </c>
      <c r="F389">
        <f>IFERROR(VLOOKUP(A389, Internal_Ledger!A:G, 6, FALSE), 0)</f>
        <v>580.78997802734375</v>
      </c>
      <c r="G389">
        <f>IFERROR(VLOOKUP(A389, Broker_Statement!A:G, 6, FALSE), 0)</f>
        <v>580.78997802734375</v>
      </c>
      <c r="H389" s="7">
        <f t="shared" si="6"/>
        <v>0</v>
      </c>
    </row>
    <row r="390" spans="1:8" x14ac:dyDescent="0.3">
      <c r="A390" t="s">
        <v>420</v>
      </c>
      <c r="B390" t="str">
        <f>IFERROR(VLOOKUP(A390, Internal_Ledger!A:B, 2, FALSE), VLOOKUP(A390, Broker_Statement!A:B, 2, FALSE))</f>
        <v>INE040A01034</v>
      </c>
      <c r="C390" t="str">
        <f>IF(COUNTIF(Internal_Ledger!A:A, A390)=0, "Missing Internal", IF(COUNTIF(Broker_Statement!A:A, A390)=0, "Missing on Street", IF(D390&lt;&gt;E390, "Quantity Break", IF(F390&lt;&gt;G390, "Price Break", "Matched Perfectly"))))</f>
        <v>Matched Perfectly</v>
      </c>
      <c r="D390">
        <f>IFERROR(VLOOKUP(A390, Internal_Ledger!A:G, 5, FALSE), 0)</f>
        <v>2750</v>
      </c>
      <c r="E390">
        <f>IFERROR(VLOOKUP(A390, Broker_Statement!A:G, 5, FALSE), 0)</f>
        <v>2750</v>
      </c>
      <c r="F390">
        <f>IFERROR(VLOOKUP(A390, Internal_Ledger!A:G, 6, FALSE), 0)</f>
        <v>362.989990234375</v>
      </c>
      <c r="G390">
        <f>IFERROR(VLOOKUP(A390, Broker_Statement!A:G, 6, FALSE), 0)</f>
        <v>362.989990234375</v>
      </c>
      <c r="H390" s="7">
        <f t="shared" si="6"/>
        <v>0</v>
      </c>
    </row>
    <row r="391" spans="1:8" x14ac:dyDescent="0.3">
      <c r="A391" t="s">
        <v>421</v>
      </c>
      <c r="B391" t="str">
        <f>IFERROR(VLOOKUP(A391, Internal_Ledger!A:B, 2, FALSE), VLOOKUP(A391, Broker_Statement!A:B, 2, FALSE))</f>
        <v>INE002A01018</v>
      </c>
      <c r="C391" t="str">
        <f>IF(COUNTIF(Internal_Ledger!A:A, A391)=0, "Missing Internal", IF(COUNTIF(Broker_Statement!A:A, A391)=0, "Missing on Street", IF(D391&lt;&gt;E391, "Quantity Break", IF(F391&lt;&gt;G391, "Price Break", "Matched Perfectly"))))</f>
        <v>Matched Perfectly</v>
      </c>
      <c r="D391">
        <f>IFERROR(VLOOKUP(A391, Internal_Ledger!A:G, 5, FALSE), 0)</f>
        <v>3900</v>
      </c>
      <c r="E391">
        <f>IFERROR(VLOOKUP(A391, Broker_Statement!A:G, 5, FALSE), 0)</f>
        <v>3900</v>
      </c>
      <c r="F391">
        <f>IFERROR(VLOOKUP(A391, Internal_Ledger!A:G, 6, FALSE), 0)</f>
        <v>623.8900146484375</v>
      </c>
      <c r="G391">
        <f>IFERROR(VLOOKUP(A391, Broker_Statement!A:G, 6, FALSE), 0)</f>
        <v>623.8900146484375</v>
      </c>
      <c r="H391" s="7">
        <f t="shared" si="6"/>
        <v>0</v>
      </c>
    </row>
    <row r="392" spans="1:8" x14ac:dyDescent="0.3">
      <c r="A392" t="s">
        <v>422</v>
      </c>
      <c r="B392" t="str">
        <f>IFERROR(VLOOKUP(A392, Internal_Ledger!A:B, 2, FALSE), VLOOKUP(A392, Broker_Statement!A:B, 2, FALSE))</f>
        <v>INE040A01034</v>
      </c>
      <c r="C392" t="str">
        <f>IF(COUNTIF(Internal_Ledger!A:A, A392)=0, "Missing Internal", IF(COUNTIF(Broker_Statement!A:A, A392)=0, "Missing on Street", IF(D392&lt;&gt;E392, "Quantity Break", IF(F392&lt;&gt;G392, "Price Break", "Matched Perfectly"))))</f>
        <v>Matched Perfectly</v>
      </c>
      <c r="D392">
        <f>IFERROR(VLOOKUP(A392, Internal_Ledger!A:G, 5, FALSE), 0)</f>
        <v>3700</v>
      </c>
      <c r="E392">
        <f>IFERROR(VLOOKUP(A392, Broker_Statement!A:G, 5, FALSE), 0)</f>
        <v>3700</v>
      </c>
      <c r="F392">
        <f>IFERROR(VLOOKUP(A392, Internal_Ledger!A:G, 6, FALSE), 0)</f>
        <v>272.6400146484375</v>
      </c>
      <c r="G392">
        <f>IFERROR(VLOOKUP(A392, Broker_Statement!A:G, 6, FALSE), 0)</f>
        <v>272.6400146484375</v>
      </c>
      <c r="H392" s="7">
        <f t="shared" si="6"/>
        <v>0</v>
      </c>
    </row>
    <row r="393" spans="1:8" x14ac:dyDescent="0.3">
      <c r="A393" t="s">
        <v>423</v>
      </c>
      <c r="B393" t="str">
        <f>IFERROR(VLOOKUP(A393, Internal_Ledger!A:B, 2, FALSE), VLOOKUP(A393, Broker_Statement!A:B, 2, FALSE))</f>
        <v>INE009A01021</v>
      </c>
      <c r="C393" t="str">
        <f>IF(COUNTIF(Internal_Ledger!A:A, A393)=0, "Missing Internal", IF(COUNTIF(Broker_Statement!A:A, A393)=0, "Missing on Street", IF(D393&lt;&gt;E393, "Quantity Break", IF(F393&lt;&gt;G393, "Price Break", "Matched Perfectly"))))</f>
        <v>Matched Perfectly</v>
      </c>
      <c r="D393">
        <f>IFERROR(VLOOKUP(A393, Internal_Ledger!A:G, 5, FALSE), 0)</f>
        <v>4900</v>
      </c>
      <c r="E393">
        <f>IFERROR(VLOOKUP(A393, Broker_Statement!A:G, 5, FALSE), 0)</f>
        <v>4900</v>
      </c>
      <c r="F393">
        <f>IFERROR(VLOOKUP(A393, Internal_Ledger!A:G, 6, FALSE), 0)</f>
        <v>459.02999877929688</v>
      </c>
      <c r="G393">
        <f>IFERROR(VLOOKUP(A393, Broker_Statement!A:G, 6, FALSE), 0)</f>
        <v>459.02999877929688</v>
      </c>
      <c r="H393" s="7">
        <f t="shared" si="6"/>
        <v>0</v>
      </c>
    </row>
    <row r="394" spans="1:8" x14ac:dyDescent="0.3">
      <c r="A394" t="s">
        <v>424</v>
      </c>
      <c r="B394" t="str">
        <f>IFERROR(VLOOKUP(A394, Internal_Ledger!A:B, 2, FALSE), VLOOKUP(A394, Broker_Statement!A:B, 2, FALSE))</f>
        <v>INE002A01018</v>
      </c>
      <c r="C394" t="str">
        <f>IF(COUNTIF(Internal_Ledger!A:A, A394)=0, "Missing Internal", IF(COUNTIF(Broker_Statement!A:A, A394)=0, "Missing on Street", IF(D394&lt;&gt;E394, "Quantity Break", IF(F394&lt;&gt;G394, "Price Break", "Matched Perfectly"))))</f>
        <v>Matched Perfectly</v>
      </c>
      <c r="D394">
        <f>IFERROR(VLOOKUP(A394, Internal_Ledger!A:G, 5, FALSE), 0)</f>
        <v>900</v>
      </c>
      <c r="E394">
        <f>IFERROR(VLOOKUP(A394, Broker_Statement!A:G, 5, FALSE), 0)</f>
        <v>900</v>
      </c>
      <c r="F394">
        <f>IFERROR(VLOOKUP(A394, Internal_Ledger!A:G, 6, FALSE), 0)</f>
        <v>440.39999389648438</v>
      </c>
      <c r="G394">
        <f>IFERROR(VLOOKUP(A394, Broker_Statement!A:G, 6, FALSE), 0)</f>
        <v>440.39999389648438</v>
      </c>
      <c r="H394" s="7">
        <f t="shared" si="6"/>
        <v>0</v>
      </c>
    </row>
    <row r="395" spans="1:8" x14ac:dyDescent="0.3">
      <c r="A395" t="s">
        <v>425</v>
      </c>
      <c r="B395" t="str">
        <f>IFERROR(VLOOKUP(A395, Internal_Ledger!A:B, 2, FALSE), VLOOKUP(A395, Broker_Statement!A:B, 2, FALSE))</f>
        <v>INE018A01030</v>
      </c>
      <c r="C395" t="str">
        <f>IF(COUNTIF(Internal_Ledger!A:A, A395)=0, "Missing Internal", IF(COUNTIF(Broker_Statement!A:A, A395)=0, "Missing on Street", IF(D395&lt;&gt;E395, "Quantity Break", IF(F395&lt;&gt;G395, "Price Break", "Matched Perfectly"))))</f>
        <v>Matched Perfectly</v>
      </c>
      <c r="D395">
        <f>IFERROR(VLOOKUP(A395, Internal_Ledger!A:G, 5, FALSE), 0)</f>
        <v>1400</v>
      </c>
      <c r="E395">
        <f>IFERROR(VLOOKUP(A395, Broker_Statement!A:G, 5, FALSE), 0)</f>
        <v>1400</v>
      </c>
      <c r="F395">
        <f>IFERROR(VLOOKUP(A395, Internal_Ledger!A:G, 6, FALSE), 0)</f>
        <v>583.3800048828125</v>
      </c>
      <c r="G395">
        <f>IFERROR(VLOOKUP(A395, Broker_Statement!A:G, 6, FALSE), 0)</f>
        <v>583.3800048828125</v>
      </c>
      <c r="H395" s="7">
        <f t="shared" si="6"/>
        <v>0</v>
      </c>
    </row>
    <row r="396" spans="1:8" x14ac:dyDescent="0.3">
      <c r="A396" t="s">
        <v>426</v>
      </c>
      <c r="B396" t="str">
        <f>IFERROR(VLOOKUP(A396, Internal_Ledger!A:B, 2, FALSE), VLOOKUP(A396, Broker_Statement!A:B, 2, FALSE))</f>
        <v>INE009A01021</v>
      </c>
      <c r="C396" t="str">
        <f>IF(COUNTIF(Internal_Ledger!A:A, A396)=0, "Missing Internal", IF(COUNTIF(Broker_Statement!A:A, A396)=0, "Missing on Street", IF(D396&lt;&gt;E396, "Quantity Break", IF(F396&lt;&gt;G396, "Price Break", "Matched Perfectly"))))</f>
        <v>Missing on Street</v>
      </c>
      <c r="D396">
        <f>IFERROR(VLOOKUP(A396, Internal_Ledger!A:G, 5, FALSE), 0)</f>
        <v>950</v>
      </c>
      <c r="E396">
        <f>IFERROR(VLOOKUP(A396, Broker_Statement!A:G, 5, FALSE), 0)</f>
        <v>0</v>
      </c>
      <c r="F396">
        <f>IFERROR(VLOOKUP(A396, Internal_Ledger!A:G, 6, FALSE), 0)</f>
        <v>609.75</v>
      </c>
      <c r="G396">
        <f>IFERROR(VLOOKUP(A396, Broker_Statement!A:G, 6, FALSE), 0)</f>
        <v>0</v>
      </c>
      <c r="H396" s="7">
        <f t="shared" si="6"/>
        <v>579262.5</v>
      </c>
    </row>
    <row r="397" spans="1:8" x14ac:dyDescent="0.3">
      <c r="A397" t="s">
        <v>427</v>
      </c>
      <c r="B397" t="str">
        <f>IFERROR(VLOOKUP(A397, Internal_Ledger!A:B, 2, FALSE), VLOOKUP(A397, Broker_Statement!A:B, 2, FALSE))</f>
        <v>INE030A01027</v>
      </c>
      <c r="C397" t="str">
        <f>IF(COUNTIF(Internal_Ledger!A:A, A397)=0, "Missing Internal", IF(COUNTIF(Broker_Statement!A:A, A397)=0, "Missing on Street", IF(D397&lt;&gt;E397, "Quantity Break", IF(F397&lt;&gt;G397, "Price Break", "Matched Perfectly"))))</f>
        <v>Matched Perfectly</v>
      </c>
      <c r="D397">
        <f>IFERROR(VLOOKUP(A397, Internal_Ledger!A:G, 5, FALSE), 0)</f>
        <v>3900</v>
      </c>
      <c r="E397">
        <f>IFERROR(VLOOKUP(A397, Broker_Statement!A:G, 5, FALSE), 0)</f>
        <v>3900</v>
      </c>
      <c r="F397">
        <f>IFERROR(VLOOKUP(A397, Internal_Ledger!A:G, 6, FALSE), 0)</f>
        <v>320.76998901367188</v>
      </c>
      <c r="G397">
        <f>IFERROR(VLOOKUP(A397, Broker_Statement!A:G, 6, FALSE), 0)</f>
        <v>320.76998901367188</v>
      </c>
      <c r="H397" s="7">
        <f t="shared" si="6"/>
        <v>0</v>
      </c>
    </row>
    <row r="398" spans="1:8" x14ac:dyDescent="0.3">
      <c r="A398" t="s">
        <v>428</v>
      </c>
      <c r="B398" t="str">
        <f>IFERROR(VLOOKUP(A398, Internal_Ledger!A:B, 2, FALSE), VLOOKUP(A398, Broker_Statement!A:B, 2, FALSE))</f>
        <v>INE009A01021</v>
      </c>
      <c r="C398" t="str">
        <f>IF(COUNTIF(Internal_Ledger!A:A, A398)=0, "Missing Internal", IF(COUNTIF(Broker_Statement!A:A, A398)=0, "Missing on Street", IF(D398&lt;&gt;E398, "Quantity Break", IF(F398&lt;&gt;G398, "Price Break", "Matched Perfectly"))))</f>
        <v>Matched Perfectly</v>
      </c>
      <c r="D398">
        <f>IFERROR(VLOOKUP(A398, Internal_Ledger!A:G, 5, FALSE), 0)</f>
        <v>1700</v>
      </c>
      <c r="E398">
        <f>IFERROR(VLOOKUP(A398, Broker_Statement!A:G, 5, FALSE), 0)</f>
        <v>1700</v>
      </c>
      <c r="F398">
        <f>IFERROR(VLOOKUP(A398, Internal_Ledger!A:G, 6, FALSE), 0)</f>
        <v>159.44999694824219</v>
      </c>
      <c r="G398">
        <f>IFERROR(VLOOKUP(A398, Broker_Statement!A:G, 6, FALSE), 0)</f>
        <v>159.44999694824219</v>
      </c>
      <c r="H398" s="7">
        <f t="shared" si="6"/>
        <v>0</v>
      </c>
    </row>
    <row r="399" spans="1:8" x14ac:dyDescent="0.3">
      <c r="A399" t="s">
        <v>429</v>
      </c>
      <c r="B399" t="str">
        <f>IFERROR(VLOOKUP(A399, Internal_Ledger!A:B, 2, FALSE), VLOOKUP(A399, Broker_Statement!A:B, 2, FALSE))</f>
        <v>INE018A01030</v>
      </c>
      <c r="C399" t="str">
        <f>IF(COUNTIF(Internal_Ledger!A:A, A399)=0, "Missing Internal", IF(COUNTIF(Broker_Statement!A:A, A399)=0, "Missing on Street", IF(D399&lt;&gt;E399, "Quantity Break", IF(F399&lt;&gt;G399, "Price Break", "Matched Perfectly"))))</f>
        <v>Matched Perfectly</v>
      </c>
      <c r="D399">
        <f>IFERROR(VLOOKUP(A399, Internal_Ledger!A:G, 5, FALSE), 0)</f>
        <v>4200</v>
      </c>
      <c r="E399">
        <f>IFERROR(VLOOKUP(A399, Broker_Statement!A:G, 5, FALSE), 0)</f>
        <v>4200</v>
      </c>
      <c r="F399">
        <f>IFERROR(VLOOKUP(A399, Internal_Ledger!A:G, 6, FALSE), 0)</f>
        <v>595.0999755859375</v>
      </c>
      <c r="G399">
        <f>IFERROR(VLOOKUP(A399, Broker_Statement!A:G, 6, FALSE), 0)</f>
        <v>595.0999755859375</v>
      </c>
      <c r="H399" s="7">
        <f t="shared" si="6"/>
        <v>0</v>
      </c>
    </row>
    <row r="400" spans="1:8" x14ac:dyDescent="0.3">
      <c r="A400" t="s">
        <v>430</v>
      </c>
      <c r="B400" t="str">
        <f>IFERROR(VLOOKUP(A400, Internal_Ledger!A:B, 2, FALSE), VLOOKUP(A400, Broker_Statement!A:B, 2, FALSE))</f>
        <v>INE018A01030</v>
      </c>
      <c r="C400" t="str">
        <f>IF(COUNTIF(Internal_Ledger!A:A, A400)=0, "Missing Internal", IF(COUNTIF(Broker_Statement!A:A, A400)=0, "Missing on Street", IF(D400&lt;&gt;E400, "Quantity Break", IF(F400&lt;&gt;G400, "Price Break", "Matched Perfectly"))))</f>
        <v>Matched Perfectly</v>
      </c>
      <c r="D400">
        <f>IFERROR(VLOOKUP(A400, Internal_Ledger!A:G, 5, FALSE), 0)</f>
        <v>2650</v>
      </c>
      <c r="E400">
        <f>IFERROR(VLOOKUP(A400, Broker_Statement!A:G, 5, FALSE), 0)</f>
        <v>2650</v>
      </c>
      <c r="F400">
        <f>IFERROR(VLOOKUP(A400, Internal_Ledger!A:G, 6, FALSE), 0)</f>
        <v>439.45001220703125</v>
      </c>
      <c r="G400">
        <f>IFERROR(VLOOKUP(A400, Broker_Statement!A:G, 6, FALSE), 0)</f>
        <v>439.45001220703125</v>
      </c>
      <c r="H400" s="7">
        <f t="shared" si="6"/>
        <v>0</v>
      </c>
    </row>
    <row r="401" spans="1:8" x14ac:dyDescent="0.3">
      <c r="A401" t="s">
        <v>431</v>
      </c>
      <c r="B401" t="str">
        <f>IFERROR(VLOOKUP(A401, Internal_Ledger!A:B, 2, FALSE), VLOOKUP(A401, Broker_Statement!A:B, 2, FALSE))</f>
        <v>INE009A01021</v>
      </c>
      <c r="C401" t="str">
        <f>IF(COUNTIF(Internal_Ledger!A:A, A401)=0, "Missing Internal", IF(COUNTIF(Broker_Statement!A:A, A401)=0, "Missing on Street", IF(D401&lt;&gt;E401, "Quantity Break", IF(F401&lt;&gt;G401, "Price Break", "Matched Perfectly"))))</f>
        <v>Matched Perfectly</v>
      </c>
      <c r="D401">
        <f>IFERROR(VLOOKUP(A401, Internal_Ledger!A:G, 5, FALSE), 0)</f>
        <v>4100</v>
      </c>
      <c r="E401">
        <f>IFERROR(VLOOKUP(A401, Broker_Statement!A:G, 5, FALSE), 0)</f>
        <v>4100</v>
      </c>
      <c r="F401">
        <f>IFERROR(VLOOKUP(A401, Internal_Ledger!A:G, 6, FALSE), 0)</f>
        <v>328.83999633789063</v>
      </c>
      <c r="G401">
        <f>IFERROR(VLOOKUP(A401, Broker_Statement!A:G, 6, FALSE), 0)</f>
        <v>328.83999633789063</v>
      </c>
      <c r="H401" s="7">
        <f t="shared" si="6"/>
        <v>0</v>
      </c>
    </row>
    <row r="402" spans="1:8" x14ac:dyDescent="0.3">
      <c r="A402" t="s">
        <v>432</v>
      </c>
      <c r="B402" t="str">
        <f>IFERROR(VLOOKUP(A402, Internal_Ledger!A:B, 2, FALSE), VLOOKUP(A402, Broker_Statement!A:B, 2, FALSE))</f>
        <v>INE018A01030</v>
      </c>
      <c r="C402" t="str">
        <f>IF(COUNTIF(Internal_Ledger!A:A, A402)=0, "Missing Internal", IF(COUNTIF(Broker_Statement!A:A, A402)=0, "Missing on Street", IF(D402&lt;&gt;E402, "Quantity Break", IF(F402&lt;&gt;G402, "Price Break", "Matched Perfectly"))))</f>
        <v>Quantity Break</v>
      </c>
      <c r="D402">
        <f>IFERROR(VLOOKUP(A402, Internal_Ledger!A:G, 5, FALSE), 0)</f>
        <v>1950</v>
      </c>
      <c r="E402">
        <f>IFERROR(VLOOKUP(A402, Broker_Statement!A:G, 5, FALSE), 0)</f>
        <v>1900</v>
      </c>
      <c r="F402">
        <f>IFERROR(VLOOKUP(A402, Internal_Ledger!A:G, 6, FALSE), 0)</f>
        <v>231.80999755859375</v>
      </c>
      <c r="G402">
        <f>IFERROR(VLOOKUP(A402, Broker_Statement!A:G, 6, FALSE), 0)</f>
        <v>231.80999755859375</v>
      </c>
      <c r="H402" s="7">
        <f t="shared" si="6"/>
        <v>11590.499877929688</v>
      </c>
    </row>
    <row r="403" spans="1:8" x14ac:dyDescent="0.3">
      <c r="A403" t="s">
        <v>433</v>
      </c>
      <c r="B403" t="str">
        <f>IFERROR(VLOOKUP(A403, Internal_Ledger!A:B, 2, FALSE), VLOOKUP(A403, Broker_Statement!A:B, 2, FALSE))</f>
        <v>INE040A01034</v>
      </c>
      <c r="C403" t="str">
        <f>IF(COUNTIF(Internal_Ledger!A:A, A403)=0, "Missing Internal", IF(COUNTIF(Broker_Statement!A:A, A403)=0, "Missing on Street", IF(D403&lt;&gt;E403, "Quantity Break", IF(F403&lt;&gt;G403, "Price Break", "Matched Perfectly"))))</f>
        <v>Matched Perfectly</v>
      </c>
      <c r="D403">
        <f>IFERROR(VLOOKUP(A403, Internal_Ledger!A:G, 5, FALSE), 0)</f>
        <v>350</v>
      </c>
      <c r="E403">
        <f>IFERROR(VLOOKUP(A403, Broker_Statement!A:G, 5, FALSE), 0)</f>
        <v>350</v>
      </c>
      <c r="F403">
        <f>IFERROR(VLOOKUP(A403, Internal_Ledger!A:G, 6, FALSE), 0)</f>
        <v>466.41000366210938</v>
      </c>
      <c r="G403">
        <f>IFERROR(VLOOKUP(A403, Broker_Statement!A:G, 6, FALSE), 0)</f>
        <v>466.41000366210938</v>
      </c>
      <c r="H403" s="7">
        <f t="shared" si="6"/>
        <v>0</v>
      </c>
    </row>
    <row r="404" spans="1:8" x14ac:dyDescent="0.3">
      <c r="A404" t="s">
        <v>434</v>
      </c>
      <c r="B404" t="str">
        <f>IFERROR(VLOOKUP(A404, Internal_Ledger!A:B, 2, FALSE), VLOOKUP(A404, Broker_Statement!A:B, 2, FALSE))</f>
        <v>INE040A01034</v>
      </c>
      <c r="C404" t="str">
        <f>IF(COUNTIF(Internal_Ledger!A:A, A404)=0, "Missing Internal", IF(COUNTIF(Broker_Statement!A:A, A404)=0, "Missing on Street", IF(D404&lt;&gt;E404, "Quantity Break", IF(F404&lt;&gt;G404, "Price Break", "Matched Perfectly"))))</f>
        <v>Matched Perfectly</v>
      </c>
      <c r="D404">
        <f>IFERROR(VLOOKUP(A404, Internal_Ledger!A:G, 5, FALSE), 0)</f>
        <v>4350</v>
      </c>
      <c r="E404">
        <f>IFERROR(VLOOKUP(A404, Broker_Statement!A:G, 5, FALSE), 0)</f>
        <v>4350</v>
      </c>
      <c r="F404">
        <f>IFERROR(VLOOKUP(A404, Internal_Ledger!A:G, 6, FALSE), 0)</f>
        <v>336.69000244140625</v>
      </c>
      <c r="G404">
        <f>IFERROR(VLOOKUP(A404, Broker_Statement!A:G, 6, FALSE), 0)</f>
        <v>336.69000244140625</v>
      </c>
      <c r="H404" s="7">
        <f t="shared" si="6"/>
        <v>0</v>
      </c>
    </row>
    <row r="405" spans="1:8" x14ac:dyDescent="0.3">
      <c r="A405" t="s">
        <v>435</v>
      </c>
      <c r="B405" t="str">
        <f>IFERROR(VLOOKUP(A405, Internal_Ledger!A:B, 2, FALSE), VLOOKUP(A405, Broker_Statement!A:B, 2, FALSE))</f>
        <v>INE030A01027</v>
      </c>
      <c r="C405" t="str">
        <f>IF(COUNTIF(Internal_Ledger!A:A, A405)=0, "Missing Internal", IF(COUNTIF(Broker_Statement!A:A, A405)=0, "Missing on Street", IF(D405&lt;&gt;E405, "Quantity Break", IF(F405&lt;&gt;G405, "Price Break", "Matched Perfectly"))))</f>
        <v>Matched Perfectly</v>
      </c>
      <c r="D405">
        <f>IFERROR(VLOOKUP(A405, Internal_Ledger!A:G, 5, FALSE), 0)</f>
        <v>850</v>
      </c>
      <c r="E405">
        <f>IFERROR(VLOOKUP(A405, Broker_Statement!A:G, 5, FALSE), 0)</f>
        <v>850</v>
      </c>
      <c r="F405">
        <f>IFERROR(VLOOKUP(A405, Internal_Ledger!A:G, 6, FALSE), 0)</f>
        <v>622.65997314453125</v>
      </c>
      <c r="G405">
        <f>IFERROR(VLOOKUP(A405, Broker_Statement!A:G, 6, FALSE), 0)</f>
        <v>622.65997314453125</v>
      </c>
      <c r="H405" s="7">
        <f t="shared" si="6"/>
        <v>0</v>
      </c>
    </row>
    <row r="406" spans="1:8" x14ac:dyDescent="0.3">
      <c r="A406" t="s">
        <v>436</v>
      </c>
      <c r="B406" t="str">
        <f>IFERROR(VLOOKUP(A406, Internal_Ledger!A:B, 2, FALSE), VLOOKUP(A406, Broker_Statement!A:B, 2, FALSE))</f>
        <v>INE040A01034</v>
      </c>
      <c r="C406" t="str">
        <f>IF(COUNTIF(Internal_Ledger!A:A, A406)=0, "Missing Internal", IF(COUNTIF(Broker_Statement!A:A, A406)=0, "Missing on Street", IF(D406&lt;&gt;E406, "Quantity Break", IF(F406&lt;&gt;G406, "Price Break", "Matched Perfectly"))))</f>
        <v>Matched Perfectly</v>
      </c>
      <c r="D406">
        <f>IFERROR(VLOOKUP(A406, Internal_Ledger!A:G, 5, FALSE), 0)</f>
        <v>450</v>
      </c>
      <c r="E406">
        <f>IFERROR(VLOOKUP(A406, Broker_Statement!A:G, 5, FALSE), 0)</f>
        <v>450</v>
      </c>
      <c r="F406">
        <f>IFERROR(VLOOKUP(A406, Internal_Ledger!A:G, 6, FALSE), 0)</f>
        <v>283.22000122070313</v>
      </c>
      <c r="G406">
        <f>IFERROR(VLOOKUP(A406, Broker_Statement!A:G, 6, FALSE), 0)</f>
        <v>283.22000122070313</v>
      </c>
      <c r="H406" s="7">
        <f t="shared" si="6"/>
        <v>0</v>
      </c>
    </row>
    <row r="407" spans="1:8" x14ac:dyDescent="0.3">
      <c r="A407" t="s">
        <v>437</v>
      </c>
      <c r="B407" t="str">
        <f>IFERROR(VLOOKUP(A407, Internal_Ledger!A:B, 2, FALSE), VLOOKUP(A407, Broker_Statement!A:B, 2, FALSE))</f>
        <v>INE040A01034</v>
      </c>
      <c r="C407" t="str">
        <f>IF(COUNTIF(Internal_Ledger!A:A, A407)=0, "Missing Internal", IF(COUNTIF(Broker_Statement!A:A, A407)=0, "Missing on Street", IF(D407&lt;&gt;E407, "Quantity Break", IF(F407&lt;&gt;G407, "Price Break", "Matched Perfectly"))))</f>
        <v>Matched Perfectly</v>
      </c>
      <c r="D407">
        <f>IFERROR(VLOOKUP(A407, Internal_Ledger!A:G, 5, FALSE), 0)</f>
        <v>1950</v>
      </c>
      <c r="E407">
        <f>IFERROR(VLOOKUP(A407, Broker_Statement!A:G, 5, FALSE), 0)</f>
        <v>1950</v>
      </c>
      <c r="F407">
        <f>IFERROR(VLOOKUP(A407, Internal_Ledger!A:G, 6, FALSE), 0)</f>
        <v>356.260009765625</v>
      </c>
      <c r="G407">
        <f>IFERROR(VLOOKUP(A407, Broker_Statement!A:G, 6, FALSE), 0)</f>
        <v>356.260009765625</v>
      </c>
      <c r="H407" s="7">
        <f t="shared" si="6"/>
        <v>0</v>
      </c>
    </row>
    <row r="408" spans="1:8" x14ac:dyDescent="0.3">
      <c r="A408" t="s">
        <v>438</v>
      </c>
      <c r="B408" t="str">
        <f>IFERROR(VLOOKUP(A408, Internal_Ledger!A:B, 2, FALSE), VLOOKUP(A408, Broker_Statement!A:B, 2, FALSE))</f>
        <v>INE018A01030</v>
      </c>
      <c r="C408" t="str">
        <f>IF(COUNTIF(Internal_Ledger!A:A, A408)=0, "Missing Internal", IF(COUNTIF(Broker_Statement!A:A, A408)=0, "Missing on Street", IF(D408&lt;&gt;E408, "Quantity Break", IF(F408&lt;&gt;G408, "Price Break", "Matched Perfectly"))))</f>
        <v>Matched Perfectly</v>
      </c>
      <c r="D408">
        <f>IFERROR(VLOOKUP(A408, Internal_Ledger!A:G, 5, FALSE), 0)</f>
        <v>2350</v>
      </c>
      <c r="E408">
        <f>IFERROR(VLOOKUP(A408, Broker_Statement!A:G, 5, FALSE), 0)</f>
        <v>2350</v>
      </c>
      <c r="F408">
        <f>IFERROR(VLOOKUP(A408, Internal_Ledger!A:G, 6, FALSE), 0)</f>
        <v>165.47999572753906</v>
      </c>
      <c r="G408">
        <f>IFERROR(VLOOKUP(A408, Broker_Statement!A:G, 6, FALSE), 0)</f>
        <v>165.47999572753906</v>
      </c>
      <c r="H408" s="7">
        <f t="shared" si="6"/>
        <v>0</v>
      </c>
    </row>
    <row r="409" spans="1:8" x14ac:dyDescent="0.3">
      <c r="A409" t="s">
        <v>439</v>
      </c>
      <c r="B409" t="str">
        <f>IFERROR(VLOOKUP(A409, Internal_Ledger!A:B, 2, FALSE), VLOOKUP(A409, Broker_Statement!A:B, 2, FALSE))</f>
        <v>INE009A01021</v>
      </c>
      <c r="C409" t="str">
        <f>IF(COUNTIF(Internal_Ledger!A:A, A409)=0, "Missing Internal", IF(COUNTIF(Broker_Statement!A:A, A409)=0, "Missing on Street", IF(D409&lt;&gt;E409, "Quantity Break", IF(F409&lt;&gt;G409, "Price Break", "Matched Perfectly"))))</f>
        <v>Matched Perfectly</v>
      </c>
      <c r="D409">
        <f>IFERROR(VLOOKUP(A409, Internal_Ledger!A:G, 5, FALSE), 0)</f>
        <v>2150</v>
      </c>
      <c r="E409">
        <f>IFERROR(VLOOKUP(A409, Broker_Statement!A:G, 5, FALSE), 0)</f>
        <v>2150</v>
      </c>
      <c r="F409">
        <f>IFERROR(VLOOKUP(A409, Internal_Ledger!A:G, 6, FALSE), 0)</f>
        <v>568.19000244140625</v>
      </c>
      <c r="G409">
        <f>IFERROR(VLOOKUP(A409, Broker_Statement!A:G, 6, FALSE), 0)</f>
        <v>568.19000244140625</v>
      </c>
      <c r="H409" s="7">
        <f t="shared" si="6"/>
        <v>0</v>
      </c>
    </row>
    <row r="410" spans="1:8" x14ac:dyDescent="0.3">
      <c r="A410" t="s">
        <v>440</v>
      </c>
      <c r="B410" t="str">
        <f>IFERROR(VLOOKUP(A410, Internal_Ledger!A:B, 2, FALSE), VLOOKUP(A410, Broker_Statement!A:B, 2, FALSE))</f>
        <v>INE018A01030</v>
      </c>
      <c r="C410" t="str">
        <f>IF(COUNTIF(Internal_Ledger!A:A, A410)=0, "Missing Internal", IF(COUNTIF(Broker_Statement!A:A, A410)=0, "Missing on Street", IF(D410&lt;&gt;E410, "Quantity Break", IF(F410&lt;&gt;G410, "Price Break", "Matched Perfectly"))))</f>
        <v>Matched Perfectly</v>
      </c>
      <c r="D410">
        <f>IFERROR(VLOOKUP(A410, Internal_Ledger!A:G, 5, FALSE), 0)</f>
        <v>400</v>
      </c>
      <c r="E410">
        <f>IFERROR(VLOOKUP(A410, Broker_Statement!A:G, 5, FALSE), 0)</f>
        <v>400</v>
      </c>
      <c r="F410">
        <f>IFERROR(VLOOKUP(A410, Internal_Ledger!A:G, 6, FALSE), 0)</f>
        <v>603.46002197265625</v>
      </c>
      <c r="G410">
        <f>IFERROR(VLOOKUP(A410, Broker_Statement!A:G, 6, FALSE), 0)</f>
        <v>603.46002197265625</v>
      </c>
      <c r="H410" s="7">
        <f t="shared" si="6"/>
        <v>0</v>
      </c>
    </row>
    <row r="411" spans="1:8" x14ac:dyDescent="0.3">
      <c r="A411" t="s">
        <v>441</v>
      </c>
      <c r="B411" t="str">
        <f>IFERROR(VLOOKUP(A411, Internal_Ledger!A:B, 2, FALSE), VLOOKUP(A411, Broker_Statement!A:B, 2, FALSE))</f>
        <v>INE040A01034</v>
      </c>
      <c r="C411" t="str">
        <f>IF(COUNTIF(Internal_Ledger!A:A, A411)=0, "Missing Internal", IF(COUNTIF(Broker_Statement!A:A, A411)=0, "Missing on Street", IF(D411&lt;&gt;E411, "Quantity Break", IF(F411&lt;&gt;G411, "Price Break", "Matched Perfectly"))))</f>
        <v>Matched Perfectly</v>
      </c>
      <c r="D411">
        <f>IFERROR(VLOOKUP(A411, Internal_Ledger!A:G, 5, FALSE), 0)</f>
        <v>2200</v>
      </c>
      <c r="E411">
        <f>IFERROR(VLOOKUP(A411, Broker_Statement!A:G, 5, FALSE), 0)</f>
        <v>2200</v>
      </c>
      <c r="F411">
        <f>IFERROR(VLOOKUP(A411, Internal_Ledger!A:G, 6, FALSE), 0)</f>
        <v>525.1300048828125</v>
      </c>
      <c r="G411">
        <f>IFERROR(VLOOKUP(A411, Broker_Statement!A:G, 6, FALSE), 0)</f>
        <v>525.1300048828125</v>
      </c>
      <c r="H411" s="7">
        <f t="shared" si="6"/>
        <v>0</v>
      </c>
    </row>
    <row r="412" spans="1:8" x14ac:dyDescent="0.3">
      <c r="A412" t="s">
        <v>442</v>
      </c>
      <c r="B412" t="str">
        <f>IFERROR(VLOOKUP(A412, Internal_Ledger!A:B, 2, FALSE), VLOOKUP(A412, Broker_Statement!A:B, 2, FALSE))</f>
        <v>INE030A01027</v>
      </c>
      <c r="C412" t="str">
        <f>IF(COUNTIF(Internal_Ledger!A:A, A412)=0, "Missing Internal", IF(COUNTIF(Broker_Statement!A:A, A412)=0, "Missing on Street", IF(D412&lt;&gt;E412, "Quantity Break", IF(F412&lt;&gt;G412, "Price Break", "Matched Perfectly"))))</f>
        <v>Missing on Street</v>
      </c>
      <c r="D412">
        <f>IFERROR(VLOOKUP(A412, Internal_Ledger!A:G, 5, FALSE), 0)</f>
        <v>1150</v>
      </c>
      <c r="E412">
        <f>IFERROR(VLOOKUP(A412, Broker_Statement!A:G, 5, FALSE), 0)</f>
        <v>0</v>
      </c>
      <c r="F412">
        <f>IFERROR(VLOOKUP(A412, Internal_Ledger!A:G, 6, FALSE), 0)</f>
        <v>328.91000366210938</v>
      </c>
      <c r="G412">
        <f>IFERROR(VLOOKUP(A412, Broker_Statement!A:G, 6, FALSE), 0)</f>
        <v>0</v>
      </c>
      <c r="H412" s="7">
        <f t="shared" si="6"/>
        <v>378246.50421142578</v>
      </c>
    </row>
    <row r="413" spans="1:8" x14ac:dyDescent="0.3">
      <c r="A413" t="s">
        <v>443</v>
      </c>
      <c r="B413" t="str">
        <f>IFERROR(VLOOKUP(A413, Internal_Ledger!A:B, 2, FALSE), VLOOKUP(A413, Broker_Statement!A:B, 2, FALSE))</f>
        <v>INE030A01027</v>
      </c>
      <c r="C413" t="str">
        <f>IF(COUNTIF(Internal_Ledger!A:A, A413)=0, "Missing Internal", IF(COUNTIF(Broker_Statement!A:A, A413)=0, "Missing on Street", IF(D413&lt;&gt;E413, "Quantity Break", IF(F413&lt;&gt;G413, "Price Break", "Matched Perfectly"))))</f>
        <v>Matched Perfectly</v>
      </c>
      <c r="D413">
        <f>IFERROR(VLOOKUP(A413, Internal_Ledger!A:G, 5, FALSE), 0)</f>
        <v>1000</v>
      </c>
      <c r="E413">
        <f>IFERROR(VLOOKUP(A413, Broker_Statement!A:G, 5, FALSE), 0)</f>
        <v>1000</v>
      </c>
      <c r="F413">
        <f>IFERROR(VLOOKUP(A413, Internal_Ledger!A:G, 6, FALSE), 0)</f>
        <v>507.95999145507813</v>
      </c>
      <c r="G413">
        <f>IFERROR(VLOOKUP(A413, Broker_Statement!A:G, 6, FALSE), 0)</f>
        <v>507.95999145507813</v>
      </c>
      <c r="H413" s="7">
        <f t="shared" si="6"/>
        <v>0</v>
      </c>
    </row>
    <row r="414" spans="1:8" x14ac:dyDescent="0.3">
      <c r="A414" t="s">
        <v>444</v>
      </c>
      <c r="B414" t="str">
        <f>IFERROR(VLOOKUP(A414, Internal_Ledger!A:B, 2, FALSE), VLOOKUP(A414, Broker_Statement!A:B, 2, FALSE))</f>
        <v>INE009A01021</v>
      </c>
      <c r="C414" t="str">
        <f>IF(COUNTIF(Internal_Ledger!A:A, A414)=0, "Missing Internal", IF(COUNTIF(Broker_Statement!A:A, A414)=0, "Missing on Street", IF(D414&lt;&gt;E414, "Quantity Break", IF(F414&lt;&gt;G414, "Price Break", "Matched Perfectly"))))</f>
        <v>Matched Perfectly</v>
      </c>
      <c r="D414">
        <f>IFERROR(VLOOKUP(A414, Internal_Ledger!A:G, 5, FALSE), 0)</f>
        <v>1900</v>
      </c>
      <c r="E414">
        <f>IFERROR(VLOOKUP(A414, Broker_Statement!A:G, 5, FALSE), 0)</f>
        <v>1900</v>
      </c>
      <c r="F414">
        <f>IFERROR(VLOOKUP(A414, Internal_Ledger!A:G, 6, FALSE), 0)</f>
        <v>396.3900146484375</v>
      </c>
      <c r="G414">
        <f>IFERROR(VLOOKUP(A414, Broker_Statement!A:G, 6, FALSE), 0)</f>
        <v>396.3900146484375</v>
      </c>
      <c r="H414" s="7">
        <f t="shared" si="6"/>
        <v>0</v>
      </c>
    </row>
    <row r="415" spans="1:8" x14ac:dyDescent="0.3">
      <c r="A415" t="s">
        <v>445</v>
      </c>
      <c r="B415" t="str">
        <f>IFERROR(VLOOKUP(A415, Internal_Ledger!A:B, 2, FALSE), VLOOKUP(A415, Broker_Statement!A:B, 2, FALSE))</f>
        <v>INE009A01021</v>
      </c>
      <c r="C415" t="str">
        <f>IF(COUNTIF(Internal_Ledger!A:A, A415)=0, "Missing Internal", IF(COUNTIF(Broker_Statement!A:A, A415)=0, "Missing on Street", IF(D415&lt;&gt;E415, "Quantity Break", IF(F415&lt;&gt;G415, "Price Break", "Matched Perfectly"))))</f>
        <v>Matched Perfectly</v>
      </c>
      <c r="D415">
        <f>IFERROR(VLOOKUP(A415, Internal_Ledger!A:G, 5, FALSE), 0)</f>
        <v>3250</v>
      </c>
      <c r="E415">
        <f>IFERROR(VLOOKUP(A415, Broker_Statement!A:G, 5, FALSE), 0)</f>
        <v>3250</v>
      </c>
      <c r="F415">
        <f>IFERROR(VLOOKUP(A415, Internal_Ledger!A:G, 6, FALSE), 0)</f>
        <v>585.0999755859375</v>
      </c>
      <c r="G415">
        <f>IFERROR(VLOOKUP(A415, Broker_Statement!A:G, 6, FALSE), 0)</f>
        <v>585.0999755859375</v>
      </c>
      <c r="H415" s="7">
        <f t="shared" si="6"/>
        <v>0</v>
      </c>
    </row>
    <row r="416" spans="1:8" x14ac:dyDescent="0.3">
      <c r="A416" t="s">
        <v>446</v>
      </c>
      <c r="B416" t="str">
        <f>IFERROR(VLOOKUP(A416, Internal_Ledger!A:B, 2, FALSE), VLOOKUP(A416, Broker_Statement!A:B, 2, FALSE))</f>
        <v>INE040A01034</v>
      </c>
      <c r="C416" t="str">
        <f>IF(COUNTIF(Internal_Ledger!A:A, A416)=0, "Missing Internal", IF(COUNTIF(Broker_Statement!A:A, A416)=0, "Missing on Street", IF(D416&lt;&gt;E416, "Quantity Break", IF(F416&lt;&gt;G416, "Price Break", "Matched Perfectly"))))</f>
        <v>Matched Perfectly</v>
      </c>
      <c r="D416">
        <f>IFERROR(VLOOKUP(A416, Internal_Ledger!A:G, 5, FALSE), 0)</f>
        <v>900</v>
      </c>
      <c r="E416">
        <f>IFERROR(VLOOKUP(A416, Broker_Statement!A:G, 5, FALSE), 0)</f>
        <v>900</v>
      </c>
      <c r="F416">
        <f>IFERROR(VLOOKUP(A416, Internal_Ledger!A:G, 6, FALSE), 0)</f>
        <v>519.1199951171875</v>
      </c>
      <c r="G416">
        <f>IFERROR(VLOOKUP(A416, Broker_Statement!A:G, 6, FALSE), 0)</f>
        <v>519.1199951171875</v>
      </c>
      <c r="H416" s="7">
        <f t="shared" si="6"/>
        <v>0</v>
      </c>
    </row>
    <row r="417" spans="1:8" x14ac:dyDescent="0.3">
      <c r="A417" t="s">
        <v>447</v>
      </c>
      <c r="B417" t="str">
        <f>IFERROR(VLOOKUP(A417, Internal_Ledger!A:B, 2, FALSE), VLOOKUP(A417, Broker_Statement!A:B, 2, FALSE))</f>
        <v>INE040A01034</v>
      </c>
      <c r="C417" t="str">
        <f>IF(COUNTIF(Internal_Ledger!A:A, A417)=0, "Missing Internal", IF(COUNTIF(Broker_Statement!A:A, A417)=0, "Missing on Street", IF(D417&lt;&gt;E417, "Quantity Break", IF(F417&lt;&gt;G417, "Price Break", "Matched Perfectly"))))</f>
        <v>Matched Perfectly</v>
      </c>
      <c r="D417">
        <f>IFERROR(VLOOKUP(A417, Internal_Ledger!A:G, 5, FALSE), 0)</f>
        <v>3000</v>
      </c>
      <c r="E417">
        <f>IFERROR(VLOOKUP(A417, Broker_Statement!A:G, 5, FALSE), 0)</f>
        <v>3000</v>
      </c>
      <c r="F417">
        <f>IFERROR(VLOOKUP(A417, Internal_Ledger!A:G, 6, FALSE), 0)</f>
        <v>511.05999755859375</v>
      </c>
      <c r="G417">
        <f>IFERROR(VLOOKUP(A417, Broker_Statement!A:G, 6, FALSE), 0)</f>
        <v>511.05999755859375</v>
      </c>
      <c r="H417" s="7">
        <f t="shared" si="6"/>
        <v>0</v>
      </c>
    </row>
    <row r="418" spans="1:8" x14ac:dyDescent="0.3">
      <c r="A418" t="s">
        <v>448</v>
      </c>
      <c r="B418" t="str">
        <f>IFERROR(VLOOKUP(A418, Internal_Ledger!A:B, 2, FALSE), VLOOKUP(A418, Broker_Statement!A:B, 2, FALSE))</f>
        <v>INE009A01021</v>
      </c>
      <c r="C418" t="str">
        <f>IF(COUNTIF(Internal_Ledger!A:A, A418)=0, "Missing Internal", IF(COUNTIF(Broker_Statement!A:A, A418)=0, "Missing on Street", IF(D418&lt;&gt;E418, "Quantity Break", IF(F418&lt;&gt;G418, "Price Break", "Matched Perfectly"))))</f>
        <v>Matched Perfectly</v>
      </c>
      <c r="D418">
        <f>IFERROR(VLOOKUP(A418, Internal_Ledger!A:G, 5, FALSE), 0)</f>
        <v>4550</v>
      </c>
      <c r="E418">
        <f>IFERROR(VLOOKUP(A418, Broker_Statement!A:G, 5, FALSE), 0)</f>
        <v>4550</v>
      </c>
      <c r="F418">
        <f>IFERROR(VLOOKUP(A418, Internal_Ledger!A:G, 6, FALSE), 0)</f>
        <v>529.94000244140625</v>
      </c>
      <c r="G418">
        <f>IFERROR(VLOOKUP(A418, Broker_Statement!A:G, 6, FALSE), 0)</f>
        <v>529.94000244140625</v>
      </c>
      <c r="H418" s="7">
        <f t="shared" si="6"/>
        <v>0</v>
      </c>
    </row>
    <row r="419" spans="1:8" x14ac:dyDescent="0.3">
      <c r="A419" t="s">
        <v>449</v>
      </c>
      <c r="B419" t="str">
        <f>IFERROR(VLOOKUP(A419, Internal_Ledger!A:B, 2, FALSE), VLOOKUP(A419, Broker_Statement!A:B, 2, FALSE))</f>
        <v>INE002A01018</v>
      </c>
      <c r="C419" t="str">
        <f>IF(COUNTIF(Internal_Ledger!A:A, A419)=0, "Missing Internal", IF(COUNTIF(Broker_Statement!A:A, A419)=0, "Missing on Street", IF(D419&lt;&gt;E419, "Quantity Break", IF(F419&lt;&gt;G419, "Price Break", "Matched Perfectly"))))</f>
        <v>Matched Perfectly</v>
      </c>
      <c r="D419">
        <f>IFERROR(VLOOKUP(A419, Internal_Ledger!A:G, 5, FALSE), 0)</f>
        <v>3550</v>
      </c>
      <c r="E419">
        <f>IFERROR(VLOOKUP(A419, Broker_Statement!A:G, 5, FALSE), 0)</f>
        <v>3550</v>
      </c>
      <c r="F419">
        <f>IFERROR(VLOOKUP(A419, Internal_Ledger!A:G, 6, FALSE), 0)</f>
        <v>249.77999877929688</v>
      </c>
      <c r="G419">
        <f>IFERROR(VLOOKUP(A419, Broker_Statement!A:G, 6, FALSE), 0)</f>
        <v>249.77999877929688</v>
      </c>
      <c r="H419" s="7">
        <f t="shared" si="6"/>
        <v>0</v>
      </c>
    </row>
    <row r="420" spans="1:8" x14ac:dyDescent="0.3">
      <c r="A420" t="s">
        <v>450</v>
      </c>
      <c r="B420" t="str">
        <f>IFERROR(VLOOKUP(A420, Internal_Ledger!A:B, 2, FALSE), VLOOKUP(A420, Broker_Statement!A:B, 2, FALSE))</f>
        <v>INE030A01027</v>
      </c>
      <c r="C420" t="str">
        <f>IF(COUNTIF(Internal_Ledger!A:A, A420)=0, "Missing Internal", IF(COUNTIF(Broker_Statement!A:A, A420)=0, "Missing on Street", IF(D420&lt;&gt;E420, "Quantity Break", IF(F420&lt;&gt;G420, "Price Break", "Matched Perfectly"))))</f>
        <v>Matched Perfectly</v>
      </c>
      <c r="D420">
        <f>IFERROR(VLOOKUP(A420, Internal_Ledger!A:G, 5, FALSE), 0)</f>
        <v>50</v>
      </c>
      <c r="E420">
        <f>IFERROR(VLOOKUP(A420, Broker_Statement!A:G, 5, FALSE), 0)</f>
        <v>50</v>
      </c>
      <c r="F420">
        <f>IFERROR(VLOOKUP(A420, Internal_Ledger!A:G, 6, FALSE), 0)</f>
        <v>467.29000854492188</v>
      </c>
      <c r="G420">
        <f>IFERROR(VLOOKUP(A420, Broker_Statement!A:G, 6, FALSE), 0)</f>
        <v>467.29000854492188</v>
      </c>
      <c r="H420" s="7">
        <f t="shared" si="6"/>
        <v>0</v>
      </c>
    </row>
    <row r="421" spans="1:8" x14ac:dyDescent="0.3">
      <c r="A421" t="s">
        <v>451</v>
      </c>
      <c r="B421" t="str">
        <f>IFERROR(VLOOKUP(A421, Internal_Ledger!A:B, 2, FALSE), VLOOKUP(A421, Broker_Statement!A:B, 2, FALSE))</f>
        <v>INE009A01021</v>
      </c>
      <c r="C421" t="str">
        <f>IF(COUNTIF(Internal_Ledger!A:A, A421)=0, "Missing Internal", IF(COUNTIF(Broker_Statement!A:A, A421)=0, "Missing on Street", IF(D421&lt;&gt;E421, "Quantity Break", IF(F421&lt;&gt;G421, "Price Break", "Matched Perfectly"))))</f>
        <v>Matched Perfectly</v>
      </c>
      <c r="D421">
        <f>IFERROR(VLOOKUP(A421, Internal_Ledger!A:G, 5, FALSE), 0)</f>
        <v>3800</v>
      </c>
      <c r="E421">
        <f>IFERROR(VLOOKUP(A421, Broker_Statement!A:G, 5, FALSE), 0)</f>
        <v>3800</v>
      </c>
      <c r="F421">
        <f>IFERROR(VLOOKUP(A421, Internal_Ledger!A:G, 6, FALSE), 0)</f>
        <v>623.1400146484375</v>
      </c>
      <c r="G421">
        <f>IFERROR(VLOOKUP(A421, Broker_Statement!A:G, 6, FALSE), 0)</f>
        <v>623.1400146484375</v>
      </c>
      <c r="H421" s="7">
        <f t="shared" si="6"/>
        <v>0</v>
      </c>
    </row>
    <row r="422" spans="1:8" x14ac:dyDescent="0.3">
      <c r="A422" t="s">
        <v>452</v>
      </c>
      <c r="B422" t="str">
        <f>IFERROR(VLOOKUP(A422, Internal_Ledger!A:B, 2, FALSE), VLOOKUP(A422, Broker_Statement!A:B, 2, FALSE))</f>
        <v>INE030A01027</v>
      </c>
      <c r="C422" t="str">
        <f>IF(COUNTIF(Internal_Ledger!A:A, A422)=0, "Missing Internal", IF(COUNTIF(Broker_Statement!A:A, A422)=0, "Missing on Street", IF(D422&lt;&gt;E422, "Quantity Break", IF(F422&lt;&gt;G422, "Price Break", "Matched Perfectly"))))</f>
        <v>Matched Perfectly</v>
      </c>
      <c r="D422">
        <f>IFERROR(VLOOKUP(A422, Internal_Ledger!A:G, 5, FALSE), 0)</f>
        <v>5000</v>
      </c>
      <c r="E422">
        <f>IFERROR(VLOOKUP(A422, Broker_Statement!A:G, 5, FALSE), 0)</f>
        <v>5000</v>
      </c>
      <c r="F422">
        <f>IFERROR(VLOOKUP(A422, Internal_Ledger!A:G, 6, FALSE), 0)</f>
        <v>286.08999633789063</v>
      </c>
      <c r="G422">
        <f>IFERROR(VLOOKUP(A422, Broker_Statement!A:G, 6, FALSE), 0)</f>
        <v>286.08999633789063</v>
      </c>
      <c r="H422" s="7">
        <f t="shared" si="6"/>
        <v>0</v>
      </c>
    </row>
    <row r="423" spans="1:8" x14ac:dyDescent="0.3">
      <c r="A423" t="s">
        <v>453</v>
      </c>
      <c r="B423" t="str">
        <f>IFERROR(VLOOKUP(A423, Internal_Ledger!A:B, 2, FALSE), VLOOKUP(A423, Broker_Statement!A:B, 2, FALSE))</f>
        <v>INE040A01034</v>
      </c>
      <c r="C423" t="str">
        <f>IF(COUNTIF(Internal_Ledger!A:A, A423)=0, "Missing Internal", IF(COUNTIF(Broker_Statement!A:A, A423)=0, "Missing on Street", IF(D423&lt;&gt;E423, "Quantity Break", IF(F423&lt;&gt;G423, "Price Break", "Matched Perfectly"))))</f>
        <v>Matched Perfectly</v>
      </c>
      <c r="D423">
        <f>IFERROR(VLOOKUP(A423, Internal_Ledger!A:G, 5, FALSE), 0)</f>
        <v>400</v>
      </c>
      <c r="E423">
        <f>IFERROR(VLOOKUP(A423, Broker_Statement!A:G, 5, FALSE), 0)</f>
        <v>400</v>
      </c>
      <c r="F423">
        <f>IFERROR(VLOOKUP(A423, Internal_Ledger!A:G, 6, FALSE), 0)</f>
        <v>584.3599853515625</v>
      </c>
      <c r="G423">
        <f>IFERROR(VLOOKUP(A423, Broker_Statement!A:G, 6, FALSE), 0)</f>
        <v>584.3599853515625</v>
      </c>
      <c r="H423" s="7">
        <f t="shared" si="6"/>
        <v>0</v>
      </c>
    </row>
    <row r="424" spans="1:8" x14ac:dyDescent="0.3">
      <c r="A424" t="s">
        <v>454</v>
      </c>
      <c r="B424" t="str">
        <f>IFERROR(VLOOKUP(A424, Internal_Ledger!A:B, 2, FALSE), VLOOKUP(A424, Broker_Statement!A:B, 2, FALSE))</f>
        <v>INE009A01021</v>
      </c>
      <c r="C424" t="str">
        <f>IF(COUNTIF(Internal_Ledger!A:A, A424)=0, "Missing Internal", IF(COUNTIF(Broker_Statement!A:A, A424)=0, "Missing on Street", IF(D424&lt;&gt;E424, "Quantity Break", IF(F424&lt;&gt;G424, "Price Break", "Matched Perfectly"))))</f>
        <v>Matched Perfectly</v>
      </c>
      <c r="D424">
        <f>IFERROR(VLOOKUP(A424, Internal_Ledger!A:G, 5, FALSE), 0)</f>
        <v>2700</v>
      </c>
      <c r="E424">
        <f>IFERROR(VLOOKUP(A424, Broker_Statement!A:G, 5, FALSE), 0)</f>
        <v>2700</v>
      </c>
      <c r="F424">
        <f>IFERROR(VLOOKUP(A424, Internal_Ledger!A:G, 6, FALSE), 0)</f>
        <v>193.69999694824219</v>
      </c>
      <c r="G424">
        <f>IFERROR(VLOOKUP(A424, Broker_Statement!A:G, 6, FALSE), 0)</f>
        <v>193.69999694824219</v>
      </c>
      <c r="H424" s="7">
        <f t="shared" si="6"/>
        <v>0</v>
      </c>
    </row>
    <row r="425" spans="1:8" x14ac:dyDescent="0.3">
      <c r="A425" t="s">
        <v>455</v>
      </c>
      <c r="B425" t="str">
        <f>IFERROR(VLOOKUP(A425, Internal_Ledger!A:B, 2, FALSE), VLOOKUP(A425, Broker_Statement!A:B, 2, FALSE))</f>
        <v>INE009A01021</v>
      </c>
      <c r="C425" t="str">
        <f>IF(COUNTIF(Internal_Ledger!A:A, A425)=0, "Missing Internal", IF(COUNTIF(Broker_Statement!A:A, A425)=0, "Missing on Street", IF(D425&lt;&gt;E425, "Quantity Break", IF(F425&lt;&gt;G425, "Price Break", "Matched Perfectly"))))</f>
        <v>Matched Perfectly</v>
      </c>
      <c r="D425">
        <f>IFERROR(VLOOKUP(A425, Internal_Ledger!A:G, 5, FALSE), 0)</f>
        <v>1700</v>
      </c>
      <c r="E425">
        <f>IFERROR(VLOOKUP(A425, Broker_Statement!A:G, 5, FALSE), 0)</f>
        <v>1700</v>
      </c>
      <c r="F425">
        <f>IFERROR(VLOOKUP(A425, Internal_Ledger!A:G, 6, FALSE), 0)</f>
        <v>616.42999267578125</v>
      </c>
      <c r="G425">
        <f>IFERROR(VLOOKUP(A425, Broker_Statement!A:G, 6, FALSE), 0)</f>
        <v>616.42999267578125</v>
      </c>
      <c r="H425" s="7">
        <f t="shared" si="6"/>
        <v>0</v>
      </c>
    </row>
    <row r="426" spans="1:8" x14ac:dyDescent="0.3">
      <c r="A426" t="s">
        <v>456</v>
      </c>
      <c r="B426" t="str">
        <f>IFERROR(VLOOKUP(A426, Internal_Ledger!A:B, 2, FALSE), VLOOKUP(A426, Broker_Statement!A:B, 2, FALSE))</f>
        <v>INE009A01021</v>
      </c>
      <c r="C426" t="str">
        <f>IF(COUNTIF(Internal_Ledger!A:A, A426)=0, "Missing Internal", IF(COUNTIF(Broker_Statement!A:A, A426)=0, "Missing on Street", IF(D426&lt;&gt;E426, "Quantity Break", IF(F426&lt;&gt;G426, "Price Break", "Matched Perfectly"))))</f>
        <v>Matched Perfectly</v>
      </c>
      <c r="D426">
        <f>IFERROR(VLOOKUP(A426, Internal_Ledger!A:G, 5, FALSE), 0)</f>
        <v>4150</v>
      </c>
      <c r="E426">
        <f>IFERROR(VLOOKUP(A426, Broker_Statement!A:G, 5, FALSE), 0)</f>
        <v>4150</v>
      </c>
      <c r="F426">
        <f>IFERROR(VLOOKUP(A426, Internal_Ledger!A:G, 6, FALSE), 0)</f>
        <v>610.8800048828125</v>
      </c>
      <c r="G426">
        <f>IFERROR(VLOOKUP(A426, Broker_Statement!A:G, 6, FALSE), 0)</f>
        <v>610.8800048828125</v>
      </c>
      <c r="H426" s="7">
        <f t="shared" si="6"/>
        <v>0</v>
      </c>
    </row>
    <row r="427" spans="1:8" x14ac:dyDescent="0.3">
      <c r="A427" t="s">
        <v>457</v>
      </c>
      <c r="B427" t="str">
        <f>IFERROR(VLOOKUP(A427, Internal_Ledger!A:B, 2, FALSE), VLOOKUP(A427, Broker_Statement!A:B, 2, FALSE))</f>
        <v>INE002A01018</v>
      </c>
      <c r="C427" t="str">
        <f>IF(COUNTIF(Internal_Ledger!A:A, A427)=0, "Missing Internal", IF(COUNTIF(Broker_Statement!A:A, A427)=0, "Missing on Street", IF(D427&lt;&gt;E427, "Quantity Break", IF(F427&lt;&gt;G427, "Price Break", "Matched Perfectly"))))</f>
        <v>Matched Perfectly</v>
      </c>
      <c r="D427">
        <f>IFERROR(VLOOKUP(A427, Internal_Ledger!A:G, 5, FALSE), 0)</f>
        <v>2450</v>
      </c>
      <c r="E427">
        <f>IFERROR(VLOOKUP(A427, Broker_Statement!A:G, 5, FALSE), 0)</f>
        <v>2450</v>
      </c>
      <c r="F427">
        <f>IFERROR(VLOOKUP(A427, Internal_Ledger!A:G, 6, FALSE), 0)</f>
        <v>255.58000183105469</v>
      </c>
      <c r="G427">
        <f>IFERROR(VLOOKUP(A427, Broker_Statement!A:G, 6, FALSE), 0)</f>
        <v>255.58000183105469</v>
      </c>
      <c r="H427" s="7">
        <f t="shared" si="6"/>
        <v>0</v>
      </c>
    </row>
    <row r="428" spans="1:8" x14ac:dyDescent="0.3">
      <c r="A428" t="s">
        <v>458</v>
      </c>
      <c r="B428" t="str">
        <f>IFERROR(VLOOKUP(A428, Internal_Ledger!A:B, 2, FALSE), VLOOKUP(A428, Broker_Statement!A:B, 2, FALSE))</f>
        <v>INE040A01034</v>
      </c>
      <c r="C428" t="str">
        <f>IF(COUNTIF(Internal_Ledger!A:A, A428)=0, "Missing Internal", IF(COUNTIF(Broker_Statement!A:A, A428)=0, "Missing on Street", IF(D428&lt;&gt;E428, "Quantity Break", IF(F428&lt;&gt;G428, "Price Break", "Matched Perfectly"))))</f>
        <v>Missing on Street</v>
      </c>
      <c r="D428">
        <f>IFERROR(VLOOKUP(A428, Internal_Ledger!A:G, 5, FALSE), 0)</f>
        <v>1100</v>
      </c>
      <c r="E428">
        <f>IFERROR(VLOOKUP(A428, Broker_Statement!A:G, 5, FALSE), 0)</f>
        <v>0</v>
      </c>
      <c r="F428">
        <f>IFERROR(VLOOKUP(A428, Internal_Ledger!A:G, 6, FALSE), 0)</f>
        <v>257.67001342773438</v>
      </c>
      <c r="G428">
        <f>IFERROR(VLOOKUP(A428, Broker_Statement!A:G, 6, FALSE), 0)</f>
        <v>0</v>
      </c>
      <c r="H428" s="7">
        <f t="shared" si="6"/>
        <v>283437.01477050781</v>
      </c>
    </row>
    <row r="429" spans="1:8" x14ac:dyDescent="0.3">
      <c r="A429" t="s">
        <v>459</v>
      </c>
      <c r="B429" t="str">
        <f>IFERROR(VLOOKUP(A429, Internal_Ledger!A:B, 2, FALSE), VLOOKUP(A429, Broker_Statement!A:B, 2, FALSE))</f>
        <v>INE040A01034</v>
      </c>
      <c r="C429" t="str">
        <f>IF(COUNTIF(Internal_Ledger!A:A, A429)=0, "Missing Internal", IF(COUNTIF(Broker_Statement!A:A, A429)=0, "Missing on Street", IF(D429&lt;&gt;E429, "Quantity Break", IF(F429&lt;&gt;G429, "Price Break", "Matched Perfectly"))))</f>
        <v>Matched Perfectly</v>
      </c>
      <c r="D429">
        <f>IFERROR(VLOOKUP(A429, Internal_Ledger!A:G, 5, FALSE), 0)</f>
        <v>50</v>
      </c>
      <c r="E429">
        <f>IFERROR(VLOOKUP(A429, Broker_Statement!A:G, 5, FALSE), 0)</f>
        <v>50</v>
      </c>
      <c r="F429">
        <f>IFERROR(VLOOKUP(A429, Internal_Ledger!A:G, 6, FALSE), 0)</f>
        <v>239.69999694824219</v>
      </c>
      <c r="G429">
        <f>IFERROR(VLOOKUP(A429, Broker_Statement!A:G, 6, FALSE), 0)</f>
        <v>239.69999694824219</v>
      </c>
      <c r="H429" s="7">
        <f t="shared" si="6"/>
        <v>0</v>
      </c>
    </row>
    <row r="430" spans="1:8" x14ac:dyDescent="0.3">
      <c r="A430" t="s">
        <v>460</v>
      </c>
      <c r="B430" t="str">
        <f>IFERROR(VLOOKUP(A430, Internal_Ledger!A:B, 2, FALSE), VLOOKUP(A430, Broker_Statement!A:B, 2, FALSE))</f>
        <v>INE009A01021</v>
      </c>
      <c r="C430" t="str">
        <f>IF(COUNTIF(Internal_Ledger!A:A, A430)=0, "Missing Internal", IF(COUNTIF(Broker_Statement!A:A, A430)=0, "Missing on Street", IF(D430&lt;&gt;E430, "Quantity Break", IF(F430&lt;&gt;G430, "Price Break", "Matched Perfectly"))))</f>
        <v>Matched Perfectly</v>
      </c>
      <c r="D430">
        <f>IFERROR(VLOOKUP(A430, Internal_Ledger!A:G, 5, FALSE), 0)</f>
        <v>50</v>
      </c>
      <c r="E430">
        <f>IFERROR(VLOOKUP(A430, Broker_Statement!A:G, 5, FALSE), 0)</f>
        <v>50</v>
      </c>
      <c r="F430">
        <f>IFERROR(VLOOKUP(A430, Internal_Ledger!A:G, 6, FALSE), 0)</f>
        <v>364.41000366210938</v>
      </c>
      <c r="G430">
        <f>IFERROR(VLOOKUP(A430, Broker_Statement!A:G, 6, FALSE), 0)</f>
        <v>364.41000366210938</v>
      </c>
      <c r="H430" s="7">
        <f t="shared" si="6"/>
        <v>0</v>
      </c>
    </row>
    <row r="431" spans="1:8" x14ac:dyDescent="0.3">
      <c r="A431" t="s">
        <v>461</v>
      </c>
      <c r="B431" t="str">
        <f>IFERROR(VLOOKUP(A431, Internal_Ledger!A:B, 2, FALSE), VLOOKUP(A431, Broker_Statement!A:B, 2, FALSE))</f>
        <v>INE040A01034</v>
      </c>
      <c r="C431" t="str">
        <f>IF(COUNTIF(Internal_Ledger!A:A, A431)=0, "Missing Internal", IF(COUNTIF(Broker_Statement!A:A, A431)=0, "Missing on Street", IF(D431&lt;&gt;E431, "Quantity Break", IF(F431&lt;&gt;G431, "Price Break", "Matched Perfectly"))))</f>
        <v>Matched Perfectly</v>
      </c>
      <c r="D431">
        <f>IFERROR(VLOOKUP(A431, Internal_Ledger!A:G, 5, FALSE), 0)</f>
        <v>2050</v>
      </c>
      <c r="E431">
        <f>IFERROR(VLOOKUP(A431, Broker_Statement!A:G, 5, FALSE), 0)</f>
        <v>2050</v>
      </c>
      <c r="F431">
        <f>IFERROR(VLOOKUP(A431, Internal_Ledger!A:G, 6, FALSE), 0)</f>
        <v>281.76998901367188</v>
      </c>
      <c r="G431">
        <f>IFERROR(VLOOKUP(A431, Broker_Statement!A:G, 6, FALSE), 0)</f>
        <v>281.76998901367188</v>
      </c>
      <c r="H431" s="7">
        <f t="shared" si="6"/>
        <v>0</v>
      </c>
    </row>
    <row r="432" spans="1:8" x14ac:dyDescent="0.3">
      <c r="A432" t="s">
        <v>462</v>
      </c>
      <c r="B432" t="str">
        <f>IFERROR(VLOOKUP(A432, Internal_Ledger!A:B, 2, FALSE), VLOOKUP(A432, Broker_Statement!A:B, 2, FALSE))</f>
        <v>INE018A01030</v>
      </c>
      <c r="C432" t="str">
        <f>IF(COUNTIF(Internal_Ledger!A:A, A432)=0, "Missing Internal", IF(COUNTIF(Broker_Statement!A:A, A432)=0, "Missing on Street", IF(D432&lt;&gt;E432, "Quantity Break", IF(F432&lt;&gt;G432, "Price Break", "Matched Perfectly"))))</f>
        <v>Matched Perfectly</v>
      </c>
      <c r="D432">
        <f>IFERROR(VLOOKUP(A432, Internal_Ledger!A:G, 5, FALSE), 0)</f>
        <v>3250</v>
      </c>
      <c r="E432">
        <f>IFERROR(VLOOKUP(A432, Broker_Statement!A:G, 5, FALSE), 0)</f>
        <v>3250</v>
      </c>
      <c r="F432">
        <f>IFERROR(VLOOKUP(A432, Internal_Ledger!A:G, 6, FALSE), 0)</f>
        <v>507.60000610351563</v>
      </c>
      <c r="G432">
        <f>IFERROR(VLOOKUP(A432, Broker_Statement!A:G, 6, FALSE), 0)</f>
        <v>507.60000610351563</v>
      </c>
      <c r="H432" s="7">
        <f t="shared" si="6"/>
        <v>0</v>
      </c>
    </row>
    <row r="433" spans="1:8" x14ac:dyDescent="0.3">
      <c r="A433" t="s">
        <v>463</v>
      </c>
      <c r="B433" t="str">
        <f>IFERROR(VLOOKUP(A433, Internal_Ledger!A:B, 2, FALSE), VLOOKUP(A433, Broker_Statement!A:B, 2, FALSE))</f>
        <v>INE018A01030</v>
      </c>
      <c r="C433" t="str">
        <f>IF(COUNTIF(Internal_Ledger!A:A, A433)=0, "Missing Internal", IF(COUNTIF(Broker_Statement!A:A, A433)=0, "Missing on Street", IF(D433&lt;&gt;E433, "Quantity Break", IF(F433&lt;&gt;G433, "Price Break", "Matched Perfectly"))))</f>
        <v>Matched Perfectly</v>
      </c>
      <c r="D433">
        <f>IFERROR(VLOOKUP(A433, Internal_Ledger!A:G, 5, FALSE), 0)</f>
        <v>4700</v>
      </c>
      <c r="E433">
        <f>IFERROR(VLOOKUP(A433, Broker_Statement!A:G, 5, FALSE), 0)</f>
        <v>4700</v>
      </c>
      <c r="F433">
        <f>IFERROR(VLOOKUP(A433, Internal_Ledger!A:G, 6, FALSE), 0)</f>
        <v>468.29998779296875</v>
      </c>
      <c r="G433">
        <f>IFERROR(VLOOKUP(A433, Broker_Statement!A:G, 6, FALSE), 0)</f>
        <v>468.29998779296875</v>
      </c>
      <c r="H433" s="7">
        <f t="shared" si="6"/>
        <v>0</v>
      </c>
    </row>
    <row r="434" spans="1:8" x14ac:dyDescent="0.3">
      <c r="A434" t="s">
        <v>464</v>
      </c>
      <c r="B434" t="str">
        <f>IFERROR(VLOOKUP(A434, Internal_Ledger!A:B, 2, FALSE), VLOOKUP(A434, Broker_Statement!A:B, 2, FALSE))</f>
        <v>INE030A01027</v>
      </c>
      <c r="C434" t="str">
        <f>IF(COUNTIF(Internal_Ledger!A:A, A434)=0, "Missing Internal", IF(COUNTIF(Broker_Statement!A:A, A434)=0, "Missing on Street", IF(D434&lt;&gt;E434, "Quantity Break", IF(F434&lt;&gt;G434, "Price Break", "Matched Perfectly"))))</f>
        <v>Matched Perfectly</v>
      </c>
      <c r="D434">
        <f>IFERROR(VLOOKUP(A434, Internal_Ledger!A:G, 5, FALSE), 0)</f>
        <v>100</v>
      </c>
      <c r="E434">
        <f>IFERROR(VLOOKUP(A434, Broker_Statement!A:G, 5, FALSE), 0)</f>
        <v>100</v>
      </c>
      <c r="F434">
        <f>IFERROR(VLOOKUP(A434, Internal_Ledger!A:G, 6, FALSE), 0)</f>
        <v>570.8699951171875</v>
      </c>
      <c r="G434">
        <f>IFERROR(VLOOKUP(A434, Broker_Statement!A:G, 6, FALSE), 0)</f>
        <v>570.8699951171875</v>
      </c>
      <c r="H434" s="7">
        <f t="shared" si="6"/>
        <v>0</v>
      </c>
    </row>
    <row r="435" spans="1:8" x14ac:dyDescent="0.3">
      <c r="A435" t="s">
        <v>465</v>
      </c>
      <c r="B435" t="str">
        <f>IFERROR(VLOOKUP(A435, Internal_Ledger!A:B, 2, FALSE), VLOOKUP(A435, Broker_Statement!A:B, 2, FALSE))</f>
        <v>INE002A01018</v>
      </c>
      <c r="C435" t="str">
        <f>IF(COUNTIF(Internal_Ledger!A:A, A435)=0, "Missing Internal", IF(COUNTIF(Broker_Statement!A:A, A435)=0, "Missing on Street", IF(D435&lt;&gt;E435, "Quantity Break", IF(F435&lt;&gt;G435, "Price Break", "Matched Perfectly"))))</f>
        <v>Price Break</v>
      </c>
      <c r="D435">
        <f>IFERROR(VLOOKUP(A435, Internal_Ledger!A:G, 5, FALSE), 0)</f>
        <v>3000</v>
      </c>
      <c r="E435">
        <f>IFERROR(VLOOKUP(A435, Broker_Statement!A:G, 5, FALSE), 0)</f>
        <v>3000</v>
      </c>
      <c r="F435">
        <f>IFERROR(VLOOKUP(A435, Internal_Ledger!A:G, 6, FALSE), 0)</f>
        <v>282.77999877929688</v>
      </c>
      <c r="G435">
        <f>IFERROR(VLOOKUP(A435, Broker_Statement!A:G, 6, FALSE), 0)</f>
        <v>282.75999877974391</v>
      </c>
      <c r="H435" s="7">
        <f t="shared" si="6"/>
        <v>59.999998658895493</v>
      </c>
    </row>
    <row r="436" spans="1:8" x14ac:dyDescent="0.3">
      <c r="A436" t="s">
        <v>466</v>
      </c>
      <c r="B436" t="str">
        <f>IFERROR(VLOOKUP(A436, Internal_Ledger!A:B, 2, FALSE), VLOOKUP(A436, Broker_Statement!A:B, 2, FALSE))</f>
        <v>INE030A01027</v>
      </c>
      <c r="C436" t="str">
        <f>IF(COUNTIF(Internal_Ledger!A:A, A436)=0, "Missing Internal", IF(COUNTIF(Broker_Statement!A:A, A436)=0, "Missing on Street", IF(D436&lt;&gt;E436, "Quantity Break", IF(F436&lt;&gt;G436, "Price Break", "Matched Perfectly"))))</f>
        <v>Matched Perfectly</v>
      </c>
      <c r="D436">
        <f>IFERROR(VLOOKUP(A436, Internal_Ledger!A:G, 5, FALSE), 0)</f>
        <v>1850</v>
      </c>
      <c r="E436">
        <f>IFERROR(VLOOKUP(A436, Broker_Statement!A:G, 5, FALSE), 0)</f>
        <v>1850</v>
      </c>
      <c r="F436">
        <f>IFERROR(VLOOKUP(A436, Internal_Ledger!A:G, 6, FALSE), 0)</f>
        <v>280.6199951171875</v>
      </c>
      <c r="G436">
        <f>IFERROR(VLOOKUP(A436, Broker_Statement!A:G, 6, FALSE), 0)</f>
        <v>280.6199951171875</v>
      </c>
      <c r="H436" s="7">
        <f t="shared" si="6"/>
        <v>0</v>
      </c>
    </row>
    <row r="437" spans="1:8" x14ac:dyDescent="0.3">
      <c r="A437" t="s">
        <v>467</v>
      </c>
      <c r="B437" t="str">
        <f>IFERROR(VLOOKUP(A437, Internal_Ledger!A:B, 2, FALSE), VLOOKUP(A437, Broker_Statement!A:B, 2, FALSE))</f>
        <v>INE018A01030</v>
      </c>
      <c r="C437" t="str">
        <f>IF(COUNTIF(Internal_Ledger!A:A, A437)=0, "Missing Internal", IF(COUNTIF(Broker_Statement!A:A, A437)=0, "Missing on Street", IF(D437&lt;&gt;E437, "Quantity Break", IF(F437&lt;&gt;G437, "Price Break", "Matched Perfectly"))))</f>
        <v>Matched Perfectly</v>
      </c>
      <c r="D437">
        <f>IFERROR(VLOOKUP(A437, Internal_Ledger!A:G, 5, FALSE), 0)</f>
        <v>1050</v>
      </c>
      <c r="E437">
        <f>IFERROR(VLOOKUP(A437, Broker_Statement!A:G, 5, FALSE), 0)</f>
        <v>1050</v>
      </c>
      <c r="F437">
        <f>IFERROR(VLOOKUP(A437, Internal_Ledger!A:G, 6, FALSE), 0)</f>
        <v>254.6300048828125</v>
      </c>
      <c r="G437">
        <f>IFERROR(VLOOKUP(A437, Broker_Statement!A:G, 6, FALSE), 0)</f>
        <v>254.6300048828125</v>
      </c>
      <c r="H437" s="7">
        <f t="shared" si="6"/>
        <v>0</v>
      </c>
    </row>
    <row r="438" spans="1:8" x14ac:dyDescent="0.3">
      <c r="A438" t="s">
        <v>468</v>
      </c>
      <c r="B438" t="str">
        <f>IFERROR(VLOOKUP(A438, Internal_Ledger!A:B, 2, FALSE), VLOOKUP(A438, Broker_Statement!A:B, 2, FALSE))</f>
        <v>INE040A01034</v>
      </c>
      <c r="C438" t="str">
        <f>IF(COUNTIF(Internal_Ledger!A:A, A438)=0, "Missing Internal", IF(COUNTIF(Broker_Statement!A:A, A438)=0, "Missing on Street", IF(D438&lt;&gt;E438, "Quantity Break", IF(F438&lt;&gt;G438, "Price Break", "Matched Perfectly"))))</f>
        <v>Matched Perfectly</v>
      </c>
      <c r="D438">
        <f>IFERROR(VLOOKUP(A438, Internal_Ledger!A:G, 5, FALSE), 0)</f>
        <v>200</v>
      </c>
      <c r="E438">
        <f>IFERROR(VLOOKUP(A438, Broker_Statement!A:G, 5, FALSE), 0)</f>
        <v>200</v>
      </c>
      <c r="F438">
        <f>IFERROR(VLOOKUP(A438, Internal_Ledger!A:G, 6, FALSE), 0)</f>
        <v>214.6199951171875</v>
      </c>
      <c r="G438">
        <f>IFERROR(VLOOKUP(A438, Broker_Statement!A:G, 6, FALSE), 0)</f>
        <v>214.6199951171875</v>
      </c>
      <c r="H438" s="7">
        <f t="shared" si="6"/>
        <v>0</v>
      </c>
    </row>
    <row r="439" spans="1:8" x14ac:dyDescent="0.3">
      <c r="A439" t="s">
        <v>469</v>
      </c>
      <c r="B439" t="str">
        <f>IFERROR(VLOOKUP(A439, Internal_Ledger!A:B, 2, FALSE), VLOOKUP(A439, Broker_Statement!A:B, 2, FALSE))</f>
        <v>INE018A01030</v>
      </c>
      <c r="C439" t="str">
        <f>IF(COUNTIF(Internal_Ledger!A:A, A439)=0, "Missing Internal", IF(COUNTIF(Broker_Statement!A:A, A439)=0, "Missing on Street", IF(D439&lt;&gt;E439, "Quantity Break", IF(F439&lt;&gt;G439, "Price Break", "Matched Perfectly"))))</f>
        <v>Matched Perfectly</v>
      </c>
      <c r="D439">
        <f>IFERROR(VLOOKUP(A439, Internal_Ledger!A:G, 5, FALSE), 0)</f>
        <v>850</v>
      </c>
      <c r="E439">
        <f>IFERROR(VLOOKUP(A439, Broker_Statement!A:G, 5, FALSE), 0)</f>
        <v>850</v>
      </c>
      <c r="F439">
        <f>IFERROR(VLOOKUP(A439, Internal_Ledger!A:G, 6, FALSE), 0)</f>
        <v>188.5</v>
      </c>
      <c r="G439">
        <f>IFERROR(VLOOKUP(A439, Broker_Statement!A:G, 6, FALSE), 0)</f>
        <v>188.5</v>
      </c>
      <c r="H439" s="7">
        <f t="shared" si="6"/>
        <v>0</v>
      </c>
    </row>
    <row r="440" spans="1:8" x14ac:dyDescent="0.3">
      <c r="A440" t="s">
        <v>470</v>
      </c>
      <c r="B440" t="str">
        <f>IFERROR(VLOOKUP(A440, Internal_Ledger!A:B, 2, FALSE), VLOOKUP(A440, Broker_Statement!A:B, 2, FALSE))</f>
        <v>INE040A01034</v>
      </c>
      <c r="C440" t="str">
        <f>IF(COUNTIF(Internal_Ledger!A:A, A440)=0, "Missing Internal", IF(COUNTIF(Broker_Statement!A:A, A440)=0, "Missing on Street", IF(D440&lt;&gt;E440, "Quantity Break", IF(F440&lt;&gt;G440, "Price Break", "Matched Perfectly"))))</f>
        <v>Matched Perfectly</v>
      </c>
      <c r="D440">
        <f>IFERROR(VLOOKUP(A440, Internal_Ledger!A:G, 5, FALSE), 0)</f>
        <v>2550</v>
      </c>
      <c r="E440">
        <f>IFERROR(VLOOKUP(A440, Broker_Statement!A:G, 5, FALSE), 0)</f>
        <v>2550</v>
      </c>
      <c r="F440">
        <f>IFERROR(VLOOKUP(A440, Internal_Ledger!A:G, 6, FALSE), 0)</f>
        <v>432.70999145507813</v>
      </c>
      <c r="G440">
        <f>IFERROR(VLOOKUP(A440, Broker_Statement!A:G, 6, FALSE), 0)</f>
        <v>432.70999145507813</v>
      </c>
      <c r="H440" s="7">
        <f t="shared" si="6"/>
        <v>0</v>
      </c>
    </row>
    <row r="441" spans="1:8" x14ac:dyDescent="0.3">
      <c r="A441" t="s">
        <v>471</v>
      </c>
      <c r="B441" t="str">
        <f>IFERROR(VLOOKUP(A441, Internal_Ledger!A:B, 2, FALSE), VLOOKUP(A441, Broker_Statement!A:B, 2, FALSE))</f>
        <v>INE002A01018</v>
      </c>
      <c r="C441" t="str">
        <f>IF(COUNTIF(Internal_Ledger!A:A, A441)=0, "Missing Internal", IF(COUNTIF(Broker_Statement!A:A, A441)=0, "Missing on Street", IF(D441&lt;&gt;E441, "Quantity Break", IF(F441&lt;&gt;G441, "Price Break", "Matched Perfectly"))))</f>
        <v>Matched Perfectly</v>
      </c>
      <c r="D441">
        <f>IFERROR(VLOOKUP(A441, Internal_Ledger!A:G, 5, FALSE), 0)</f>
        <v>1300</v>
      </c>
      <c r="E441">
        <f>IFERROR(VLOOKUP(A441, Broker_Statement!A:G, 5, FALSE), 0)</f>
        <v>1300</v>
      </c>
      <c r="F441">
        <f>IFERROR(VLOOKUP(A441, Internal_Ledger!A:G, 6, FALSE), 0)</f>
        <v>251.36000061035156</v>
      </c>
      <c r="G441">
        <f>IFERROR(VLOOKUP(A441, Broker_Statement!A:G, 6, FALSE), 0)</f>
        <v>251.36000061035156</v>
      </c>
      <c r="H441" s="7">
        <f t="shared" si="6"/>
        <v>0</v>
      </c>
    </row>
    <row r="442" spans="1:8" x14ac:dyDescent="0.3">
      <c r="A442" t="s">
        <v>472</v>
      </c>
      <c r="B442" t="str">
        <f>IFERROR(VLOOKUP(A442, Internal_Ledger!A:B, 2, FALSE), VLOOKUP(A442, Broker_Statement!A:B, 2, FALSE))</f>
        <v>INE018A01030</v>
      </c>
      <c r="C442" t="str">
        <f>IF(COUNTIF(Internal_Ledger!A:A, A442)=0, "Missing Internal", IF(COUNTIF(Broker_Statement!A:A, A442)=0, "Missing on Street", IF(D442&lt;&gt;E442, "Quantity Break", IF(F442&lt;&gt;G442, "Price Break", "Matched Perfectly"))))</f>
        <v>Matched Perfectly</v>
      </c>
      <c r="D442">
        <f>IFERROR(VLOOKUP(A442, Internal_Ledger!A:G, 5, FALSE), 0)</f>
        <v>1100</v>
      </c>
      <c r="E442">
        <f>IFERROR(VLOOKUP(A442, Broker_Statement!A:G, 5, FALSE), 0)</f>
        <v>1100</v>
      </c>
      <c r="F442">
        <f>IFERROR(VLOOKUP(A442, Internal_Ledger!A:G, 6, FALSE), 0)</f>
        <v>614.07000732421875</v>
      </c>
      <c r="G442">
        <f>IFERROR(VLOOKUP(A442, Broker_Statement!A:G, 6, FALSE), 0)</f>
        <v>614.07000732421875</v>
      </c>
      <c r="H442" s="7">
        <f t="shared" si="6"/>
        <v>0</v>
      </c>
    </row>
    <row r="443" spans="1:8" x14ac:dyDescent="0.3">
      <c r="A443" t="s">
        <v>473</v>
      </c>
      <c r="B443" t="str">
        <f>IFERROR(VLOOKUP(A443, Internal_Ledger!A:B, 2, FALSE), VLOOKUP(A443, Broker_Statement!A:B, 2, FALSE))</f>
        <v>INE018A01030</v>
      </c>
      <c r="C443" t="str">
        <f>IF(COUNTIF(Internal_Ledger!A:A, A443)=0, "Missing Internal", IF(COUNTIF(Broker_Statement!A:A, A443)=0, "Missing on Street", IF(D443&lt;&gt;E443, "Quantity Break", IF(F443&lt;&gt;G443, "Price Break", "Matched Perfectly"))))</f>
        <v>Matched Perfectly</v>
      </c>
      <c r="D443">
        <f>IFERROR(VLOOKUP(A443, Internal_Ledger!A:G, 5, FALSE), 0)</f>
        <v>500</v>
      </c>
      <c r="E443">
        <f>IFERROR(VLOOKUP(A443, Broker_Statement!A:G, 5, FALSE), 0)</f>
        <v>500</v>
      </c>
      <c r="F443">
        <f>IFERROR(VLOOKUP(A443, Internal_Ledger!A:G, 6, FALSE), 0)</f>
        <v>619.67999267578125</v>
      </c>
      <c r="G443">
        <f>IFERROR(VLOOKUP(A443, Broker_Statement!A:G, 6, FALSE), 0)</f>
        <v>619.67999267578125</v>
      </c>
      <c r="H443" s="7">
        <f t="shared" si="6"/>
        <v>0</v>
      </c>
    </row>
    <row r="444" spans="1:8" x14ac:dyDescent="0.3">
      <c r="A444" t="s">
        <v>474</v>
      </c>
      <c r="B444" t="str">
        <f>IFERROR(VLOOKUP(A444, Internal_Ledger!A:B, 2, FALSE), VLOOKUP(A444, Broker_Statement!A:B, 2, FALSE))</f>
        <v>INE002A01018</v>
      </c>
      <c r="C444" t="str">
        <f>IF(COUNTIF(Internal_Ledger!A:A, A444)=0, "Missing Internal", IF(COUNTIF(Broker_Statement!A:A, A444)=0, "Missing on Street", IF(D444&lt;&gt;E444, "Quantity Break", IF(F444&lt;&gt;G444, "Price Break", "Matched Perfectly"))))</f>
        <v>Matched Perfectly</v>
      </c>
      <c r="D444">
        <f>IFERROR(VLOOKUP(A444, Internal_Ledger!A:G, 5, FALSE), 0)</f>
        <v>2950</v>
      </c>
      <c r="E444">
        <f>IFERROR(VLOOKUP(A444, Broker_Statement!A:G, 5, FALSE), 0)</f>
        <v>2950</v>
      </c>
      <c r="F444">
        <f>IFERROR(VLOOKUP(A444, Internal_Ledger!A:G, 6, FALSE), 0)</f>
        <v>477.39999389648438</v>
      </c>
      <c r="G444">
        <f>IFERROR(VLOOKUP(A444, Broker_Statement!A:G, 6, FALSE), 0)</f>
        <v>477.39999389648438</v>
      </c>
      <c r="H444" s="7">
        <f t="shared" si="6"/>
        <v>0</v>
      </c>
    </row>
    <row r="445" spans="1:8" x14ac:dyDescent="0.3">
      <c r="A445" t="s">
        <v>475</v>
      </c>
      <c r="B445" t="str">
        <f>IFERROR(VLOOKUP(A445, Internal_Ledger!A:B, 2, FALSE), VLOOKUP(A445, Broker_Statement!A:B, 2, FALSE))</f>
        <v>INE002A01018</v>
      </c>
      <c r="C445" t="str">
        <f>IF(COUNTIF(Internal_Ledger!A:A, A445)=0, "Missing Internal", IF(COUNTIF(Broker_Statement!A:A, A445)=0, "Missing on Street", IF(D445&lt;&gt;E445, "Quantity Break", IF(F445&lt;&gt;G445, "Price Break", "Matched Perfectly"))))</f>
        <v>Missing on Street</v>
      </c>
      <c r="D445">
        <f>IFERROR(VLOOKUP(A445, Internal_Ledger!A:G, 5, FALSE), 0)</f>
        <v>400</v>
      </c>
      <c r="E445">
        <f>IFERROR(VLOOKUP(A445, Broker_Statement!A:G, 5, FALSE), 0)</f>
        <v>0</v>
      </c>
      <c r="F445">
        <f>IFERROR(VLOOKUP(A445, Internal_Ledger!A:G, 6, FALSE), 0)</f>
        <v>302.47000122070313</v>
      </c>
      <c r="G445">
        <f>IFERROR(VLOOKUP(A445, Broker_Statement!A:G, 6, FALSE), 0)</f>
        <v>0</v>
      </c>
      <c r="H445" s="7">
        <f t="shared" si="6"/>
        <v>120988.00048828125</v>
      </c>
    </row>
    <row r="446" spans="1:8" x14ac:dyDescent="0.3">
      <c r="A446" t="s">
        <v>476</v>
      </c>
      <c r="B446" t="str">
        <f>IFERROR(VLOOKUP(A446, Internal_Ledger!A:B, 2, FALSE), VLOOKUP(A446, Broker_Statement!A:B, 2, FALSE))</f>
        <v>INE009A01021</v>
      </c>
      <c r="C446" t="str">
        <f>IF(COUNTIF(Internal_Ledger!A:A, A446)=0, "Missing Internal", IF(COUNTIF(Broker_Statement!A:A, A446)=0, "Missing on Street", IF(D446&lt;&gt;E446, "Quantity Break", IF(F446&lt;&gt;G446, "Price Break", "Matched Perfectly"))))</f>
        <v>Matched Perfectly</v>
      </c>
      <c r="D446">
        <f>IFERROR(VLOOKUP(A446, Internal_Ledger!A:G, 5, FALSE), 0)</f>
        <v>2150</v>
      </c>
      <c r="E446">
        <f>IFERROR(VLOOKUP(A446, Broker_Statement!A:G, 5, FALSE), 0)</f>
        <v>2150</v>
      </c>
      <c r="F446">
        <f>IFERROR(VLOOKUP(A446, Internal_Ledger!A:G, 6, FALSE), 0)</f>
        <v>648.15997314453125</v>
      </c>
      <c r="G446">
        <f>IFERROR(VLOOKUP(A446, Broker_Statement!A:G, 6, FALSE), 0)</f>
        <v>648.15997314453125</v>
      </c>
      <c r="H446" s="7">
        <f t="shared" si="6"/>
        <v>0</v>
      </c>
    </row>
    <row r="447" spans="1:8" x14ac:dyDescent="0.3">
      <c r="A447" t="s">
        <v>477</v>
      </c>
      <c r="B447" t="str">
        <f>IFERROR(VLOOKUP(A447, Internal_Ledger!A:B, 2, FALSE), VLOOKUP(A447, Broker_Statement!A:B, 2, FALSE))</f>
        <v>INE030A01027</v>
      </c>
      <c r="C447" t="str">
        <f>IF(COUNTIF(Internal_Ledger!A:A, A447)=0, "Missing Internal", IF(COUNTIF(Broker_Statement!A:A, A447)=0, "Missing on Street", IF(D447&lt;&gt;E447, "Quantity Break", IF(F447&lt;&gt;G447, "Price Break", "Matched Perfectly"))))</f>
        <v>Quantity Break</v>
      </c>
      <c r="D447">
        <f>IFERROR(VLOOKUP(A447, Internal_Ledger!A:G, 5, FALSE), 0)</f>
        <v>4600</v>
      </c>
      <c r="E447">
        <f>IFERROR(VLOOKUP(A447, Broker_Statement!A:G, 5, FALSE), 0)</f>
        <v>4550</v>
      </c>
      <c r="F447">
        <f>IFERROR(VLOOKUP(A447, Internal_Ledger!A:G, 6, FALSE), 0)</f>
        <v>320.95001220703125</v>
      </c>
      <c r="G447">
        <f>IFERROR(VLOOKUP(A447, Broker_Statement!A:G, 6, FALSE), 0)</f>
        <v>320.95001220703125</v>
      </c>
      <c r="H447" s="7">
        <f t="shared" si="6"/>
        <v>16047.500610351563</v>
      </c>
    </row>
    <row r="448" spans="1:8" x14ac:dyDescent="0.3">
      <c r="A448" t="s">
        <v>478</v>
      </c>
      <c r="B448" t="str">
        <f>IFERROR(VLOOKUP(A448, Internal_Ledger!A:B, 2, FALSE), VLOOKUP(A448, Broker_Statement!A:B, 2, FALSE))</f>
        <v>INE040A01034</v>
      </c>
      <c r="C448" t="str">
        <f>IF(COUNTIF(Internal_Ledger!A:A, A448)=0, "Missing Internal", IF(COUNTIF(Broker_Statement!A:A, A448)=0, "Missing on Street", IF(D448&lt;&gt;E448, "Quantity Break", IF(F448&lt;&gt;G448, "Price Break", "Matched Perfectly"))))</f>
        <v>Matched Perfectly</v>
      </c>
      <c r="D448">
        <f>IFERROR(VLOOKUP(A448, Internal_Ledger!A:G, 5, FALSE), 0)</f>
        <v>3050</v>
      </c>
      <c r="E448">
        <f>IFERROR(VLOOKUP(A448, Broker_Statement!A:G, 5, FALSE), 0)</f>
        <v>3050</v>
      </c>
      <c r="F448">
        <f>IFERROR(VLOOKUP(A448, Internal_Ledger!A:G, 6, FALSE), 0)</f>
        <v>150.75</v>
      </c>
      <c r="G448">
        <f>IFERROR(VLOOKUP(A448, Broker_Statement!A:G, 6, FALSE), 0)</f>
        <v>150.75</v>
      </c>
      <c r="H448" s="7">
        <f t="shared" si="6"/>
        <v>0</v>
      </c>
    </row>
    <row r="449" spans="1:8" x14ac:dyDescent="0.3">
      <c r="A449" t="s">
        <v>479</v>
      </c>
      <c r="B449" t="str">
        <f>IFERROR(VLOOKUP(A449, Internal_Ledger!A:B, 2, FALSE), VLOOKUP(A449, Broker_Statement!A:B, 2, FALSE))</f>
        <v>INE040A01034</v>
      </c>
      <c r="C449" t="str">
        <f>IF(COUNTIF(Internal_Ledger!A:A, A449)=0, "Missing Internal", IF(COUNTIF(Broker_Statement!A:A, A449)=0, "Missing on Street", IF(D449&lt;&gt;E449, "Quantity Break", IF(F449&lt;&gt;G449, "Price Break", "Matched Perfectly"))))</f>
        <v>Matched Perfectly</v>
      </c>
      <c r="D449">
        <f>IFERROR(VLOOKUP(A449, Internal_Ledger!A:G, 5, FALSE), 0)</f>
        <v>2250</v>
      </c>
      <c r="E449">
        <f>IFERROR(VLOOKUP(A449, Broker_Statement!A:G, 5, FALSE), 0)</f>
        <v>2250</v>
      </c>
      <c r="F449">
        <f>IFERROR(VLOOKUP(A449, Internal_Ledger!A:G, 6, FALSE), 0)</f>
        <v>513.20001220703125</v>
      </c>
      <c r="G449">
        <f>IFERROR(VLOOKUP(A449, Broker_Statement!A:G, 6, FALSE), 0)</f>
        <v>513.20001220703125</v>
      </c>
      <c r="H449" s="7">
        <f t="shared" si="6"/>
        <v>0</v>
      </c>
    </row>
    <row r="450" spans="1:8" x14ac:dyDescent="0.3">
      <c r="A450" t="s">
        <v>480</v>
      </c>
      <c r="B450" t="str">
        <f>IFERROR(VLOOKUP(A450, Internal_Ledger!A:B, 2, FALSE), VLOOKUP(A450, Broker_Statement!A:B, 2, FALSE))</f>
        <v>INE002A01018</v>
      </c>
      <c r="C450" t="str">
        <f>IF(COUNTIF(Internal_Ledger!A:A, A450)=0, "Missing Internal", IF(COUNTIF(Broker_Statement!A:A, A450)=0, "Missing on Street", IF(D450&lt;&gt;E450, "Quantity Break", IF(F450&lt;&gt;G450, "Price Break", "Matched Perfectly"))))</f>
        <v>Matched Perfectly</v>
      </c>
      <c r="D450">
        <f>IFERROR(VLOOKUP(A450, Internal_Ledger!A:G, 5, FALSE), 0)</f>
        <v>50</v>
      </c>
      <c r="E450">
        <f>IFERROR(VLOOKUP(A450, Broker_Statement!A:G, 5, FALSE), 0)</f>
        <v>50</v>
      </c>
      <c r="F450">
        <f>IFERROR(VLOOKUP(A450, Internal_Ledger!A:G, 6, FALSE), 0)</f>
        <v>525.6500244140625</v>
      </c>
      <c r="G450">
        <f>IFERROR(VLOOKUP(A450, Broker_Statement!A:G, 6, FALSE), 0)</f>
        <v>525.6500244140625</v>
      </c>
      <c r="H450" s="7">
        <f t="shared" si="6"/>
        <v>0</v>
      </c>
    </row>
    <row r="451" spans="1:8" x14ac:dyDescent="0.3">
      <c r="A451" t="s">
        <v>481</v>
      </c>
      <c r="B451" t="str">
        <f>IFERROR(VLOOKUP(A451, Internal_Ledger!A:B, 2, FALSE), VLOOKUP(A451, Broker_Statement!A:B, 2, FALSE))</f>
        <v>INE002A01018</v>
      </c>
      <c r="C451" t="str">
        <f>IF(COUNTIF(Internal_Ledger!A:A, A451)=0, "Missing Internal", IF(COUNTIF(Broker_Statement!A:A, A451)=0, "Missing on Street", IF(D451&lt;&gt;E451, "Quantity Break", IF(F451&lt;&gt;G451, "Price Break", "Matched Perfectly"))))</f>
        <v>Price Break</v>
      </c>
      <c r="D451">
        <f>IFERROR(VLOOKUP(A451, Internal_Ledger!A:G, 5, FALSE), 0)</f>
        <v>3400</v>
      </c>
      <c r="E451">
        <f>IFERROR(VLOOKUP(A451, Broker_Statement!A:G, 5, FALSE), 0)</f>
        <v>3400</v>
      </c>
      <c r="F451">
        <f>IFERROR(VLOOKUP(A451, Internal_Ledger!A:G, 6, FALSE), 0)</f>
        <v>463.92999267578125</v>
      </c>
      <c r="G451">
        <f>IFERROR(VLOOKUP(A451, Broker_Statement!A:G, 6, FALSE), 0)</f>
        <v>463.13999265432358</v>
      </c>
      <c r="H451" s="7">
        <f t="shared" ref="H451:H501" si="7">ABS((D451*F451) - (E451*G451))</f>
        <v>2686.0000729560852</v>
      </c>
    </row>
    <row r="452" spans="1:8" x14ac:dyDescent="0.3">
      <c r="A452" t="s">
        <v>482</v>
      </c>
      <c r="B452" t="str">
        <f>IFERROR(VLOOKUP(A452, Internal_Ledger!A:B, 2, FALSE), VLOOKUP(A452, Broker_Statement!A:B, 2, FALSE))</f>
        <v>INE002A01018</v>
      </c>
      <c r="C452" t="str">
        <f>IF(COUNTIF(Internal_Ledger!A:A, A452)=0, "Missing Internal", IF(COUNTIF(Broker_Statement!A:A, A452)=0, "Missing on Street", IF(D452&lt;&gt;E452, "Quantity Break", IF(F452&lt;&gt;G452, "Price Break", "Matched Perfectly"))))</f>
        <v>Matched Perfectly</v>
      </c>
      <c r="D452">
        <f>IFERROR(VLOOKUP(A452, Internal_Ledger!A:G, 5, FALSE), 0)</f>
        <v>4250</v>
      </c>
      <c r="E452">
        <f>IFERROR(VLOOKUP(A452, Broker_Statement!A:G, 5, FALSE), 0)</f>
        <v>4250</v>
      </c>
      <c r="F452">
        <f>IFERROR(VLOOKUP(A452, Internal_Ledger!A:G, 6, FALSE), 0)</f>
        <v>483.51998901367188</v>
      </c>
      <c r="G452">
        <f>IFERROR(VLOOKUP(A452, Broker_Statement!A:G, 6, FALSE), 0)</f>
        <v>483.51998901367188</v>
      </c>
      <c r="H452" s="7">
        <f t="shared" si="7"/>
        <v>0</v>
      </c>
    </row>
    <row r="453" spans="1:8" x14ac:dyDescent="0.3">
      <c r="A453" t="s">
        <v>483</v>
      </c>
      <c r="B453" t="str">
        <f>IFERROR(VLOOKUP(A453, Internal_Ledger!A:B, 2, FALSE), VLOOKUP(A453, Broker_Statement!A:B, 2, FALSE))</f>
        <v>INE009A01021</v>
      </c>
      <c r="C453" t="str">
        <f>IF(COUNTIF(Internal_Ledger!A:A, A453)=0, "Missing Internal", IF(COUNTIF(Broker_Statement!A:A, A453)=0, "Missing on Street", IF(D453&lt;&gt;E453, "Quantity Break", IF(F453&lt;&gt;G453, "Price Break", "Matched Perfectly"))))</f>
        <v>Matched Perfectly</v>
      </c>
      <c r="D453">
        <f>IFERROR(VLOOKUP(A453, Internal_Ledger!A:G, 5, FALSE), 0)</f>
        <v>4100</v>
      </c>
      <c r="E453">
        <f>IFERROR(VLOOKUP(A453, Broker_Statement!A:G, 5, FALSE), 0)</f>
        <v>4100</v>
      </c>
      <c r="F453">
        <f>IFERROR(VLOOKUP(A453, Internal_Ledger!A:G, 6, FALSE), 0)</f>
        <v>579.55999755859375</v>
      </c>
      <c r="G453">
        <f>IFERROR(VLOOKUP(A453, Broker_Statement!A:G, 6, FALSE), 0)</f>
        <v>579.55999755859375</v>
      </c>
      <c r="H453" s="7">
        <f t="shared" si="7"/>
        <v>0</v>
      </c>
    </row>
    <row r="454" spans="1:8" x14ac:dyDescent="0.3">
      <c r="A454" t="s">
        <v>484</v>
      </c>
      <c r="B454" t="str">
        <f>IFERROR(VLOOKUP(A454, Internal_Ledger!A:B, 2, FALSE), VLOOKUP(A454, Broker_Statement!A:B, 2, FALSE))</f>
        <v>INE030A01027</v>
      </c>
      <c r="C454" t="str">
        <f>IF(COUNTIF(Internal_Ledger!A:A, A454)=0, "Missing Internal", IF(COUNTIF(Broker_Statement!A:A, A454)=0, "Missing on Street", IF(D454&lt;&gt;E454, "Quantity Break", IF(F454&lt;&gt;G454, "Price Break", "Matched Perfectly"))))</f>
        <v>Price Break</v>
      </c>
      <c r="D454">
        <f>IFERROR(VLOOKUP(A454, Internal_Ledger!A:G, 5, FALSE), 0)</f>
        <v>650</v>
      </c>
      <c r="E454">
        <f>IFERROR(VLOOKUP(A454, Broker_Statement!A:G, 5, FALSE), 0)</f>
        <v>650</v>
      </c>
      <c r="F454">
        <f>IFERROR(VLOOKUP(A454, Internal_Ledger!A:G, 6, FALSE), 0)</f>
        <v>234.92999267578125</v>
      </c>
      <c r="G454">
        <f>IFERROR(VLOOKUP(A454, Broker_Statement!A:G, 6, FALSE), 0)</f>
        <v>234.54999268054962</v>
      </c>
      <c r="H454" s="7">
        <f t="shared" si="7"/>
        <v>246.99999690055847</v>
      </c>
    </row>
    <row r="455" spans="1:8" x14ac:dyDescent="0.3">
      <c r="A455" t="s">
        <v>485</v>
      </c>
      <c r="B455" t="str">
        <f>IFERROR(VLOOKUP(A455, Internal_Ledger!A:B, 2, FALSE), VLOOKUP(A455, Broker_Statement!A:B, 2, FALSE))</f>
        <v>INE030A01027</v>
      </c>
      <c r="C455" t="str">
        <f>IF(COUNTIF(Internal_Ledger!A:A, A455)=0, "Missing Internal", IF(COUNTIF(Broker_Statement!A:A, A455)=0, "Missing on Street", IF(D455&lt;&gt;E455, "Quantity Break", IF(F455&lt;&gt;G455, "Price Break", "Matched Perfectly"))))</f>
        <v>Matched Perfectly</v>
      </c>
      <c r="D455">
        <f>IFERROR(VLOOKUP(A455, Internal_Ledger!A:G, 5, FALSE), 0)</f>
        <v>4200</v>
      </c>
      <c r="E455">
        <f>IFERROR(VLOOKUP(A455, Broker_Statement!A:G, 5, FALSE), 0)</f>
        <v>4200</v>
      </c>
      <c r="F455">
        <f>IFERROR(VLOOKUP(A455, Internal_Ledger!A:G, 6, FALSE), 0)</f>
        <v>206.03999328613281</v>
      </c>
      <c r="G455">
        <f>IFERROR(VLOOKUP(A455, Broker_Statement!A:G, 6, FALSE), 0)</f>
        <v>206.03999328613281</v>
      </c>
      <c r="H455" s="7">
        <f t="shared" si="7"/>
        <v>0</v>
      </c>
    </row>
    <row r="456" spans="1:8" x14ac:dyDescent="0.3">
      <c r="A456" t="s">
        <v>487</v>
      </c>
      <c r="B456" t="str">
        <f>IFERROR(VLOOKUP(A456, Internal_Ledger!A:B, 2, FALSE), VLOOKUP(A456, Broker_Statement!A:B, 2, FALSE))</f>
        <v>INE018A01030</v>
      </c>
      <c r="C456" t="str">
        <f>IF(COUNTIF(Internal_Ledger!A:A, A456)=0, "Missing Internal", IF(COUNTIF(Broker_Statement!A:A, A456)=0, "Missing on Street", IF(D456&lt;&gt;E456, "Quantity Break", IF(F456&lt;&gt;G456, "Price Break", "Matched Perfectly"))))</f>
        <v>Matched Perfectly</v>
      </c>
      <c r="D456">
        <f>IFERROR(VLOOKUP(A456, Internal_Ledger!A:G, 5, FALSE), 0)</f>
        <v>1500</v>
      </c>
      <c r="E456">
        <f>IFERROR(VLOOKUP(A456, Broker_Statement!A:G, 5, FALSE), 0)</f>
        <v>1500</v>
      </c>
      <c r="F456">
        <f>IFERROR(VLOOKUP(A456, Internal_Ledger!A:G, 6, FALSE), 0)</f>
        <v>263.32998657226563</v>
      </c>
      <c r="G456">
        <f>IFERROR(VLOOKUP(A456, Broker_Statement!A:G, 6, FALSE), 0)</f>
        <v>263.32998657226563</v>
      </c>
      <c r="H456" s="7">
        <f t="shared" si="7"/>
        <v>0</v>
      </c>
    </row>
    <row r="457" spans="1:8" x14ac:dyDescent="0.3">
      <c r="A457" t="s">
        <v>488</v>
      </c>
      <c r="B457" t="str">
        <f>IFERROR(VLOOKUP(A457, Internal_Ledger!A:B, 2, FALSE), VLOOKUP(A457, Broker_Statement!A:B, 2, FALSE))</f>
        <v>INE030A01027</v>
      </c>
      <c r="C457" t="str">
        <f>IF(COUNTIF(Internal_Ledger!A:A, A457)=0, "Missing Internal", IF(COUNTIF(Broker_Statement!A:A, A457)=0, "Missing on Street", IF(D457&lt;&gt;E457, "Quantity Break", IF(F457&lt;&gt;G457, "Price Break", "Matched Perfectly"))))</f>
        <v>Matched Perfectly</v>
      </c>
      <c r="D457">
        <f>IFERROR(VLOOKUP(A457, Internal_Ledger!A:G, 5, FALSE), 0)</f>
        <v>4350</v>
      </c>
      <c r="E457">
        <f>IFERROR(VLOOKUP(A457, Broker_Statement!A:G, 5, FALSE), 0)</f>
        <v>4350</v>
      </c>
      <c r="F457">
        <f>IFERROR(VLOOKUP(A457, Internal_Ledger!A:G, 6, FALSE), 0)</f>
        <v>490.239990234375</v>
      </c>
      <c r="G457">
        <f>IFERROR(VLOOKUP(A457, Broker_Statement!A:G, 6, FALSE), 0)</f>
        <v>490.239990234375</v>
      </c>
      <c r="H457" s="7">
        <f t="shared" si="7"/>
        <v>0</v>
      </c>
    </row>
    <row r="458" spans="1:8" x14ac:dyDescent="0.3">
      <c r="A458" t="s">
        <v>489</v>
      </c>
      <c r="B458" t="str">
        <f>IFERROR(VLOOKUP(A458, Internal_Ledger!A:B, 2, FALSE), VLOOKUP(A458, Broker_Statement!A:B, 2, FALSE))</f>
        <v>INE002A01018</v>
      </c>
      <c r="C458" t="str">
        <f>IF(COUNTIF(Internal_Ledger!A:A, A458)=0, "Missing Internal", IF(COUNTIF(Broker_Statement!A:A, A458)=0, "Missing on Street", IF(D458&lt;&gt;E458, "Quantity Break", IF(F458&lt;&gt;G458, "Price Break", "Matched Perfectly"))))</f>
        <v>Matched Perfectly</v>
      </c>
      <c r="D458">
        <f>IFERROR(VLOOKUP(A458, Internal_Ledger!A:G, 5, FALSE), 0)</f>
        <v>2400</v>
      </c>
      <c r="E458">
        <f>IFERROR(VLOOKUP(A458, Broker_Statement!A:G, 5, FALSE), 0)</f>
        <v>2400</v>
      </c>
      <c r="F458">
        <f>IFERROR(VLOOKUP(A458, Internal_Ledger!A:G, 6, FALSE), 0)</f>
        <v>376.23001098632813</v>
      </c>
      <c r="G458">
        <f>IFERROR(VLOOKUP(A458, Broker_Statement!A:G, 6, FALSE), 0)</f>
        <v>376.23001098632813</v>
      </c>
      <c r="H458" s="7">
        <f t="shared" si="7"/>
        <v>0</v>
      </c>
    </row>
    <row r="459" spans="1:8" x14ac:dyDescent="0.3">
      <c r="A459" t="s">
        <v>490</v>
      </c>
      <c r="B459" t="str">
        <f>IFERROR(VLOOKUP(A459, Internal_Ledger!A:B, 2, FALSE), VLOOKUP(A459, Broker_Statement!A:B, 2, FALSE))</f>
        <v>INE040A01034</v>
      </c>
      <c r="C459" t="str">
        <f>IF(COUNTIF(Internal_Ledger!A:A, A459)=0, "Missing Internal", IF(COUNTIF(Broker_Statement!A:A, A459)=0, "Missing on Street", IF(D459&lt;&gt;E459, "Quantity Break", IF(F459&lt;&gt;G459, "Price Break", "Matched Perfectly"))))</f>
        <v>Matched Perfectly</v>
      </c>
      <c r="D459">
        <f>IFERROR(VLOOKUP(A459, Internal_Ledger!A:G, 5, FALSE), 0)</f>
        <v>3800</v>
      </c>
      <c r="E459">
        <f>IFERROR(VLOOKUP(A459, Broker_Statement!A:G, 5, FALSE), 0)</f>
        <v>3800</v>
      </c>
      <c r="F459">
        <f>IFERROR(VLOOKUP(A459, Internal_Ledger!A:G, 6, FALSE), 0)</f>
        <v>462.8699951171875</v>
      </c>
      <c r="G459">
        <f>IFERROR(VLOOKUP(A459, Broker_Statement!A:G, 6, FALSE), 0)</f>
        <v>462.8699951171875</v>
      </c>
      <c r="H459" s="7">
        <f t="shared" si="7"/>
        <v>0</v>
      </c>
    </row>
    <row r="460" spans="1:8" x14ac:dyDescent="0.3">
      <c r="A460" t="s">
        <v>491</v>
      </c>
      <c r="B460" t="str">
        <f>IFERROR(VLOOKUP(A460, Internal_Ledger!A:B, 2, FALSE), VLOOKUP(A460, Broker_Statement!A:B, 2, FALSE))</f>
        <v>INE030A01027</v>
      </c>
      <c r="C460" t="str">
        <f>IF(COUNTIF(Internal_Ledger!A:A, A460)=0, "Missing Internal", IF(COUNTIF(Broker_Statement!A:A, A460)=0, "Missing on Street", IF(D460&lt;&gt;E460, "Quantity Break", IF(F460&lt;&gt;G460, "Price Break", "Matched Perfectly"))))</f>
        <v>Matched Perfectly</v>
      </c>
      <c r="D460">
        <f>IFERROR(VLOOKUP(A460, Internal_Ledger!A:G, 5, FALSE), 0)</f>
        <v>4950</v>
      </c>
      <c r="E460">
        <f>IFERROR(VLOOKUP(A460, Broker_Statement!A:G, 5, FALSE), 0)</f>
        <v>4950</v>
      </c>
      <c r="F460">
        <f>IFERROR(VLOOKUP(A460, Internal_Ledger!A:G, 6, FALSE), 0)</f>
        <v>473.41000366210938</v>
      </c>
      <c r="G460">
        <f>IFERROR(VLOOKUP(A460, Broker_Statement!A:G, 6, FALSE), 0)</f>
        <v>473.41000366210938</v>
      </c>
      <c r="H460" s="7">
        <f t="shared" si="7"/>
        <v>0</v>
      </c>
    </row>
    <row r="461" spans="1:8" x14ac:dyDescent="0.3">
      <c r="A461" t="s">
        <v>492</v>
      </c>
      <c r="B461" t="str">
        <f>IFERROR(VLOOKUP(A461, Internal_Ledger!A:B, 2, FALSE), VLOOKUP(A461, Broker_Statement!A:B, 2, FALSE))</f>
        <v>INE040A01034</v>
      </c>
      <c r="C461" t="str">
        <f>IF(COUNTIF(Internal_Ledger!A:A, A461)=0, "Missing Internal", IF(COUNTIF(Broker_Statement!A:A, A461)=0, "Missing on Street", IF(D461&lt;&gt;E461, "Quantity Break", IF(F461&lt;&gt;G461, "Price Break", "Matched Perfectly"))))</f>
        <v>Matched Perfectly</v>
      </c>
      <c r="D461">
        <f>IFERROR(VLOOKUP(A461, Internal_Ledger!A:G, 5, FALSE), 0)</f>
        <v>2400</v>
      </c>
      <c r="E461">
        <f>IFERROR(VLOOKUP(A461, Broker_Statement!A:G, 5, FALSE), 0)</f>
        <v>2400</v>
      </c>
      <c r="F461">
        <f>IFERROR(VLOOKUP(A461, Internal_Ledger!A:G, 6, FALSE), 0)</f>
        <v>506.8699951171875</v>
      </c>
      <c r="G461">
        <f>IFERROR(VLOOKUP(A461, Broker_Statement!A:G, 6, FALSE), 0)</f>
        <v>506.8699951171875</v>
      </c>
      <c r="H461" s="7">
        <f t="shared" si="7"/>
        <v>0</v>
      </c>
    </row>
    <row r="462" spans="1:8" x14ac:dyDescent="0.3">
      <c r="A462" t="s">
        <v>493</v>
      </c>
      <c r="B462" t="str">
        <f>IFERROR(VLOOKUP(A462, Internal_Ledger!A:B, 2, FALSE), VLOOKUP(A462, Broker_Statement!A:B, 2, FALSE))</f>
        <v>INE030A01027</v>
      </c>
      <c r="C462" t="str">
        <f>IF(COUNTIF(Internal_Ledger!A:A, A462)=0, "Missing Internal", IF(COUNTIF(Broker_Statement!A:A, A462)=0, "Missing on Street", IF(D462&lt;&gt;E462, "Quantity Break", IF(F462&lt;&gt;G462, "Price Break", "Matched Perfectly"))))</f>
        <v>Matched Perfectly</v>
      </c>
      <c r="D462">
        <f>IFERROR(VLOOKUP(A462, Internal_Ledger!A:G, 5, FALSE), 0)</f>
        <v>3700</v>
      </c>
      <c r="E462">
        <f>IFERROR(VLOOKUP(A462, Broker_Statement!A:G, 5, FALSE), 0)</f>
        <v>3700</v>
      </c>
      <c r="F462">
        <f>IFERROR(VLOOKUP(A462, Internal_Ledger!A:G, 6, FALSE), 0)</f>
        <v>530.92999267578125</v>
      </c>
      <c r="G462">
        <f>IFERROR(VLOOKUP(A462, Broker_Statement!A:G, 6, FALSE), 0)</f>
        <v>530.92999267578125</v>
      </c>
      <c r="H462" s="7">
        <f t="shared" si="7"/>
        <v>0</v>
      </c>
    </row>
    <row r="463" spans="1:8" x14ac:dyDescent="0.3">
      <c r="A463" t="s">
        <v>494</v>
      </c>
      <c r="B463" t="str">
        <f>IFERROR(VLOOKUP(A463, Internal_Ledger!A:B, 2, FALSE), VLOOKUP(A463, Broker_Statement!A:B, 2, FALSE))</f>
        <v>INE040A01034</v>
      </c>
      <c r="C463" t="str">
        <f>IF(COUNTIF(Internal_Ledger!A:A, A463)=0, "Missing Internal", IF(COUNTIF(Broker_Statement!A:A, A463)=0, "Missing on Street", IF(D463&lt;&gt;E463, "Quantity Break", IF(F463&lt;&gt;G463, "Price Break", "Matched Perfectly"))))</f>
        <v>Matched Perfectly</v>
      </c>
      <c r="D463">
        <f>IFERROR(VLOOKUP(A463, Internal_Ledger!A:G, 5, FALSE), 0)</f>
        <v>1950</v>
      </c>
      <c r="E463">
        <f>IFERROR(VLOOKUP(A463, Broker_Statement!A:G, 5, FALSE), 0)</f>
        <v>1950</v>
      </c>
      <c r="F463">
        <f>IFERROR(VLOOKUP(A463, Internal_Ledger!A:G, 6, FALSE), 0)</f>
        <v>220.58999633789063</v>
      </c>
      <c r="G463">
        <f>IFERROR(VLOOKUP(A463, Broker_Statement!A:G, 6, FALSE), 0)</f>
        <v>220.58999633789063</v>
      </c>
      <c r="H463" s="7">
        <f t="shared" si="7"/>
        <v>0</v>
      </c>
    </row>
    <row r="464" spans="1:8" x14ac:dyDescent="0.3">
      <c r="A464" t="s">
        <v>495</v>
      </c>
      <c r="B464" t="str">
        <f>IFERROR(VLOOKUP(A464, Internal_Ledger!A:B, 2, FALSE), VLOOKUP(A464, Broker_Statement!A:B, 2, FALSE))</f>
        <v>INE009A01021</v>
      </c>
      <c r="C464" t="str">
        <f>IF(COUNTIF(Internal_Ledger!A:A, A464)=0, "Missing Internal", IF(COUNTIF(Broker_Statement!A:A, A464)=0, "Missing on Street", IF(D464&lt;&gt;E464, "Quantity Break", IF(F464&lt;&gt;G464, "Price Break", "Matched Perfectly"))))</f>
        <v>Matched Perfectly</v>
      </c>
      <c r="D464">
        <f>IFERROR(VLOOKUP(A464, Internal_Ledger!A:G, 5, FALSE), 0)</f>
        <v>600</v>
      </c>
      <c r="E464">
        <f>IFERROR(VLOOKUP(A464, Broker_Statement!A:G, 5, FALSE), 0)</f>
        <v>600</v>
      </c>
      <c r="F464">
        <f>IFERROR(VLOOKUP(A464, Internal_Ledger!A:G, 6, FALSE), 0)</f>
        <v>314.3599853515625</v>
      </c>
      <c r="G464">
        <f>IFERROR(VLOOKUP(A464, Broker_Statement!A:G, 6, FALSE), 0)</f>
        <v>314.3599853515625</v>
      </c>
      <c r="H464" s="7">
        <f t="shared" si="7"/>
        <v>0</v>
      </c>
    </row>
    <row r="465" spans="1:8" x14ac:dyDescent="0.3">
      <c r="A465" t="s">
        <v>496</v>
      </c>
      <c r="B465" t="str">
        <f>IFERROR(VLOOKUP(A465, Internal_Ledger!A:B, 2, FALSE), VLOOKUP(A465, Broker_Statement!A:B, 2, FALSE))</f>
        <v>INE040A01034</v>
      </c>
      <c r="C465" t="str">
        <f>IF(COUNTIF(Internal_Ledger!A:A, A465)=0, "Missing Internal", IF(COUNTIF(Broker_Statement!A:A, A465)=0, "Missing on Street", IF(D465&lt;&gt;E465, "Quantity Break", IF(F465&lt;&gt;G465, "Price Break", "Matched Perfectly"))))</f>
        <v>Matched Perfectly</v>
      </c>
      <c r="D465">
        <f>IFERROR(VLOOKUP(A465, Internal_Ledger!A:G, 5, FALSE), 0)</f>
        <v>350</v>
      </c>
      <c r="E465">
        <f>IFERROR(VLOOKUP(A465, Broker_Statement!A:G, 5, FALSE), 0)</f>
        <v>350</v>
      </c>
      <c r="F465">
        <f>IFERROR(VLOOKUP(A465, Internal_Ledger!A:G, 6, FALSE), 0)</f>
        <v>284.91000366210938</v>
      </c>
      <c r="G465">
        <f>IFERROR(VLOOKUP(A465, Broker_Statement!A:G, 6, FALSE), 0)</f>
        <v>284.91000366210938</v>
      </c>
      <c r="H465" s="7">
        <f t="shared" si="7"/>
        <v>0</v>
      </c>
    </row>
    <row r="466" spans="1:8" x14ac:dyDescent="0.3">
      <c r="A466" t="s">
        <v>497</v>
      </c>
      <c r="B466" t="str">
        <f>IFERROR(VLOOKUP(A466, Internal_Ledger!A:B, 2, FALSE), VLOOKUP(A466, Broker_Statement!A:B, 2, FALSE))</f>
        <v>INE040A01034</v>
      </c>
      <c r="C466" t="str">
        <f>IF(COUNTIF(Internal_Ledger!A:A, A466)=0, "Missing Internal", IF(COUNTIF(Broker_Statement!A:A, A466)=0, "Missing on Street", IF(D466&lt;&gt;E466, "Quantity Break", IF(F466&lt;&gt;G466, "Price Break", "Matched Perfectly"))))</f>
        <v>Matched Perfectly</v>
      </c>
      <c r="D466">
        <f>IFERROR(VLOOKUP(A466, Internal_Ledger!A:G, 5, FALSE), 0)</f>
        <v>2000</v>
      </c>
      <c r="E466">
        <f>IFERROR(VLOOKUP(A466, Broker_Statement!A:G, 5, FALSE), 0)</f>
        <v>2000</v>
      </c>
      <c r="F466">
        <f>IFERROR(VLOOKUP(A466, Internal_Ledger!A:G, 6, FALSE), 0)</f>
        <v>246.05000305175781</v>
      </c>
      <c r="G466">
        <f>IFERROR(VLOOKUP(A466, Broker_Statement!A:G, 6, FALSE), 0)</f>
        <v>246.05000305175781</v>
      </c>
      <c r="H466" s="7">
        <f t="shared" si="7"/>
        <v>0</v>
      </c>
    </row>
    <row r="467" spans="1:8" x14ac:dyDescent="0.3">
      <c r="A467" t="s">
        <v>498</v>
      </c>
      <c r="B467" t="str">
        <f>IFERROR(VLOOKUP(A467, Internal_Ledger!A:B, 2, FALSE), VLOOKUP(A467, Broker_Statement!A:B, 2, FALSE))</f>
        <v>INE040A01034</v>
      </c>
      <c r="C467" t="str">
        <f>IF(COUNTIF(Internal_Ledger!A:A, A467)=0, "Missing Internal", IF(COUNTIF(Broker_Statement!A:A, A467)=0, "Missing on Street", IF(D467&lt;&gt;E467, "Quantity Break", IF(F467&lt;&gt;G467, "Price Break", "Matched Perfectly"))))</f>
        <v>Matched Perfectly</v>
      </c>
      <c r="D467">
        <f>IFERROR(VLOOKUP(A467, Internal_Ledger!A:G, 5, FALSE), 0)</f>
        <v>4900</v>
      </c>
      <c r="E467">
        <f>IFERROR(VLOOKUP(A467, Broker_Statement!A:G, 5, FALSE), 0)</f>
        <v>4900</v>
      </c>
      <c r="F467">
        <f>IFERROR(VLOOKUP(A467, Internal_Ledger!A:G, 6, FALSE), 0)</f>
        <v>642.91998291015625</v>
      </c>
      <c r="G467">
        <f>IFERROR(VLOOKUP(A467, Broker_Statement!A:G, 6, FALSE), 0)</f>
        <v>642.91998291015625</v>
      </c>
      <c r="H467" s="7">
        <f t="shared" si="7"/>
        <v>0</v>
      </c>
    </row>
    <row r="468" spans="1:8" x14ac:dyDescent="0.3">
      <c r="A468" t="s">
        <v>499</v>
      </c>
      <c r="B468" t="str">
        <f>IFERROR(VLOOKUP(A468, Internal_Ledger!A:B, 2, FALSE), VLOOKUP(A468, Broker_Statement!A:B, 2, FALSE))</f>
        <v>INE009A01021</v>
      </c>
      <c r="C468" t="str">
        <f>IF(COUNTIF(Internal_Ledger!A:A, A468)=0, "Missing Internal", IF(COUNTIF(Broker_Statement!A:A, A468)=0, "Missing on Street", IF(D468&lt;&gt;E468, "Quantity Break", IF(F468&lt;&gt;G468, "Price Break", "Matched Perfectly"))))</f>
        <v>Matched Perfectly</v>
      </c>
      <c r="D468">
        <f>IFERROR(VLOOKUP(A468, Internal_Ledger!A:G, 5, FALSE), 0)</f>
        <v>2250</v>
      </c>
      <c r="E468">
        <f>IFERROR(VLOOKUP(A468, Broker_Statement!A:G, 5, FALSE), 0)</f>
        <v>2250</v>
      </c>
      <c r="F468">
        <f>IFERROR(VLOOKUP(A468, Internal_Ledger!A:G, 6, FALSE), 0)</f>
        <v>397.260009765625</v>
      </c>
      <c r="G468">
        <f>IFERROR(VLOOKUP(A468, Broker_Statement!A:G, 6, FALSE), 0)</f>
        <v>397.260009765625</v>
      </c>
      <c r="H468" s="7">
        <f t="shared" si="7"/>
        <v>0</v>
      </c>
    </row>
    <row r="469" spans="1:8" x14ac:dyDescent="0.3">
      <c r="A469" t="s">
        <v>500</v>
      </c>
      <c r="B469" t="str">
        <f>IFERROR(VLOOKUP(A469, Internal_Ledger!A:B, 2, FALSE), VLOOKUP(A469, Broker_Statement!A:B, 2, FALSE))</f>
        <v>INE018A01030</v>
      </c>
      <c r="C469" t="str">
        <f>IF(COUNTIF(Internal_Ledger!A:A, A469)=0, "Missing Internal", IF(COUNTIF(Broker_Statement!A:A, A469)=0, "Missing on Street", IF(D469&lt;&gt;E469, "Quantity Break", IF(F469&lt;&gt;G469, "Price Break", "Matched Perfectly"))))</f>
        <v>Matched Perfectly</v>
      </c>
      <c r="D469">
        <f>IFERROR(VLOOKUP(A469, Internal_Ledger!A:G, 5, FALSE), 0)</f>
        <v>750</v>
      </c>
      <c r="E469">
        <f>IFERROR(VLOOKUP(A469, Broker_Statement!A:G, 5, FALSE), 0)</f>
        <v>750</v>
      </c>
      <c r="F469">
        <f>IFERROR(VLOOKUP(A469, Internal_Ledger!A:G, 6, FALSE), 0)</f>
        <v>304.60000610351563</v>
      </c>
      <c r="G469">
        <f>IFERROR(VLOOKUP(A469, Broker_Statement!A:G, 6, FALSE), 0)</f>
        <v>304.60000610351563</v>
      </c>
      <c r="H469" s="7">
        <f t="shared" si="7"/>
        <v>0</v>
      </c>
    </row>
    <row r="470" spans="1:8" x14ac:dyDescent="0.3">
      <c r="A470" t="s">
        <v>501</v>
      </c>
      <c r="B470" t="str">
        <f>IFERROR(VLOOKUP(A470, Internal_Ledger!A:B, 2, FALSE), VLOOKUP(A470, Broker_Statement!A:B, 2, FALSE))</f>
        <v>INE040A01034</v>
      </c>
      <c r="C470" t="str">
        <f>IF(COUNTIF(Internal_Ledger!A:A, A470)=0, "Missing Internal", IF(COUNTIF(Broker_Statement!A:A, A470)=0, "Missing on Street", IF(D470&lt;&gt;E470, "Quantity Break", IF(F470&lt;&gt;G470, "Price Break", "Matched Perfectly"))))</f>
        <v>Matched Perfectly</v>
      </c>
      <c r="D470">
        <f>IFERROR(VLOOKUP(A470, Internal_Ledger!A:G, 5, FALSE), 0)</f>
        <v>2900</v>
      </c>
      <c r="E470">
        <f>IFERROR(VLOOKUP(A470, Broker_Statement!A:G, 5, FALSE), 0)</f>
        <v>2900</v>
      </c>
      <c r="F470">
        <f>IFERROR(VLOOKUP(A470, Internal_Ledger!A:G, 6, FALSE), 0)</f>
        <v>605.3499755859375</v>
      </c>
      <c r="G470">
        <f>IFERROR(VLOOKUP(A470, Broker_Statement!A:G, 6, FALSE), 0)</f>
        <v>605.3499755859375</v>
      </c>
      <c r="H470" s="7">
        <f t="shared" si="7"/>
        <v>0</v>
      </c>
    </row>
    <row r="471" spans="1:8" x14ac:dyDescent="0.3">
      <c r="A471" t="s">
        <v>502</v>
      </c>
      <c r="B471" t="str">
        <f>IFERROR(VLOOKUP(A471, Internal_Ledger!A:B, 2, FALSE), VLOOKUP(A471, Broker_Statement!A:B, 2, FALSE))</f>
        <v>INE009A01021</v>
      </c>
      <c r="C471" t="str">
        <f>IF(COUNTIF(Internal_Ledger!A:A, A471)=0, "Missing Internal", IF(COUNTIF(Broker_Statement!A:A, A471)=0, "Missing on Street", IF(D471&lt;&gt;E471, "Quantity Break", IF(F471&lt;&gt;G471, "Price Break", "Matched Perfectly"))))</f>
        <v>Matched Perfectly</v>
      </c>
      <c r="D471">
        <f>IFERROR(VLOOKUP(A471, Internal_Ledger!A:G, 5, FALSE), 0)</f>
        <v>1650</v>
      </c>
      <c r="E471">
        <f>IFERROR(VLOOKUP(A471, Broker_Statement!A:G, 5, FALSE), 0)</f>
        <v>1650</v>
      </c>
      <c r="F471">
        <f>IFERROR(VLOOKUP(A471, Internal_Ledger!A:G, 6, FALSE), 0)</f>
        <v>276.510009765625</v>
      </c>
      <c r="G471">
        <f>IFERROR(VLOOKUP(A471, Broker_Statement!A:G, 6, FALSE), 0)</f>
        <v>276.510009765625</v>
      </c>
      <c r="H471" s="7">
        <f t="shared" si="7"/>
        <v>0</v>
      </c>
    </row>
    <row r="472" spans="1:8" x14ac:dyDescent="0.3">
      <c r="A472" t="s">
        <v>503</v>
      </c>
      <c r="B472" t="str">
        <f>IFERROR(VLOOKUP(A472, Internal_Ledger!A:B, 2, FALSE), VLOOKUP(A472, Broker_Statement!A:B, 2, FALSE))</f>
        <v>INE040A01034</v>
      </c>
      <c r="C472" t="str">
        <f>IF(COUNTIF(Internal_Ledger!A:A, A472)=0, "Missing Internal", IF(COUNTIF(Broker_Statement!A:A, A472)=0, "Missing on Street", IF(D472&lt;&gt;E472, "Quantity Break", IF(F472&lt;&gt;G472, "Price Break", "Matched Perfectly"))))</f>
        <v>Matched Perfectly</v>
      </c>
      <c r="D472">
        <f>IFERROR(VLOOKUP(A472, Internal_Ledger!A:G, 5, FALSE), 0)</f>
        <v>4050</v>
      </c>
      <c r="E472">
        <f>IFERROR(VLOOKUP(A472, Broker_Statement!A:G, 5, FALSE), 0)</f>
        <v>4050</v>
      </c>
      <c r="F472">
        <f>IFERROR(VLOOKUP(A472, Internal_Ledger!A:G, 6, FALSE), 0)</f>
        <v>216.00999450683594</v>
      </c>
      <c r="G472">
        <f>IFERROR(VLOOKUP(A472, Broker_Statement!A:G, 6, FALSE), 0)</f>
        <v>216.00999450683594</v>
      </c>
      <c r="H472" s="7">
        <f t="shared" si="7"/>
        <v>0</v>
      </c>
    </row>
    <row r="473" spans="1:8" x14ac:dyDescent="0.3">
      <c r="A473" t="s">
        <v>504</v>
      </c>
      <c r="B473" t="str">
        <f>IFERROR(VLOOKUP(A473, Internal_Ledger!A:B, 2, FALSE), VLOOKUP(A473, Broker_Statement!A:B, 2, FALSE))</f>
        <v>INE040A01034</v>
      </c>
      <c r="C473" t="str">
        <f>IF(COUNTIF(Internal_Ledger!A:A, A473)=0, "Missing Internal", IF(COUNTIF(Broker_Statement!A:A, A473)=0, "Missing on Street", IF(D473&lt;&gt;E473, "Quantity Break", IF(F473&lt;&gt;G473, "Price Break", "Matched Perfectly"))))</f>
        <v>Matched Perfectly</v>
      </c>
      <c r="D473">
        <f>IFERROR(VLOOKUP(A473, Internal_Ledger!A:G, 5, FALSE), 0)</f>
        <v>950</v>
      </c>
      <c r="E473">
        <f>IFERROR(VLOOKUP(A473, Broker_Statement!A:G, 5, FALSE), 0)</f>
        <v>950</v>
      </c>
      <c r="F473">
        <f>IFERROR(VLOOKUP(A473, Internal_Ledger!A:G, 6, FALSE), 0)</f>
        <v>616.47998046875</v>
      </c>
      <c r="G473">
        <f>IFERROR(VLOOKUP(A473, Broker_Statement!A:G, 6, FALSE), 0)</f>
        <v>616.47998046875</v>
      </c>
      <c r="H473" s="7">
        <f t="shared" si="7"/>
        <v>0</v>
      </c>
    </row>
    <row r="474" spans="1:8" x14ac:dyDescent="0.3">
      <c r="A474" t="s">
        <v>505</v>
      </c>
      <c r="B474" t="str">
        <f>IFERROR(VLOOKUP(A474, Internal_Ledger!A:B, 2, FALSE), VLOOKUP(A474, Broker_Statement!A:B, 2, FALSE))</f>
        <v>INE002A01018</v>
      </c>
      <c r="C474" t="str">
        <f>IF(COUNTIF(Internal_Ledger!A:A, A474)=0, "Missing Internal", IF(COUNTIF(Broker_Statement!A:A, A474)=0, "Missing on Street", IF(D474&lt;&gt;E474, "Quantity Break", IF(F474&lt;&gt;G474, "Price Break", "Matched Perfectly"))))</f>
        <v>Price Break</v>
      </c>
      <c r="D474">
        <f>IFERROR(VLOOKUP(A474, Internal_Ledger!A:G, 5, FALSE), 0)</f>
        <v>1050</v>
      </c>
      <c r="E474">
        <f>IFERROR(VLOOKUP(A474, Broker_Statement!A:G, 5, FALSE), 0)</f>
        <v>1050</v>
      </c>
      <c r="F474">
        <f>IFERROR(VLOOKUP(A474, Internal_Ledger!A:G, 6, FALSE), 0)</f>
        <v>450.3800048828125</v>
      </c>
      <c r="G474">
        <f>IFERROR(VLOOKUP(A474, Broker_Statement!A:G, 6, FALSE), 0)</f>
        <v>450.40000488236547</v>
      </c>
      <c r="H474" s="7">
        <f t="shared" si="7"/>
        <v>20.999999530613422</v>
      </c>
    </row>
    <row r="475" spans="1:8" x14ac:dyDescent="0.3">
      <c r="A475" t="s">
        <v>506</v>
      </c>
      <c r="B475" t="str">
        <f>IFERROR(VLOOKUP(A475, Internal_Ledger!A:B, 2, FALSE), VLOOKUP(A475, Broker_Statement!A:B, 2, FALSE))</f>
        <v>INE009A01021</v>
      </c>
      <c r="C475" t="str">
        <f>IF(COUNTIF(Internal_Ledger!A:A, A475)=0, "Missing Internal", IF(COUNTIF(Broker_Statement!A:A, A475)=0, "Missing on Street", IF(D475&lt;&gt;E475, "Quantity Break", IF(F475&lt;&gt;G475, "Price Break", "Matched Perfectly"))))</f>
        <v>Missing on Street</v>
      </c>
      <c r="D475">
        <f>IFERROR(VLOOKUP(A475, Internal_Ledger!A:G, 5, FALSE), 0)</f>
        <v>4650</v>
      </c>
      <c r="E475">
        <f>IFERROR(VLOOKUP(A475, Broker_Statement!A:G, 5, FALSE), 0)</f>
        <v>0</v>
      </c>
      <c r="F475">
        <f>IFERROR(VLOOKUP(A475, Internal_Ledger!A:G, 6, FALSE), 0)</f>
        <v>242.02000427246094</v>
      </c>
      <c r="G475">
        <f>IFERROR(VLOOKUP(A475, Broker_Statement!A:G, 6, FALSE), 0)</f>
        <v>0</v>
      </c>
      <c r="H475" s="7">
        <f t="shared" si="7"/>
        <v>1125393.0198669434</v>
      </c>
    </row>
    <row r="476" spans="1:8" x14ac:dyDescent="0.3">
      <c r="A476" t="s">
        <v>507</v>
      </c>
      <c r="B476" t="str">
        <f>IFERROR(VLOOKUP(A476, Internal_Ledger!A:B, 2, FALSE), VLOOKUP(A476, Broker_Statement!A:B, 2, FALSE))</f>
        <v>INE018A01030</v>
      </c>
      <c r="C476" t="str">
        <f>IF(COUNTIF(Internal_Ledger!A:A, A476)=0, "Missing Internal", IF(COUNTIF(Broker_Statement!A:A, A476)=0, "Missing on Street", IF(D476&lt;&gt;E476, "Quantity Break", IF(F476&lt;&gt;G476, "Price Break", "Matched Perfectly"))))</f>
        <v>Matched Perfectly</v>
      </c>
      <c r="D476">
        <f>IFERROR(VLOOKUP(A476, Internal_Ledger!A:G, 5, FALSE), 0)</f>
        <v>2500</v>
      </c>
      <c r="E476">
        <f>IFERROR(VLOOKUP(A476, Broker_Statement!A:G, 5, FALSE), 0)</f>
        <v>2500</v>
      </c>
      <c r="F476">
        <f>IFERROR(VLOOKUP(A476, Internal_Ledger!A:G, 6, FALSE), 0)</f>
        <v>410.66000366210938</v>
      </c>
      <c r="G476">
        <f>IFERROR(VLOOKUP(A476, Broker_Statement!A:G, 6, FALSE), 0)</f>
        <v>410.66000366210938</v>
      </c>
      <c r="H476" s="7">
        <f t="shared" si="7"/>
        <v>0</v>
      </c>
    </row>
    <row r="477" spans="1:8" x14ac:dyDescent="0.3">
      <c r="A477" t="s">
        <v>508</v>
      </c>
      <c r="B477" t="str">
        <f>IFERROR(VLOOKUP(A477, Internal_Ledger!A:B, 2, FALSE), VLOOKUP(A477, Broker_Statement!A:B, 2, FALSE))</f>
        <v>INE040A01034</v>
      </c>
      <c r="C477" t="str">
        <f>IF(COUNTIF(Internal_Ledger!A:A, A477)=0, "Missing Internal", IF(COUNTIF(Broker_Statement!A:A, A477)=0, "Missing on Street", IF(D477&lt;&gt;E477, "Quantity Break", IF(F477&lt;&gt;G477, "Price Break", "Matched Perfectly"))))</f>
        <v>Matched Perfectly</v>
      </c>
      <c r="D477">
        <f>IFERROR(VLOOKUP(A477, Internal_Ledger!A:G, 5, FALSE), 0)</f>
        <v>4450</v>
      </c>
      <c r="E477">
        <f>IFERROR(VLOOKUP(A477, Broker_Statement!A:G, 5, FALSE), 0)</f>
        <v>4450</v>
      </c>
      <c r="F477">
        <f>IFERROR(VLOOKUP(A477, Internal_Ledger!A:G, 6, FALSE), 0)</f>
        <v>537.1099853515625</v>
      </c>
      <c r="G477">
        <f>IFERROR(VLOOKUP(A477, Broker_Statement!A:G, 6, FALSE), 0)</f>
        <v>537.1099853515625</v>
      </c>
      <c r="H477" s="7">
        <f t="shared" si="7"/>
        <v>0</v>
      </c>
    </row>
    <row r="478" spans="1:8" x14ac:dyDescent="0.3">
      <c r="A478" t="s">
        <v>509</v>
      </c>
      <c r="B478" t="str">
        <f>IFERROR(VLOOKUP(A478, Internal_Ledger!A:B, 2, FALSE), VLOOKUP(A478, Broker_Statement!A:B, 2, FALSE))</f>
        <v>INE009A01021</v>
      </c>
      <c r="C478" t="str">
        <f>IF(COUNTIF(Internal_Ledger!A:A, A478)=0, "Missing Internal", IF(COUNTIF(Broker_Statement!A:A, A478)=0, "Missing on Street", IF(D478&lt;&gt;E478, "Quantity Break", IF(F478&lt;&gt;G478, "Price Break", "Matched Perfectly"))))</f>
        <v>Matched Perfectly</v>
      </c>
      <c r="D478">
        <f>IFERROR(VLOOKUP(A478, Internal_Ledger!A:G, 5, FALSE), 0)</f>
        <v>4850</v>
      </c>
      <c r="E478">
        <f>IFERROR(VLOOKUP(A478, Broker_Statement!A:G, 5, FALSE), 0)</f>
        <v>4850</v>
      </c>
      <c r="F478">
        <f>IFERROR(VLOOKUP(A478, Internal_Ledger!A:G, 6, FALSE), 0)</f>
        <v>171.91000366210938</v>
      </c>
      <c r="G478">
        <f>IFERROR(VLOOKUP(A478, Broker_Statement!A:G, 6, FALSE), 0)</f>
        <v>171.91000366210938</v>
      </c>
      <c r="H478" s="7">
        <f t="shared" si="7"/>
        <v>0</v>
      </c>
    </row>
    <row r="479" spans="1:8" x14ac:dyDescent="0.3">
      <c r="A479" t="s">
        <v>510</v>
      </c>
      <c r="B479" t="str">
        <f>IFERROR(VLOOKUP(A479, Internal_Ledger!A:B, 2, FALSE), VLOOKUP(A479, Broker_Statement!A:B, 2, FALSE))</f>
        <v>INE018A01030</v>
      </c>
      <c r="C479" t="str">
        <f>IF(COUNTIF(Internal_Ledger!A:A, A479)=0, "Missing Internal", IF(COUNTIF(Broker_Statement!A:A, A479)=0, "Missing on Street", IF(D479&lt;&gt;E479, "Quantity Break", IF(F479&lt;&gt;G479, "Price Break", "Matched Perfectly"))))</f>
        <v>Matched Perfectly</v>
      </c>
      <c r="D479">
        <f>IFERROR(VLOOKUP(A479, Internal_Ledger!A:G, 5, FALSE), 0)</f>
        <v>1950</v>
      </c>
      <c r="E479">
        <f>IFERROR(VLOOKUP(A479, Broker_Statement!A:G, 5, FALSE), 0)</f>
        <v>1950</v>
      </c>
      <c r="F479">
        <f>IFERROR(VLOOKUP(A479, Internal_Ledger!A:G, 6, FALSE), 0)</f>
        <v>474.14999389648438</v>
      </c>
      <c r="G479">
        <f>IFERROR(VLOOKUP(A479, Broker_Statement!A:G, 6, FALSE), 0)</f>
        <v>474.14999389648438</v>
      </c>
      <c r="H479" s="7">
        <f t="shared" si="7"/>
        <v>0</v>
      </c>
    </row>
    <row r="480" spans="1:8" x14ac:dyDescent="0.3">
      <c r="A480" t="s">
        <v>511</v>
      </c>
      <c r="B480" t="str">
        <f>IFERROR(VLOOKUP(A480, Internal_Ledger!A:B, 2, FALSE), VLOOKUP(A480, Broker_Statement!A:B, 2, FALSE))</f>
        <v>INE002A01018</v>
      </c>
      <c r="C480" t="str">
        <f>IF(COUNTIF(Internal_Ledger!A:A, A480)=0, "Missing Internal", IF(COUNTIF(Broker_Statement!A:A, A480)=0, "Missing on Street", IF(D480&lt;&gt;E480, "Quantity Break", IF(F480&lt;&gt;G480, "Price Break", "Matched Perfectly"))))</f>
        <v>Matched Perfectly</v>
      </c>
      <c r="D480">
        <f>IFERROR(VLOOKUP(A480, Internal_Ledger!A:G, 5, FALSE), 0)</f>
        <v>3050</v>
      </c>
      <c r="E480">
        <f>IFERROR(VLOOKUP(A480, Broker_Statement!A:G, 5, FALSE), 0)</f>
        <v>3050</v>
      </c>
      <c r="F480">
        <f>IFERROR(VLOOKUP(A480, Internal_Ledger!A:G, 6, FALSE), 0)</f>
        <v>424.10000610351563</v>
      </c>
      <c r="G480">
        <f>IFERROR(VLOOKUP(A480, Broker_Statement!A:G, 6, FALSE), 0)</f>
        <v>424.10000610351563</v>
      </c>
      <c r="H480" s="7">
        <f t="shared" si="7"/>
        <v>0</v>
      </c>
    </row>
    <row r="481" spans="1:8" x14ac:dyDescent="0.3">
      <c r="A481" t="s">
        <v>512</v>
      </c>
      <c r="B481" t="str">
        <f>IFERROR(VLOOKUP(A481, Internal_Ledger!A:B, 2, FALSE), VLOOKUP(A481, Broker_Statement!A:B, 2, FALSE))</f>
        <v>INE040A01034</v>
      </c>
      <c r="C481" t="str">
        <f>IF(COUNTIF(Internal_Ledger!A:A, A481)=0, "Missing Internal", IF(COUNTIF(Broker_Statement!A:A, A481)=0, "Missing on Street", IF(D481&lt;&gt;E481, "Quantity Break", IF(F481&lt;&gt;G481, "Price Break", "Matched Perfectly"))))</f>
        <v>Missing on Street</v>
      </c>
      <c r="D481">
        <f>IFERROR(VLOOKUP(A481, Internal_Ledger!A:G, 5, FALSE), 0)</f>
        <v>250</v>
      </c>
      <c r="E481">
        <f>IFERROR(VLOOKUP(A481, Broker_Statement!A:G, 5, FALSE), 0)</f>
        <v>0</v>
      </c>
      <c r="F481">
        <f>IFERROR(VLOOKUP(A481, Internal_Ledger!A:G, 6, FALSE), 0)</f>
        <v>342.52999877929688</v>
      </c>
      <c r="G481">
        <f>IFERROR(VLOOKUP(A481, Broker_Statement!A:G, 6, FALSE), 0)</f>
        <v>0</v>
      </c>
      <c r="H481" s="7">
        <f t="shared" si="7"/>
        <v>85632.499694824219</v>
      </c>
    </row>
    <row r="482" spans="1:8" x14ac:dyDescent="0.3">
      <c r="A482" t="s">
        <v>513</v>
      </c>
      <c r="B482" t="str">
        <f>IFERROR(VLOOKUP(A482, Internal_Ledger!A:B, 2, FALSE), VLOOKUP(A482, Broker_Statement!A:B, 2, FALSE))</f>
        <v>INE040A01034</v>
      </c>
      <c r="C482" t="str">
        <f>IF(COUNTIF(Internal_Ledger!A:A, A482)=0, "Missing Internal", IF(COUNTIF(Broker_Statement!A:A, A482)=0, "Missing on Street", IF(D482&lt;&gt;E482, "Quantity Break", IF(F482&lt;&gt;G482, "Price Break", "Matched Perfectly"))))</f>
        <v>Matched Perfectly</v>
      </c>
      <c r="D482">
        <f>IFERROR(VLOOKUP(A482, Internal_Ledger!A:G, 5, FALSE), 0)</f>
        <v>1050</v>
      </c>
      <c r="E482">
        <f>IFERROR(VLOOKUP(A482, Broker_Statement!A:G, 5, FALSE), 0)</f>
        <v>1050</v>
      </c>
      <c r="F482">
        <f>IFERROR(VLOOKUP(A482, Internal_Ledger!A:G, 6, FALSE), 0)</f>
        <v>451</v>
      </c>
      <c r="G482">
        <f>IFERROR(VLOOKUP(A482, Broker_Statement!A:G, 6, FALSE), 0)</f>
        <v>451</v>
      </c>
      <c r="H482" s="7">
        <f t="shared" si="7"/>
        <v>0</v>
      </c>
    </row>
    <row r="483" spans="1:8" x14ac:dyDescent="0.3">
      <c r="A483" t="s">
        <v>19</v>
      </c>
      <c r="B483" t="str">
        <f>IFERROR(VLOOKUP(A483, Internal_Ledger!A:B, 2, FALSE), VLOOKUP(A483, Broker_Statement!A:B, 2, FALSE))</f>
        <v>INE030A01027</v>
      </c>
      <c r="C483" t="str">
        <f>IF(COUNTIF(Internal_Ledger!A:A, A483)=0, "Missing Internal", IF(COUNTIF(Broker_Statement!A:A, A483)=0, "Missing on Street", IF(D483&lt;&gt;E483, "Quantity Break", IF(F483&lt;&gt;G483, "Price Break", "Matched Perfectly"))))</f>
        <v>Missing Internal</v>
      </c>
      <c r="D483">
        <f>IFERROR(VLOOKUP(A483, Internal_Ledger!A:G, 5, FALSE), 0)</f>
        <v>0</v>
      </c>
      <c r="E483">
        <f>IFERROR(VLOOKUP(A483, Broker_Statement!A:G, 5, FALSE), 0)</f>
        <v>2700</v>
      </c>
      <c r="F483">
        <f>IFERROR(VLOOKUP(A483, Internal_Ledger!A:G, 6, FALSE), 0)</f>
        <v>0</v>
      </c>
      <c r="G483">
        <f>IFERROR(VLOOKUP(A483, Broker_Statement!A:G, 6, FALSE), 0)</f>
        <v>203.17999267578125</v>
      </c>
      <c r="H483" s="7">
        <f t="shared" si="7"/>
        <v>548585.98022460938</v>
      </c>
    </row>
    <row r="484" spans="1:8" x14ac:dyDescent="0.3">
      <c r="A484" t="s">
        <v>44</v>
      </c>
      <c r="B484" t="str">
        <f>IFERROR(VLOOKUP(A484, Internal_Ledger!A:B, 2, FALSE), VLOOKUP(A484, Broker_Statement!A:B, 2, FALSE))</f>
        <v>INE030A01027</v>
      </c>
      <c r="C484" t="str">
        <f>IF(COUNTIF(Internal_Ledger!A:A, A484)=0, "Missing Internal", IF(COUNTIF(Broker_Statement!A:A, A484)=0, "Missing on Street", IF(D484&lt;&gt;E484, "Quantity Break", IF(F484&lt;&gt;G484, "Price Break", "Matched Perfectly"))))</f>
        <v>Missing Internal</v>
      </c>
      <c r="D484">
        <f>IFERROR(VLOOKUP(A484, Internal_Ledger!A:G, 5, FALSE), 0)</f>
        <v>0</v>
      </c>
      <c r="E484">
        <f>IFERROR(VLOOKUP(A484, Broker_Statement!A:G, 5, FALSE), 0)</f>
        <v>2400</v>
      </c>
      <c r="F484">
        <f>IFERROR(VLOOKUP(A484, Internal_Ledger!A:G, 6, FALSE), 0)</f>
        <v>0</v>
      </c>
      <c r="G484">
        <f>IFERROR(VLOOKUP(A484, Broker_Statement!A:G, 6, FALSE), 0)</f>
        <v>259.70001220703125</v>
      </c>
      <c r="H484" s="7">
        <f t="shared" si="7"/>
        <v>623280.029296875</v>
      </c>
    </row>
    <row r="485" spans="1:8" x14ac:dyDescent="0.3">
      <c r="A485" t="s">
        <v>46</v>
      </c>
      <c r="B485" t="str">
        <f>IFERROR(VLOOKUP(A485, Internal_Ledger!A:B, 2, FALSE), VLOOKUP(A485, Broker_Statement!A:B, 2, FALSE))</f>
        <v>INE018A01030</v>
      </c>
      <c r="C485" t="str">
        <f>IF(COUNTIF(Internal_Ledger!A:A, A485)=0, "Missing Internal", IF(COUNTIF(Broker_Statement!A:A, A485)=0, "Missing on Street", IF(D485&lt;&gt;E485, "Quantity Break", IF(F485&lt;&gt;G485, "Price Break", "Matched Perfectly"))))</f>
        <v>Missing Internal</v>
      </c>
      <c r="D485">
        <f>IFERROR(VLOOKUP(A485, Internal_Ledger!A:G, 5, FALSE), 0)</f>
        <v>0</v>
      </c>
      <c r="E485">
        <f>IFERROR(VLOOKUP(A485, Broker_Statement!A:G, 5, FALSE), 0)</f>
        <v>3400</v>
      </c>
      <c r="F485">
        <f>IFERROR(VLOOKUP(A485, Internal_Ledger!A:G, 6, FALSE), 0)</f>
        <v>0</v>
      </c>
      <c r="G485">
        <f>IFERROR(VLOOKUP(A485, Broker_Statement!A:G, 6, FALSE), 0)</f>
        <v>510.95001220703125</v>
      </c>
      <c r="H485" s="7">
        <f t="shared" si="7"/>
        <v>1737230.0415039063</v>
      </c>
    </row>
    <row r="486" spans="1:8" x14ac:dyDescent="0.3">
      <c r="A486" t="s">
        <v>64</v>
      </c>
      <c r="B486" t="str">
        <f>IFERROR(VLOOKUP(A486, Internal_Ledger!A:B, 2, FALSE), VLOOKUP(A486, Broker_Statement!A:B, 2, FALSE))</f>
        <v>INE002A01018</v>
      </c>
      <c r="C486" t="str">
        <f>IF(COUNTIF(Internal_Ledger!A:A, A486)=0, "Missing Internal", IF(COUNTIF(Broker_Statement!A:A, A486)=0, "Missing on Street", IF(D486&lt;&gt;E486, "Quantity Break", IF(F486&lt;&gt;G486, "Price Break", "Matched Perfectly"))))</f>
        <v>Missing Internal</v>
      </c>
      <c r="D486">
        <f>IFERROR(VLOOKUP(A486, Internal_Ledger!A:G, 5, FALSE), 0)</f>
        <v>0</v>
      </c>
      <c r="E486">
        <f>IFERROR(VLOOKUP(A486, Broker_Statement!A:G, 5, FALSE), 0)</f>
        <v>4050</v>
      </c>
      <c r="F486">
        <f>IFERROR(VLOOKUP(A486, Internal_Ledger!A:G, 6, FALSE), 0)</f>
        <v>0</v>
      </c>
      <c r="G486">
        <f>IFERROR(VLOOKUP(A486, Broker_Statement!A:G, 6, FALSE), 0)</f>
        <v>312.60000610351563</v>
      </c>
      <c r="H486" s="7">
        <f t="shared" si="7"/>
        <v>1266030.0247192383</v>
      </c>
    </row>
    <row r="487" spans="1:8" x14ac:dyDescent="0.3">
      <c r="A487" t="s">
        <v>88</v>
      </c>
      <c r="B487" t="str">
        <f>IFERROR(VLOOKUP(A487, Internal_Ledger!A:B, 2, FALSE), VLOOKUP(A487, Broker_Statement!A:B, 2, FALSE))</f>
        <v>INE018A01030</v>
      </c>
      <c r="C487" t="str">
        <f>IF(COUNTIF(Internal_Ledger!A:A, A487)=0, "Missing Internal", IF(COUNTIF(Broker_Statement!A:A, A487)=0, "Missing on Street", IF(D487&lt;&gt;E487, "Quantity Break", IF(F487&lt;&gt;G487, "Price Break", "Matched Perfectly"))))</f>
        <v>Missing Internal</v>
      </c>
      <c r="D487">
        <f>IFERROR(VLOOKUP(A487, Internal_Ledger!A:G, 5, FALSE), 0)</f>
        <v>0</v>
      </c>
      <c r="E487">
        <f>IFERROR(VLOOKUP(A487, Broker_Statement!A:G, 5, FALSE), 0)</f>
        <v>2750</v>
      </c>
      <c r="F487">
        <f>IFERROR(VLOOKUP(A487, Internal_Ledger!A:G, 6, FALSE), 0)</f>
        <v>0</v>
      </c>
      <c r="G487">
        <f>IFERROR(VLOOKUP(A487, Broker_Statement!A:G, 6, FALSE), 0)</f>
        <v>253.24000549316406</v>
      </c>
      <c r="H487" s="7">
        <f t="shared" si="7"/>
        <v>696410.01510620117</v>
      </c>
    </row>
    <row r="488" spans="1:8" x14ac:dyDescent="0.3">
      <c r="A488" t="s">
        <v>89</v>
      </c>
      <c r="B488" t="str">
        <f>IFERROR(VLOOKUP(A488, Internal_Ledger!A:B, 2, FALSE), VLOOKUP(A488, Broker_Statement!A:B, 2, FALSE))</f>
        <v>INE040A01034</v>
      </c>
      <c r="C488" t="str">
        <f>IF(COUNTIF(Internal_Ledger!A:A, A488)=0, "Missing Internal", IF(COUNTIF(Broker_Statement!A:A, A488)=0, "Missing on Street", IF(D488&lt;&gt;E488, "Quantity Break", IF(F488&lt;&gt;G488, "Price Break", "Matched Perfectly"))))</f>
        <v>Missing Internal</v>
      </c>
      <c r="D488">
        <f>IFERROR(VLOOKUP(A488, Internal_Ledger!A:G, 5, FALSE), 0)</f>
        <v>0</v>
      </c>
      <c r="E488">
        <f>IFERROR(VLOOKUP(A488, Broker_Statement!A:G, 5, FALSE), 0)</f>
        <v>2050</v>
      </c>
      <c r="F488">
        <f>IFERROR(VLOOKUP(A488, Internal_Ledger!A:G, 6, FALSE), 0)</f>
        <v>0</v>
      </c>
      <c r="G488">
        <f>IFERROR(VLOOKUP(A488, Broker_Statement!A:G, 6, FALSE), 0)</f>
        <v>552.6400146484375</v>
      </c>
      <c r="H488" s="7">
        <f t="shared" si="7"/>
        <v>1132912.0300292969</v>
      </c>
    </row>
    <row r="489" spans="1:8" x14ac:dyDescent="0.3">
      <c r="A489" t="s">
        <v>98</v>
      </c>
      <c r="B489" t="str">
        <f>IFERROR(VLOOKUP(A489, Internal_Ledger!A:B, 2, FALSE), VLOOKUP(A489, Broker_Statement!A:B, 2, FALSE))</f>
        <v>INE018A01030</v>
      </c>
      <c r="C489" t="str">
        <f>IF(COUNTIF(Internal_Ledger!A:A, A489)=0, "Missing Internal", IF(COUNTIF(Broker_Statement!A:A, A489)=0, "Missing on Street", IF(D489&lt;&gt;E489, "Quantity Break", IF(F489&lt;&gt;G489, "Price Break", "Matched Perfectly"))))</f>
        <v>Missing Internal</v>
      </c>
      <c r="D489">
        <f>IFERROR(VLOOKUP(A489, Internal_Ledger!A:G, 5, FALSE), 0)</f>
        <v>0</v>
      </c>
      <c r="E489">
        <f>IFERROR(VLOOKUP(A489, Broker_Statement!A:G, 5, FALSE), 0)</f>
        <v>2050</v>
      </c>
      <c r="F489">
        <f>IFERROR(VLOOKUP(A489, Internal_Ledger!A:G, 6, FALSE), 0)</f>
        <v>0</v>
      </c>
      <c r="G489">
        <f>IFERROR(VLOOKUP(A489, Broker_Statement!A:G, 6, FALSE), 0)</f>
        <v>622.53997802734375</v>
      </c>
      <c r="H489" s="7">
        <f t="shared" si="7"/>
        <v>1276206.9549560547</v>
      </c>
    </row>
    <row r="490" spans="1:8" x14ac:dyDescent="0.3">
      <c r="A490" t="s">
        <v>149</v>
      </c>
      <c r="B490" t="str">
        <f>IFERROR(VLOOKUP(A490, Internal_Ledger!A:B, 2, FALSE), VLOOKUP(A490, Broker_Statement!A:B, 2, FALSE))</f>
        <v>INE018A01030</v>
      </c>
      <c r="C490" t="str">
        <f>IF(COUNTIF(Internal_Ledger!A:A, A490)=0, "Missing Internal", IF(COUNTIF(Broker_Statement!A:A, A490)=0, "Missing on Street", IF(D490&lt;&gt;E490, "Quantity Break", IF(F490&lt;&gt;G490, "Price Break", "Matched Perfectly"))))</f>
        <v>Missing Internal</v>
      </c>
      <c r="D490">
        <f>IFERROR(VLOOKUP(A490, Internal_Ledger!A:G, 5, FALSE), 0)</f>
        <v>0</v>
      </c>
      <c r="E490">
        <f>IFERROR(VLOOKUP(A490, Broker_Statement!A:G, 5, FALSE), 0)</f>
        <v>2500</v>
      </c>
      <c r="F490">
        <f>IFERROR(VLOOKUP(A490, Internal_Ledger!A:G, 6, FALSE), 0)</f>
        <v>0</v>
      </c>
      <c r="G490">
        <f>IFERROR(VLOOKUP(A490, Broker_Statement!A:G, 6, FALSE), 0)</f>
        <v>216.58000183105469</v>
      </c>
      <c r="H490" s="7">
        <f t="shared" si="7"/>
        <v>541450.00457763672</v>
      </c>
    </row>
    <row r="491" spans="1:8" x14ac:dyDescent="0.3">
      <c r="A491" t="s">
        <v>168</v>
      </c>
      <c r="B491" t="str">
        <f>IFERROR(VLOOKUP(A491, Internal_Ledger!A:B, 2, FALSE), VLOOKUP(A491, Broker_Statement!A:B, 2, FALSE))</f>
        <v>INE018A01030</v>
      </c>
      <c r="C491" t="str">
        <f>IF(COUNTIF(Internal_Ledger!A:A, A491)=0, "Missing Internal", IF(COUNTIF(Broker_Statement!A:A, A491)=0, "Missing on Street", IF(D491&lt;&gt;E491, "Quantity Break", IF(F491&lt;&gt;G491, "Price Break", "Matched Perfectly"))))</f>
        <v>Missing Internal</v>
      </c>
      <c r="D491">
        <f>IFERROR(VLOOKUP(A491, Internal_Ledger!A:G, 5, FALSE), 0)</f>
        <v>0</v>
      </c>
      <c r="E491">
        <f>IFERROR(VLOOKUP(A491, Broker_Statement!A:G, 5, FALSE), 0)</f>
        <v>350</v>
      </c>
      <c r="F491">
        <f>IFERROR(VLOOKUP(A491, Internal_Ledger!A:G, 6, FALSE), 0)</f>
        <v>0</v>
      </c>
      <c r="G491">
        <f>IFERROR(VLOOKUP(A491, Broker_Statement!A:G, 6, FALSE), 0)</f>
        <v>216.57000732421875</v>
      </c>
      <c r="H491" s="7">
        <f t="shared" si="7"/>
        <v>75799.502563476563</v>
      </c>
    </row>
    <row r="492" spans="1:8" x14ac:dyDescent="0.3">
      <c r="A492" t="s">
        <v>227</v>
      </c>
      <c r="B492" t="str">
        <f>IFERROR(VLOOKUP(A492, Internal_Ledger!A:B, 2, FALSE), VLOOKUP(A492, Broker_Statement!A:B, 2, FALSE))</f>
        <v>INE002A01018</v>
      </c>
      <c r="C492" t="str">
        <f>IF(COUNTIF(Internal_Ledger!A:A, A492)=0, "Missing Internal", IF(COUNTIF(Broker_Statement!A:A, A492)=0, "Missing on Street", IF(D492&lt;&gt;E492, "Quantity Break", IF(F492&lt;&gt;G492, "Price Break", "Matched Perfectly"))))</f>
        <v>Missing Internal</v>
      </c>
      <c r="D492">
        <f>IFERROR(VLOOKUP(A492, Internal_Ledger!A:G, 5, FALSE), 0)</f>
        <v>0</v>
      </c>
      <c r="E492">
        <f>IFERROR(VLOOKUP(A492, Broker_Statement!A:G, 5, FALSE), 0)</f>
        <v>4000</v>
      </c>
      <c r="F492">
        <f>IFERROR(VLOOKUP(A492, Internal_Ledger!A:G, 6, FALSE), 0)</f>
        <v>0</v>
      </c>
      <c r="G492">
        <f>IFERROR(VLOOKUP(A492, Broker_Statement!A:G, 6, FALSE), 0)</f>
        <v>365.30999755859375</v>
      </c>
      <c r="H492" s="7">
        <f t="shared" si="7"/>
        <v>1461239.990234375</v>
      </c>
    </row>
    <row r="493" spans="1:8" x14ac:dyDescent="0.3">
      <c r="A493" t="s">
        <v>228</v>
      </c>
      <c r="B493" t="str">
        <f>IFERROR(VLOOKUP(A493, Internal_Ledger!A:B, 2, FALSE), VLOOKUP(A493, Broker_Statement!A:B, 2, FALSE))</f>
        <v>INE002A01018</v>
      </c>
      <c r="C493" t="str">
        <f>IF(COUNTIF(Internal_Ledger!A:A, A493)=0, "Missing Internal", IF(COUNTIF(Broker_Statement!A:A, A493)=0, "Missing on Street", IF(D493&lt;&gt;E493, "Quantity Break", IF(F493&lt;&gt;G493, "Price Break", "Matched Perfectly"))))</f>
        <v>Missing Internal</v>
      </c>
      <c r="D493">
        <f>IFERROR(VLOOKUP(A493, Internal_Ledger!A:G, 5, FALSE), 0)</f>
        <v>0</v>
      </c>
      <c r="E493">
        <f>IFERROR(VLOOKUP(A493, Broker_Statement!A:G, 5, FALSE), 0)</f>
        <v>3700</v>
      </c>
      <c r="F493">
        <f>IFERROR(VLOOKUP(A493, Internal_Ledger!A:G, 6, FALSE), 0)</f>
        <v>0</v>
      </c>
      <c r="G493">
        <f>IFERROR(VLOOKUP(A493, Broker_Statement!A:G, 6, FALSE), 0)</f>
        <v>398.22000122070313</v>
      </c>
      <c r="H493" s="7">
        <f t="shared" si="7"/>
        <v>1473414.0045166016</v>
      </c>
    </row>
    <row r="494" spans="1:8" x14ac:dyDescent="0.3">
      <c r="A494" t="s">
        <v>265</v>
      </c>
      <c r="B494" t="str">
        <f>IFERROR(VLOOKUP(A494, Internal_Ledger!A:B, 2, FALSE), VLOOKUP(A494, Broker_Statement!A:B, 2, FALSE))</f>
        <v>INE002A01018</v>
      </c>
      <c r="C494" t="str">
        <f>IF(COUNTIF(Internal_Ledger!A:A, A494)=0, "Missing Internal", IF(COUNTIF(Broker_Statement!A:A, A494)=0, "Missing on Street", IF(D494&lt;&gt;E494, "Quantity Break", IF(F494&lt;&gt;G494, "Price Break", "Matched Perfectly"))))</f>
        <v>Missing Internal</v>
      </c>
      <c r="D494">
        <f>IFERROR(VLOOKUP(A494, Internal_Ledger!A:G, 5, FALSE), 0)</f>
        <v>0</v>
      </c>
      <c r="E494">
        <f>IFERROR(VLOOKUP(A494, Broker_Statement!A:G, 5, FALSE), 0)</f>
        <v>300</v>
      </c>
      <c r="F494">
        <f>IFERROR(VLOOKUP(A494, Internal_Ledger!A:G, 6, FALSE), 0)</f>
        <v>0</v>
      </c>
      <c r="G494">
        <f>IFERROR(VLOOKUP(A494, Broker_Statement!A:G, 6, FALSE), 0)</f>
        <v>631.40997314453125</v>
      </c>
      <c r="H494" s="7">
        <f t="shared" si="7"/>
        <v>189422.99194335938</v>
      </c>
    </row>
    <row r="495" spans="1:8" x14ac:dyDescent="0.3">
      <c r="A495" t="s">
        <v>276</v>
      </c>
      <c r="B495" t="str">
        <f>IFERROR(VLOOKUP(A495, Internal_Ledger!A:B, 2, FALSE), VLOOKUP(A495, Broker_Statement!A:B, 2, FALSE))</f>
        <v>INE030A01027</v>
      </c>
      <c r="C495" t="str">
        <f>IF(COUNTIF(Internal_Ledger!A:A, A495)=0, "Missing Internal", IF(COUNTIF(Broker_Statement!A:A, A495)=0, "Missing on Street", IF(D495&lt;&gt;E495, "Quantity Break", IF(F495&lt;&gt;G495, "Price Break", "Matched Perfectly"))))</f>
        <v>Missing Internal</v>
      </c>
      <c r="D495">
        <f>IFERROR(VLOOKUP(A495, Internal_Ledger!A:G, 5, FALSE), 0)</f>
        <v>0</v>
      </c>
      <c r="E495">
        <f>IFERROR(VLOOKUP(A495, Broker_Statement!A:G, 5, FALSE), 0)</f>
        <v>1400</v>
      </c>
      <c r="F495">
        <f>IFERROR(VLOOKUP(A495, Internal_Ledger!A:G, 6, FALSE), 0)</f>
        <v>0</v>
      </c>
      <c r="G495">
        <f>IFERROR(VLOOKUP(A495, Broker_Statement!A:G, 6, FALSE), 0)</f>
        <v>392.39999389648438</v>
      </c>
      <c r="H495" s="7">
        <f t="shared" si="7"/>
        <v>549359.99145507813</v>
      </c>
    </row>
    <row r="496" spans="1:8" x14ac:dyDescent="0.3">
      <c r="A496" t="s">
        <v>292</v>
      </c>
      <c r="B496" t="str">
        <f>IFERROR(VLOOKUP(A496, Internal_Ledger!A:B, 2, FALSE), VLOOKUP(A496, Broker_Statement!A:B, 2, FALSE))</f>
        <v>INE009A01021</v>
      </c>
      <c r="C496" t="str">
        <f>IF(COUNTIF(Internal_Ledger!A:A, A496)=0, "Missing Internal", IF(COUNTIF(Broker_Statement!A:A, A496)=0, "Missing on Street", IF(D496&lt;&gt;E496, "Quantity Break", IF(F496&lt;&gt;G496, "Price Break", "Matched Perfectly"))))</f>
        <v>Missing Internal</v>
      </c>
      <c r="D496">
        <f>IFERROR(VLOOKUP(A496, Internal_Ledger!A:G, 5, FALSE), 0)</f>
        <v>0</v>
      </c>
      <c r="E496">
        <f>IFERROR(VLOOKUP(A496, Broker_Statement!A:G, 5, FALSE), 0)</f>
        <v>4550</v>
      </c>
      <c r="F496">
        <f>IFERROR(VLOOKUP(A496, Internal_Ledger!A:G, 6, FALSE), 0)</f>
        <v>0</v>
      </c>
      <c r="G496">
        <f>IFERROR(VLOOKUP(A496, Broker_Statement!A:G, 6, FALSE), 0)</f>
        <v>460.17001342773438</v>
      </c>
      <c r="H496" s="7">
        <f t="shared" si="7"/>
        <v>2093773.5610961914</v>
      </c>
    </row>
    <row r="497" spans="1:8" x14ac:dyDescent="0.3">
      <c r="A497" t="s">
        <v>304</v>
      </c>
      <c r="B497" t="str">
        <f>IFERROR(VLOOKUP(A497, Internal_Ledger!A:B, 2, FALSE), VLOOKUP(A497, Broker_Statement!A:B, 2, FALSE))</f>
        <v>INE030A01027</v>
      </c>
      <c r="C497" t="str">
        <f>IF(COUNTIF(Internal_Ledger!A:A, A497)=0, "Missing Internal", IF(COUNTIF(Broker_Statement!A:A, A497)=0, "Missing on Street", IF(D497&lt;&gt;E497, "Quantity Break", IF(F497&lt;&gt;G497, "Price Break", "Matched Perfectly"))))</f>
        <v>Missing Internal</v>
      </c>
      <c r="D497">
        <f>IFERROR(VLOOKUP(A497, Internal_Ledger!A:G, 5, FALSE), 0)</f>
        <v>0</v>
      </c>
      <c r="E497">
        <f>IFERROR(VLOOKUP(A497, Broker_Statement!A:G, 5, FALSE), 0)</f>
        <v>1650</v>
      </c>
      <c r="F497">
        <f>IFERROR(VLOOKUP(A497, Internal_Ledger!A:G, 6, FALSE), 0)</f>
        <v>0</v>
      </c>
      <c r="G497">
        <f>IFERROR(VLOOKUP(A497, Broker_Statement!A:G, 6, FALSE), 0)</f>
        <v>515.19000244140625</v>
      </c>
      <c r="H497" s="7">
        <f t="shared" si="7"/>
        <v>850063.50402832031</v>
      </c>
    </row>
    <row r="498" spans="1:8" x14ac:dyDescent="0.3">
      <c r="A498" t="s">
        <v>317</v>
      </c>
      <c r="B498" t="str">
        <f>IFERROR(VLOOKUP(A498, Internal_Ledger!A:B, 2, FALSE), VLOOKUP(A498, Broker_Statement!A:B, 2, FALSE))</f>
        <v>INE040A01034</v>
      </c>
      <c r="C498" t="str">
        <f>IF(COUNTIF(Internal_Ledger!A:A, A498)=0, "Missing Internal", IF(COUNTIF(Broker_Statement!A:A, A498)=0, "Missing on Street", IF(D498&lt;&gt;E498, "Quantity Break", IF(F498&lt;&gt;G498, "Price Break", "Matched Perfectly"))))</f>
        <v>Missing Internal</v>
      </c>
      <c r="D498">
        <f>IFERROR(VLOOKUP(A498, Internal_Ledger!A:G, 5, FALSE), 0)</f>
        <v>0</v>
      </c>
      <c r="E498">
        <f>IFERROR(VLOOKUP(A498, Broker_Statement!A:G, 5, FALSE), 0)</f>
        <v>1850</v>
      </c>
      <c r="F498">
        <f>IFERROR(VLOOKUP(A498, Internal_Ledger!A:G, 6, FALSE), 0)</f>
        <v>0</v>
      </c>
      <c r="G498">
        <f>IFERROR(VLOOKUP(A498, Broker_Statement!A:G, 6, FALSE), 0)</f>
        <v>533.58001708984375</v>
      </c>
      <c r="H498" s="7">
        <f t="shared" si="7"/>
        <v>987123.03161621094</v>
      </c>
    </row>
    <row r="499" spans="1:8" x14ac:dyDescent="0.3">
      <c r="A499" t="s">
        <v>367</v>
      </c>
      <c r="B499" t="str">
        <f>IFERROR(VLOOKUP(A499, Internal_Ledger!A:B, 2, FALSE), VLOOKUP(A499, Broker_Statement!A:B, 2, FALSE))</f>
        <v>INE009A01021</v>
      </c>
      <c r="C499" t="str">
        <f>IF(COUNTIF(Internal_Ledger!A:A, A499)=0, "Missing Internal", IF(COUNTIF(Broker_Statement!A:A, A499)=0, "Missing on Street", IF(D499&lt;&gt;E499, "Quantity Break", IF(F499&lt;&gt;G499, "Price Break", "Matched Perfectly"))))</f>
        <v>Missing Internal</v>
      </c>
      <c r="D499">
        <f>IFERROR(VLOOKUP(A499, Internal_Ledger!A:G, 5, FALSE), 0)</f>
        <v>0</v>
      </c>
      <c r="E499">
        <f>IFERROR(VLOOKUP(A499, Broker_Statement!A:G, 5, FALSE), 0)</f>
        <v>3700</v>
      </c>
      <c r="F499">
        <f>IFERROR(VLOOKUP(A499, Internal_Ledger!A:G, 6, FALSE), 0)</f>
        <v>0</v>
      </c>
      <c r="G499">
        <f>IFERROR(VLOOKUP(A499, Broker_Statement!A:G, 6, FALSE), 0)</f>
        <v>586.8499755859375</v>
      </c>
      <c r="H499" s="7">
        <f t="shared" si="7"/>
        <v>2171344.9096679688</v>
      </c>
    </row>
    <row r="500" spans="1:8" x14ac:dyDescent="0.3">
      <c r="A500" t="s">
        <v>381</v>
      </c>
      <c r="B500" t="str">
        <f>IFERROR(VLOOKUP(A500, Internal_Ledger!A:B, 2, FALSE), VLOOKUP(A500, Broker_Statement!A:B, 2, FALSE))</f>
        <v>INE009A01021</v>
      </c>
      <c r="C500" t="str">
        <f>IF(COUNTIF(Internal_Ledger!A:A, A500)=0, "Missing Internal", IF(COUNTIF(Broker_Statement!A:A, A500)=0, "Missing on Street", IF(D500&lt;&gt;E500, "Quantity Break", IF(F500&lt;&gt;G500, "Price Break", "Matched Perfectly"))))</f>
        <v>Missing Internal</v>
      </c>
      <c r="D500">
        <f>IFERROR(VLOOKUP(A500, Internal_Ledger!A:G, 5, FALSE), 0)</f>
        <v>0</v>
      </c>
      <c r="E500">
        <f>IFERROR(VLOOKUP(A500, Broker_Statement!A:G, 5, FALSE), 0)</f>
        <v>750</v>
      </c>
      <c r="F500">
        <f>IFERROR(VLOOKUP(A500, Internal_Ledger!A:G, 6, FALSE), 0)</f>
        <v>0</v>
      </c>
      <c r="G500">
        <f>IFERROR(VLOOKUP(A500, Broker_Statement!A:G, 6, FALSE), 0)</f>
        <v>588.03997802734375</v>
      </c>
      <c r="H500" s="7">
        <f t="shared" si="7"/>
        <v>441029.98352050781</v>
      </c>
    </row>
    <row r="501" spans="1:8" x14ac:dyDescent="0.3">
      <c r="A501" t="s">
        <v>486</v>
      </c>
      <c r="B501" t="str">
        <f>IFERROR(VLOOKUP(A501, Internal_Ledger!A:B, 2, FALSE), VLOOKUP(A501, Broker_Statement!A:B, 2, FALSE))</f>
        <v>INE018A01030</v>
      </c>
      <c r="C501" t="str">
        <f>IF(COUNTIF(Internal_Ledger!A:A, A501)=0, "Missing Internal", IF(COUNTIF(Broker_Statement!A:A, A501)=0, "Missing on Street", IF(D501&lt;&gt;E501, "Quantity Break", IF(F501&lt;&gt;G501, "Price Break", "Matched Perfectly"))))</f>
        <v>Missing Internal</v>
      </c>
      <c r="D501">
        <f>IFERROR(VLOOKUP(A501, Internal_Ledger!A:G, 5, FALSE), 0)</f>
        <v>0</v>
      </c>
      <c r="E501">
        <f>IFERROR(VLOOKUP(A501, Broker_Statement!A:G, 5, FALSE), 0)</f>
        <v>2400</v>
      </c>
      <c r="F501">
        <f>IFERROR(VLOOKUP(A501, Internal_Ledger!A:G, 6, FALSE), 0)</f>
        <v>0</v>
      </c>
      <c r="G501">
        <f>IFERROR(VLOOKUP(A501, Broker_Statement!A:G, 6, FALSE), 0)</f>
        <v>518.46002197265625</v>
      </c>
      <c r="H501" s="7">
        <f t="shared" si="7"/>
        <v>1244304.052734375</v>
      </c>
    </row>
    <row r="502" spans="1:8" x14ac:dyDescent="0.3">
      <c r="D502"/>
      <c r="E502"/>
      <c r="F502"/>
      <c r="G502"/>
      <c r="H502"/>
    </row>
    <row r="503" spans="1:8" x14ac:dyDescent="0.3">
      <c r="D503"/>
      <c r="E503"/>
      <c r="F503"/>
      <c r="G503"/>
      <c r="H503"/>
    </row>
    <row r="504" spans="1:8" x14ac:dyDescent="0.3">
      <c r="D504"/>
      <c r="E504"/>
      <c r="F504"/>
      <c r="G504"/>
      <c r="H504"/>
    </row>
    <row r="505" spans="1:8" x14ac:dyDescent="0.3">
      <c r="D505"/>
      <c r="E505"/>
      <c r="F505"/>
      <c r="G505"/>
      <c r="H505"/>
    </row>
    <row r="506" spans="1:8" x14ac:dyDescent="0.3">
      <c r="D506"/>
      <c r="E506"/>
      <c r="F506"/>
      <c r="G506"/>
      <c r="H506"/>
    </row>
    <row r="507" spans="1:8" x14ac:dyDescent="0.3">
      <c r="D507"/>
      <c r="E507"/>
      <c r="F507"/>
      <c r="G507"/>
      <c r="H507"/>
    </row>
    <row r="508" spans="1:8" x14ac:dyDescent="0.3">
      <c r="D508"/>
      <c r="E508"/>
      <c r="F508"/>
      <c r="G508"/>
      <c r="H508"/>
    </row>
    <row r="509" spans="1:8" x14ac:dyDescent="0.3">
      <c r="D509"/>
      <c r="E509"/>
      <c r="F509"/>
      <c r="G509"/>
      <c r="H509"/>
    </row>
    <row r="510" spans="1:8" x14ac:dyDescent="0.3">
      <c r="D510"/>
      <c r="E510"/>
      <c r="F510"/>
      <c r="G510"/>
      <c r="H510"/>
    </row>
    <row r="511" spans="1:8" x14ac:dyDescent="0.3">
      <c r="D511"/>
      <c r="E511"/>
      <c r="F511"/>
      <c r="G511"/>
      <c r="H511"/>
    </row>
    <row r="512" spans="1:8" x14ac:dyDescent="0.3">
      <c r="D512"/>
      <c r="E512"/>
      <c r="F512"/>
      <c r="G512"/>
      <c r="H512"/>
    </row>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sheetData>
  <autoFilter ref="A1:H501" xr:uid="{08438AD9-5936-4E70-B4E1-2F29EAE1510F}"/>
  <conditionalFormatting sqref="A1:A1048576">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CBA5B-4D6B-43C9-A9A7-8B8E9228EBD0}">
  <sheetPr codeName="Sheet6"/>
  <dimension ref="A3:E9"/>
  <sheetViews>
    <sheetView topLeftCell="C1" workbookViewId="0">
      <selection activeCell="E5" sqref="E5"/>
    </sheetView>
  </sheetViews>
  <sheetFormatPr defaultRowHeight="14.4" x14ac:dyDescent="0.3"/>
  <cols>
    <col min="1" max="1" width="15.5546875" bestFit="1" customWidth="1"/>
    <col min="2" max="2" width="15" bestFit="1" customWidth="1"/>
    <col min="4" max="4" width="14.5546875" bestFit="1" customWidth="1"/>
    <col min="5" max="5" width="26.21875" bestFit="1" customWidth="1"/>
  </cols>
  <sheetData>
    <row r="3" spans="1:5" x14ac:dyDescent="0.3">
      <c r="A3" s="12" t="s">
        <v>526</v>
      </c>
      <c r="B3" t="s">
        <v>528</v>
      </c>
      <c r="D3" s="12" t="s">
        <v>526</v>
      </c>
      <c r="E3" t="s">
        <v>529</v>
      </c>
    </row>
    <row r="4" spans="1:5" x14ac:dyDescent="0.3">
      <c r="A4" s="13" t="s">
        <v>520</v>
      </c>
      <c r="B4">
        <v>81</v>
      </c>
      <c r="D4" s="13" t="s">
        <v>524</v>
      </c>
      <c r="E4" s="7">
        <v>2571289.5050048819</v>
      </c>
    </row>
    <row r="5" spans="1:5" x14ac:dyDescent="0.3">
      <c r="A5" s="13" t="s">
        <v>524</v>
      </c>
      <c r="B5">
        <v>4</v>
      </c>
      <c r="D5" s="13" t="s">
        <v>521</v>
      </c>
      <c r="E5" s="7">
        <v>4191610.9909057659</v>
      </c>
    </row>
    <row r="6" spans="1:5" x14ac:dyDescent="0.3">
      <c r="A6" s="13" t="s">
        <v>521</v>
      </c>
      <c r="B6">
        <v>5</v>
      </c>
      <c r="D6" s="13" t="s">
        <v>522</v>
      </c>
      <c r="E6" s="7">
        <v>5142.5001040099742</v>
      </c>
    </row>
    <row r="7" spans="1:5" x14ac:dyDescent="0.3">
      <c r="A7" s="13" t="s">
        <v>522</v>
      </c>
      <c r="B7">
        <v>6</v>
      </c>
      <c r="D7" s="13" t="s">
        <v>523</v>
      </c>
      <c r="E7" s="7">
        <v>71488.9999389648</v>
      </c>
    </row>
    <row r="8" spans="1:5" x14ac:dyDescent="0.3">
      <c r="A8" s="13" t="s">
        <v>523</v>
      </c>
      <c r="B8">
        <v>4</v>
      </c>
      <c r="D8" s="13" t="s">
        <v>527</v>
      </c>
      <c r="E8" s="7">
        <v>6839531.9959536232</v>
      </c>
    </row>
    <row r="9" spans="1:5" x14ac:dyDescent="0.3">
      <c r="A9" s="13" t="s">
        <v>527</v>
      </c>
      <c r="B9">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707FE-7F11-4D57-A38E-DF851AFDB453}">
  <sheetPr codeName="Sheet5"/>
  <dimension ref="A1:W2"/>
  <sheetViews>
    <sheetView showGridLines="0" tabSelected="1" topLeftCell="C1" workbookViewId="0">
      <selection activeCell="V9" sqref="V9"/>
    </sheetView>
  </sheetViews>
  <sheetFormatPr defaultRowHeight="14.4" x14ac:dyDescent="0.3"/>
  <cols>
    <col min="1" max="16384" width="8.88671875" style="11"/>
  </cols>
  <sheetData>
    <row r="1" spans="1:23" x14ac:dyDescent="0.3">
      <c r="A1" s="14" t="s">
        <v>525</v>
      </c>
      <c r="B1" s="15"/>
      <c r="C1" s="15"/>
      <c r="D1" s="15"/>
      <c r="E1" s="15"/>
      <c r="F1" s="15"/>
      <c r="G1" s="15"/>
      <c r="H1" s="15"/>
      <c r="I1" s="15"/>
      <c r="J1" s="15"/>
      <c r="K1" s="15"/>
      <c r="L1" s="15"/>
      <c r="M1" s="15"/>
      <c r="N1" s="15"/>
      <c r="O1" s="15"/>
      <c r="P1" s="15"/>
      <c r="Q1" s="15"/>
      <c r="R1" s="15"/>
      <c r="S1" s="15"/>
      <c r="T1" s="15"/>
      <c r="U1" s="15"/>
      <c r="V1" s="15"/>
      <c r="W1" s="15"/>
    </row>
    <row r="2" spans="1:23" x14ac:dyDescent="0.3">
      <c r="A2" s="15"/>
      <c r="B2" s="15"/>
      <c r="C2" s="15"/>
      <c r="D2" s="15"/>
      <c r="E2" s="15"/>
      <c r="F2" s="15"/>
      <c r="G2" s="15"/>
      <c r="H2" s="15"/>
      <c r="I2" s="15"/>
      <c r="J2" s="15"/>
      <c r="K2" s="15"/>
      <c r="L2" s="15"/>
      <c r="M2" s="15"/>
      <c r="N2" s="15"/>
      <c r="O2" s="15"/>
      <c r="P2" s="15"/>
      <c r="Q2" s="15"/>
      <c r="R2" s="15"/>
      <c r="S2" s="15"/>
      <c r="T2" s="15"/>
      <c r="U2" s="15"/>
      <c r="V2" s="15"/>
      <c r="W2" s="15"/>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Internal_Ledger</vt:lpstr>
      <vt:lpstr>Broker_Statement</vt:lpstr>
      <vt:lpstr>Break_Report</vt:lpstr>
      <vt:lpstr>Recon_Dashboard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Thakar</dc:creator>
  <cp:lastModifiedBy>Manoj Thakar</cp:lastModifiedBy>
  <dcterms:created xsi:type="dcterms:W3CDTF">2026-08-25T13:10:47Z</dcterms:created>
  <dcterms:modified xsi:type="dcterms:W3CDTF">2026-09-05T17:01:37Z</dcterms:modified>
</cp:coreProperties>
</file>