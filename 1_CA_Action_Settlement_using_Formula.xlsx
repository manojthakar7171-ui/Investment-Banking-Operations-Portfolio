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defaultThemeVersion="202300"/>
  <mc:AlternateContent xmlns:mc="http://schemas.openxmlformats.org/markup-compatibility/2006">
    <mc:Choice Requires="x15">
      <x15ac:absPath xmlns:x15ac="http://schemas.microsoft.com/office/spreadsheetml/2010/11/ac" url="https://d.docs.live.net/d319e8bd5ff854c5/Documents/IB/CIBOP-71/Projects/"/>
    </mc:Choice>
  </mc:AlternateContent>
  <xr:revisionPtr revIDLastSave="149" documentId="8_{603EBAC2-7C59-435B-A02D-1FD2436A1A5A}" xr6:coauthVersionLast="47" xr6:coauthVersionMax="47" xr10:uidLastSave="{3B40BF36-C7DA-4356-BB8D-B918EF7BE71C}"/>
  <bookViews>
    <workbookView xWindow="-108" yWindow="-108" windowWidth="23256" windowHeight="12456" activeTab="1" xr2:uid="{59D62F7E-4DF4-4FF5-8211-3F88F703A142}"/>
  </bookViews>
  <sheets>
    <sheet name="Dashboard" sheetId="3" r:id="rId1"/>
    <sheet name="Ledger" sheetId="2" r:id="rId2"/>
    <sheet name="CA_Feed" sheetId="1" r:id="rId3"/>
    <sheet name="Sheet1" sheetId="5" r:id="rId4"/>
    <sheet name="Pivot_Data" sheetId="4" r:id="rId5"/>
  </sheets>
  <definedNames>
    <definedName name="_xlnm._FilterDatabase" localSheetId="2" hidden="1">CA_Feed!$A$1:$M$60</definedName>
    <definedName name="_xlnm._FilterDatabase" localSheetId="1" hidden="1">Ledger!$A$1:$O$765</definedName>
    <definedName name="_xlnm._FilterDatabase" localSheetId="4" hidden="1">Pivot_Data!$H$1:$I$43</definedName>
    <definedName name="Slicer_Processing_Status">#N/A</definedName>
    <definedName name="Slicer_Security_Na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J216" i="2" s="1"/>
  <c r="I217" i="2"/>
  <c r="J217" i="2" s="1"/>
  <c r="I218" i="2"/>
  <c r="J218" i="2" s="1"/>
  <c r="I219" i="2"/>
  <c r="J219" i="2" s="1"/>
  <c r="I220" i="2"/>
  <c r="J220" i="2" s="1"/>
  <c r="I221" i="2"/>
  <c r="J221" i="2" s="1"/>
  <c r="I222" i="2"/>
  <c r="J222" i="2" s="1"/>
  <c r="I223" i="2"/>
  <c r="I224" i="2"/>
  <c r="I225" i="2"/>
  <c r="I226" i="2"/>
  <c r="I227" i="2"/>
  <c r="I228" i="2"/>
  <c r="I229" i="2"/>
  <c r="I230" i="2"/>
  <c r="I231"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4" i="2"/>
  <c r="I515" i="2"/>
  <c r="I516" i="2"/>
  <c r="I517"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5" i="2"/>
  <c r="I616" i="2"/>
  <c r="I617" i="2"/>
  <c r="I618" i="2"/>
  <c r="I619" i="2"/>
  <c r="I620" i="2"/>
  <c r="I621" i="2"/>
  <c r="I622" i="2"/>
  <c r="I623" i="2"/>
  <c r="I624" i="2"/>
  <c r="I625" i="2"/>
  <c r="I626" i="2"/>
  <c r="I627" i="2"/>
  <c r="I628" i="2"/>
  <c r="I629" i="2"/>
  <c r="I630" i="2"/>
  <c r="I631" i="2"/>
  <c r="I632" i="2"/>
  <c r="J632" i="2" s="1"/>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1" i="2"/>
  <c r="I722" i="2"/>
  <c r="I723" i="2"/>
  <c r="I724" i="2"/>
  <c r="I725" i="2"/>
  <c r="I726" i="2"/>
  <c r="I727" i="2"/>
  <c r="I728" i="2"/>
  <c r="I729" i="2"/>
  <c r="I730" i="2"/>
  <c r="I731" i="2"/>
  <c r="I732" i="2"/>
  <c r="I733" i="2"/>
  <c r="I734" i="2"/>
  <c r="I735" i="2"/>
  <c r="I737" i="2"/>
  <c r="I738" i="2"/>
  <c r="I739" i="2"/>
  <c r="I740" i="2"/>
  <c r="I741" i="2"/>
  <c r="I742" i="2"/>
  <c r="I744" i="2"/>
  <c r="I745" i="2"/>
  <c r="I746" i="2"/>
  <c r="I747" i="2"/>
  <c r="I748" i="2"/>
  <c r="I749" i="2"/>
  <c r="I750" i="2"/>
  <c r="I751" i="2"/>
  <c r="I752" i="2"/>
  <c r="I753" i="2"/>
  <c r="I754" i="2"/>
  <c r="I755" i="2"/>
  <c r="I756" i="2"/>
  <c r="I757" i="2"/>
  <c r="I758" i="2"/>
  <c r="I759" i="2"/>
  <c r="I760" i="2"/>
  <c r="I761" i="2"/>
  <c r="I762" i="2"/>
  <c r="I763" i="2"/>
  <c r="I764" i="2"/>
  <c r="I765" i="2"/>
  <c r="I2" i="2"/>
  <c r="L5" i="3"/>
  <c r="H5" i="3"/>
  <c r="E5" i="3"/>
  <c r="E4" i="3"/>
  <c r="E3" i="2"/>
  <c r="F3" i="2" s="1"/>
  <c r="G3" i="2" s="1"/>
  <c r="O3" i="2"/>
  <c r="E4" i="2"/>
  <c r="F4" i="2" s="1"/>
  <c r="O4" i="2"/>
  <c r="E5" i="2"/>
  <c r="F5" i="2" s="1"/>
  <c r="G5" i="2" s="1"/>
  <c r="H5" i="2" s="1"/>
  <c r="O5" i="2"/>
  <c r="E6" i="2"/>
  <c r="F6" i="2" s="1"/>
  <c r="O6" i="2"/>
  <c r="E7" i="2"/>
  <c r="F7" i="2" s="1"/>
  <c r="O7" i="2"/>
  <c r="E8" i="2"/>
  <c r="F8" i="2" s="1"/>
  <c r="O8" i="2"/>
  <c r="E9" i="2"/>
  <c r="F9" i="2" s="1"/>
  <c r="O9" i="2"/>
  <c r="E10" i="2"/>
  <c r="F10" i="2" s="1"/>
  <c r="O10" i="2"/>
  <c r="E11" i="2"/>
  <c r="F11" i="2" s="1"/>
  <c r="O11" i="2"/>
  <c r="E12" i="2"/>
  <c r="F12" i="2" s="1"/>
  <c r="G12" i="2" s="1"/>
  <c r="O12" i="2"/>
  <c r="E13" i="2"/>
  <c r="F13" i="2" s="1"/>
  <c r="O13" i="2"/>
  <c r="E14" i="2"/>
  <c r="F14" i="2" s="1"/>
  <c r="O14" i="2"/>
  <c r="E15" i="2"/>
  <c r="F15" i="2" s="1"/>
  <c r="O15" i="2"/>
  <c r="E16" i="2"/>
  <c r="F16" i="2" s="1"/>
  <c r="O16" i="2"/>
  <c r="E17" i="2"/>
  <c r="F17" i="2" s="1"/>
  <c r="O17" i="2"/>
  <c r="E18" i="2"/>
  <c r="F18" i="2" s="1"/>
  <c r="G18" i="2" s="1"/>
  <c r="H18" i="2" s="1"/>
  <c r="O18" i="2"/>
  <c r="E19" i="2"/>
  <c r="F19" i="2" s="1"/>
  <c r="G19" i="2" s="1"/>
  <c r="H19" i="2" s="1"/>
  <c r="O19" i="2"/>
  <c r="E20" i="2"/>
  <c r="F20" i="2" s="1"/>
  <c r="G20" i="2" s="1"/>
  <c r="H20" i="2" s="1"/>
  <c r="O20" i="2"/>
  <c r="E21" i="2"/>
  <c r="F21" i="2" s="1"/>
  <c r="O21" i="2"/>
  <c r="E22" i="2"/>
  <c r="F22" i="2" s="1"/>
  <c r="G22" i="2" s="1"/>
  <c r="O22" i="2"/>
  <c r="E23" i="2"/>
  <c r="F23" i="2" s="1"/>
  <c r="G23" i="2" s="1"/>
  <c r="H23" i="2" s="1"/>
  <c r="O23" i="2"/>
  <c r="E24" i="2"/>
  <c r="F24" i="2" s="1"/>
  <c r="O24" i="2"/>
  <c r="E25" i="2"/>
  <c r="F25" i="2" s="1"/>
  <c r="O25" i="2"/>
  <c r="E26" i="2"/>
  <c r="F26" i="2" s="1"/>
  <c r="O26" i="2"/>
  <c r="E27" i="2"/>
  <c r="F27" i="2" s="1"/>
  <c r="O27" i="2"/>
  <c r="E28" i="2"/>
  <c r="F28" i="2" s="1"/>
  <c r="O28" i="2"/>
  <c r="E29" i="2"/>
  <c r="F29" i="2" s="1"/>
  <c r="O29" i="2"/>
  <c r="E30" i="2"/>
  <c r="F30" i="2" s="1"/>
  <c r="G30" i="2" s="1"/>
  <c r="H30" i="2" s="1"/>
  <c r="O30" i="2"/>
  <c r="E31" i="2"/>
  <c r="F31" i="2" s="1"/>
  <c r="G31" i="2" s="1"/>
  <c r="H31" i="2" s="1"/>
  <c r="O31" i="2"/>
  <c r="E32" i="2"/>
  <c r="F32" i="2" s="1"/>
  <c r="G32" i="2" s="1"/>
  <c r="H32" i="2" s="1"/>
  <c r="O32" i="2"/>
  <c r="E33" i="2"/>
  <c r="F33" i="2" s="1"/>
  <c r="G33" i="2" s="1"/>
  <c r="H33" i="2" s="1"/>
  <c r="O33" i="2"/>
  <c r="E34" i="2"/>
  <c r="F34" i="2" s="1"/>
  <c r="O34" i="2"/>
  <c r="E35" i="2"/>
  <c r="F35" i="2" s="1"/>
  <c r="O35" i="2"/>
  <c r="E36" i="2"/>
  <c r="F36" i="2" s="1"/>
  <c r="O36" i="2"/>
  <c r="E37" i="2"/>
  <c r="F37" i="2" s="1"/>
  <c r="O37" i="2"/>
  <c r="E38" i="2"/>
  <c r="F38" i="2" s="1"/>
  <c r="G38" i="2" s="1"/>
  <c r="H38" i="2" s="1"/>
  <c r="O38" i="2"/>
  <c r="E39" i="2"/>
  <c r="F39" i="2" s="1"/>
  <c r="G39" i="2" s="1"/>
  <c r="O39" i="2"/>
  <c r="E40" i="2"/>
  <c r="F40" i="2" s="1"/>
  <c r="O40" i="2"/>
  <c r="E41" i="2"/>
  <c r="F41" i="2" s="1"/>
  <c r="O41" i="2"/>
  <c r="E42" i="2"/>
  <c r="F42" i="2" s="1"/>
  <c r="O42" i="2"/>
  <c r="E43" i="2"/>
  <c r="F43" i="2" s="1"/>
  <c r="O43" i="2"/>
  <c r="E44" i="2"/>
  <c r="F44" i="2" s="1"/>
  <c r="O44" i="2"/>
  <c r="E45" i="2"/>
  <c r="F45" i="2" s="1"/>
  <c r="O45" i="2"/>
  <c r="E46" i="2"/>
  <c r="F46" i="2" s="1"/>
  <c r="O46" i="2"/>
  <c r="E47" i="2"/>
  <c r="F47" i="2" s="1"/>
  <c r="G47" i="2" s="1"/>
  <c r="O47" i="2"/>
  <c r="E48" i="2"/>
  <c r="F48" i="2" s="1"/>
  <c r="G48" i="2" s="1"/>
  <c r="H48" i="2" s="1"/>
  <c r="O48" i="2"/>
  <c r="E49" i="2"/>
  <c r="F49" i="2" s="1"/>
  <c r="G49" i="2" s="1"/>
  <c r="O49" i="2"/>
  <c r="E50" i="2"/>
  <c r="F50" i="2" s="1"/>
  <c r="G50" i="2" s="1"/>
  <c r="H50" i="2" s="1"/>
  <c r="O50" i="2"/>
  <c r="E51" i="2"/>
  <c r="F51" i="2" s="1"/>
  <c r="O51" i="2"/>
  <c r="E52" i="2"/>
  <c r="F52" i="2" s="1"/>
  <c r="O52" i="2"/>
  <c r="E53" i="2"/>
  <c r="F53" i="2" s="1"/>
  <c r="G53" i="2" s="1"/>
  <c r="H53" i="2" s="1"/>
  <c r="O53" i="2"/>
  <c r="E54" i="2"/>
  <c r="F54" i="2" s="1"/>
  <c r="O54" i="2"/>
  <c r="E55" i="2"/>
  <c r="F55" i="2" s="1"/>
  <c r="O55" i="2"/>
  <c r="E56" i="2"/>
  <c r="F56" i="2" s="1"/>
  <c r="O56" i="2"/>
  <c r="E57" i="2"/>
  <c r="F57" i="2" s="1"/>
  <c r="O57" i="2"/>
  <c r="E58" i="2"/>
  <c r="F58" i="2" s="1"/>
  <c r="G58" i="2" s="1"/>
  <c r="O58" i="2"/>
  <c r="E59" i="2"/>
  <c r="F59" i="2" s="1"/>
  <c r="G59" i="2" s="1"/>
  <c r="H59" i="2" s="1"/>
  <c r="O59" i="2"/>
  <c r="E60" i="2"/>
  <c r="F60" i="2" s="1"/>
  <c r="G60" i="2" s="1"/>
  <c r="O60" i="2"/>
  <c r="E61" i="2"/>
  <c r="F61" i="2" s="1"/>
  <c r="O61" i="2"/>
  <c r="E62" i="2"/>
  <c r="F62" i="2" s="1"/>
  <c r="O62" i="2"/>
  <c r="E63" i="2"/>
  <c r="F63" i="2" s="1"/>
  <c r="G63" i="2" s="1"/>
  <c r="O63" i="2"/>
  <c r="E64" i="2"/>
  <c r="F64" i="2" s="1"/>
  <c r="G64" i="2" s="1"/>
  <c r="O64" i="2"/>
  <c r="E65" i="2"/>
  <c r="F65" i="2" s="1"/>
  <c r="O65" i="2"/>
  <c r="E66" i="2"/>
  <c r="F66" i="2" s="1"/>
  <c r="O66" i="2"/>
  <c r="E67" i="2"/>
  <c r="F67" i="2" s="1"/>
  <c r="O67" i="2"/>
  <c r="E68" i="2"/>
  <c r="F68" i="2" s="1"/>
  <c r="G68" i="2" s="1"/>
  <c r="O68" i="2"/>
  <c r="E69" i="2"/>
  <c r="F69" i="2" s="1"/>
  <c r="G69" i="2" s="1"/>
  <c r="H69" i="2" s="1"/>
  <c r="O69" i="2"/>
  <c r="E70" i="2"/>
  <c r="F70" i="2" s="1"/>
  <c r="G70" i="2" s="1"/>
  <c r="O70" i="2"/>
  <c r="E71" i="2"/>
  <c r="F71" i="2" s="1"/>
  <c r="G71" i="2" s="1"/>
  <c r="H71" i="2" s="1"/>
  <c r="O71" i="2"/>
  <c r="E72" i="2"/>
  <c r="F72" i="2" s="1"/>
  <c r="O72" i="2"/>
  <c r="E73" i="2"/>
  <c r="F73" i="2" s="1"/>
  <c r="G73" i="2" s="1"/>
  <c r="O73" i="2"/>
  <c r="E74" i="2"/>
  <c r="F74" i="2" s="1"/>
  <c r="G74" i="2" s="1"/>
  <c r="O74" i="2"/>
  <c r="E75" i="2"/>
  <c r="F75" i="2" s="1"/>
  <c r="O75" i="2"/>
  <c r="E76" i="2"/>
  <c r="F76" i="2" s="1"/>
  <c r="O76" i="2"/>
  <c r="E77" i="2"/>
  <c r="F77" i="2" s="1"/>
  <c r="G77" i="2" s="1"/>
  <c r="H77" i="2" s="1"/>
  <c r="O77" i="2"/>
  <c r="E78" i="2"/>
  <c r="F78" i="2" s="1"/>
  <c r="G78" i="2" s="1"/>
  <c r="O78" i="2"/>
  <c r="E79" i="2"/>
  <c r="F79" i="2" s="1"/>
  <c r="O79" i="2"/>
  <c r="E80" i="2"/>
  <c r="F80" i="2" s="1"/>
  <c r="G80" i="2" s="1"/>
  <c r="O80" i="2"/>
  <c r="E81" i="2"/>
  <c r="F81" i="2" s="1"/>
  <c r="G81" i="2" s="1"/>
  <c r="H81" i="2" s="1"/>
  <c r="O81" i="2"/>
  <c r="E82" i="2"/>
  <c r="F82" i="2" s="1"/>
  <c r="O82" i="2"/>
  <c r="E83" i="2"/>
  <c r="F83" i="2" s="1"/>
  <c r="G83" i="2" s="1"/>
  <c r="O83" i="2"/>
  <c r="E84" i="2"/>
  <c r="F84" i="2" s="1"/>
  <c r="G84" i="2" s="1"/>
  <c r="O84" i="2"/>
  <c r="E85" i="2"/>
  <c r="F85" i="2" s="1"/>
  <c r="O85" i="2"/>
  <c r="E86" i="2"/>
  <c r="F86" i="2" s="1"/>
  <c r="O86" i="2"/>
  <c r="E87" i="2"/>
  <c r="F87" i="2" s="1"/>
  <c r="G87" i="2" s="1"/>
  <c r="H87" i="2" s="1"/>
  <c r="O87" i="2"/>
  <c r="E88" i="2"/>
  <c r="F88" i="2" s="1"/>
  <c r="O88" i="2"/>
  <c r="E89" i="2"/>
  <c r="F89" i="2" s="1"/>
  <c r="O89" i="2"/>
  <c r="E90" i="2"/>
  <c r="F90" i="2" s="1"/>
  <c r="G90" i="2" s="1"/>
  <c r="O90" i="2"/>
  <c r="E91" i="2"/>
  <c r="F91" i="2" s="1"/>
  <c r="G91" i="2" s="1"/>
  <c r="H91" i="2" s="1"/>
  <c r="O91" i="2"/>
  <c r="E92" i="2"/>
  <c r="F92" i="2" s="1"/>
  <c r="O92" i="2"/>
  <c r="E93" i="2"/>
  <c r="F93" i="2" s="1"/>
  <c r="G93" i="2" s="1"/>
  <c r="O93" i="2"/>
  <c r="E94" i="2"/>
  <c r="F94" i="2" s="1"/>
  <c r="G94" i="2" s="1"/>
  <c r="O94" i="2"/>
  <c r="E95" i="2"/>
  <c r="F95" i="2" s="1"/>
  <c r="O95" i="2"/>
  <c r="E96" i="2"/>
  <c r="F96" i="2" s="1"/>
  <c r="G96" i="2" s="1"/>
  <c r="O96" i="2"/>
  <c r="E97" i="2"/>
  <c r="F97" i="2" s="1"/>
  <c r="O97" i="2"/>
  <c r="E98" i="2"/>
  <c r="F98" i="2" s="1"/>
  <c r="G98" i="2" s="1"/>
  <c r="O98" i="2"/>
  <c r="E99" i="2"/>
  <c r="F99" i="2" s="1"/>
  <c r="O99" i="2"/>
  <c r="E100" i="2"/>
  <c r="F100" i="2" s="1"/>
  <c r="G100" i="2" s="1"/>
  <c r="H100" i="2" s="1"/>
  <c r="O100" i="2"/>
  <c r="E101" i="2"/>
  <c r="F101" i="2" s="1"/>
  <c r="G101" i="2" s="1"/>
  <c r="O101" i="2"/>
  <c r="E102" i="2"/>
  <c r="F102" i="2" s="1"/>
  <c r="G102" i="2" s="1"/>
  <c r="O102" i="2"/>
  <c r="E103" i="2"/>
  <c r="F103" i="2" s="1"/>
  <c r="G103" i="2" s="1"/>
  <c r="O103" i="2"/>
  <c r="E104" i="2"/>
  <c r="F104" i="2" s="1"/>
  <c r="G104" i="2" s="1"/>
  <c r="O104" i="2"/>
  <c r="E105" i="2"/>
  <c r="F105" i="2" s="1"/>
  <c r="O105" i="2"/>
  <c r="E106" i="2"/>
  <c r="F106" i="2" s="1"/>
  <c r="G106" i="2" s="1"/>
  <c r="H106" i="2" s="1"/>
  <c r="O106" i="2"/>
  <c r="E107" i="2"/>
  <c r="F107" i="2" s="1"/>
  <c r="G107" i="2" s="1"/>
  <c r="O107" i="2"/>
  <c r="E108" i="2"/>
  <c r="F108" i="2" s="1"/>
  <c r="O108" i="2"/>
  <c r="E109" i="2"/>
  <c r="F109" i="2" s="1"/>
  <c r="O109" i="2"/>
  <c r="E110" i="2"/>
  <c r="F110" i="2" s="1"/>
  <c r="G110" i="2" s="1"/>
  <c r="O110" i="2"/>
  <c r="E111" i="2"/>
  <c r="F111" i="2" s="1"/>
  <c r="O111" i="2"/>
  <c r="E112" i="2"/>
  <c r="F112" i="2" s="1"/>
  <c r="O112" i="2"/>
  <c r="E113" i="2"/>
  <c r="F113" i="2" s="1"/>
  <c r="O113" i="2"/>
  <c r="E114" i="2"/>
  <c r="F114" i="2" s="1"/>
  <c r="G114" i="2" s="1"/>
  <c r="O114" i="2"/>
  <c r="E115" i="2"/>
  <c r="F115" i="2" s="1"/>
  <c r="O115" i="2"/>
  <c r="E116" i="2"/>
  <c r="F116" i="2" s="1"/>
  <c r="O116" i="2"/>
  <c r="E117" i="2"/>
  <c r="F117" i="2" s="1"/>
  <c r="O117" i="2"/>
  <c r="E118" i="2"/>
  <c r="F118" i="2" s="1"/>
  <c r="O118" i="2"/>
  <c r="E119" i="2"/>
  <c r="F119" i="2" s="1"/>
  <c r="O119" i="2"/>
  <c r="E120" i="2"/>
  <c r="F120" i="2" s="1"/>
  <c r="O120" i="2"/>
  <c r="E121" i="2"/>
  <c r="F121" i="2" s="1"/>
  <c r="O121" i="2"/>
  <c r="E122" i="2"/>
  <c r="F122" i="2" s="1"/>
  <c r="G122" i="2" s="1"/>
  <c r="O122" i="2"/>
  <c r="E123" i="2"/>
  <c r="F123" i="2" s="1"/>
  <c r="O123" i="2"/>
  <c r="E124" i="2"/>
  <c r="F124" i="2" s="1"/>
  <c r="G124" i="2" s="1"/>
  <c r="H124" i="2" s="1"/>
  <c r="O124" i="2"/>
  <c r="E125" i="2"/>
  <c r="F125" i="2" s="1"/>
  <c r="O125" i="2"/>
  <c r="E126" i="2"/>
  <c r="F126" i="2" s="1"/>
  <c r="G126" i="2" s="1"/>
  <c r="O126" i="2"/>
  <c r="E127" i="2"/>
  <c r="F127" i="2" s="1"/>
  <c r="O127" i="2"/>
  <c r="E128" i="2"/>
  <c r="F128" i="2" s="1"/>
  <c r="G128" i="2" s="1"/>
  <c r="H128" i="2" s="1"/>
  <c r="O128" i="2"/>
  <c r="E129" i="2"/>
  <c r="F129" i="2" s="1"/>
  <c r="O129" i="2"/>
  <c r="E130" i="2"/>
  <c r="F130" i="2" s="1"/>
  <c r="O130" i="2"/>
  <c r="E131" i="2"/>
  <c r="F131" i="2" s="1"/>
  <c r="G131" i="2" s="1"/>
  <c r="O131" i="2"/>
  <c r="E132" i="2"/>
  <c r="F132" i="2" s="1"/>
  <c r="G132" i="2" s="1"/>
  <c r="O132" i="2"/>
  <c r="E133" i="2"/>
  <c r="F133" i="2" s="1"/>
  <c r="G133" i="2" s="1"/>
  <c r="O133" i="2"/>
  <c r="E134" i="2"/>
  <c r="F134" i="2" s="1"/>
  <c r="O134" i="2"/>
  <c r="E135" i="2"/>
  <c r="F135" i="2" s="1"/>
  <c r="G135" i="2" s="1"/>
  <c r="H135" i="2" s="1"/>
  <c r="O135" i="2"/>
  <c r="E136" i="2"/>
  <c r="F136" i="2" s="1"/>
  <c r="G136" i="2" s="1"/>
  <c r="H136" i="2" s="1"/>
  <c r="O136" i="2"/>
  <c r="E137" i="2"/>
  <c r="F137" i="2" s="1"/>
  <c r="O137" i="2"/>
  <c r="E138" i="2"/>
  <c r="F138" i="2" s="1"/>
  <c r="G138" i="2" s="1"/>
  <c r="O138" i="2"/>
  <c r="E139" i="2"/>
  <c r="F139" i="2" s="1"/>
  <c r="O139" i="2"/>
  <c r="E140" i="2"/>
  <c r="F140" i="2" s="1"/>
  <c r="G140" i="2" s="1"/>
  <c r="H140" i="2" s="1"/>
  <c r="O140" i="2"/>
  <c r="E141" i="2"/>
  <c r="F141" i="2" s="1"/>
  <c r="G141" i="2" s="1"/>
  <c r="O141" i="2"/>
  <c r="E142" i="2"/>
  <c r="F142" i="2" s="1"/>
  <c r="G142" i="2" s="1"/>
  <c r="O142" i="2"/>
  <c r="E143" i="2"/>
  <c r="F143" i="2" s="1"/>
  <c r="G143" i="2" s="1"/>
  <c r="H143" i="2" s="1"/>
  <c r="O143" i="2"/>
  <c r="E144" i="2"/>
  <c r="F144" i="2" s="1"/>
  <c r="O144" i="2"/>
  <c r="E145" i="2"/>
  <c r="F145" i="2" s="1"/>
  <c r="G145" i="2" s="1"/>
  <c r="H145" i="2" s="1"/>
  <c r="O145" i="2"/>
  <c r="E146" i="2"/>
  <c r="F146" i="2" s="1"/>
  <c r="O146" i="2"/>
  <c r="E147" i="2"/>
  <c r="F147" i="2" s="1"/>
  <c r="G147" i="2" s="1"/>
  <c r="O147" i="2"/>
  <c r="E148" i="2"/>
  <c r="F148" i="2" s="1"/>
  <c r="G148" i="2" s="1"/>
  <c r="O148" i="2"/>
  <c r="E149" i="2"/>
  <c r="F149" i="2" s="1"/>
  <c r="G149" i="2" s="1"/>
  <c r="O149" i="2"/>
  <c r="E150" i="2"/>
  <c r="F150" i="2" s="1"/>
  <c r="G150" i="2" s="1"/>
  <c r="H150" i="2" s="1"/>
  <c r="O150" i="2"/>
  <c r="E151" i="2"/>
  <c r="F151" i="2" s="1"/>
  <c r="G151" i="2" s="1"/>
  <c r="O151" i="2"/>
  <c r="E152" i="2"/>
  <c r="F152" i="2" s="1"/>
  <c r="O152" i="2"/>
  <c r="E153" i="2"/>
  <c r="F153" i="2" s="1"/>
  <c r="O153" i="2"/>
  <c r="E154" i="2"/>
  <c r="F154" i="2" s="1"/>
  <c r="G154" i="2" s="1"/>
  <c r="O154" i="2"/>
  <c r="E155" i="2"/>
  <c r="F155" i="2" s="1"/>
  <c r="G155" i="2" s="1"/>
  <c r="O155" i="2"/>
  <c r="E156" i="2"/>
  <c r="F156" i="2" s="1"/>
  <c r="G156" i="2" s="1"/>
  <c r="O156" i="2"/>
  <c r="E157" i="2"/>
  <c r="F157" i="2" s="1"/>
  <c r="G157" i="2" s="1"/>
  <c r="O157" i="2"/>
  <c r="E158" i="2"/>
  <c r="F158" i="2" s="1"/>
  <c r="G158" i="2" s="1"/>
  <c r="O158" i="2"/>
  <c r="E159" i="2"/>
  <c r="F159" i="2" s="1"/>
  <c r="G159" i="2" s="1"/>
  <c r="O159" i="2"/>
  <c r="E160" i="2"/>
  <c r="F160" i="2" s="1"/>
  <c r="G160" i="2" s="1"/>
  <c r="O160" i="2"/>
  <c r="E161" i="2"/>
  <c r="F161" i="2" s="1"/>
  <c r="G161" i="2" s="1"/>
  <c r="O161" i="2"/>
  <c r="E162" i="2"/>
  <c r="F162" i="2" s="1"/>
  <c r="G162" i="2" s="1"/>
  <c r="O162" i="2"/>
  <c r="E163" i="2"/>
  <c r="F163" i="2" s="1"/>
  <c r="G163" i="2" s="1"/>
  <c r="O163" i="2"/>
  <c r="E164" i="2"/>
  <c r="F164" i="2" s="1"/>
  <c r="G164" i="2" s="1"/>
  <c r="O164" i="2"/>
  <c r="E165" i="2"/>
  <c r="F165" i="2" s="1"/>
  <c r="O165" i="2"/>
  <c r="E166" i="2"/>
  <c r="F166" i="2" s="1"/>
  <c r="G166" i="2" s="1"/>
  <c r="O166" i="2"/>
  <c r="E167" i="2"/>
  <c r="F167" i="2" s="1"/>
  <c r="G167" i="2" s="1"/>
  <c r="H167" i="2" s="1"/>
  <c r="O167" i="2"/>
  <c r="E168" i="2"/>
  <c r="F168" i="2" s="1"/>
  <c r="G168" i="2" s="1"/>
  <c r="O168" i="2"/>
  <c r="E169" i="2"/>
  <c r="F169" i="2" s="1"/>
  <c r="O169" i="2"/>
  <c r="E170" i="2"/>
  <c r="F170" i="2" s="1"/>
  <c r="G170" i="2" s="1"/>
  <c r="O170" i="2"/>
  <c r="E171" i="2"/>
  <c r="F171" i="2" s="1"/>
  <c r="G171" i="2" s="1"/>
  <c r="O171" i="2"/>
  <c r="E172" i="2"/>
  <c r="F172" i="2" s="1"/>
  <c r="G172" i="2" s="1"/>
  <c r="O172" i="2"/>
  <c r="E173" i="2"/>
  <c r="F173" i="2" s="1"/>
  <c r="G173" i="2" s="1"/>
  <c r="O173" i="2"/>
  <c r="E174" i="2"/>
  <c r="F174" i="2" s="1"/>
  <c r="G174" i="2" s="1"/>
  <c r="H174" i="2" s="1"/>
  <c r="O174" i="2"/>
  <c r="E175" i="2"/>
  <c r="F175" i="2" s="1"/>
  <c r="G175" i="2" s="1"/>
  <c r="O175" i="2"/>
  <c r="E176" i="2"/>
  <c r="F176" i="2" s="1"/>
  <c r="O176" i="2"/>
  <c r="E177" i="2"/>
  <c r="F177" i="2" s="1"/>
  <c r="G177" i="2" s="1"/>
  <c r="O177" i="2"/>
  <c r="E178" i="2"/>
  <c r="F178" i="2" s="1"/>
  <c r="G178" i="2" s="1"/>
  <c r="O178" i="2"/>
  <c r="E179" i="2"/>
  <c r="F179" i="2" s="1"/>
  <c r="G179" i="2" s="1"/>
  <c r="O179" i="2"/>
  <c r="E180" i="2"/>
  <c r="F180" i="2" s="1"/>
  <c r="G180" i="2" s="1"/>
  <c r="O180" i="2"/>
  <c r="E181" i="2"/>
  <c r="F181" i="2" s="1"/>
  <c r="O181" i="2"/>
  <c r="E182" i="2"/>
  <c r="F182" i="2" s="1"/>
  <c r="G182" i="2" s="1"/>
  <c r="H182" i="2" s="1"/>
  <c r="O182" i="2"/>
  <c r="E183" i="2"/>
  <c r="F183" i="2" s="1"/>
  <c r="G183" i="2" s="1"/>
  <c r="H183" i="2" s="1"/>
  <c r="O183" i="2"/>
  <c r="E184" i="2"/>
  <c r="F184" i="2" s="1"/>
  <c r="G184" i="2" s="1"/>
  <c r="H184" i="2" s="1"/>
  <c r="O184" i="2"/>
  <c r="E185" i="2"/>
  <c r="F185" i="2" s="1"/>
  <c r="O185" i="2"/>
  <c r="E186" i="2"/>
  <c r="F186" i="2" s="1"/>
  <c r="G186" i="2" s="1"/>
  <c r="O186" i="2"/>
  <c r="E187" i="2"/>
  <c r="F187" i="2" s="1"/>
  <c r="O187" i="2"/>
  <c r="E188" i="2"/>
  <c r="F188" i="2" s="1"/>
  <c r="G188" i="2" s="1"/>
  <c r="H188" i="2" s="1"/>
  <c r="O188" i="2"/>
  <c r="E189" i="2"/>
  <c r="F189" i="2" s="1"/>
  <c r="G189" i="2" s="1"/>
  <c r="H189" i="2" s="1"/>
  <c r="O189" i="2"/>
  <c r="E190" i="2"/>
  <c r="F190" i="2" s="1"/>
  <c r="G190" i="2" s="1"/>
  <c r="O190" i="2"/>
  <c r="E191" i="2"/>
  <c r="F191" i="2" s="1"/>
  <c r="G191" i="2" s="1"/>
  <c r="H191" i="2" s="1"/>
  <c r="O191" i="2"/>
  <c r="E192" i="2"/>
  <c r="F192" i="2" s="1"/>
  <c r="O192" i="2"/>
  <c r="E193" i="2"/>
  <c r="F193" i="2" s="1"/>
  <c r="G193" i="2" s="1"/>
  <c r="H193" i="2" s="1"/>
  <c r="O193" i="2"/>
  <c r="E194" i="2"/>
  <c r="F194" i="2" s="1"/>
  <c r="O194" i="2"/>
  <c r="E195" i="2"/>
  <c r="F195" i="2" s="1"/>
  <c r="O195" i="2"/>
  <c r="E196" i="2"/>
  <c r="F196" i="2" s="1"/>
  <c r="G196" i="2" s="1"/>
  <c r="H196" i="2" s="1"/>
  <c r="O196" i="2"/>
  <c r="E197" i="2"/>
  <c r="F197" i="2" s="1"/>
  <c r="O197" i="2"/>
  <c r="E198" i="2"/>
  <c r="F198" i="2" s="1"/>
  <c r="G198" i="2" s="1"/>
  <c r="O198" i="2"/>
  <c r="E199" i="2"/>
  <c r="F199" i="2" s="1"/>
  <c r="G199" i="2" s="1"/>
  <c r="O199" i="2"/>
  <c r="E200" i="2"/>
  <c r="F200" i="2" s="1"/>
  <c r="G200" i="2" s="1"/>
  <c r="H200" i="2" s="1"/>
  <c r="O200" i="2"/>
  <c r="E201" i="2"/>
  <c r="F201" i="2" s="1"/>
  <c r="O201" i="2"/>
  <c r="E202" i="2"/>
  <c r="F202" i="2" s="1"/>
  <c r="O202" i="2"/>
  <c r="E203" i="2"/>
  <c r="F203" i="2" s="1"/>
  <c r="O203" i="2"/>
  <c r="E204" i="2"/>
  <c r="F204" i="2" s="1"/>
  <c r="G204" i="2" s="1"/>
  <c r="H204" i="2" s="1"/>
  <c r="O204" i="2"/>
  <c r="E205" i="2"/>
  <c r="F205" i="2" s="1"/>
  <c r="G205" i="2" s="1"/>
  <c r="O205" i="2"/>
  <c r="E206" i="2"/>
  <c r="F206" i="2" s="1"/>
  <c r="G206" i="2" s="1"/>
  <c r="O206" i="2"/>
  <c r="E207" i="2"/>
  <c r="F207" i="2" s="1"/>
  <c r="G207" i="2" s="1"/>
  <c r="O207" i="2"/>
  <c r="E208" i="2"/>
  <c r="F208" i="2" s="1"/>
  <c r="G208" i="2" s="1"/>
  <c r="H208" i="2" s="1"/>
  <c r="O208" i="2"/>
  <c r="E209" i="2"/>
  <c r="F209" i="2" s="1"/>
  <c r="G209" i="2" s="1"/>
  <c r="H209" i="2" s="1"/>
  <c r="O209" i="2"/>
  <c r="E210" i="2"/>
  <c r="F210" i="2" s="1"/>
  <c r="G210" i="2" s="1"/>
  <c r="H210" i="2" s="1"/>
  <c r="O210" i="2"/>
  <c r="E211" i="2"/>
  <c r="F211" i="2" s="1"/>
  <c r="G211" i="2" s="1"/>
  <c r="H211" i="2" s="1"/>
  <c r="O211" i="2"/>
  <c r="E212" i="2"/>
  <c r="F212" i="2" s="1"/>
  <c r="O212" i="2"/>
  <c r="E213" i="2"/>
  <c r="F213" i="2" s="1"/>
  <c r="O213" i="2"/>
  <c r="E214" i="2"/>
  <c r="F214" i="2" s="1"/>
  <c r="O214" i="2"/>
  <c r="E215" i="2"/>
  <c r="F215" i="2" s="1"/>
  <c r="O215" i="2"/>
  <c r="E216" i="2"/>
  <c r="F216" i="2" s="1"/>
  <c r="G216" i="2" s="1"/>
  <c r="H216" i="2" s="1"/>
  <c r="O216" i="2"/>
  <c r="E217" i="2"/>
  <c r="F217" i="2" s="1"/>
  <c r="O217" i="2"/>
  <c r="E218" i="2"/>
  <c r="F218" i="2" s="1"/>
  <c r="G218" i="2" s="1"/>
  <c r="H218" i="2" s="1"/>
  <c r="O218" i="2"/>
  <c r="E219" i="2"/>
  <c r="F219" i="2" s="1"/>
  <c r="G219" i="2" s="1"/>
  <c r="O219" i="2"/>
  <c r="E220" i="2"/>
  <c r="F220" i="2" s="1"/>
  <c r="O220" i="2"/>
  <c r="E221" i="2"/>
  <c r="F221" i="2" s="1"/>
  <c r="O221" i="2"/>
  <c r="E222" i="2"/>
  <c r="F222" i="2" s="1"/>
  <c r="G222" i="2" s="1"/>
  <c r="O222" i="2"/>
  <c r="E223" i="2"/>
  <c r="F223" i="2" s="1"/>
  <c r="O223" i="2"/>
  <c r="E224" i="2"/>
  <c r="F224" i="2" s="1"/>
  <c r="G224" i="2" s="1"/>
  <c r="O224" i="2"/>
  <c r="E225" i="2"/>
  <c r="F225" i="2" s="1"/>
  <c r="O225" i="2"/>
  <c r="E226" i="2"/>
  <c r="F226" i="2" s="1"/>
  <c r="G226" i="2" s="1"/>
  <c r="O226" i="2"/>
  <c r="E227" i="2"/>
  <c r="F227" i="2" s="1"/>
  <c r="O227" i="2"/>
  <c r="E228" i="2"/>
  <c r="F228" i="2" s="1"/>
  <c r="O228" i="2"/>
  <c r="E229" i="2"/>
  <c r="F229" i="2" s="1"/>
  <c r="O229" i="2"/>
  <c r="E230" i="2"/>
  <c r="F230" i="2" s="1"/>
  <c r="O230" i="2"/>
  <c r="E231" i="2"/>
  <c r="F231" i="2" s="1"/>
  <c r="O231" i="2"/>
  <c r="E232" i="2"/>
  <c r="F232" i="2" s="1"/>
  <c r="G232" i="2" s="1"/>
  <c r="O232" i="2"/>
  <c r="E233" i="2"/>
  <c r="F233" i="2" s="1"/>
  <c r="O233" i="2"/>
  <c r="E234" i="2"/>
  <c r="F234" i="2" s="1"/>
  <c r="G234" i="2" s="1"/>
  <c r="O234" i="2"/>
  <c r="E235" i="2"/>
  <c r="F235" i="2" s="1"/>
  <c r="O235" i="2"/>
  <c r="E236" i="2"/>
  <c r="F236" i="2" s="1"/>
  <c r="O236" i="2"/>
  <c r="E237" i="2"/>
  <c r="F237" i="2" s="1"/>
  <c r="G237" i="2" s="1"/>
  <c r="O237" i="2"/>
  <c r="E238" i="2"/>
  <c r="F238" i="2" s="1"/>
  <c r="O238" i="2"/>
  <c r="E239" i="2"/>
  <c r="F239" i="2" s="1"/>
  <c r="O239" i="2"/>
  <c r="E240" i="2"/>
  <c r="F240" i="2" s="1"/>
  <c r="O240" i="2"/>
  <c r="E241" i="2"/>
  <c r="F241" i="2" s="1"/>
  <c r="G241" i="2" s="1"/>
  <c r="O241" i="2"/>
  <c r="E242" i="2"/>
  <c r="F242" i="2" s="1"/>
  <c r="O242" i="2"/>
  <c r="E243" i="2"/>
  <c r="F243" i="2" s="1"/>
  <c r="G243" i="2" s="1"/>
  <c r="O243" i="2"/>
  <c r="E244" i="2"/>
  <c r="F244" i="2" s="1"/>
  <c r="O244" i="2"/>
  <c r="E245" i="2"/>
  <c r="F245" i="2" s="1"/>
  <c r="G245" i="2" s="1"/>
  <c r="O245" i="2"/>
  <c r="E246" i="2"/>
  <c r="F246" i="2" s="1"/>
  <c r="O246" i="2"/>
  <c r="E247" i="2"/>
  <c r="F247" i="2" s="1"/>
  <c r="O247" i="2"/>
  <c r="E248" i="2"/>
  <c r="F248" i="2" s="1"/>
  <c r="G248" i="2" s="1"/>
  <c r="H248" i="2" s="1"/>
  <c r="O248" i="2"/>
  <c r="E249" i="2"/>
  <c r="F249" i="2" s="1"/>
  <c r="G249" i="2" s="1"/>
  <c r="O249" i="2"/>
  <c r="E250" i="2"/>
  <c r="F250" i="2" s="1"/>
  <c r="G250" i="2" s="1"/>
  <c r="H250" i="2" s="1"/>
  <c r="O250" i="2"/>
  <c r="E251" i="2"/>
  <c r="F251" i="2" s="1"/>
  <c r="O251" i="2"/>
  <c r="E252" i="2"/>
  <c r="F252" i="2" s="1"/>
  <c r="O252" i="2"/>
  <c r="E253" i="2"/>
  <c r="F253" i="2" s="1"/>
  <c r="G253" i="2" s="1"/>
  <c r="O253" i="2"/>
  <c r="E254" i="2"/>
  <c r="F254" i="2" s="1"/>
  <c r="O254" i="2"/>
  <c r="E255" i="2"/>
  <c r="F255" i="2" s="1"/>
  <c r="O255" i="2"/>
  <c r="E256" i="2"/>
  <c r="F256" i="2" s="1"/>
  <c r="O256" i="2"/>
  <c r="E257" i="2"/>
  <c r="F257" i="2" s="1"/>
  <c r="G257" i="2" s="1"/>
  <c r="O257" i="2"/>
  <c r="E258" i="2"/>
  <c r="F258" i="2" s="1"/>
  <c r="O258" i="2"/>
  <c r="E259" i="2"/>
  <c r="F259" i="2" s="1"/>
  <c r="G259" i="2" s="1"/>
  <c r="H259" i="2" s="1"/>
  <c r="O259" i="2"/>
  <c r="E260" i="2"/>
  <c r="F260" i="2" s="1"/>
  <c r="G260" i="2" s="1"/>
  <c r="O260" i="2"/>
  <c r="E261" i="2"/>
  <c r="F261" i="2" s="1"/>
  <c r="G261" i="2" s="1"/>
  <c r="H261" i="2" s="1"/>
  <c r="O261" i="2"/>
  <c r="E262" i="2"/>
  <c r="F262" i="2" s="1"/>
  <c r="O262" i="2"/>
  <c r="E263" i="2"/>
  <c r="F263" i="2" s="1"/>
  <c r="O263" i="2"/>
  <c r="E264" i="2"/>
  <c r="F264" i="2" s="1"/>
  <c r="G264" i="2" s="1"/>
  <c r="O264" i="2"/>
  <c r="E265" i="2"/>
  <c r="F265" i="2" s="1"/>
  <c r="O265" i="2"/>
  <c r="E266" i="2"/>
  <c r="F266" i="2" s="1"/>
  <c r="O266" i="2"/>
  <c r="E267" i="2"/>
  <c r="F267" i="2" s="1"/>
  <c r="O267" i="2"/>
  <c r="E268" i="2"/>
  <c r="F268" i="2" s="1"/>
  <c r="G268" i="2" s="1"/>
  <c r="O268" i="2"/>
  <c r="E269" i="2"/>
  <c r="F269" i="2" s="1"/>
  <c r="G269" i="2" s="1"/>
  <c r="O269" i="2"/>
  <c r="E270" i="2"/>
  <c r="F270" i="2" s="1"/>
  <c r="O270" i="2"/>
  <c r="E271" i="2"/>
  <c r="F271" i="2" s="1"/>
  <c r="O271" i="2"/>
  <c r="E272" i="2"/>
  <c r="F272" i="2" s="1"/>
  <c r="O272" i="2"/>
  <c r="E273" i="2"/>
  <c r="F273" i="2" s="1"/>
  <c r="O273" i="2"/>
  <c r="E274" i="2"/>
  <c r="F274" i="2" s="1"/>
  <c r="G274" i="2" s="1"/>
  <c r="O274" i="2"/>
  <c r="E275" i="2"/>
  <c r="F275" i="2" s="1"/>
  <c r="G275" i="2" s="1"/>
  <c r="O275" i="2"/>
  <c r="E276" i="2"/>
  <c r="F276" i="2" s="1"/>
  <c r="O276" i="2"/>
  <c r="E277" i="2"/>
  <c r="F277" i="2" s="1"/>
  <c r="O277" i="2"/>
  <c r="E278" i="2"/>
  <c r="F278" i="2" s="1"/>
  <c r="G278" i="2" s="1"/>
  <c r="H278" i="2" s="1"/>
  <c r="O278" i="2"/>
  <c r="E279" i="2"/>
  <c r="F279" i="2" s="1"/>
  <c r="G279" i="2" s="1"/>
  <c r="O279" i="2"/>
  <c r="E280" i="2"/>
  <c r="F280" i="2" s="1"/>
  <c r="G280" i="2" s="1"/>
  <c r="H280" i="2" s="1"/>
  <c r="O280" i="2"/>
  <c r="E281" i="2"/>
  <c r="F281" i="2" s="1"/>
  <c r="G281" i="2" s="1"/>
  <c r="O281" i="2"/>
  <c r="E282" i="2"/>
  <c r="F282" i="2" s="1"/>
  <c r="G282" i="2" s="1"/>
  <c r="H282" i="2" s="1"/>
  <c r="O282" i="2"/>
  <c r="E283" i="2"/>
  <c r="F283" i="2" s="1"/>
  <c r="G283" i="2" s="1"/>
  <c r="O283" i="2"/>
  <c r="E284" i="2"/>
  <c r="F284" i="2" s="1"/>
  <c r="G284" i="2" s="1"/>
  <c r="H284" i="2" s="1"/>
  <c r="O284" i="2"/>
  <c r="E285" i="2"/>
  <c r="F285" i="2" s="1"/>
  <c r="G285" i="2" s="1"/>
  <c r="O285" i="2"/>
  <c r="E286" i="2"/>
  <c r="F286" i="2" s="1"/>
  <c r="G286" i="2" s="1"/>
  <c r="O286" i="2"/>
  <c r="E287" i="2"/>
  <c r="F287" i="2" s="1"/>
  <c r="G287" i="2" s="1"/>
  <c r="O287" i="2"/>
  <c r="E288" i="2"/>
  <c r="F288" i="2" s="1"/>
  <c r="G288" i="2" s="1"/>
  <c r="O288" i="2"/>
  <c r="E289" i="2"/>
  <c r="F289" i="2" s="1"/>
  <c r="O289" i="2"/>
  <c r="E290" i="2"/>
  <c r="F290" i="2" s="1"/>
  <c r="G290" i="2" s="1"/>
  <c r="H290" i="2" s="1"/>
  <c r="O290" i="2"/>
  <c r="E291" i="2"/>
  <c r="F291" i="2" s="1"/>
  <c r="G291" i="2" s="1"/>
  <c r="O291" i="2"/>
  <c r="E292" i="2"/>
  <c r="F292" i="2" s="1"/>
  <c r="O292" i="2"/>
  <c r="E293" i="2"/>
  <c r="F293" i="2" s="1"/>
  <c r="O293" i="2"/>
  <c r="E294" i="2"/>
  <c r="F294" i="2" s="1"/>
  <c r="G294" i="2" s="1"/>
  <c r="H294" i="2" s="1"/>
  <c r="O294" i="2"/>
  <c r="E295" i="2"/>
  <c r="F295" i="2" s="1"/>
  <c r="O295" i="2"/>
  <c r="E296" i="2"/>
  <c r="F296" i="2" s="1"/>
  <c r="G296" i="2" s="1"/>
  <c r="O296" i="2"/>
  <c r="E297" i="2"/>
  <c r="F297" i="2" s="1"/>
  <c r="G297" i="2" s="1"/>
  <c r="O297" i="2"/>
  <c r="E298" i="2"/>
  <c r="F298" i="2" s="1"/>
  <c r="G298" i="2" s="1"/>
  <c r="O298" i="2"/>
  <c r="E299" i="2"/>
  <c r="F299" i="2" s="1"/>
  <c r="O299" i="2"/>
  <c r="E300" i="2"/>
  <c r="F300" i="2" s="1"/>
  <c r="G300" i="2" s="1"/>
  <c r="O300" i="2"/>
  <c r="E301" i="2"/>
  <c r="F301" i="2" s="1"/>
  <c r="G301" i="2" s="1"/>
  <c r="H301" i="2" s="1"/>
  <c r="O301" i="2"/>
  <c r="E302" i="2"/>
  <c r="F302" i="2" s="1"/>
  <c r="O302" i="2"/>
  <c r="E303" i="2"/>
  <c r="F303" i="2" s="1"/>
  <c r="G303" i="2" s="1"/>
  <c r="O303" i="2"/>
  <c r="E304" i="2"/>
  <c r="F304" i="2" s="1"/>
  <c r="G304" i="2" s="1"/>
  <c r="O304" i="2"/>
  <c r="E305" i="2"/>
  <c r="F305" i="2" s="1"/>
  <c r="G305" i="2" s="1"/>
  <c r="O305" i="2"/>
  <c r="E306" i="2"/>
  <c r="F306" i="2" s="1"/>
  <c r="O306" i="2"/>
  <c r="E307" i="2"/>
  <c r="F307" i="2" s="1"/>
  <c r="G307" i="2" s="1"/>
  <c r="O307" i="2"/>
  <c r="E308" i="2"/>
  <c r="F308" i="2" s="1"/>
  <c r="G308" i="2" s="1"/>
  <c r="O308" i="2"/>
  <c r="E309" i="2"/>
  <c r="F309" i="2" s="1"/>
  <c r="G309" i="2" s="1"/>
  <c r="O309" i="2"/>
  <c r="E310" i="2"/>
  <c r="F310" i="2" s="1"/>
  <c r="G310" i="2" s="1"/>
  <c r="O310" i="2"/>
  <c r="E311" i="2"/>
  <c r="F311" i="2" s="1"/>
  <c r="G311" i="2" s="1"/>
  <c r="H311" i="2" s="1"/>
  <c r="O311" i="2"/>
  <c r="E312" i="2"/>
  <c r="F312" i="2" s="1"/>
  <c r="O312" i="2"/>
  <c r="E313" i="2"/>
  <c r="F313" i="2" s="1"/>
  <c r="G313" i="2" s="1"/>
  <c r="O313" i="2"/>
  <c r="E314" i="2"/>
  <c r="F314" i="2" s="1"/>
  <c r="G314" i="2" s="1"/>
  <c r="O314" i="2"/>
  <c r="E315" i="2"/>
  <c r="F315" i="2" s="1"/>
  <c r="G315" i="2" s="1"/>
  <c r="O315" i="2"/>
  <c r="E316" i="2"/>
  <c r="F316" i="2" s="1"/>
  <c r="O316" i="2"/>
  <c r="E317" i="2"/>
  <c r="F317" i="2" s="1"/>
  <c r="G317" i="2" s="1"/>
  <c r="H317" i="2" s="1"/>
  <c r="O317" i="2"/>
  <c r="E318" i="2"/>
  <c r="F318" i="2" s="1"/>
  <c r="O318" i="2"/>
  <c r="E319" i="2"/>
  <c r="F319" i="2" s="1"/>
  <c r="O319" i="2"/>
  <c r="E320" i="2"/>
  <c r="F320" i="2" s="1"/>
  <c r="O320" i="2"/>
  <c r="E321" i="2"/>
  <c r="F321" i="2" s="1"/>
  <c r="G321" i="2" s="1"/>
  <c r="O321" i="2"/>
  <c r="E322" i="2"/>
  <c r="F322" i="2" s="1"/>
  <c r="G322" i="2" s="1"/>
  <c r="O322" i="2"/>
  <c r="E323" i="2"/>
  <c r="F323" i="2" s="1"/>
  <c r="O323" i="2"/>
  <c r="E324" i="2"/>
  <c r="F324" i="2" s="1"/>
  <c r="O324" i="2"/>
  <c r="E325" i="2"/>
  <c r="F325" i="2" s="1"/>
  <c r="G325" i="2" s="1"/>
  <c r="H325" i="2" s="1"/>
  <c r="O325" i="2"/>
  <c r="E326" i="2"/>
  <c r="F326" i="2" s="1"/>
  <c r="O326" i="2"/>
  <c r="E327" i="2"/>
  <c r="F327" i="2" s="1"/>
  <c r="G327" i="2" s="1"/>
  <c r="O327" i="2"/>
  <c r="E328" i="2"/>
  <c r="F328" i="2" s="1"/>
  <c r="O328" i="2"/>
  <c r="E329" i="2"/>
  <c r="F329" i="2" s="1"/>
  <c r="G329" i="2" s="1"/>
  <c r="O329" i="2"/>
  <c r="E330" i="2"/>
  <c r="F330" i="2" s="1"/>
  <c r="O330" i="2"/>
  <c r="E331" i="2"/>
  <c r="F331" i="2" s="1"/>
  <c r="G331" i="2" s="1"/>
  <c r="H331" i="2" s="1"/>
  <c r="O331" i="2"/>
  <c r="E332" i="2"/>
  <c r="F332" i="2" s="1"/>
  <c r="O332" i="2"/>
  <c r="E333" i="2"/>
  <c r="F333" i="2" s="1"/>
  <c r="G333" i="2" s="1"/>
  <c r="O333" i="2"/>
  <c r="E334" i="2"/>
  <c r="F334" i="2" s="1"/>
  <c r="O334" i="2"/>
  <c r="E335" i="2"/>
  <c r="F335" i="2" s="1"/>
  <c r="O335" i="2"/>
  <c r="E336" i="2"/>
  <c r="F336" i="2" s="1"/>
  <c r="O336" i="2"/>
  <c r="E337" i="2"/>
  <c r="F337" i="2" s="1"/>
  <c r="O337" i="2"/>
  <c r="E338" i="2"/>
  <c r="F338" i="2" s="1"/>
  <c r="G338" i="2" s="1"/>
  <c r="O338" i="2"/>
  <c r="E339" i="2"/>
  <c r="F339" i="2" s="1"/>
  <c r="O339" i="2"/>
  <c r="E340" i="2"/>
  <c r="F340" i="2" s="1"/>
  <c r="G340" i="2" s="1"/>
  <c r="H340" i="2" s="1"/>
  <c r="O340" i="2"/>
  <c r="E341" i="2"/>
  <c r="F341" i="2" s="1"/>
  <c r="O341" i="2"/>
  <c r="E342" i="2"/>
  <c r="F342" i="2" s="1"/>
  <c r="O342" i="2"/>
  <c r="E343" i="2"/>
  <c r="F343" i="2" s="1"/>
  <c r="O343" i="2"/>
  <c r="E344" i="2"/>
  <c r="F344" i="2" s="1"/>
  <c r="G344" i="2" s="1"/>
  <c r="H344" i="2" s="1"/>
  <c r="O344" i="2"/>
  <c r="E345" i="2"/>
  <c r="F345" i="2" s="1"/>
  <c r="O345" i="2"/>
  <c r="E346" i="2"/>
  <c r="F346" i="2" s="1"/>
  <c r="O346" i="2"/>
  <c r="E347" i="2"/>
  <c r="F347" i="2" s="1"/>
  <c r="G347" i="2" s="1"/>
  <c r="O347" i="2"/>
  <c r="E348" i="2"/>
  <c r="F348" i="2" s="1"/>
  <c r="G348" i="2" s="1"/>
  <c r="H348" i="2" s="1"/>
  <c r="O348" i="2"/>
  <c r="E349" i="2"/>
  <c r="F349" i="2" s="1"/>
  <c r="G349" i="2" s="1"/>
  <c r="H349" i="2" s="1"/>
  <c r="O349" i="2"/>
  <c r="E350" i="2"/>
  <c r="F350" i="2" s="1"/>
  <c r="G350" i="2" s="1"/>
  <c r="O350" i="2"/>
  <c r="E351" i="2"/>
  <c r="F351" i="2" s="1"/>
  <c r="O351" i="2"/>
  <c r="E352" i="2"/>
  <c r="F352" i="2" s="1"/>
  <c r="O352" i="2"/>
  <c r="E353" i="2"/>
  <c r="F353" i="2" s="1"/>
  <c r="O353" i="2"/>
  <c r="E354" i="2"/>
  <c r="F354" i="2" s="1"/>
  <c r="G354" i="2" s="1"/>
  <c r="O354" i="2"/>
  <c r="E355" i="2"/>
  <c r="F355" i="2" s="1"/>
  <c r="O355" i="2"/>
  <c r="E356" i="2"/>
  <c r="F356" i="2" s="1"/>
  <c r="O356" i="2"/>
  <c r="E357" i="2"/>
  <c r="F357" i="2" s="1"/>
  <c r="G357" i="2" s="1"/>
  <c r="H357" i="2" s="1"/>
  <c r="O357" i="2"/>
  <c r="E358" i="2"/>
  <c r="F358" i="2" s="1"/>
  <c r="O358" i="2"/>
  <c r="E359" i="2"/>
  <c r="F359" i="2" s="1"/>
  <c r="O359" i="2"/>
  <c r="E360" i="2"/>
  <c r="F360" i="2" s="1"/>
  <c r="O360" i="2"/>
  <c r="E361" i="2"/>
  <c r="F361" i="2" s="1"/>
  <c r="G361" i="2" s="1"/>
  <c r="O361" i="2"/>
  <c r="E362" i="2"/>
  <c r="F362" i="2" s="1"/>
  <c r="O362" i="2"/>
  <c r="E363" i="2"/>
  <c r="F363" i="2" s="1"/>
  <c r="G363" i="2" s="1"/>
  <c r="H363" i="2" s="1"/>
  <c r="O363" i="2"/>
  <c r="E364" i="2"/>
  <c r="F364" i="2" s="1"/>
  <c r="O364" i="2"/>
  <c r="E365" i="2"/>
  <c r="F365" i="2" s="1"/>
  <c r="G365" i="2" s="1"/>
  <c r="O365" i="2"/>
  <c r="E366" i="2"/>
  <c r="F366" i="2" s="1"/>
  <c r="O366" i="2"/>
  <c r="E367" i="2"/>
  <c r="F367" i="2" s="1"/>
  <c r="O367" i="2"/>
  <c r="E368" i="2"/>
  <c r="F368" i="2" s="1"/>
  <c r="O368" i="2"/>
  <c r="E369" i="2"/>
  <c r="F369" i="2" s="1"/>
  <c r="G369" i="2" s="1"/>
  <c r="O369" i="2"/>
  <c r="E370" i="2"/>
  <c r="F370" i="2" s="1"/>
  <c r="O370" i="2"/>
  <c r="E371" i="2"/>
  <c r="F371" i="2" s="1"/>
  <c r="O371" i="2"/>
  <c r="E372" i="2"/>
  <c r="F372" i="2" s="1"/>
  <c r="G372" i="2" s="1"/>
  <c r="O372" i="2"/>
  <c r="E373" i="2"/>
  <c r="F373" i="2" s="1"/>
  <c r="O373" i="2"/>
  <c r="E374" i="2"/>
  <c r="F374" i="2" s="1"/>
  <c r="O374" i="2"/>
  <c r="E375" i="2"/>
  <c r="F375" i="2" s="1"/>
  <c r="O375" i="2"/>
  <c r="E376" i="2"/>
  <c r="F376" i="2" s="1"/>
  <c r="O376" i="2"/>
  <c r="E377" i="2"/>
  <c r="F377" i="2" s="1"/>
  <c r="G377" i="2" s="1"/>
  <c r="O377" i="2"/>
  <c r="E378" i="2"/>
  <c r="F378" i="2" s="1"/>
  <c r="G378" i="2" s="1"/>
  <c r="O378" i="2"/>
  <c r="E379" i="2"/>
  <c r="F379" i="2" s="1"/>
  <c r="O379" i="2"/>
  <c r="E380" i="2"/>
  <c r="F380" i="2" s="1"/>
  <c r="O380" i="2"/>
  <c r="E381" i="2"/>
  <c r="F381" i="2" s="1"/>
  <c r="G381" i="2" s="1"/>
  <c r="H381" i="2" s="1"/>
  <c r="O381" i="2"/>
  <c r="E382" i="2"/>
  <c r="F382" i="2" s="1"/>
  <c r="O382" i="2"/>
  <c r="E383" i="2"/>
  <c r="F383" i="2" s="1"/>
  <c r="G383" i="2" s="1"/>
  <c r="H383" i="2" s="1"/>
  <c r="O383" i="2"/>
  <c r="E384" i="2"/>
  <c r="F384" i="2" s="1"/>
  <c r="O384" i="2"/>
  <c r="E385" i="2"/>
  <c r="F385" i="2" s="1"/>
  <c r="G385" i="2" s="1"/>
  <c r="O385" i="2"/>
  <c r="E386" i="2"/>
  <c r="F386" i="2" s="1"/>
  <c r="G386" i="2" s="1"/>
  <c r="H386" i="2" s="1"/>
  <c r="O386" i="2"/>
  <c r="E387" i="2"/>
  <c r="F387" i="2" s="1"/>
  <c r="O387" i="2"/>
  <c r="E388" i="2"/>
  <c r="F388" i="2" s="1"/>
  <c r="G388" i="2" s="1"/>
  <c r="O388" i="2"/>
  <c r="E389" i="2"/>
  <c r="F389" i="2" s="1"/>
  <c r="G389" i="2" s="1"/>
  <c r="O389" i="2"/>
  <c r="E390" i="2"/>
  <c r="F390" i="2" s="1"/>
  <c r="G390" i="2" s="1"/>
  <c r="O390" i="2"/>
  <c r="E391" i="2"/>
  <c r="F391" i="2" s="1"/>
  <c r="G391" i="2" s="1"/>
  <c r="H391" i="2" s="1"/>
  <c r="O391" i="2"/>
  <c r="E392" i="2"/>
  <c r="F392" i="2" s="1"/>
  <c r="O392" i="2"/>
  <c r="E393" i="2"/>
  <c r="F393" i="2" s="1"/>
  <c r="O393" i="2"/>
  <c r="E394" i="2"/>
  <c r="F394" i="2" s="1"/>
  <c r="O394" i="2"/>
  <c r="E395" i="2"/>
  <c r="F395" i="2" s="1"/>
  <c r="G395" i="2" s="1"/>
  <c r="O395" i="2"/>
  <c r="E396" i="2"/>
  <c r="F396" i="2" s="1"/>
  <c r="O396" i="2"/>
  <c r="E397" i="2"/>
  <c r="F397" i="2" s="1"/>
  <c r="G397" i="2" s="1"/>
  <c r="O397" i="2"/>
  <c r="E398" i="2"/>
  <c r="F398" i="2" s="1"/>
  <c r="G398" i="2" s="1"/>
  <c r="O398" i="2"/>
  <c r="E399" i="2"/>
  <c r="F399" i="2" s="1"/>
  <c r="O399" i="2"/>
  <c r="E400" i="2"/>
  <c r="F400" i="2" s="1"/>
  <c r="O400" i="2"/>
  <c r="E401" i="2"/>
  <c r="F401" i="2" s="1"/>
  <c r="O401" i="2"/>
  <c r="E402" i="2"/>
  <c r="F402" i="2" s="1"/>
  <c r="G402" i="2" s="1"/>
  <c r="O402" i="2"/>
  <c r="E403" i="2"/>
  <c r="F403" i="2" s="1"/>
  <c r="O403" i="2"/>
  <c r="E404" i="2"/>
  <c r="F404" i="2" s="1"/>
  <c r="O404" i="2"/>
  <c r="E405" i="2"/>
  <c r="F405" i="2" s="1"/>
  <c r="G405" i="2" s="1"/>
  <c r="H405" i="2" s="1"/>
  <c r="O405" i="2"/>
  <c r="E406" i="2"/>
  <c r="F406" i="2" s="1"/>
  <c r="O406" i="2"/>
  <c r="E407" i="2"/>
  <c r="F407" i="2" s="1"/>
  <c r="G407" i="2" s="1"/>
  <c r="O407" i="2"/>
  <c r="E408" i="2"/>
  <c r="F408" i="2" s="1"/>
  <c r="G408" i="2" s="1"/>
  <c r="O408" i="2"/>
  <c r="E409" i="2"/>
  <c r="F409" i="2" s="1"/>
  <c r="G409" i="2" s="1"/>
  <c r="O409" i="2"/>
  <c r="E410" i="2"/>
  <c r="F410" i="2" s="1"/>
  <c r="O410" i="2"/>
  <c r="E411" i="2"/>
  <c r="F411" i="2" s="1"/>
  <c r="O411" i="2"/>
  <c r="E412" i="2"/>
  <c r="F412" i="2" s="1"/>
  <c r="O412" i="2"/>
  <c r="E413" i="2"/>
  <c r="F413" i="2" s="1"/>
  <c r="G413" i="2" s="1"/>
  <c r="O413" i="2"/>
  <c r="E414" i="2"/>
  <c r="F414" i="2" s="1"/>
  <c r="G414" i="2" s="1"/>
  <c r="H414" i="2" s="1"/>
  <c r="O414" i="2"/>
  <c r="E415" i="2"/>
  <c r="F415" i="2" s="1"/>
  <c r="G415" i="2" s="1"/>
  <c r="O415" i="2"/>
  <c r="E416" i="2"/>
  <c r="F416" i="2" s="1"/>
  <c r="G416" i="2" s="1"/>
  <c r="O416" i="2"/>
  <c r="E417" i="2"/>
  <c r="F417" i="2" s="1"/>
  <c r="G417" i="2" s="1"/>
  <c r="O417" i="2"/>
  <c r="E418" i="2"/>
  <c r="F418" i="2" s="1"/>
  <c r="O418" i="2"/>
  <c r="E419" i="2"/>
  <c r="F419" i="2" s="1"/>
  <c r="O419" i="2"/>
  <c r="E420" i="2"/>
  <c r="F420" i="2" s="1"/>
  <c r="O420" i="2"/>
  <c r="E421" i="2"/>
  <c r="F421" i="2" s="1"/>
  <c r="G421" i="2" s="1"/>
  <c r="O421" i="2"/>
  <c r="E422" i="2"/>
  <c r="F422" i="2" s="1"/>
  <c r="O422" i="2"/>
  <c r="E423" i="2"/>
  <c r="F423" i="2" s="1"/>
  <c r="O423" i="2"/>
  <c r="E424" i="2"/>
  <c r="F424" i="2" s="1"/>
  <c r="O424" i="2"/>
  <c r="E425" i="2"/>
  <c r="F425" i="2" s="1"/>
  <c r="G425" i="2" s="1"/>
  <c r="O425" i="2"/>
  <c r="E426" i="2"/>
  <c r="F426" i="2" s="1"/>
  <c r="G426" i="2" s="1"/>
  <c r="O426" i="2"/>
  <c r="E427" i="2"/>
  <c r="F427" i="2" s="1"/>
  <c r="O427" i="2"/>
  <c r="E428" i="2"/>
  <c r="F428" i="2" s="1"/>
  <c r="O428" i="2"/>
  <c r="E429" i="2"/>
  <c r="F429" i="2" s="1"/>
  <c r="O429" i="2"/>
  <c r="E430" i="2"/>
  <c r="F430" i="2" s="1"/>
  <c r="O430" i="2"/>
  <c r="E431" i="2"/>
  <c r="F431" i="2" s="1"/>
  <c r="O431" i="2"/>
  <c r="E432" i="2"/>
  <c r="F432" i="2" s="1"/>
  <c r="G432" i="2" s="1"/>
  <c r="H432" i="2" s="1"/>
  <c r="O432" i="2"/>
  <c r="E433" i="2"/>
  <c r="F433" i="2" s="1"/>
  <c r="G433" i="2" s="1"/>
  <c r="O433" i="2"/>
  <c r="E434" i="2"/>
  <c r="F434" i="2" s="1"/>
  <c r="G434" i="2" s="1"/>
  <c r="O434" i="2"/>
  <c r="E435" i="2"/>
  <c r="F435" i="2" s="1"/>
  <c r="G435" i="2" s="1"/>
  <c r="O435" i="2"/>
  <c r="E436" i="2"/>
  <c r="F436" i="2" s="1"/>
  <c r="O436" i="2"/>
  <c r="E437" i="2"/>
  <c r="F437" i="2" s="1"/>
  <c r="O437" i="2"/>
  <c r="E438" i="2"/>
  <c r="F438" i="2" s="1"/>
  <c r="O438" i="2"/>
  <c r="E439" i="2"/>
  <c r="F439" i="2" s="1"/>
  <c r="O439" i="2"/>
  <c r="E440" i="2"/>
  <c r="F440" i="2" s="1"/>
  <c r="O440" i="2"/>
  <c r="E441" i="2"/>
  <c r="F441" i="2" s="1"/>
  <c r="G441" i="2" s="1"/>
  <c r="H441" i="2" s="1"/>
  <c r="O441" i="2"/>
  <c r="E442" i="2"/>
  <c r="F442" i="2" s="1"/>
  <c r="G442" i="2" s="1"/>
  <c r="O442" i="2"/>
  <c r="E443" i="2"/>
  <c r="F443" i="2" s="1"/>
  <c r="G443" i="2" s="1"/>
  <c r="O443" i="2"/>
  <c r="E444" i="2"/>
  <c r="F444" i="2" s="1"/>
  <c r="G444" i="2" s="1"/>
  <c r="O444" i="2"/>
  <c r="E445" i="2"/>
  <c r="F445" i="2" s="1"/>
  <c r="O445" i="2"/>
  <c r="E446" i="2"/>
  <c r="F446" i="2" s="1"/>
  <c r="O446" i="2"/>
  <c r="E447" i="2"/>
  <c r="F447" i="2" s="1"/>
  <c r="O447" i="2"/>
  <c r="E448" i="2"/>
  <c r="F448" i="2" s="1"/>
  <c r="O448" i="2"/>
  <c r="E449" i="2"/>
  <c r="F449" i="2" s="1"/>
  <c r="O449" i="2"/>
  <c r="E450" i="2"/>
  <c r="F450" i="2" s="1"/>
  <c r="G450" i="2" s="1"/>
  <c r="H450" i="2" s="1"/>
  <c r="O450" i="2"/>
  <c r="E451" i="2"/>
  <c r="F451" i="2" s="1"/>
  <c r="G451" i="2" s="1"/>
  <c r="O451" i="2"/>
  <c r="E452" i="2"/>
  <c r="F452" i="2" s="1"/>
  <c r="G452" i="2" s="1"/>
  <c r="H452" i="2" s="1"/>
  <c r="O452" i="2"/>
  <c r="E453" i="2"/>
  <c r="F453" i="2" s="1"/>
  <c r="G453" i="2" s="1"/>
  <c r="O453" i="2"/>
  <c r="E454" i="2"/>
  <c r="F454" i="2" s="1"/>
  <c r="O454" i="2"/>
  <c r="E455" i="2"/>
  <c r="F455" i="2" s="1"/>
  <c r="G455" i="2" s="1"/>
  <c r="O455" i="2"/>
  <c r="E456" i="2"/>
  <c r="F456" i="2" s="1"/>
  <c r="G456" i="2" s="1"/>
  <c r="O456" i="2"/>
  <c r="E457" i="2"/>
  <c r="F457" i="2" s="1"/>
  <c r="O457" i="2"/>
  <c r="E458" i="2"/>
  <c r="F458" i="2" s="1"/>
  <c r="O458" i="2"/>
  <c r="E459" i="2"/>
  <c r="F459" i="2" s="1"/>
  <c r="G459" i="2" s="1"/>
  <c r="O459" i="2"/>
  <c r="E460" i="2"/>
  <c r="F460" i="2" s="1"/>
  <c r="G460" i="2" s="1"/>
  <c r="O460" i="2"/>
  <c r="E461" i="2"/>
  <c r="F461" i="2" s="1"/>
  <c r="O461" i="2"/>
  <c r="E462" i="2"/>
  <c r="F462" i="2" s="1"/>
  <c r="O462" i="2"/>
  <c r="E463" i="2"/>
  <c r="F463" i="2" s="1"/>
  <c r="O463" i="2"/>
  <c r="E464" i="2"/>
  <c r="F464" i="2" s="1"/>
  <c r="O464" i="2"/>
  <c r="E465" i="2"/>
  <c r="F465" i="2" s="1"/>
  <c r="G465" i="2" s="1"/>
  <c r="O465" i="2"/>
  <c r="E466" i="2"/>
  <c r="F466" i="2" s="1"/>
  <c r="G466" i="2" s="1"/>
  <c r="H466" i="2" s="1"/>
  <c r="O466" i="2"/>
  <c r="E467" i="2"/>
  <c r="F467" i="2" s="1"/>
  <c r="G467" i="2" s="1"/>
  <c r="O467" i="2"/>
  <c r="E468" i="2"/>
  <c r="F468" i="2" s="1"/>
  <c r="O468" i="2"/>
  <c r="E469" i="2"/>
  <c r="F469" i="2" s="1"/>
  <c r="O469" i="2"/>
  <c r="E470" i="2"/>
  <c r="F470" i="2" s="1"/>
  <c r="O470" i="2"/>
  <c r="E471" i="2"/>
  <c r="F471" i="2" s="1"/>
  <c r="G471" i="2" s="1"/>
  <c r="H471" i="2" s="1"/>
  <c r="O471" i="2"/>
  <c r="E472" i="2"/>
  <c r="F472" i="2" s="1"/>
  <c r="G472" i="2" s="1"/>
  <c r="O472" i="2"/>
  <c r="E473" i="2"/>
  <c r="F473" i="2" s="1"/>
  <c r="O473" i="2"/>
  <c r="E474" i="2"/>
  <c r="F474" i="2" s="1"/>
  <c r="O474" i="2"/>
  <c r="E475" i="2"/>
  <c r="F475" i="2" s="1"/>
  <c r="O475" i="2"/>
  <c r="E476" i="2"/>
  <c r="F476" i="2" s="1"/>
  <c r="G476" i="2" s="1"/>
  <c r="O476" i="2"/>
  <c r="E477" i="2"/>
  <c r="F477" i="2" s="1"/>
  <c r="G477" i="2" s="1"/>
  <c r="O477" i="2"/>
  <c r="E478" i="2"/>
  <c r="F478" i="2" s="1"/>
  <c r="G478" i="2" s="1"/>
  <c r="H478" i="2" s="1"/>
  <c r="O478" i="2"/>
  <c r="E479" i="2"/>
  <c r="F479" i="2" s="1"/>
  <c r="G479" i="2" s="1"/>
  <c r="O479" i="2"/>
  <c r="E480" i="2"/>
  <c r="F480" i="2" s="1"/>
  <c r="G480" i="2" s="1"/>
  <c r="H480" i="2" s="1"/>
  <c r="O480" i="2"/>
  <c r="E481" i="2"/>
  <c r="F481" i="2" s="1"/>
  <c r="O481" i="2"/>
  <c r="E482" i="2"/>
  <c r="F482" i="2" s="1"/>
  <c r="O482" i="2"/>
  <c r="E483" i="2"/>
  <c r="F483" i="2" s="1"/>
  <c r="G483" i="2" s="1"/>
  <c r="O483" i="2"/>
  <c r="E484" i="2"/>
  <c r="F484" i="2" s="1"/>
  <c r="G484" i="2" s="1"/>
  <c r="O484" i="2"/>
  <c r="E485" i="2"/>
  <c r="F485" i="2" s="1"/>
  <c r="O485" i="2"/>
  <c r="E486" i="2"/>
  <c r="F486" i="2" s="1"/>
  <c r="O486" i="2"/>
  <c r="E487" i="2"/>
  <c r="F487" i="2" s="1"/>
  <c r="G487" i="2" s="1"/>
  <c r="H487" i="2" s="1"/>
  <c r="O487" i="2"/>
  <c r="E488" i="2"/>
  <c r="F488" i="2" s="1"/>
  <c r="O488" i="2"/>
  <c r="E489" i="2"/>
  <c r="F489" i="2" s="1"/>
  <c r="O489" i="2"/>
  <c r="E490" i="2"/>
  <c r="F490" i="2" s="1"/>
  <c r="O490" i="2"/>
  <c r="E491" i="2"/>
  <c r="F491" i="2" s="1"/>
  <c r="G491" i="2" s="1"/>
  <c r="O491" i="2"/>
  <c r="E492" i="2"/>
  <c r="F492" i="2" s="1"/>
  <c r="G492" i="2" s="1"/>
  <c r="O492" i="2"/>
  <c r="E493" i="2"/>
  <c r="F493" i="2" s="1"/>
  <c r="O493" i="2"/>
  <c r="E494" i="2"/>
  <c r="F494" i="2" s="1"/>
  <c r="O494" i="2"/>
  <c r="E495" i="2"/>
  <c r="F495" i="2" s="1"/>
  <c r="G495" i="2" s="1"/>
  <c r="H495" i="2" s="1"/>
  <c r="O495" i="2"/>
  <c r="E496" i="2"/>
  <c r="F496" i="2" s="1"/>
  <c r="O496" i="2"/>
  <c r="E497" i="2"/>
  <c r="F497" i="2" s="1"/>
  <c r="O497" i="2"/>
  <c r="E498" i="2"/>
  <c r="F498" i="2" s="1"/>
  <c r="O498" i="2"/>
  <c r="E499" i="2"/>
  <c r="F499" i="2" s="1"/>
  <c r="O499" i="2"/>
  <c r="E500" i="2"/>
  <c r="F500" i="2" s="1"/>
  <c r="G500" i="2" s="1"/>
  <c r="O500" i="2"/>
  <c r="E501" i="2"/>
  <c r="F501" i="2" s="1"/>
  <c r="O501" i="2"/>
  <c r="E502" i="2"/>
  <c r="F502" i="2" s="1"/>
  <c r="O502" i="2"/>
  <c r="E503" i="2"/>
  <c r="F503" i="2" s="1"/>
  <c r="G503" i="2" s="1"/>
  <c r="H503" i="2" s="1"/>
  <c r="O503" i="2"/>
  <c r="E504" i="2"/>
  <c r="F504" i="2" s="1"/>
  <c r="O504" i="2"/>
  <c r="E505" i="2"/>
  <c r="F505" i="2" s="1"/>
  <c r="O505" i="2"/>
  <c r="E506" i="2"/>
  <c r="F506" i="2" s="1"/>
  <c r="O506" i="2"/>
  <c r="E507" i="2"/>
  <c r="F507" i="2" s="1"/>
  <c r="G507" i="2" s="1"/>
  <c r="O507" i="2"/>
  <c r="E508" i="2"/>
  <c r="F508" i="2" s="1"/>
  <c r="O508" i="2"/>
  <c r="E509" i="2"/>
  <c r="F509" i="2" s="1"/>
  <c r="G509" i="2" s="1"/>
  <c r="O509" i="2"/>
  <c r="E510" i="2"/>
  <c r="F510" i="2" s="1"/>
  <c r="O510" i="2"/>
  <c r="E511" i="2"/>
  <c r="F511" i="2" s="1"/>
  <c r="O511" i="2"/>
  <c r="E512" i="2"/>
  <c r="F512" i="2" s="1"/>
  <c r="G512" i="2" s="1"/>
  <c r="O512" i="2"/>
  <c r="E513" i="2"/>
  <c r="F513" i="2" s="1"/>
  <c r="G513" i="2" s="1"/>
  <c r="H513" i="2" s="1"/>
  <c r="O513" i="2"/>
  <c r="E514" i="2"/>
  <c r="F514" i="2" s="1"/>
  <c r="G514" i="2" s="1"/>
  <c r="O514" i="2"/>
  <c r="E515" i="2"/>
  <c r="F515" i="2" s="1"/>
  <c r="O515" i="2"/>
  <c r="E516" i="2"/>
  <c r="F516" i="2" s="1"/>
  <c r="O516" i="2"/>
  <c r="E517" i="2"/>
  <c r="F517" i="2" s="1"/>
  <c r="G517" i="2" s="1"/>
  <c r="H517" i="2" s="1"/>
  <c r="O517" i="2"/>
  <c r="E518" i="2"/>
  <c r="F518" i="2" s="1"/>
  <c r="G518" i="2" s="1"/>
  <c r="O518" i="2"/>
  <c r="E519" i="2"/>
  <c r="F519" i="2" s="1"/>
  <c r="O519" i="2"/>
  <c r="E520" i="2"/>
  <c r="F520" i="2" s="1"/>
  <c r="O520" i="2"/>
  <c r="E521" i="2"/>
  <c r="F521" i="2" s="1"/>
  <c r="O521" i="2"/>
  <c r="E522" i="2"/>
  <c r="F522" i="2" s="1"/>
  <c r="G522" i="2" s="1"/>
  <c r="H522" i="2" s="1"/>
  <c r="O522" i="2"/>
  <c r="E523" i="2"/>
  <c r="F523" i="2" s="1"/>
  <c r="O523" i="2"/>
  <c r="E524" i="2"/>
  <c r="F524" i="2" s="1"/>
  <c r="O524" i="2"/>
  <c r="E525" i="2"/>
  <c r="F525" i="2" s="1"/>
  <c r="O525" i="2"/>
  <c r="E526" i="2"/>
  <c r="F526" i="2" s="1"/>
  <c r="O526" i="2"/>
  <c r="E527" i="2"/>
  <c r="F527" i="2" s="1"/>
  <c r="O527" i="2"/>
  <c r="E528" i="2"/>
  <c r="F528" i="2" s="1"/>
  <c r="O528" i="2"/>
  <c r="E529" i="2"/>
  <c r="F529" i="2" s="1"/>
  <c r="G529" i="2" s="1"/>
  <c r="O529" i="2"/>
  <c r="E530" i="2"/>
  <c r="F530" i="2" s="1"/>
  <c r="G530" i="2" s="1"/>
  <c r="O530" i="2"/>
  <c r="E531" i="2"/>
  <c r="F531" i="2" s="1"/>
  <c r="O531" i="2"/>
  <c r="E532" i="2"/>
  <c r="F532" i="2" s="1"/>
  <c r="G532" i="2" s="1"/>
  <c r="O532" i="2"/>
  <c r="E533" i="2"/>
  <c r="F533" i="2" s="1"/>
  <c r="G533" i="2" s="1"/>
  <c r="O533" i="2"/>
  <c r="E534" i="2"/>
  <c r="F534" i="2" s="1"/>
  <c r="O534" i="2"/>
  <c r="E535" i="2"/>
  <c r="F535" i="2" s="1"/>
  <c r="O535" i="2"/>
  <c r="E536" i="2"/>
  <c r="F536" i="2" s="1"/>
  <c r="G536" i="2" s="1"/>
  <c r="O536" i="2"/>
  <c r="E537" i="2"/>
  <c r="F537" i="2" s="1"/>
  <c r="O537" i="2"/>
  <c r="E538" i="2"/>
  <c r="F538" i="2" s="1"/>
  <c r="O538" i="2"/>
  <c r="E539" i="2"/>
  <c r="F539" i="2" s="1"/>
  <c r="O539" i="2"/>
  <c r="E540" i="2"/>
  <c r="F540" i="2" s="1"/>
  <c r="G540" i="2" s="1"/>
  <c r="O540" i="2"/>
  <c r="E541" i="2"/>
  <c r="F541" i="2" s="1"/>
  <c r="O541" i="2"/>
  <c r="E542" i="2"/>
  <c r="F542" i="2" s="1"/>
  <c r="O542" i="2"/>
  <c r="E543" i="2"/>
  <c r="F543" i="2" s="1"/>
  <c r="O543" i="2"/>
  <c r="E544" i="2"/>
  <c r="F544" i="2" s="1"/>
  <c r="O544" i="2"/>
  <c r="E545" i="2"/>
  <c r="F545" i="2" s="1"/>
  <c r="O545" i="2"/>
  <c r="E546" i="2"/>
  <c r="F546" i="2" s="1"/>
  <c r="G546" i="2" s="1"/>
  <c r="H546" i="2" s="1"/>
  <c r="O546" i="2"/>
  <c r="E547" i="2"/>
  <c r="F547" i="2" s="1"/>
  <c r="O547" i="2"/>
  <c r="E548" i="2"/>
  <c r="F548" i="2" s="1"/>
  <c r="G548" i="2" s="1"/>
  <c r="O548" i="2"/>
  <c r="E549" i="2"/>
  <c r="F549" i="2" s="1"/>
  <c r="G549" i="2" s="1"/>
  <c r="O549" i="2"/>
  <c r="E550" i="2"/>
  <c r="F550" i="2" s="1"/>
  <c r="O550" i="2"/>
  <c r="E551" i="2"/>
  <c r="F551" i="2" s="1"/>
  <c r="O551" i="2"/>
  <c r="E552" i="2"/>
  <c r="F552" i="2" s="1"/>
  <c r="O552" i="2"/>
  <c r="E553" i="2"/>
  <c r="F553" i="2" s="1"/>
  <c r="O553" i="2"/>
  <c r="E554" i="2"/>
  <c r="F554" i="2" s="1"/>
  <c r="G554" i="2" s="1"/>
  <c r="O554" i="2"/>
  <c r="E555" i="2"/>
  <c r="F555" i="2" s="1"/>
  <c r="O555" i="2"/>
  <c r="E556" i="2"/>
  <c r="F556" i="2" s="1"/>
  <c r="O556" i="2"/>
  <c r="E557" i="2"/>
  <c r="F557" i="2" s="1"/>
  <c r="G557" i="2" s="1"/>
  <c r="H557" i="2" s="1"/>
  <c r="O557" i="2"/>
  <c r="E558" i="2"/>
  <c r="F558" i="2" s="1"/>
  <c r="G558" i="2" s="1"/>
  <c r="O558" i="2"/>
  <c r="E559" i="2"/>
  <c r="F559" i="2" s="1"/>
  <c r="O559" i="2"/>
  <c r="E560" i="2"/>
  <c r="F560" i="2" s="1"/>
  <c r="O560" i="2"/>
  <c r="E561" i="2"/>
  <c r="F561" i="2" s="1"/>
  <c r="O561" i="2"/>
  <c r="E562" i="2"/>
  <c r="F562" i="2" s="1"/>
  <c r="O562" i="2"/>
  <c r="E563" i="2"/>
  <c r="F563" i="2" s="1"/>
  <c r="O563" i="2"/>
  <c r="E564" i="2"/>
  <c r="F564" i="2" s="1"/>
  <c r="G564" i="2" s="1"/>
  <c r="H564" i="2" s="1"/>
  <c r="O564" i="2"/>
  <c r="E565" i="2"/>
  <c r="F565" i="2" s="1"/>
  <c r="O565" i="2"/>
  <c r="E566" i="2"/>
  <c r="F566" i="2" s="1"/>
  <c r="G566" i="2" s="1"/>
  <c r="O566" i="2"/>
  <c r="E567" i="2"/>
  <c r="F567" i="2" s="1"/>
  <c r="O567" i="2"/>
  <c r="E568" i="2"/>
  <c r="F568" i="2" s="1"/>
  <c r="O568" i="2"/>
  <c r="E569" i="2"/>
  <c r="F569" i="2" s="1"/>
  <c r="O569" i="2"/>
  <c r="E570" i="2"/>
  <c r="F570" i="2" s="1"/>
  <c r="O570" i="2"/>
  <c r="E571" i="2"/>
  <c r="F571" i="2" s="1"/>
  <c r="O571" i="2"/>
  <c r="E572" i="2"/>
  <c r="F572" i="2" s="1"/>
  <c r="G572" i="2" s="1"/>
  <c r="H572" i="2" s="1"/>
  <c r="O572" i="2"/>
  <c r="E573" i="2"/>
  <c r="F573" i="2" s="1"/>
  <c r="O573" i="2"/>
  <c r="E574" i="2"/>
  <c r="F574" i="2" s="1"/>
  <c r="G574" i="2" s="1"/>
  <c r="O574" i="2"/>
  <c r="E575" i="2"/>
  <c r="F575" i="2" s="1"/>
  <c r="O575" i="2"/>
  <c r="E576" i="2"/>
  <c r="F576" i="2" s="1"/>
  <c r="O576" i="2"/>
  <c r="E577" i="2"/>
  <c r="F577" i="2" s="1"/>
  <c r="O577" i="2"/>
  <c r="E578" i="2"/>
  <c r="F578" i="2" s="1"/>
  <c r="O578" i="2"/>
  <c r="E579" i="2"/>
  <c r="F579" i="2" s="1"/>
  <c r="G579" i="2" s="1"/>
  <c r="H579" i="2" s="1"/>
  <c r="O579" i="2"/>
  <c r="E580" i="2"/>
  <c r="F580" i="2" s="1"/>
  <c r="G580" i="2" s="1"/>
  <c r="O580" i="2"/>
  <c r="E581" i="2"/>
  <c r="F581" i="2" s="1"/>
  <c r="G581" i="2" s="1"/>
  <c r="H581" i="2" s="1"/>
  <c r="O581" i="2"/>
  <c r="E582" i="2"/>
  <c r="F582" i="2" s="1"/>
  <c r="G582" i="2" s="1"/>
  <c r="O582" i="2"/>
  <c r="E583" i="2"/>
  <c r="F583" i="2" s="1"/>
  <c r="G583" i="2" s="1"/>
  <c r="O583" i="2"/>
  <c r="E584" i="2"/>
  <c r="F584" i="2" s="1"/>
  <c r="O584" i="2"/>
  <c r="E585" i="2"/>
  <c r="F585" i="2" s="1"/>
  <c r="O585" i="2"/>
  <c r="E586" i="2"/>
  <c r="F586" i="2" s="1"/>
  <c r="G586" i="2" s="1"/>
  <c r="O586" i="2"/>
  <c r="E587" i="2"/>
  <c r="F587" i="2" s="1"/>
  <c r="O587" i="2"/>
  <c r="E588" i="2"/>
  <c r="F588" i="2" s="1"/>
  <c r="G588" i="2" s="1"/>
  <c r="O588" i="2"/>
  <c r="E589" i="2"/>
  <c r="F589" i="2" s="1"/>
  <c r="G589" i="2" s="1"/>
  <c r="H589" i="2" s="1"/>
  <c r="O589" i="2"/>
  <c r="E590" i="2"/>
  <c r="F590" i="2" s="1"/>
  <c r="O590" i="2"/>
  <c r="E591" i="2"/>
  <c r="F591" i="2" s="1"/>
  <c r="O591" i="2"/>
  <c r="E592" i="2"/>
  <c r="F592" i="2" s="1"/>
  <c r="G592" i="2" s="1"/>
  <c r="O592" i="2"/>
  <c r="E593" i="2"/>
  <c r="F593" i="2" s="1"/>
  <c r="O593" i="2"/>
  <c r="E594" i="2"/>
  <c r="F594" i="2" s="1"/>
  <c r="G594" i="2" s="1"/>
  <c r="O594" i="2"/>
  <c r="E595" i="2"/>
  <c r="F595" i="2" s="1"/>
  <c r="O595" i="2"/>
  <c r="E596" i="2"/>
  <c r="F596" i="2" s="1"/>
  <c r="G596" i="2" s="1"/>
  <c r="O596" i="2"/>
  <c r="E597" i="2"/>
  <c r="F597" i="2" s="1"/>
  <c r="G597" i="2" s="1"/>
  <c r="H597" i="2" s="1"/>
  <c r="O597" i="2"/>
  <c r="E598" i="2"/>
  <c r="F598" i="2" s="1"/>
  <c r="G598" i="2" s="1"/>
  <c r="O598" i="2"/>
  <c r="E599" i="2"/>
  <c r="F599" i="2" s="1"/>
  <c r="G599" i="2" s="1"/>
  <c r="O599" i="2"/>
  <c r="E600" i="2"/>
  <c r="F600" i="2" s="1"/>
  <c r="O600" i="2"/>
  <c r="E601" i="2"/>
  <c r="F601" i="2" s="1"/>
  <c r="G601" i="2" s="1"/>
  <c r="O601" i="2"/>
  <c r="E602" i="2"/>
  <c r="F602" i="2" s="1"/>
  <c r="G602" i="2" s="1"/>
  <c r="H602" i="2" s="1"/>
  <c r="O602" i="2"/>
  <c r="E603" i="2"/>
  <c r="F603" i="2" s="1"/>
  <c r="O603" i="2"/>
  <c r="E604" i="2"/>
  <c r="F604" i="2" s="1"/>
  <c r="O604" i="2"/>
  <c r="E605" i="2"/>
  <c r="F605" i="2" s="1"/>
  <c r="O605" i="2"/>
  <c r="E606" i="2"/>
  <c r="F606" i="2" s="1"/>
  <c r="O606" i="2"/>
  <c r="E607" i="2"/>
  <c r="F607" i="2" s="1"/>
  <c r="G607" i="2" s="1"/>
  <c r="H607" i="2" s="1"/>
  <c r="O607" i="2"/>
  <c r="E608" i="2"/>
  <c r="F608" i="2" s="1"/>
  <c r="G608" i="2" s="1"/>
  <c r="O608" i="2"/>
  <c r="E609" i="2"/>
  <c r="F609" i="2" s="1"/>
  <c r="G609" i="2" s="1"/>
  <c r="O609" i="2"/>
  <c r="E610" i="2"/>
  <c r="F610" i="2" s="1"/>
  <c r="G610" i="2" s="1"/>
  <c r="O610" i="2"/>
  <c r="E611" i="2"/>
  <c r="F611" i="2" s="1"/>
  <c r="G611" i="2" s="1"/>
  <c r="O611" i="2"/>
  <c r="E612" i="2"/>
  <c r="F612" i="2" s="1"/>
  <c r="G612" i="2" s="1"/>
  <c r="O612" i="2"/>
  <c r="E613" i="2"/>
  <c r="F613" i="2" s="1"/>
  <c r="G613" i="2" s="1"/>
  <c r="O613" i="2"/>
  <c r="E614" i="2"/>
  <c r="F614" i="2" s="1"/>
  <c r="O614" i="2"/>
  <c r="E615" i="2"/>
  <c r="F615" i="2" s="1"/>
  <c r="O615" i="2"/>
  <c r="E616" i="2"/>
  <c r="F616" i="2" s="1"/>
  <c r="G616" i="2" s="1"/>
  <c r="O616" i="2"/>
  <c r="E617" i="2"/>
  <c r="F617" i="2" s="1"/>
  <c r="O617" i="2"/>
  <c r="E618" i="2"/>
  <c r="F618" i="2" s="1"/>
  <c r="G618" i="2" s="1"/>
  <c r="H618" i="2" s="1"/>
  <c r="O618" i="2"/>
  <c r="E619" i="2"/>
  <c r="F619" i="2" s="1"/>
  <c r="O619" i="2"/>
  <c r="E620" i="2"/>
  <c r="F620" i="2" s="1"/>
  <c r="O620" i="2"/>
  <c r="E621" i="2"/>
  <c r="F621" i="2" s="1"/>
  <c r="G621" i="2" s="1"/>
  <c r="O621" i="2"/>
  <c r="E622" i="2"/>
  <c r="F622" i="2" s="1"/>
  <c r="G622" i="2" s="1"/>
  <c r="H622" i="2" s="1"/>
  <c r="O622" i="2"/>
  <c r="E623" i="2"/>
  <c r="F623" i="2" s="1"/>
  <c r="G623" i="2" s="1"/>
  <c r="O623" i="2"/>
  <c r="E624" i="2"/>
  <c r="F624" i="2" s="1"/>
  <c r="O624" i="2"/>
  <c r="E625" i="2"/>
  <c r="F625" i="2" s="1"/>
  <c r="G625" i="2" s="1"/>
  <c r="H625" i="2" s="1"/>
  <c r="O625" i="2"/>
  <c r="E626" i="2"/>
  <c r="F626" i="2" s="1"/>
  <c r="O626" i="2"/>
  <c r="E627" i="2"/>
  <c r="F627" i="2" s="1"/>
  <c r="G627" i="2" s="1"/>
  <c r="O627" i="2"/>
  <c r="E628" i="2"/>
  <c r="F628" i="2" s="1"/>
  <c r="O628" i="2"/>
  <c r="E629" i="2"/>
  <c r="F629" i="2" s="1"/>
  <c r="O629" i="2"/>
  <c r="E630" i="2"/>
  <c r="F630" i="2" s="1"/>
  <c r="G630" i="2" s="1"/>
  <c r="H630" i="2" s="1"/>
  <c r="O630" i="2"/>
  <c r="E631" i="2"/>
  <c r="F631" i="2" s="1"/>
  <c r="G631" i="2" s="1"/>
  <c r="H631" i="2" s="1"/>
  <c r="O631" i="2"/>
  <c r="E632" i="2"/>
  <c r="F632" i="2" s="1"/>
  <c r="O632" i="2"/>
  <c r="E633" i="2"/>
  <c r="F633" i="2" s="1"/>
  <c r="O633" i="2"/>
  <c r="E634" i="2"/>
  <c r="F634" i="2" s="1"/>
  <c r="G634" i="2" s="1"/>
  <c r="O634" i="2"/>
  <c r="E635" i="2"/>
  <c r="F635" i="2" s="1"/>
  <c r="G635" i="2" s="1"/>
  <c r="O635" i="2"/>
  <c r="E636" i="2"/>
  <c r="F636" i="2" s="1"/>
  <c r="O636" i="2"/>
  <c r="E637" i="2"/>
  <c r="F637" i="2" s="1"/>
  <c r="O637" i="2"/>
  <c r="E638" i="2"/>
  <c r="F638" i="2" s="1"/>
  <c r="G638" i="2" s="1"/>
  <c r="H638" i="2" s="1"/>
  <c r="O638" i="2"/>
  <c r="E639" i="2"/>
  <c r="F639" i="2" s="1"/>
  <c r="O639" i="2"/>
  <c r="E640" i="2"/>
  <c r="F640" i="2" s="1"/>
  <c r="O640" i="2"/>
  <c r="E641" i="2"/>
  <c r="F641" i="2" s="1"/>
  <c r="G641" i="2" s="1"/>
  <c r="O641" i="2"/>
  <c r="E642" i="2"/>
  <c r="F642" i="2" s="1"/>
  <c r="G642" i="2" s="1"/>
  <c r="O642" i="2"/>
  <c r="E643" i="2"/>
  <c r="F643" i="2" s="1"/>
  <c r="O643" i="2"/>
  <c r="E644" i="2"/>
  <c r="F644" i="2" s="1"/>
  <c r="G644" i="2" s="1"/>
  <c r="H644" i="2" s="1"/>
  <c r="O644" i="2"/>
  <c r="E645" i="2"/>
  <c r="F645" i="2" s="1"/>
  <c r="G645" i="2" s="1"/>
  <c r="H645" i="2" s="1"/>
  <c r="O645" i="2"/>
  <c r="E646" i="2"/>
  <c r="F646" i="2" s="1"/>
  <c r="O646" i="2"/>
  <c r="E647" i="2"/>
  <c r="F647" i="2" s="1"/>
  <c r="O647" i="2"/>
  <c r="E648" i="2"/>
  <c r="F648" i="2" s="1"/>
  <c r="G648" i="2" s="1"/>
  <c r="O648" i="2"/>
  <c r="E649" i="2"/>
  <c r="F649" i="2" s="1"/>
  <c r="O649" i="2"/>
  <c r="E650" i="2"/>
  <c r="F650" i="2" s="1"/>
  <c r="G650" i="2" s="1"/>
  <c r="H650" i="2" s="1"/>
  <c r="O650" i="2"/>
  <c r="E651" i="2"/>
  <c r="F651" i="2" s="1"/>
  <c r="G651" i="2" s="1"/>
  <c r="O651" i="2"/>
  <c r="E652" i="2"/>
  <c r="F652" i="2" s="1"/>
  <c r="G652" i="2" s="1"/>
  <c r="O652" i="2"/>
  <c r="E653" i="2"/>
  <c r="F653" i="2" s="1"/>
  <c r="G653" i="2" s="1"/>
  <c r="O653" i="2"/>
  <c r="E654" i="2"/>
  <c r="F654" i="2" s="1"/>
  <c r="O654" i="2"/>
  <c r="E655" i="2"/>
  <c r="F655" i="2" s="1"/>
  <c r="G655" i="2" s="1"/>
  <c r="H655" i="2" s="1"/>
  <c r="O655" i="2"/>
  <c r="E656" i="2"/>
  <c r="F656" i="2" s="1"/>
  <c r="O656" i="2"/>
  <c r="E657" i="2"/>
  <c r="F657" i="2" s="1"/>
  <c r="O657" i="2"/>
  <c r="E658" i="2"/>
  <c r="F658" i="2" s="1"/>
  <c r="O658" i="2"/>
  <c r="E659" i="2"/>
  <c r="F659" i="2" s="1"/>
  <c r="G659" i="2" s="1"/>
  <c r="H659" i="2" s="1"/>
  <c r="O659" i="2"/>
  <c r="E660" i="2"/>
  <c r="F660" i="2" s="1"/>
  <c r="O660" i="2"/>
  <c r="E661" i="2"/>
  <c r="F661" i="2" s="1"/>
  <c r="G661" i="2" s="1"/>
  <c r="O661" i="2"/>
  <c r="E662" i="2"/>
  <c r="F662" i="2" s="1"/>
  <c r="G662" i="2" s="1"/>
  <c r="O662" i="2"/>
  <c r="E663" i="2"/>
  <c r="F663" i="2" s="1"/>
  <c r="O663" i="2"/>
  <c r="E664" i="2"/>
  <c r="F664" i="2" s="1"/>
  <c r="O664" i="2"/>
  <c r="E665" i="2"/>
  <c r="F665" i="2" s="1"/>
  <c r="G665" i="2" s="1"/>
  <c r="H665" i="2" s="1"/>
  <c r="O665" i="2"/>
  <c r="E666" i="2"/>
  <c r="F666" i="2" s="1"/>
  <c r="O666" i="2"/>
  <c r="E667" i="2"/>
  <c r="F667" i="2" s="1"/>
  <c r="O667" i="2"/>
  <c r="E668" i="2"/>
  <c r="F668" i="2" s="1"/>
  <c r="G668" i="2" s="1"/>
  <c r="H668" i="2" s="1"/>
  <c r="O668" i="2"/>
  <c r="E669" i="2"/>
  <c r="F669" i="2" s="1"/>
  <c r="G669" i="2" s="1"/>
  <c r="H669" i="2" s="1"/>
  <c r="O669" i="2"/>
  <c r="E670" i="2"/>
  <c r="F670" i="2" s="1"/>
  <c r="O670" i="2"/>
  <c r="E671" i="2"/>
  <c r="F671" i="2" s="1"/>
  <c r="O671" i="2"/>
  <c r="E672" i="2"/>
  <c r="F672" i="2" s="1"/>
  <c r="O672" i="2"/>
  <c r="E673" i="2"/>
  <c r="F673" i="2" s="1"/>
  <c r="G673" i="2" s="1"/>
  <c r="O673" i="2"/>
  <c r="E674" i="2"/>
  <c r="F674" i="2" s="1"/>
  <c r="O674" i="2"/>
  <c r="E675" i="2"/>
  <c r="F675" i="2" s="1"/>
  <c r="G675" i="2" s="1"/>
  <c r="H675" i="2" s="1"/>
  <c r="O675" i="2"/>
  <c r="E676" i="2"/>
  <c r="F676" i="2" s="1"/>
  <c r="G676" i="2" s="1"/>
  <c r="O676" i="2"/>
  <c r="E677" i="2"/>
  <c r="F677" i="2" s="1"/>
  <c r="G677" i="2" s="1"/>
  <c r="O677" i="2"/>
  <c r="E678" i="2"/>
  <c r="F678" i="2" s="1"/>
  <c r="O678" i="2"/>
  <c r="E679" i="2"/>
  <c r="F679" i="2" s="1"/>
  <c r="G679" i="2" s="1"/>
  <c r="O679" i="2"/>
  <c r="E680" i="2"/>
  <c r="F680" i="2" s="1"/>
  <c r="O680" i="2"/>
  <c r="E681" i="2"/>
  <c r="F681" i="2" s="1"/>
  <c r="O681" i="2"/>
  <c r="E682" i="2"/>
  <c r="F682" i="2" s="1"/>
  <c r="G682" i="2" s="1"/>
  <c r="O682" i="2"/>
  <c r="E683" i="2"/>
  <c r="F683" i="2" s="1"/>
  <c r="G683" i="2" s="1"/>
  <c r="O683" i="2"/>
  <c r="E684" i="2"/>
  <c r="F684" i="2" s="1"/>
  <c r="O684" i="2"/>
  <c r="E685" i="2"/>
  <c r="F685" i="2" s="1"/>
  <c r="G685" i="2" s="1"/>
  <c r="O685" i="2"/>
  <c r="E686" i="2"/>
  <c r="F686" i="2" s="1"/>
  <c r="O686" i="2"/>
  <c r="E687" i="2"/>
  <c r="F687" i="2" s="1"/>
  <c r="O687" i="2"/>
  <c r="E688" i="2"/>
  <c r="F688" i="2" s="1"/>
  <c r="G688" i="2" s="1"/>
  <c r="O688" i="2"/>
  <c r="E689" i="2"/>
  <c r="F689" i="2" s="1"/>
  <c r="O689" i="2"/>
  <c r="E690" i="2"/>
  <c r="F690" i="2" s="1"/>
  <c r="O690" i="2"/>
  <c r="E691" i="2"/>
  <c r="F691" i="2" s="1"/>
  <c r="O691" i="2"/>
  <c r="E692" i="2"/>
  <c r="F692" i="2" s="1"/>
  <c r="G692" i="2" s="1"/>
  <c r="H692" i="2" s="1"/>
  <c r="O692" i="2"/>
  <c r="E693" i="2"/>
  <c r="F693" i="2" s="1"/>
  <c r="O693" i="2"/>
  <c r="E694" i="2"/>
  <c r="F694" i="2" s="1"/>
  <c r="G694" i="2" s="1"/>
  <c r="O694" i="2"/>
  <c r="E695" i="2"/>
  <c r="F695" i="2" s="1"/>
  <c r="O695" i="2"/>
  <c r="E696" i="2"/>
  <c r="F696" i="2" s="1"/>
  <c r="G696" i="2" s="1"/>
  <c r="O696" i="2"/>
  <c r="E697" i="2"/>
  <c r="F697" i="2" s="1"/>
  <c r="O697" i="2"/>
  <c r="E698" i="2"/>
  <c r="F698" i="2" s="1"/>
  <c r="G698" i="2" s="1"/>
  <c r="O698" i="2"/>
  <c r="E699" i="2"/>
  <c r="F699" i="2" s="1"/>
  <c r="O699" i="2"/>
  <c r="E700" i="2"/>
  <c r="F700" i="2" s="1"/>
  <c r="G700" i="2" s="1"/>
  <c r="H700" i="2" s="1"/>
  <c r="O700" i="2"/>
  <c r="E701" i="2"/>
  <c r="F701" i="2" s="1"/>
  <c r="O701" i="2"/>
  <c r="E702" i="2"/>
  <c r="F702" i="2" s="1"/>
  <c r="O702" i="2"/>
  <c r="E703" i="2"/>
  <c r="F703" i="2" s="1"/>
  <c r="G703" i="2" s="1"/>
  <c r="O703" i="2"/>
  <c r="E704" i="2"/>
  <c r="F704" i="2" s="1"/>
  <c r="O704" i="2"/>
  <c r="E705" i="2"/>
  <c r="F705" i="2" s="1"/>
  <c r="O705" i="2"/>
  <c r="E706" i="2"/>
  <c r="F706" i="2" s="1"/>
  <c r="O706" i="2"/>
  <c r="E707" i="2"/>
  <c r="F707" i="2" s="1"/>
  <c r="G707" i="2" s="1"/>
  <c r="H707" i="2" s="1"/>
  <c r="O707" i="2"/>
  <c r="E708" i="2"/>
  <c r="F708" i="2" s="1"/>
  <c r="O708" i="2"/>
  <c r="E709" i="2"/>
  <c r="F709" i="2" s="1"/>
  <c r="G709" i="2" s="1"/>
  <c r="H709" i="2" s="1"/>
  <c r="O709" i="2"/>
  <c r="E710" i="2"/>
  <c r="F710" i="2" s="1"/>
  <c r="O710" i="2"/>
  <c r="E711" i="2"/>
  <c r="F711" i="2" s="1"/>
  <c r="O711" i="2"/>
  <c r="E712" i="2"/>
  <c r="F712" i="2" s="1"/>
  <c r="G712" i="2" s="1"/>
  <c r="O712" i="2"/>
  <c r="E713" i="2"/>
  <c r="F713" i="2" s="1"/>
  <c r="O713" i="2"/>
  <c r="E714" i="2"/>
  <c r="F714" i="2" s="1"/>
  <c r="O714" i="2"/>
  <c r="E715" i="2"/>
  <c r="F715" i="2" s="1"/>
  <c r="G715" i="2" s="1"/>
  <c r="O715" i="2"/>
  <c r="E716" i="2"/>
  <c r="F716" i="2" s="1"/>
  <c r="O716" i="2"/>
  <c r="E717" i="2"/>
  <c r="F717" i="2" s="1"/>
  <c r="O717" i="2"/>
  <c r="E718" i="2"/>
  <c r="F718" i="2" s="1"/>
  <c r="O718" i="2"/>
  <c r="E719" i="2"/>
  <c r="F719" i="2" s="1"/>
  <c r="G719" i="2" s="1"/>
  <c r="H719" i="2" s="1"/>
  <c r="O719" i="2"/>
  <c r="E720" i="2"/>
  <c r="F720" i="2" s="1"/>
  <c r="O720" i="2"/>
  <c r="E721" i="2"/>
  <c r="F721" i="2" s="1"/>
  <c r="G721" i="2" s="1"/>
  <c r="H721" i="2" s="1"/>
  <c r="O721" i="2"/>
  <c r="E722" i="2"/>
  <c r="F722" i="2" s="1"/>
  <c r="G722" i="2" s="1"/>
  <c r="O722" i="2"/>
  <c r="E723" i="2"/>
  <c r="F723" i="2" s="1"/>
  <c r="O723" i="2"/>
  <c r="E724" i="2"/>
  <c r="F724" i="2" s="1"/>
  <c r="G724" i="2" s="1"/>
  <c r="H724" i="2" s="1"/>
  <c r="O724" i="2"/>
  <c r="E725" i="2"/>
  <c r="F725" i="2" s="1"/>
  <c r="O725" i="2"/>
  <c r="E726" i="2"/>
  <c r="F726" i="2" s="1"/>
  <c r="O726" i="2"/>
  <c r="E727" i="2"/>
  <c r="F727" i="2" s="1"/>
  <c r="G727" i="2" s="1"/>
  <c r="O727" i="2"/>
  <c r="E728" i="2"/>
  <c r="F728" i="2" s="1"/>
  <c r="G728" i="2" s="1"/>
  <c r="O728" i="2"/>
  <c r="E729" i="2"/>
  <c r="F729" i="2" s="1"/>
  <c r="O729" i="2"/>
  <c r="E730" i="2"/>
  <c r="F730" i="2" s="1"/>
  <c r="O730" i="2"/>
  <c r="E731" i="2"/>
  <c r="F731" i="2" s="1"/>
  <c r="O731" i="2"/>
  <c r="E732" i="2"/>
  <c r="F732" i="2" s="1"/>
  <c r="G732" i="2" s="1"/>
  <c r="O732" i="2"/>
  <c r="E733" i="2"/>
  <c r="F733" i="2" s="1"/>
  <c r="G733" i="2" s="1"/>
  <c r="O733" i="2"/>
  <c r="E734" i="2"/>
  <c r="F734" i="2" s="1"/>
  <c r="G734" i="2" s="1"/>
  <c r="H734" i="2" s="1"/>
  <c r="O734" i="2"/>
  <c r="E735" i="2"/>
  <c r="F735" i="2" s="1"/>
  <c r="O735" i="2"/>
  <c r="E736" i="2"/>
  <c r="F736" i="2" s="1"/>
  <c r="G736" i="2" s="1"/>
  <c r="O736" i="2"/>
  <c r="E737" i="2"/>
  <c r="F737" i="2" s="1"/>
  <c r="G737" i="2" s="1"/>
  <c r="O737" i="2"/>
  <c r="E738" i="2"/>
  <c r="F738" i="2" s="1"/>
  <c r="O738" i="2"/>
  <c r="E739" i="2"/>
  <c r="F739" i="2" s="1"/>
  <c r="O739" i="2"/>
  <c r="E740" i="2"/>
  <c r="F740" i="2" s="1"/>
  <c r="G740" i="2" s="1"/>
  <c r="H740" i="2" s="1"/>
  <c r="O740" i="2"/>
  <c r="E741" i="2"/>
  <c r="F741" i="2" s="1"/>
  <c r="O741" i="2"/>
  <c r="E742" i="2"/>
  <c r="F742" i="2" s="1"/>
  <c r="O742" i="2"/>
  <c r="E743" i="2"/>
  <c r="F743" i="2" s="1"/>
  <c r="G743" i="2" s="1"/>
  <c r="O743" i="2"/>
  <c r="E744" i="2"/>
  <c r="F744" i="2" s="1"/>
  <c r="G744" i="2" s="1"/>
  <c r="O744" i="2"/>
  <c r="E745" i="2"/>
  <c r="F745" i="2" s="1"/>
  <c r="O745" i="2"/>
  <c r="E746" i="2"/>
  <c r="F746" i="2" s="1"/>
  <c r="G746" i="2" s="1"/>
  <c r="O746" i="2"/>
  <c r="E747" i="2"/>
  <c r="F747" i="2" s="1"/>
  <c r="G747" i="2" s="1"/>
  <c r="O747" i="2"/>
  <c r="E748" i="2"/>
  <c r="F748" i="2" s="1"/>
  <c r="O748" i="2"/>
  <c r="E749" i="2"/>
  <c r="F749" i="2" s="1"/>
  <c r="O749" i="2"/>
  <c r="E750" i="2"/>
  <c r="F750" i="2" s="1"/>
  <c r="O750" i="2"/>
  <c r="E751" i="2"/>
  <c r="F751" i="2" s="1"/>
  <c r="O751" i="2"/>
  <c r="E752" i="2"/>
  <c r="F752" i="2" s="1"/>
  <c r="G752" i="2" s="1"/>
  <c r="O752" i="2"/>
  <c r="E753" i="2"/>
  <c r="F753" i="2" s="1"/>
  <c r="O753" i="2"/>
  <c r="E754" i="2"/>
  <c r="F754" i="2" s="1"/>
  <c r="O754" i="2"/>
  <c r="E755" i="2"/>
  <c r="F755" i="2" s="1"/>
  <c r="G755" i="2" s="1"/>
  <c r="O755" i="2"/>
  <c r="E756" i="2"/>
  <c r="F756" i="2" s="1"/>
  <c r="G756" i="2" s="1"/>
  <c r="O756" i="2"/>
  <c r="E757" i="2"/>
  <c r="F757" i="2" s="1"/>
  <c r="O757" i="2"/>
  <c r="E758" i="2"/>
  <c r="F758" i="2" s="1"/>
  <c r="O758" i="2"/>
  <c r="E759" i="2"/>
  <c r="F759" i="2" s="1"/>
  <c r="O759" i="2"/>
  <c r="E760" i="2"/>
  <c r="F760" i="2" s="1"/>
  <c r="O760" i="2"/>
  <c r="E761" i="2"/>
  <c r="F761" i="2" s="1"/>
  <c r="O761" i="2"/>
  <c r="E762" i="2"/>
  <c r="F762" i="2" s="1"/>
  <c r="O762" i="2"/>
  <c r="E763" i="2"/>
  <c r="F763" i="2" s="1"/>
  <c r="G763" i="2" s="1"/>
  <c r="O763" i="2"/>
  <c r="E764" i="2"/>
  <c r="F764" i="2" s="1"/>
  <c r="O764" i="2"/>
  <c r="E765" i="2"/>
  <c r="F765" i="2" s="1"/>
  <c r="O765" i="2"/>
  <c r="O2" i="2"/>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2" i="1"/>
  <c r="E2" i="2"/>
  <c r="F2" i="2" s="1"/>
  <c r="I401" i="2" l="1"/>
  <c r="J401" i="2" s="1"/>
  <c r="I433" i="2"/>
  <c r="I513" i="2"/>
  <c r="J513" i="2" s="1"/>
  <c r="I614" i="2"/>
  <c r="I665" i="2"/>
  <c r="J665" i="2" s="1"/>
  <c r="I720" i="2"/>
  <c r="J720" i="2" s="1"/>
  <c r="I298" i="2"/>
  <c r="J298" i="2" s="1"/>
  <c r="I479" i="2"/>
  <c r="J479" i="2" s="1"/>
  <c r="I518" i="2"/>
  <c r="J518" i="2" s="1"/>
  <c r="I736" i="2"/>
  <c r="J736" i="2" s="1"/>
  <c r="I743" i="2"/>
  <c r="J743" i="2" s="1"/>
  <c r="I232" i="2"/>
  <c r="J232" i="2" s="1"/>
  <c r="I70" i="2"/>
  <c r="J70" i="2" s="1"/>
  <c r="I126" i="2"/>
  <c r="G9" i="2"/>
  <c r="H9" i="2" s="1"/>
  <c r="G11" i="2"/>
  <c r="H11" i="2" s="1"/>
  <c r="G92" i="2"/>
  <c r="H92" i="2" s="1"/>
  <c r="G99" i="2"/>
  <c r="H99" i="2" s="1"/>
  <c r="K216" i="2"/>
  <c r="N216" i="2"/>
  <c r="K217" i="2"/>
  <c r="N217" i="2"/>
  <c r="K218" i="2"/>
  <c r="N218" i="2"/>
  <c r="K219" i="2"/>
  <c r="N219" i="2"/>
  <c r="K220" i="2"/>
  <c r="N220" i="2"/>
  <c r="K221" i="2"/>
  <c r="N221" i="2"/>
  <c r="K222" i="2"/>
  <c r="N222" i="2"/>
  <c r="K632" i="2"/>
  <c r="N632" i="2"/>
  <c r="J215" i="2"/>
  <c r="J3" i="2"/>
  <c r="J4" i="2"/>
  <c r="J5" i="2"/>
  <c r="J6" i="2"/>
  <c r="J7" i="2"/>
  <c r="J8" i="2"/>
  <c r="J9" i="2"/>
  <c r="J10" i="2"/>
  <c r="J11" i="2"/>
  <c r="J12" i="2"/>
  <c r="J13" i="2"/>
  <c r="J14" i="2"/>
  <c r="J15" i="2"/>
  <c r="J16" i="2"/>
  <c r="J17" i="2"/>
  <c r="J18" i="2"/>
  <c r="J19" i="2"/>
  <c r="N19" i="2" s="1"/>
  <c r="K19" i="2"/>
  <c r="J20" i="2"/>
  <c r="J21" i="2"/>
  <c r="N21" i="2" s="1"/>
  <c r="K21" i="2"/>
  <c r="J22" i="2"/>
  <c r="J23" i="2"/>
  <c r="J24" i="2"/>
  <c r="J25" i="2"/>
  <c r="J26" i="2"/>
  <c r="J27" i="2"/>
  <c r="J28" i="2"/>
  <c r="J29" i="2"/>
  <c r="J30" i="2"/>
  <c r="J31" i="2"/>
  <c r="J32" i="2"/>
  <c r="J33" i="2"/>
  <c r="J34" i="2"/>
  <c r="J35" i="2"/>
  <c r="N35" i="2" s="1"/>
  <c r="K35" i="2"/>
  <c r="J36" i="2"/>
  <c r="N36" i="2" s="1"/>
  <c r="K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N68" i="2" s="1"/>
  <c r="K68" i="2"/>
  <c r="J69" i="2"/>
  <c r="J71" i="2"/>
  <c r="J72" i="2"/>
  <c r="J73" i="2"/>
  <c r="J74" i="2"/>
  <c r="J75" i="2"/>
  <c r="J76" i="2"/>
  <c r="J77" i="2"/>
  <c r="J78" i="2"/>
  <c r="J79" i="2"/>
  <c r="J80" i="2"/>
  <c r="J81" i="2"/>
  <c r="J82" i="2"/>
  <c r="N82" i="2" s="1"/>
  <c r="K82" i="2"/>
  <c r="J83" i="2"/>
  <c r="J84" i="2"/>
  <c r="J85" i="2"/>
  <c r="J86" i="2"/>
  <c r="J87" i="2"/>
  <c r="N87" i="2" s="1"/>
  <c r="K87" i="2"/>
  <c r="J88" i="2"/>
  <c r="J89" i="2"/>
  <c r="J90" i="2"/>
  <c r="J91" i="2"/>
  <c r="J92" i="2"/>
  <c r="J93" i="2"/>
  <c r="N93" i="2" s="1"/>
  <c r="K93" i="2"/>
  <c r="J94" i="2"/>
  <c r="J95" i="2"/>
  <c r="J96" i="2"/>
  <c r="J97" i="2"/>
  <c r="J98" i="2"/>
  <c r="J99" i="2"/>
  <c r="N99" i="2" s="1"/>
  <c r="K99" i="2"/>
  <c r="J100" i="2"/>
  <c r="J101" i="2"/>
  <c r="J102" i="2"/>
  <c r="J103" i="2"/>
  <c r="J104" i="2"/>
  <c r="J105" i="2"/>
  <c r="J106" i="2"/>
  <c r="J107" i="2"/>
  <c r="J108" i="2"/>
  <c r="J109" i="2"/>
  <c r="J110" i="2"/>
  <c r="J111" i="2"/>
  <c r="J112" i="2"/>
  <c r="J113" i="2"/>
  <c r="J114" i="2"/>
  <c r="J115" i="2"/>
  <c r="J116" i="2"/>
  <c r="N116" i="2" s="1"/>
  <c r="K116" i="2"/>
  <c r="J117" i="2"/>
  <c r="J118" i="2"/>
  <c r="J119" i="2"/>
  <c r="J120" i="2"/>
  <c r="J121" i="2"/>
  <c r="J122" i="2"/>
  <c r="J123" i="2"/>
  <c r="J124" i="2"/>
  <c r="J125" i="2"/>
  <c r="J126" i="2"/>
  <c r="J127" i="2"/>
  <c r="J128" i="2"/>
  <c r="J129" i="2"/>
  <c r="J130" i="2"/>
  <c r="J131" i="2"/>
  <c r="J132" i="2"/>
  <c r="J133" i="2"/>
  <c r="N133" i="2" s="1"/>
  <c r="K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N159" i="2" s="1"/>
  <c r="K159" i="2"/>
  <c r="J160" i="2"/>
  <c r="N160" i="2" s="1"/>
  <c r="K160" i="2"/>
  <c r="J161" i="2"/>
  <c r="J162" i="2"/>
  <c r="J163" i="2"/>
  <c r="J164" i="2"/>
  <c r="J165" i="2"/>
  <c r="J166" i="2"/>
  <c r="J167" i="2"/>
  <c r="J168" i="2"/>
  <c r="J169" i="2"/>
  <c r="J170" i="2"/>
  <c r="J171" i="2"/>
  <c r="J172" i="2"/>
  <c r="J173" i="2"/>
  <c r="J174" i="2"/>
  <c r="J175" i="2"/>
  <c r="J176" i="2"/>
  <c r="N176" i="2" s="1"/>
  <c r="K176" i="2"/>
  <c r="J177" i="2"/>
  <c r="J178" i="2"/>
  <c r="J179" i="2"/>
  <c r="J180" i="2"/>
  <c r="J181" i="2"/>
  <c r="J182" i="2"/>
  <c r="J183" i="2"/>
  <c r="J184" i="2"/>
  <c r="J185" i="2"/>
  <c r="J186" i="2"/>
  <c r="J187" i="2"/>
  <c r="J188" i="2"/>
  <c r="J189" i="2"/>
  <c r="J190" i="2"/>
  <c r="J191" i="2"/>
  <c r="J192" i="2"/>
  <c r="J193" i="2"/>
  <c r="J194" i="2"/>
  <c r="N194" i="2" s="1"/>
  <c r="K194" i="2"/>
  <c r="J195" i="2"/>
  <c r="J196" i="2"/>
  <c r="J197" i="2"/>
  <c r="J198" i="2"/>
  <c r="J199" i="2"/>
  <c r="J200" i="2"/>
  <c r="N200" i="2" s="1"/>
  <c r="K200" i="2"/>
  <c r="J201" i="2"/>
  <c r="J202" i="2"/>
  <c r="N202" i="2" s="1"/>
  <c r="K202" i="2"/>
  <c r="J203" i="2"/>
  <c r="J204" i="2"/>
  <c r="J205" i="2"/>
  <c r="N205" i="2" s="1"/>
  <c r="K205" i="2"/>
  <c r="J206" i="2"/>
  <c r="J207" i="2"/>
  <c r="J208" i="2"/>
  <c r="J209" i="2"/>
  <c r="J210" i="2"/>
  <c r="J211" i="2"/>
  <c r="J212" i="2"/>
  <c r="N212" i="2" s="1"/>
  <c r="K212" i="2"/>
  <c r="J213" i="2"/>
  <c r="N213" i="2" s="1"/>
  <c r="K213" i="2"/>
  <c r="J214" i="2"/>
  <c r="J223" i="2"/>
  <c r="J224" i="2"/>
  <c r="J225" i="2"/>
  <c r="J226" i="2"/>
  <c r="N226" i="2" s="1"/>
  <c r="K226" i="2"/>
  <c r="J227" i="2"/>
  <c r="J228" i="2"/>
  <c r="J229" i="2"/>
  <c r="J230" i="2"/>
  <c r="J231" i="2"/>
  <c r="J233" i="2"/>
  <c r="J234" i="2"/>
  <c r="J235" i="2"/>
  <c r="J236" i="2"/>
  <c r="J237" i="2"/>
  <c r="J238" i="2"/>
  <c r="N238" i="2" s="1"/>
  <c r="K238" i="2"/>
  <c r="J239" i="2"/>
  <c r="J240" i="2"/>
  <c r="J241" i="2"/>
  <c r="J242" i="2"/>
  <c r="J243" i="2"/>
  <c r="J244" i="2"/>
  <c r="J245" i="2"/>
  <c r="J246" i="2"/>
  <c r="J247" i="2"/>
  <c r="J248" i="2"/>
  <c r="J249" i="2"/>
  <c r="J250" i="2"/>
  <c r="N250" i="2" s="1"/>
  <c r="K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N276" i="2" s="1"/>
  <c r="K276" i="2"/>
  <c r="J277" i="2"/>
  <c r="J278" i="2"/>
  <c r="J279" i="2"/>
  <c r="J280" i="2"/>
  <c r="N280" i="2" s="1"/>
  <c r="K280" i="2"/>
  <c r="J281" i="2"/>
  <c r="J282" i="2"/>
  <c r="J283" i="2"/>
  <c r="J284" i="2"/>
  <c r="J285" i="2"/>
  <c r="J286" i="2"/>
  <c r="J287" i="2"/>
  <c r="J288" i="2"/>
  <c r="J289" i="2"/>
  <c r="J290" i="2"/>
  <c r="J291" i="2"/>
  <c r="J292" i="2"/>
  <c r="J293" i="2"/>
  <c r="N293" i="2" s="1"/>
  <c r="K293" i="2"/>
  <c r="J294" i="2"/>
  <c r="N294" i="2" s="1"/>
  <c r="K294" i="2"/>
  <c r="J295" i="2"/>
  <c r="J296" i="2"/>
  <c r="J297" i="2"/>
  <c r="N297" i="2" s="1"/>
  <c r="K297" i="2"/>
  <c r="J299" i="2"/>
  <c r="J300" i="2"/>
  <c r="J301" i="2"/>
  <c r="J302" i="2"/>
  <c r="J303" i="2"/>
  <c r="J304" i="2"/>
  <c r="J305" i="2"/>
  <c r="J306" i="2"/>
  <c r="J307" i="2"/>
  <c r="J308" i="2"/>
  <c r="J309" i="2"/>
  <c r="J310" i="2"/>
  <c r="J311" i="2"/>
  <c r="J312" i="2"/>
  <c r="J313" i="2"/>
  <c r="J314" i="2"/>
  <c r="J315" i="2"/>
  <c r="J316" i="2"/>
  <c r="J317" i="2"/>
  <c r="J318" i="2"/>
  <c r="J319" i="2"/>
  <c r="N319" i="2" s="1"/>
  <c r="K319" i="2"/>
  <c r="J320" i="2"/>
  <c r="J321" i="2"/>
  <c r="N321" i="2" s="1"/>
  <c r="K321" i="2"/>
  <c r="J322" i="2"/>
  <c r="N322" i="2" s="1"/>
  <c r="K322" i="2"/>
  <c r="J323" i="2"/>
  <c r="N323" i="2" s="1"/>
  <c r="K323" i="2"/>
  <c r="J324" i="2"/>
  <c r="J325" i="2"/>
  <c r="J326" i="2"/>
  <c r="J327" i="2"/>
  <c r="J328" i="2"/>
  <c r="J329" i="2"/>
  <c r="J330" i="2"/>
  <c r="J331" i="2"/>
  <c r="J332" i="2"/>
  <c r="J333" i="2"/>
  <c r="J334" i="2"/>
  <c r="J335" i="2"/>
  <c r="J336" i="2"/>
  <c r="J337" i="2"/>
  <c r="J338" i="2"/>
  <c r="J339" i="2"/>
  <c r="J340" i="2"/>
  <c r="J341" i="2"/>
  <c r="J342" i="2"/>
  <c r="N342" i="2" s="1"/>
  <c r="K342" i="2"/>
  <c r="J343" i="2"/>
  <c r="J344" i="2"/>
  <c r="J345" i="2"/>
  <c r="J346" i="2"/>
  <c r="J347" i="2"/>
  <c r="J348" i="2"/>
  <c r="J349" i="2"/>
  <c r="J350" i="2"/>
  <c r="N350" i="2" s="1"/>
  <c r="K350" i="2"/>
  <c r="J351" i="2"/>
  <c r="J352" i="2"/>
  <c r="J353" i="2"/>
  <c r="J354" i="2"/>
  <c r="J355" i="2"/>
  <c r="J356" i="2"/>
  <c r="N356" i="2" s="1"/>
  <c r="K356" i="2"/>
  <c r="J357" i="2"/>
  <c r="J358" i="2"/>
  <c r="J359" i="2"/>
  <c r="J360" i="2"/>
  <c r="J361" i="2"/>
  <c r="J362" i="2"/>
  <c r="N362" i="2" s="1"/>
  <c r="K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2" i="2"/>
  <c r="J403" i="2"/>
  <c r="J404" i="2"/>
  <c r="J405" i="2"/>
  <c r="J406" i="2"/>
  <c r="J407" i="2"/>
  <c r="J408" i="2"/>
  <c r="J409" i="2"/>
  <c r="J410" i="2"/>
  <c r="J411" i="2"/>
  <c r="J412" i="2"/>
  <c r="J413" i="2"/>
  <c r="J414" i="2"/>
  <c r="J415" i="2"/>
  <c r="J416" i="2"/>
  <c r="J417" i="2"/>
  <c r="J418" i="2"/>
  <c r="J419" i="2"/>
  <c r="J420" i="2"/>
  <c r="J421" i="2"/>
  <c r="J422" i="2"/>
  <c r="N422" i="2" s="1"/>
  <c r="K422" i="2"/>
  <c r="J423" i="2"/>
  <c r="N423" i="2" s="1"/>
  <c r="K423" i="2"/>
  <c r="J424" i="2"/>
  <c r="J425" i="2"/>
  <c r="J426" i="2"/>
  <c r="J427" i="2"/>
  <c r="J428" i="2"/>
  <c r="J429" i="2"/>
  <c r="J430" i="2"/>
  <c r="J431" i="2"/>
  <c r="J432" i="2"/>
  <c r="J434" i="2"/>
  <c r="J435" i="2"/>
  <c r="J436" i="2"/>
  <c r="J437" i="2"/>
  <c r="J438" i="2"/>
  <c r="J439" i="2"/>
  <c r="J440" i="2"/>
  <c r="J441" i="2"/>
  <c r="J442" i="2"/>
  <c r="J443" i="2"/>
  <c r="J444" i="2"/>
  <c r="J445" i="2"/>
  <c r="J446" i="2"/>
  <c r="J447" i="2"/>
  <c r="J448" i="2"/>
  <c r="J449" i="2"/>
  <c r="J450" i="2"/>
  <c r="J451" i="2"/>
  <c r="J452" i="2"/>
  <c r="J453" i="2"/>
  <c r="N453" i="2" s="1"/>
  <c r="K453" i="2"/>
  <c r="J454" i="2"/>
  <c r="N454" i="2" s="1"/>
  <c r="K454" i="2"/>
  <c r="J455" i="2"/>
  <c r="J456" i="2"/>
  <c r="J457" i="2"/>
  <c r="N457" i="2" s="1"/>
  <c r="K457" i="2"/>
  <c r="J458" i="2"/>
  <c r="J459" i="2"/>
  <c r="J460" i="2"/>
  <c r="J461" i="2"/>
  <c r="J462" i="2"/>
  <c r="J463" i="2"/>
  <c r="J464" i="2"/>
  <c r="J465" i="2"/>
  <c r="J466" i="2"/>
  <c r="J467" i="2"/>
  <c r="J468" i="2"/>
  <c r="J469" i="2"/>
  <c r="J470" i="2"/>
  <c r="J471" i="2"/>
  <c r="J472" i="2"/>
  <c r="N472" i="2" s="1"/>
  <c r="K472" i="2"/>
  <c r="J473" i="2"/>
  <c r="J474" i="2"/>
  <c r="J475" i="2"/>
  <c r="N475" i="2" s="1"/>
  <c r="K475" i="2"/>
  <c r="J476" i="2"/>
  <c r="N476" i="2" s="1"/>
  <c r="K476" i="2"/>
  <c r="J477" i="2"/>
  <c r="N477" i="2" s="1"/>
  <c r="K477" i="2"/>
  <c r="J478" i="2"/>
  <c r="J480" i="2"/>
  <c r="J481" i="2"/>
  <c r="J482" i="2"/>
  <c r="J483" i="2"/>
  <c r="J484" i="2"/>
  <c r="J485" i="2"/>
  <c r="J486" i="2"/>
  <c r="N486" i="2" s="1"/>
  <c r="K486" i="2"/>
  <c r="J487" i="2"/>
  <c r="J488" i="2"/>
  <c r="J489" i="2"/>
  <c r="J490" i="2"/>
  <c r="J491" i="2"/>
  <c r="J492" i="2"/>
  <c r="J493" i="2"/>
  <c r="N493" i="2" s="1"/>
  <c r="K493" i="2"/>
  <c r="J494" i="2"/>
  <c r="J495" i="2"/>
  <c r="J496" i="2"/>
  <c r="J497" i="2"/>
  <c r="J498" i="2"/>
  <c r="J499" i="2"/>
  <c r="J500" i="2"/>
  <c r="J501" i="2"/>
  <c r="J502" i="2"/>
  <c r="N502" i="2" s="1"/>
  <c r="K502" i="2"/>
  <c r="J503" i="2"/>
  <c r="N503" i="2" s="1"/>
  <c r="K503" i="2"/>
  <c r="J504" i="2"/>
  <c r="N504" i="2" s="1"/>
  <c r="K504" i="2"/>
  <c r="J505" i="2"/>
  <c r="J506" i="2"/>
  <c r="J507" i="2"/>
  <c r="J508" i="2"/>
  <c r="J509" i="2"/>
  <c r="J510" i="2"/>
  <c r="N510" i="2" s="1"/>
  <c r="K510" i="2"/>
  <c r="J511" i="2"/>
  <c r="J512" i="2"/>
  <c r="J514" i="2"/>
  <c r="J515" i="2"/>
  <c r="N515" i="2" s="1"/>
  <c r="K515" i="2"/>
  <c r="J516" i="2"/>
  <c r="J517" i="2"/>
  <c r="N517" i="2" s="1"/>
  <c r="K517" i="2"/>
  <c r="J519" i="2"/>
  <c r="J520" i="2"/>
  <c r="J521" i="2"/>
  <c r="J522" i="2"/>
  <c r="J523" i="2"/>
  <c r="N523" i="2" s="1"/>
  <c r="K523" i="2"/>
  <c r="J524" i="2"/>
  <c r="J525" i="2"/>
  <c r="N525" i="2" s="1"/>
  <c r="K525" i="2"/>
  <c r="J526" i="2"/>
  <c r="J527" i="2"/>
  <c r="J528" i="2"/>
  <c r="J529" i="2"/>
  <c r="J530" i="2"/>
  <c r="J531" i="2"/>
  <c r="J532" i="2"/>
  <c r="J533" i="2"/>
  <c r="J534" i="2"/>
  <c r="J535" i="2"/>
  <c r="J536" i="2"/>
  <c r="J537" i="2"/>
  <c r="N537" i="2" s="1"/>
  <c r="K537" i="2"/>
  <c r="J538" i="2"/>
  <c r="J539" i="2"/>
  <c r="J540" i="2"/>
  <c r="J541" i="2"/>
  <c r="J542" i="2"/>
  <c r="N542" i="2" s="1"/>
  <c r="K542" i="2"/>
  <c r="J543" i="2"/>
  <c r="J544" i="2"/>
  <c r="J545" i="2"/>
  <c r="J546" i="2"/>
  <c r="J547" i="2"/>
  <c r="N547" i="2" s="1"/>
  <c r="K547" i="2"/>
  <c r="J548" i="2"/>
  <c r="J549" i="2"/>
  <c r="J550" i="2"/>
  <c r="N550" i="2" s="1"/>
  <c r="K550" i="2"/>
  <c r="J551" i="2"/>
  <c r="J552" i="2"/>
  <c r="J553" i="2"/>
  <c r="J554" i="2"/>
  <c r="N554" i="2" s="1"/>
  <c r="K554" i="2"/>
  <c r="J555" i="2"/>
  <c r="J556" i="2"/>
  <c r="J557" i="2"/>
  <c r="J558" i="2"/>
  <c r="J559" i="2"/>
  <c r="J560" i="2"/>
  <c r="J561" i="2"/>
  <c r="J562" i="2"/>
  <c r="N562" i="2" s="1"/>
  <c r="K562" i="2"/>
  <c r="J563" i="2"/>
  <c r="J564" i="2"/>
  <c r="J565" i="2"/>
  <c r="N565" i="2" s="1"/>
  <c r="K565" i="2"/>
  <c r="J566" i="2"/>
  <c r="J567" i="2"/>
  <c r="J568" i="2"/>
  <c r="J569" i="2"/>
  <c r="J570" i="2"/>
  <c r="J571" i="2"/>
  <c r="N571" i="2" s="1"/>
  <c r="K571" i="2"/>
  <c r="J572" i="2"/>
  <c r="J573" i="2"/>
  <c r="J574" i="2"/>
  <c r="J575" i="2"/>
  <c r="J576" i="2"/>
  <c r="J577" i="2"/>
  <c r="J578" i="2"/>
  <c r="J579" i="2"/>
  <c r="J580" i="2"/>
  <c r="J581" i="2"/>
  <c r="J582" i="2"/>
  <c r="N582" i="2" s="1"/>
  <c r="K582" i="2"/>
  <c r="J583" i="2"/>
  <c r="N583" i="2" s="1"/>
  <c r="K583" i="2"/>
  <c r="J584" i="2"/>
  <c r="J585" i="2"/>
  <c r="J586" i="2"/>
  <c r="J587" i="2"/>
  <c r="J588" i="2"/>
  <c r="J589" i="2"/>
  <c r="J590" i="2"/>
  <c r="J591" i="2"/>
  <c r="J592" i="2"/>
  <c r="J593" i="2"/>
  <c r="J594" i="2"/>
  <c r="J595" i="2"/>
  <c r="N595" i="2" s="1"/>
  <c r="K595" i="2"/>
  <c r="J596" i="2"/>
  <c r="J597" i="2"/>
  <c r="J598" i="2"/>
  <c r="J599" i="2"/>
  <c r="N599" i="2" s="1"/>
  <c r="K599" i="2"/>
  <c r="J600" i="2"/>
  <c r="J601" i="2"/>
  <c r="N601" i="2" s="1"/>
  <c r="K601" i="2"/>
  <c r="J602" i="2"/>
  <c r="J603" i="2"/>
  <c r="J604" i="2"/>
  <c r="N604" i="2" s="1"/>
  <c r="K604" i="2"/>
  <c r="J605" i="2"/>
  <c r="J606" i="2"/>
  <c r="J607" i="2"/>
  <c r="J608" i="2"/>
  <c r="J609" i="2"/>
  <c r="J610" i="2"/>
  <c r="N610" i="2" s="1"/>
  <c r="K610" i="2"/>
  <c r="J611" i="2"/>
  <c r="J612" i="2"/>
  <c r="J613" i="2"/>
  <c r="J615" i="2"/>
  <c r="J616" i="2"/>
  <c r="J617" i="2"/>
  <c r="J618" i="2"/>
  <c r="N618" i="2" s="1"/>
  <c r="K618" i="2"/>
  <c r="J619" i="2"/>
  <c r="J620" i="2"/>
  <c r="J621" i="2"/>
  <c r="J622" i="2"/>
  <c r="J623" i="2"/>
  <c r="J624" i="2"/>
  <c r="J625" i="2"/>
  <c r="J626" i="2"/>
  <c r="N626" i="2" s="1"/>
  <c r="K626" i="2"/>
  <c r="J627" i="2"/>
  <c r="N627" i="2" s="1"/>
  <c r="K627" i="2"/>
  <c r="J628" i="2"/>
  <c r="J629" i="2"/>
  <c r="J630" i="2"/>
  <c r="N630" i="2" s="1"/>
  <c r="K630" i="2"/>
  <c r="J631" i="2"/>
  <c r="J633" i="2"/>
  <c r="J634" i="2"/>
  <c r="J635" i="2"/>
  <c r="N635" i="2" s="1"/>
  <c r="K635" i="2"/>
  <c r="J636" i="2"/>
  <c r="J637" i="2"/>
  <c r="J638" i="2"/>
  <c r="N638" i="2" s="1"/>
  <c r="K638" i="2"/>
  <c r="J639" i="2"/>
  <c r="N639" i="2" s="1"/>
  <c r="K639" i="2"/>
  <c r="J640" i="2"/>
  <c r="J641" i="2"/>
  <c r="J642" i="2"/>
  <c r="N642" i="2" s="1"/>
  <c r="K642" i="2"/>
  <c r="J643" i="2"/>
  <c r="N643" i="2" s="1"/>
  <c r="K643" i="2"/>
  <c r="J644" i="2"/>
  <c r="J645" i="2"/>
  <c r="N645" i="2" s="1"/>
  <c r="K645" i="2"/>
  <c r="J646" i="2"/>
  <c r="J647" i="2"/>
  <c r="J648" i="2"/>
  <c r="N648" i="2" s="1"/>
  <c r="K648" i="2"/>
  <c r="J649" i="2"/>
  <c r="J650" i="2"/>
  <c r="J651" i="2"/>
  <c r="N651" i="2" s="1"/>
  <c r="K651" i="2"/>
  <c r="J652" i="2"/>
  <c r="J653" i="2"/>
  <c r="N653" i="2" s="1"/>
  <c r="K653" i="2"/>
  <c r="J654" i="2"/>
  <c r="J655" i="2"/>
  <c r="J656" i="2"/>
  <c r="N656" i="2" s="1"/>
  <c r="K656" i="2"/>
  <c r="J657" i="2"/>
  <c r="J658" i="2"/>
  <c r="J659" i="2"/>
  <c r="N659" i="2" s="1"/>
  <c r="K659" i="2"/>
  <c r="J660" i="2"/>
  <c r="J661" i="2"/>
  <c r="J662" i="2"/>
  <c r="J663" i="2"/>
  <c r="J664" i="2"/>
  <c r="J666" i="2"/>
  <c r="J667" i="2"/>
  <c r="J668" i="2"/>
  <c r="J669" i="2"/>
  <c r="J670" i="2"/>
  <c r="J671" i="2"/>
  <c r="J672" i="2"/>
  <c r="J673" i="2"/>
  <c r="J674" i="2"/>
  <c r="J675" i="2"/>
  <c r="J676" i="2"/>
  <c r="J677" i="2"/>
  <c r="J678" i="2"/>
  <c r="J679" i="2"/>
  <c r="N679" i="2" s="1"/>
  <c r="K679" i="2"/>
  <c r="J680" i="2"/>
  <c r="N680" i="2" s="1"/>
  <c r="K680" i="2"/>
  <c r="J681" i="2"/>
  <c r="N681" i="2" s="1"/>
  <c r="K681" i="2"/>
  <c r="J682" i="2"/>
  <c r="J683" i="2"/>
  <c r="J684" i="2"/>
  <c r="J685" i="2"/>
  <c r="J686" i="2"/>
  <c r="J687" i="2"/>
  <c r="J688" i="2"/>
  <c r="J689" i="2"/>
  <c r="J690" i="2"/>
  <c r="J691" i="2"/>
  <c r="J692" i="2"/>
  <c r="J693" i="2"/>
  <c r="J694" i="2"/>
  <c r="J695" i="2"/>
  <c r="J696" i="2"/>
  <c r="N696" i="2" s="1"/>
  <c r="K696" i="2"/>
  <c r="J697" i="2"/>
  <c r="J698" i="2"/>
  <c r="N698" i="2" s="1"/>
  <c r="K698" i="2"/>
  <c r="J699" i="2"/>
  <c r="J700" i="2"/>
  <c r="J701" i="2"/>
  <c r="J702" i="2"/>
  <c r="J703" i="2"/>
  <c r="J704" i="2"/>
  <c r="J705" i="2"/>
  <c r="J706" i="2"/>
  <c r="J707" i="2"/>
  <c r="J708" i="2"/>
  <c r="N708" i="2" s="1"/>
  <c r="K708" i="2"/>
  <c r="J709" i="2"/>
  <c r="N709" i="2" s="1"/>
  <c r="K709" i="2"/>
  <c r="J710" i="2"/>
  <c r="J711" i="2"/>
  <c r="N711" i="2" s="1"/>
  <c r="K711" i="2"/>
  <c r="J712" i="2"/>
  <c r="J713" i="2"/>
  <c r="J714" i="2"/>
  <c r="J715" i="2"/>
  <c r="J716" i="2"/>
  <c r="J717" i="2"/>
  <c r="J718" i="2"/>
  <c r="J719" i="2"/>
  <c r="J721" i="2"/>
  <c r="J722" i="2"/>
  <c r="J723" i="2"/>
  <c r="N723" i="2" s="1"/>
  <c r="K723" i="2"/>
  <c r="J724" i="2"/>
  <c r="N724" i="2" s="1"/>
  <c r="K724" i="2"/>
  <c r="J725" i="2"/>
  <c r="J726" i="2"/>
  <c r="J727" i="2"/>
  <c r="J728" i="2"/>
  <c r="J729" i="2"/>
  <c r="J730" i="2"/>
  <c r="J731" i="2"/>
  <c r="J732" i="2"/>
  <c r="J733" i="2"/>
  <c r="N733" i="2" s="1"/>
  <c r="K733" i="2"/>
  <c r="J734" i="2"/>
  <c r="J735" i="2"/>
  <c r="J737" i="2"/>
  <c r="J738" i="2"/>
  <c r="J739" i="2"/>
  <c r="J740" i="2"/>
  <c r="N740" i="2" s="1"/>
  <c r="K740" i="2"/>
  <c r="J741" i="2"/>
  <c r="J742" i="2"/>
  <c r="J744" i="2"/>
  <c r="J745" i="2"/>
  <c r="J746" i="2"/>
  <c r="N746" i="2" s="1"/>
  <c r="K746" i="2"/>
  <c r="J747" i="2"/>
  <c r="J748" i="2"/>
  <c r="J749" i="2"/>
  <c r="J750" i="2"/>
  <c r="J751" i="2"/>
  <c r="J752" i="2"/>
  <c r="J753" i="2"/>
  <c r="J754" i="2"/>
  <c r="J755" i="2"/>
  <c r="N755" i="2" s="1"/>
  <c r="K755" i="2"/>
  <c r="J756" i="2"/>
  <c r="J757" i="2"/>
  <c r="J758" i="2"/>
  <c r="J759" i="2"/>
  <c r="N759" i="2" s="1"/>
  <c r="K759" i="2"/>
  <c r="J760" i="2"/>
  <c r="J761" i="2"/>
  <c r="J762" i="2"/>
  <c r="J763" i="2"/>
  <c r="J764" i="2"/>
  <c r="J765" i="2"/>
  <c r="J2" i="2"/>
  <c r="G111" i="2"/>
  <c r="H111" i="2" s="1"/>
  <c r="G120" i="2"/>
  <c r="H120" i="2" s="1"/>
  <c r="G121" i="2"/>
  <c r="H121" i="2" s="1"/>
  <c r="G203" i="2"/>
  <c r="H203" i="2" s="1"/>
  <c r="G129" i="2"/>
  <c r="H129" i="2" s="1"/>
  <c r="G4" i="2"/>
  <c r="H4" i="2" s="1"/>
  <c r="G231" i="2"/>
  <c r="H231" i="2" s="1"/>
  <c r="G235" i="2"/>
  <c r="H235" i="2" s="1"/>
  <c r="G236" i="2"/>
  <c r="H236" i="2" s="1"/>
  <c r="G238" i="2"/>
  <c r="H238" i="2" s="1"/>
  <c r="G242" i="2"/>
  <c r="H242" i="2"/>
  <c r="G246" i="2"/>
  <c r="H246" i="2" s="1"/>
  <c r="G254" i="2"/>
  <c r="H254" i="2" s="1"/>
  <c r="G258" i="2"/>
  <c r="H258" i="2" s="1"/>
  <c r="G273" i="2"/>
  <c r="H273" i="2" s="1"/>
  <c r="G289" i="2"/>
  <c r="H289" i="2" s="1"/>
  <c r="G323" i="2"/>
  <c r="H323" i="2" s="1"/>
  <c r="G335" i="2"/>
  <c r="H335" i="2" s="1"/>
  <c r="G337" i="2"/>
  <c r="H337" i="2" s="1"/>
  <c r="G343" i="2"/>
  <c r="H343" i="2" s="1"/>
  <c r="G352" i="2"/>
  <c r="H352" i="2" s="1"/>
  <c r="G464" i="2"/>
  <c r="H464" i="2" s="1"/>
  <c r="G475" i="2"/>
  <c r="H475" i="2" s="1"/>
  <c r="G482" i="2"/>
  <c r="H482" i="2" s="1"/>
  <c r="G499" i="2"/>
  <c r="H499" i="2" s="1"/>
  <c r="G504" i="2"/>
  <c r="H504" i="2" s="1"/>
  <c r="G506" i="2"/>
  <c r="H506" i="2" s="1"/>
  <c r="G523" i="2"/>
  <c r="H523" i="2" s="1"/>
  <c r="G535" i="2"/>
  <c r="H535" i="2" s="1"/>
  <c r="G545" i="2"/>
  <c r="H545" i="2" s="1"/>
  <c r="G547" i="2"/>
  <c r="H547" i="2" s="1"/>
  <c r="G551" i="2"/>
  <c r="H551" i="2" s="1"/>
  <c r="G552" i="2"/>
  <c r="H552" i="2" s="1"/>
  <c r="G562" i="2"/>
  <c r="H562" i="2" s="1"/>
  <c r="G563" i="2"/>
  <c r="H563" i="2" s="1"/>
  <c r="G569" i="2"/>
  <c r="H569" i="2" s="1"/>
  <c r="G570" i="2"/>
  <c r="H570" i="2" s="1"/>
  <c r="G575" i="2"/>
  <c r="H575" i="2" s="1"/>
  <c r="G585" i="2"/>
  <c r="H585" i="2" s="1"/>
  <c r="G590" i="2"/>
  <c r="H590" i="2" s="1"/>
  <c r="G591" i="2"/>
  <c r="H591" i="2" s="1"/>
  <c r="G674" i="2"/>
  <c r="H674" i="2" s="1"/>
  <c r="G680" i="2"/>
  <c r="H680" i="2" s="1"/>
  <c r="G686" i="2"/>
  <c r="H686" i="2" s="1"/>
  <c r="G713" i="2"/>
  <c r="H713" i="2" s="1"/>
  <c r="G725" i="2"/>
  <c r="H725" i="2" s="1"/>
  <c r="G731" i="2"/>
  <c r="H731" i="2" s="1"/>
  <c r="G742" i="2"/>
  <c r="H742" i="2" s="1"/>
  <c r="G749" i="2"/>
  <c r="H749" i="2" s="1"/>
  <c r="G751" i="2"/>
  <c r="H751" i="2" s="1"/>
  <c r="G753" i="2"/>
  <c r="H753" i="2" s="1"/>
  <c r="G759" i="2"/>
  <c r="H759" i="2" s="1"/>
  <c r="G760" i="2"/>
  <c r="H760" i="2" s="1"/>
  <c r="G761" i="2"/>
  <c r="H761" i="2" s="1"/>
  <c r="G762" i="2"/>
  <c r="H762" i="2" s="1"/>
  <c r="G40" i="2"/>
  <c r="H40" i="2" s="1"/>
  <c r="G57" i="2"/>
  <c r="H57" i="2" s="1"/>
  <c r="G61" i="2"/>
  <c r="H61" i="2" s="1"/>
  <c r="G72" i="2"/>
  <c r="H72" i="2" s="1"/>
  <c r="G82" i="2"/>
  <c r="H82" i="2" s="1"/>
  <c r="G146" i="2"/>
  <c r="H146" i="2" s="1"/>
  <c r="G153" i="2"/>
  <c r="H153" i="2" s="1"/>
  <c r="G214" i="2"/>
  <c r="H214" i="2" s="1"/>
  <c r="G220" i="2"/>
  <c r="H220" i="2" s="1"/>
  <c r="G223" i="2"/>
  <c r="H223" i="2" s="1"/>
  <c r="G227" i="2"/>
  <c r="H227" i="2" s="1"/>
  <c r="G228" i="2"/>
  <c r="H228" i="2" s="1"/>
  <c r="G229" i="2"/>
  <c r="H229" i="2" s="1"/>
  <c r="G293" i="2"/>
  <c r="H293" i="2" s="1"/>
  <c r="G295" i="2"/>
  <c r="H295" i="2" s="1"/>
  <c r="G302" i="2"/>
  <c r="H302" i="2" s="1"/>
  <c r="G306" i="2"/>
  <c r="H306" i="2" s="1"/>
  <c r="G360" i="2"/>
  <c r="H360" i="2" s="1"/>
  <c r="G364" i="2"/>
  <c r="H364" i="2" s="1"/>
  <c r="G366" i="2"/>
  <c r="H366" i="2" s="1"/>
  <c r="G368" i="2"/>
  <c r="H368" i="2" s="1"/>
  <c r="G375" i="2"/>
  <c r="H375" i="2" s="1"/>
  <c r="G382" i="2"/>
  <c r="H382" i="2" s="1"/>
  <c r="G394" i="2"/>
  <c r="H394" i="2" s="1"/>
  <c r="G396" i="2"/>
  <c r="H396" i="2" s="1"/>
  <c r="G404" i="2"/>
  <c r="H404" i="2" s="1"/>
  <c r="G406" i="2"/>
  <c r="H406" i="2" s="1"/>
  <c r="G423" i="2"/>
  <c r="H423" i="2" s="1"/>
  <c r="G424" i="2"/>
  <c r="H424" i="2" s="1"/>
  <c r="G431" i="2"/>
  <c r="H431" i="2" s="1"/>
  <c r="G440" i="2"/>
  <c r="H440" i="2" s="1"/>
  <c r="G605" i="2"/>
  <c r="H605" i="2" s="1"/>
  <c r="G606" i="2"/>
  <c r="H606" i="2" s="1"/>
  <c r="G617" i="2"/>
  <c r="H617" i="2" s="1"/>
  <c r="G629" i="2"/>
  <c r="H629" i="2" s="1"/>
  <c r="G633" i="2"/>
  <c r="H633" i="2" s="1"/>
  <c r="G639" i="2"/>
  <c r="H639" i="2" s="1"/>
  <c r="G640" i="2"/>
  <c r="H640" i="2" s="1"/>
  <c r="G649" i="2"/>
  <c r="H649" i="2" s="1"/>
  <c r="G658" i="2"/>
  <c r="H658" i="2" s="1"/>
  <c r="G660" i="2"/>
  <c r="H660" i="2" s="1"/>
  <c r="G666" i="2"/>
  <c r="H666" i="2" s="1"/>
  <c r="H64" i="2"/>
  <c r="H73" i="2"/>
  <c r="H372" i="2"/>
  <c r="H84" i="2"/>
  <c r="H94" i="2"/>
  <c r="H110" i="2"/>
  <c r="H133" i="2"/>
  <c r="H159" i="2"/>
  <c r="H178" i="2"/>
  <c r="H179" i="2"/>
  <c r="H190" i="2"/>
  <c r="H219" i="2"/>
  <c r="H237" i="2"/>
  <c r="H260" i="2"/>
  <c r="H275" i="2"/>
  <c r="H307" i="2"/>
  <c r="H310" i="2"/>
  <c r="H737" i="2"/>
  <c r="H621" i="2"/>
  <c r="H685" i="2"/>
  <c r="H696" i="2"/>
  <c r="H703" i="2"/>
  <c r="H712" i="2"/>
  <c r="H715" i="2"/>
  <c r="H727" i="2"/>
  <c r="H728" i="2"/>
  <c r="H746" i="2"/>
  <c r="H747" i="2"/>
  <c r="H755" i="2"/>
  <c r="H756" i="2"/>
  <c r="H763" i="2"/>
  <c r="H63" i="2"/>
  <c r="H154" i="2"/>
  <c r="H22" i="2"/>
  <c r="H74" i="2"/>
  <c r="H736" i="2"/>
  <c r="G527" i="2"/>
  <c r="H527" i="2" s="1"/>
  <c r="G691" i="2"/>
  <c r="H691" i="2" s="1"/>
  <c r="G670" i="2"/>
  <c r="H670" i="2" s="1"/>
  <c r="G754" i="2"/>
  <c r="H754" i="2" s="1"/>
  <c r="G603" i="2"/>
  <c r="H603" i="2" s="1"/>
  <c r="G595" i="2"/>
  <c r="H595" i="2" s="1"/>
  <c r="G739" i="2"/>
  <c r="H739" i="2" s="1"/>
  <c r="G716" i="2"/>
  <c r="H716" i="2" s="1"/>
  <c r="G697" i="2"/>
  <c r="H697" i="2" s="1"/>
  <c r="G664" i="2"/>
  <c r="H664" i="2" s="1"/>
  <c r="G647" i="2"/>
  <c r="H647" i="2" s="1"/>
  <c r="G614" i="2"/>
  <c r="H614" i="2" s="1"/>
  <c r="G573" i="2"/>
  <c r="H573" i="2" s="1"/>
  <c r="G764" i="2"/>
  <c r="H764" i="2" s="1"/>
  <c r="G741" i="2"/>
  <c r="H741" i="2" s="1"/>
  <c r="G729" i="2"/>
  <c r="H729" i="2" s="1"/>
  <c r="G711" i="2"/>
  <c r="H711" i="2" s="1"/>
  <c r="G705" i="2"/>
  <c r="H705" i="2" s="1"/>
  <c r="G702" i="2"/>
  <c r="H702" i="2" s="1"/>
  <c r="G699" i="2"/>
  <c r="H699" i="2" s="1"/>
  <c r="G687" i="2"/>
  <c r="H687" i="2" s="1"/>
  <c r="G738" i="2"/>
  <c r="H738" i="2" s="1"/>
  <c r="G708" i="2"/>
  <c r="H708" i="2" s="1"/>
  <c r="G701" i="2"/>
  <c r="H701" i="2" s="1"/>
  <c r="G690" i="2"/>
  <c r="H690" i="2" s="1"/>
  <c r="G672" i="2"/>
  <c r="H672" i="2" s="1"/>
  <c r="G657" i="2"/>
  <c r="H657" i="2" s="1"/>
  <c r="G619" i="2"/>
  <c r="H619" i="2" s="1"/>
  <c r="G604" i="2"/>
  <c r="H604" i="2" s="1"/>
  <c r="G750" i="2"/>
  <c r="H750" i="2" s="1"/>
  <c r="G726" i="2"/>
  <c r="H726" i="2" s="1"/>
  <c r="G695" i="2"/>
  <c r="H695" i="2" s="1"/>
  <c r="G693" i="2"/>
  <c r="H693" i="2" s="1"/>
  <c r="G710" i="2"/>
  <c r="H710" i="2" s="1"/>
  <c r="G704" i="2"/>
  <c r="H704" i="2" s="1"/>
  <c r="G684" i="2"/>
  <c r="H684" i="2" s="1"/>
  <c r="G667" i="2"/>
  <c r="H667" i="2" s="1"/>
  <c r="G663" i="2"/>
  <c r="H663" i="2" s="1"/>
  <c r="G637" i="2"/>
  <c r="H637" i="2" s="1"/>
  <c r="G626" i="2"/>
  <c r="H626" i="2" s="1"/>
  <c r="G735" i="2"/>
  <c r="H735" i="2" s="1"/>
  <c r="G718" i="2"/>
  <c r="H718" i="2" s="1"/>
  <c r="G689" i="2"/>
  <c r="H689" i="2" s="1"/>
  <c r="G643" i="2"/>
  <c r="H643" i="2" s="1"/>
  <c r="G632" i="2"/>
  <c r="H632" i="2" s="1"/>
  <c r="G624" i="2"/>
  <c r="H624" i="2" s="1"/>
  <c r="G748" i="2"/>
  <c r="H748" i="2" s="1"/>
  <c r="G671" i="2"/>
  <c r="H671" i="2" s="1"/>
  <c r="G757" i="2"/>
  <c r="H757" i="2" s="1"/>
  <c r="G723" i="2"/>
  <c r="H723" i="2" s="1"/>
  <c r="G678" i="2"/>
  <c r="H678" i="2" s="1"/>
  <c r="G654" i="2"/>
  <c r="H654" i="2" s="1"/>
  <c r="G628" i="2"/>
  <c r="H628" i="2" s="1"/>
  <c r="G636" i="2"/>
  <c r="H636" i="2" s="1"/>
  <c r="G615" i="2"/>
  <c r="H615" i="2" s="1"/>
  <c r="G578" i="2"/>
  <c r="H578" i="2" s="1"/>
  <c r="G758" i="2"/>
  <c r="H758" i="2" s="1"/>
  <c r="G745" i="2"/>
  <c r="H745" i="2" s="1"/>
  <c r="G681" i="2"/>
  <c r="H681" i="2" s="1"/>
  <c r="G646" i="2"/>
  <c r="H646" i="2" s="1"/>
  <c r="G765" i="2"/>
  <c r="H765" i="2" s="1"/>
  <c r="G730" i="2"/>
  <c r="H730" i="2" s="1"/>
  <c r="G720" i="2"/>
  <c r="H720" i="2" s="1"/>
  <c r="G717" i="2"/>
  <c r="H717" i="2" s="1"/>
  <c r="G714" i="2"/>
  <c r="H714" i="2" s="1"/>
  <c r="G706" i="2"/>
  <c r="H706" i="2" s="1"/>
  <c r="G656" i="2"/>
  <c r="H656" i="2" s="1"/>
  <c r="G571" i="2"/>
  <c r="H571" i="2" s="1"/>
  <c r="H601" i="2"/>
  <c r="H592" i="2"/>
  <c r="G584" i="2"/>
  <c r="H584" i="2" s="1"/>
  <c r="G577" i="2"/>
  <c r="H577" i="2" s="1"/>
  <c r="G555" i="2"/>
  <c r="H555" i="2" s="1"/>
  <c r="H548" i="2"/>
  <c r="G496" i="2"/>
  <c r="H496" i="2" s="1"/>
  <c r="H598" i="2"/>
  <c r="H586" i="2"/>
  <c r="H558" i="2"/>
  <c r="H744" i="2"/>
  <c r="H733" i="2"/>
  <c r="H609" i="2"/>
  <c r="H588" i="2"/>
  <c r="G559" i="2"/>
  <c r="H559" i="2" s="1"/>
  <c r="G544" i="2"/>
  <c r="H544" i="2" s="1"/>
  <c r="G542" i="2"/>
  <c r="H542" i="2" s="1"/>
  <c r="G539" i="2"/>
  <c r="H539" i="2" s="1"/>
  <c r="G534" i="2"/>
  <c r="H534" i="2" s="1"/>
  <c r="G528" i="2"/>
  <c r="H528" i="2" s="1"/>
  <c r="G525" i="2"/>
  <c r="H525" i="2" s="1"/>
  <c r="G508" i="2"/>
  <c r="H508" i="2" s="1"/>
  <c r="G490" i="2"/>
  <c r="H490" i="2" s="1"/>
  <c r="G468" i="2"/>
  <c r="H468" i="2" s="1"/>
  <c r="H752" i="2"/>
  <c r="H616" i="2"/>
  <c r="H566" i="2"/>
  <c r="G550" i="2"/>
  <c r="H550" i="2" s="1"/>
  <c r="G531" i="2"/>
  <c r="H531" i="2" s="1"/>
  <c r="G519" i="2"/>
  <c r="H519" i="2" s="1"/>
  <c r="G498" i="2"/>
  <c r="H498" i="2" s="1"/>
  <c r="G461" i="2"/>
  <c r="H461" i="2" s="1"/>
  <c r="H694" i="2"/>
  <c r="H683" i="2"/>
  <c r="H677" i="2"/>
  <c r="H661" i="2"/>
  <c r="H651" i="2"/>
  <c r="H641" i="2"/>
  <c r="H634" i="2"/>
  <c r="H623" i="2"/>
  <c r="H612" i="2"/>
  <c r="G600" i="2"/>
  <c r="H600" i="2" s="1"/>
  <c r="H583" i="2"/>
  <c r="G505" i="2"/>
  <c r="H505" i="2" s="1"/>
  <c r="H611" i="2"/>
  <c r="G556" i="2"/>
  <c r="H556" i="2" s="1"/>
  <c r="G553" i="2"/>
  <c r="H553" i="2" s="1"/>
  <c r="G543" i="2"/>
  <c r="H543" i="2" s="1"/>
  <c r="G538" i="2"/>
  <c r="H538" i="2" s="1"/>
  <c r="G485" i="2"/>
  <c r="H485" i="2" s="1"/>
  <c r="G457" i="2"/>
  <c r="H457" i="2" s="1"/>
  <c r="G565" i="2"/>
  <c r="H565" i="2" s="1"/>
  <c r="G561" i="2"/>
  <c r="H561" i="2" s="1"/>
  <c r="G446" i="2"/>
  <c r="H446" i="2" s="1"/>
  <c r="H673" i="2"/>
  <c r="H648" i="2"/>
  <c r="H608" i="2"/>
  <c r="H580" i="2"/>
  <c r="G568" i="2"/>
  <c r="H568" i="2" s="1"/>
  <c r="G541" i="2"/>
  <c r="H541" i="2" s="1"/>
  <c r="G524" i="2"/>
  <c r="H524" i="2" s="1"/>
  <c r="G510" i="2"/>
  <c r="H510" i="2" s="1"/>
  <c r="G501" i="2"/>
  <c r="H501" i="2" s="1"/>
  <c r="H599" i="2"/>
  <c r="G593" i="2"/>
  <c r="H593" i="2" s="1"/>
  <c r="G587" i="2"/>
  <c r="H587" i="2"/>
  <c r="G537" i="2"/>
  <c r="H537" i="2" s="1"/>
  <c r="G521" i="2"/>
  <c r="H521" i="2" s="1"/>
  <c r="H743" i="2"/>
  <c r="H732" i="2"/>
  <c r="H722" i="2"/>
  <c r="H679" i="2"/>
  <c r="H662" i="2"/>
  <c r="H653" i="2"/>
  <c r="H642" i="2"/>
  <c r="H635" i="2"/>
  <c r="H627" i="2"/>
  <c r="H613" i="2"/>
  <c r="H582" i="2"/>
  <c r="H574" i="2"/>
  <c r="G560" i="2"/>
  <c r="H560" i="2" s="1"/>
  <c r="H698" i="2"/>
  <c r="H688" i="2"/>
  <c r="H676" i="2"/>
  <c r="H610" i="2"/>
  <c r="H596" i="2"/>
  <c r="H594" i="2"/>
  <c r="G526" i="2"/>
  <c r="H526" i="2" s="1"/>
  <c r="H682" i="2"/>
  <c r="H652" i="2"/>
  <c r="G620" i="2"/>
  <c r="H620" i="2" s="1"/>
  <c r="G576" i="2"/>
  <c r="H576" i="2" s="1"/>
  <c r="G567" i="2"/>
  <c r="H567" i="2" s="1"/>
  <c r="H540" i="2"/>
  <c r="G488" i="2"/>
  <c r="H488" i="2" s="1"/>
  <c r="H529" i="2"/>
  <c r="H518" i="2"/>
  <c r="G403" i="2"/>
  <c r="H403" i="2" s="1"/>
  <c r="G515" i="2"/>
  <c r="H515" i="2" s="1"/>
  <c r="H514" i="2"/>
  <c r="H512" i="2"/>
  <c r="G502" i="2"/>
  <c r="H502" i="2" s="1"/>
  <c r="G494" i="2"/>
  <c r="H494" i="2" s="1"/>
  <c r="G473" i="2"/>
  <c r="H473" i="2" s="1"/>
  <c r="H455" i="2"/>
  <c r="G429" i="2"/>
  <c r="H429" i="2" s="1"/>
  <c r="G401" i="2"/>
  <c r="H401" i="2" s="1"/>
  <c r="G380" i="2"/>
  <c r="H380" i="2" s="1"/>
  <c r="H509" i="2"/>
  <c r="H500" i="2"/>
  <c r="G497" i="2"/>
  <c r="H497" i="2" s="1"/>
  <c r="G489" i="2"/>
  <c r="H489" i="2" s="1"/>
  <c r="G481" i="2"/>
  <c r="H481" i="2" s="1"/>
  <c r="H479" i="2"/>
  <c r="H476" i="2"/>
  <c r="G470" i="2"/>
  <c r="H470" i="2" s="1"/>
  <c r="G458" i="2"/>
  <c r="H458" i="2" s="1"/>
  <c r="G437" i="2"/>
  <c r="H437" i="2" s="1"/>
  <c r="G422" i="2"/>
  <c r="H422" i="2" s="1"/>
  <c r="G393" i="2"/>
  <c r="H393" i="2" s="1"/>
  <c r="H536" i="2"/>
  <c r="G520" i="2"/>
  <c r="H520" i="2" s="1"/>
  <c r="H460" i="2"/>
  <c r="G449" i="2"/>
  <c r="H449" i="2" s="1"/>
  <c r="H554" i="2"/>
  <c r="H549" i="2"/>
  <c r="H533" i="2"/>
  <c r="G462" i="2"/>
  <c r="H462" i="2" s="1"/>
  <c r="G418" i="2"/>
  <c r="H418" i="2" s="1"/>
  <c r="G511" i="2"/>
  <c r="H511" i="2" s="1"/>
  <c r="G493" i="2"/>
  <c r="H493" i="2" s="1"/>
  <c r="H492" i="2"/>
  <c r="G486" i="2"/>
  <c r="H486" i="2" s="1"/>
  <c r="H484" i="2"/>
  <c r="G469" i="2"/>
  <c r="H469" i="2" s="1"/>
  <c r="G463" i="2"/>
  <c r="H463" i="2" s="1"/>
  <c r="G428" i="2"/>
  <c r="H428" i="2" s="1"/>
  <c r="G410" i="2"/>
  <c r="H410" i="2" s="1"/>
  <c r="G448" i="2"/>
  <c r="H448" i="2" s="1"/>
  <c r="G445" i="2"/>
  <c r="H445" i="2" s="1"/>
  <c r="G439" i="2"/>
  <c r="H439" i="2" s="1"/>
  <c r="G392" i="2"/>
  <c r="H392" i="2" s="1"/>
  <c r="G371" i="2"/>
  <c r="H371" i="2" s="1"/>
  <c r="H472" i="2"/>
  <c r="G399" i="2"/>
  <c r="H399" i="2" s="1"/>
  <c r="G374" i="2"/>
  <c r="H374" i="2" s="1"/>
  <c r="H530" i="2"/>
  <c r="H467" i="2"/>
  <c r="G516" i="2"/>
  <c r="H516" i="2" s="1"/>
  <c r="H477" i="2"/>
  <c r="G474" i="2"/>
  <c r="H474" i="2" s="1"/>
  <c r="G430" i="2"/>
  <c r="H430" i="2" s="1"/>
  <c r="G427" i="2"/>
  <c r="H427" i="2" s="1"/>
  <c r="H532" i="2"/>
  <c r="H456" i="2"/>
  <c r="G447" i="2"/>
  <c r="H447" i="2" s="1"/>
  <c r="G438" i="2"/>
  <c r="H438" i="2" s="1"/>
  <c r="G436" i="2"/>
  <c r="H436" i="2" s="1"/>
  <c r="G420" i="2"/>
  <c r="H420" i="2" s="1"/>
  <c r="G454" i="2"/>
  <c r="H454" i="2" s="1"/>
  <c r="G412" i="2"/>
  <c r="H412" i="2" s="1"/>
  <c r="H361" i="2"/>
  <c r="G326" i="2"/>
  <c r="H326" i="2" s="1"/>
  <c r="G252" i="2"/>
  <c r="H252" i="2" s="1"/>
  <c r="H507" i="2"/>
  <c r="H491" i="2"/>
  <c r="H483" i="2"/>
  <c r="H465" i="2"/>
  <c r="H459" i="2"/>
  <c r="H453" i="2"/>
  <c r="H451" i="2"/>
  <c r="G384" i="2"/>
  <c r="H384" i="2" s="1"/>
  <c r="G341" i="2"/>
  <c r="H341" i="2" s="1"/>
  <c r="G362" i="2"/>
  <c r="H362" i="2" s="1"/>
  <c r="G353" i="2"/>
  <c r="H353" i="2" s="1"/>
  <c r="G299" i="2"/>
  <c r="H299" i="2" s="1"/>
  <c r="G292" i="2"/>
  <c r="H292" i="2" s="1"/>
  <c r="H443" i="2"/>
  <c r="H434" i="2"/>
  <c r="H416" i="2"/>
  <c r="H408" i="2"/>
  <c r="H390" i="2"/>
  <c r="H388" i="2"/>
  <c r="H365" i="2"/>
  <c r="G359" i="2"/>
  <c r="H359" i="2" s="1"/>
  <c r="G339" i="2"/>
  <c r="H339" i="2" s="1"/>
  <c r="G334" i="2"/>
  <c r="H334" i="2" s="1"/>
  <c r="G320" i="2"/>
  <c r="H320" i="2" s="1"/>
  <c r="G318" i="2"/>
  <c r="H318" i="2" s="1"/>
  <c r="G376" i="2"/>
  <c r="H376" i="2" s="1"/>
  <c r="G351" i="2"/>
  <c r="H351" i="2" s="1"/>
  <c r="G346" i="2"/>
  <c r="H346" i="2" s="1"/>
  <c r="G328" i="2"/>
  <c r="H328" i="2"/>
  <c r="G316" i="2"/>
  <c r="H316" i="2" s="1"/>
  <c r="G312" i="2"/>
  <c r="H312" i="2" s="1"/>
  <c r="G277" i="2"/>
  <c r="H277" i="2" s="1"/>
  <c r="G265" i="2"/>
  <c r="H265" i="2" s="1"/>
  <c r="H354" i="2"/>
  <c r="G336" i="2"/>
  <c r="H336" i="2" s="1"/>
  <c r="G379" i="2"/>
  <c r="H379" i="2" s="1"/>
  <c r="H377" i="2"/>
  <c r="G319" i="2"/>
  <c r="H319" i="2" s="1"/>
  <c r="G367" i="2"/>
  <c r="H367" i="2" s="1"/>
  <c r="G358" i="2"/>
  <c r="H358" i="2" s="1"/>
  <c r="G356" i="2"/>
  <c r="H356" i="2" s="1"/>
  <c r="H395" i="2"/>
  <c r="H385" i="2"/>
  <c r="G373" i="2"/>
  <c r="H373" i="2" s="1"/>
  <c r="G345" i="2"/>
  <c r="H345" i="2" s="1"/>
  <c r="H338" i="2"/>
  <c r="G330" i="2"/>
  <c r="H330" i="2" s="1"/>
  <c r="G324" i="2"/>
  <c r="H324" i="2" s="1"/>
  <c r="G276" i="2"/>
  <c r="H276" i="2" s="1"/>
  <c r="G267" i="2"/>
  <c r="H267" i="2" s="1"/>
  <c r="G387" i="2"/>
  <c r="H387" i="2" s="1"/>
  <c r="H350" i="2"/>
  <c r="G342" i="2"/>
  <c r="H342" i="2" s="1"/>
  <c r="H442" i="2"/>
  <c r="H433" i="2"/>
  <c r="H425" i="2"/>
  <c r="H421" i="2"/>
  <c r="H415" i="2"/>
  <c r="H413" i="2"/>
  <c r="H407" i="2"/>
  <c r="H402" i="2"/>
  <c r="H397" i="2"/>
  <c r="H378" i="2"/>
  <c r="G370" i="2"/>
  <c r="H370" i="2" s="1"/>
  <c r="H369" i="2"/>
  <c r="G270" i="2"/>
  <c r="H270" i="2" s="1"/>
  <c r="H444" i="2"/>
  <c r="H435" i="2"/>
  <c r="H426" i="2"/>
  <c r="G419" i="2"/>
  <c r="H419" i="2" s="1"/>
  <c r="H417" i="2"/>
  <c r="G411" i="2"/>
  <c r="H411" i="2" s="1"/>
  <c r="H409" i="2"/>
  <c r="G400" i="2"/>
  <c r="H400" i="2" s="1"/>
  <c r="H398" i="2"/>
  <c r="H389" i="2"/>
  <c r="G355" i="2"/>
  <c r="H355" i="2" s="1"/>
  <c r="G332" i="2"/>
  <c r="H332" i="2" s="1"/>
  <c r="G255" i="2"/>
  <c r="H255" i="2" s="1"/>
  <c r="H347" i="2"/>
  <c r="H329" i="2"/>
  <c r="H322" i="2"/>
  <c r="H315" i="2"/>
  <c r="H279" i="2"/>
  <c r="H243" i="2"/>
  <c r="G201" i="2"/>
  <c r="H201" i="2" s="1"/>
  <c r="G181" i="2"/>
  <c r="H181" i="2" s="1"/>
  <c r="H305" i="2"/>
  <c r="H303" i="2"/>
  <c r="H296" i="2"/>
  <c r="H281" i="2"/>
  <c r="G240" i="2"/>
  <c r="H240" i="2" s="1"/>
  <c r="H222" i="2"/>
  <c r="G212" i="2"/>
  <c r="H212" i="2" s="1"/>
  <c r="H327" i="2"/>
  <c r="H285" i="2"/>
  <c r="G194" i="2"/>
  <c r="H194" i="2" s="1"/>
  <c r="G169" i="2"/>
  <c r="H169" i="2" s="1"/>
  <c r="H283" i="2"/>
  <c r="G262" i="2"/>
  <c r="H262" i="2" s="1"/>
  <c r="H245" i="2"/>
  <c r="G233" i="2"/>
  <c r="H233" i="2" s="1"/>
  <c r="G217" i="2"/>
  <c r="H217" i="2" s="1"/>
  <c r="G192" i="2"/>
  <c r="H192" i="2" s="1"/>
  <c r="G137" i="2"/>
  <c r="H137" i="2" s="1"/>
  <c r="G118" i="2"/>
  <c r="H118" i="2" s="1"/>
  <c r="H313" i="2"/>
  <c r="H287" i="2"/>
  <c r="H274" i="2"/>
  <c r="G272" i="2"/>
  <c r="H272" i="2" s="1"/>
  <c r="H264" i="2"/>
  <c r="G256" i="2"/>
  <c r="H256" i="2" s="1"/>
  <c r="G247" i="2"/>
  <c r="H247" i="2" s="1"/>
  <c r="H224" i="2"/>
  <c r="G187" i="2"/>
  <c r="H187" i="2" s="1"/>
  <c r="G152" i="2"/>
  <c r="H152" i="2" s="1"/>
  <c r="H291" i="2"/>
  <c r="H249" i="2"/>
  <c r="G239" i="2"/>
  <c r="H239" i="2" s="1"/>
  <c r="H207" i="2"/>
  <c r="G123" i="2"/>
  <c r="H123" i="2" s="1"/>
  <c r="G108" i="2"/>
  <c r="H108" i="2" s="1"/>
  <c r="H308" i="2"/>
  <c r="H268" i="2"/>
  <c r="G197" i="2"/>
  <c r="H197" i="2" s="1"/>
  <c r="G112" i="2"/>
  <c r="H112" i="2" s="1"/>
  <c r="H269" i="2"/>
  <c r="G251" i="2"/>
  <c r="H251" i="2" s="1"/>
  <c r="G244" i="2"/>
  <c r="H244" i="2" s="1"/>
  <c r="H226" i="2"/>
  <c r="G144" i="2"/>
  <c r="H144" i="2" s="1"/>
  <c r="H333" i="2"/>
  <c r="H321" i="2"/>
  <c r="H314" i="2"/>
  <c r="H304" i="2"/>
  <c r="H300" i="2"/>
  <c r="H298" i="2"/>
  <c r="H297" i="2"/>
  <c r="H253" i="2"/>
  <c r="H232" i="2"/>
  <c r="G202" i="2"/>
  <c r="H202" i="2" s="1"/>
  <c r="G176" i="2"/>
  <c r="H176" i="2" s="1"/>
  <c r="G130" i="2"/>
  <c r="H130" i="2" s="1"/>
  <c r="G125" i="2"/>
  <c r="H125" i="2" s="1"/>
  <c r="H288" i="2"/>
  <c r="H286" i="2"/>
  <c r="G271" i="2"/>
  <c r="H271" i="2" s="1"/>
  <c r="H241" i="2"/>
  <c r="G230" i="2"/>
  <c r="H230" i="2" s="1"/>
  <c r="G221" i="2"/>
  <c r="H221" i="2" s="1"/>
  <c r="G215" i="2"/>
  <c r="H215" i="2" s="1"/>
  <c r="G213" i="2"/>
  <c r="H213" i="2" s="1"/>
  <c r="G263" i="2"/>
  <c r="H263" i="2" s="1"/>
  <c r="H199" i="2"/>
  <c r="G165" i="2"/>
  <c r="H165" i="2" s="1"/>
  <c r="H309" i="2"/>
  <c r="G266" i="2"/>
  <c r="H266" i="2"/>
  <c r="H257" i="2"/>
  <c r="H234" i="2"/>
  <c r="G225" i="2"/>
  <c r="H225" i="2" s="1"/>
  <c r="G195" i="2"/>
  <c r="H195" i="2" s="1"/>
  <c r="G185" i="2"/>
  <c r="H185" i="2" s="1"/>
  <c r="G116" i="2"/>
  <c r="H116" i="2" s="1"/>
  <c r="H156" i="2"/>
  <c r="H151" i="2"/>
  <c r="G134" i="2"/>
  <c r="H134" i="2" s="1"/>
  <c r="G113" i="2"/>
  <c r="H113" i="2" s="1"/>
  <c r="G88" i="2"/>
  <c r="H88" i="2" s="1"/>
  <c r="G85" i="2"/>
  <c r="H85" i="2" s="1"/>
  <c r="G24" i="2"/>
  <c r="H24" i="2" s="1"/>
  <c r="H173" i="2"/>
  <c r="H163" i="2"/>
  <c r="G127" i="2"/>
  <c r="H127" i="2" s="1"/>
  <c r="H96" i="2"/>
  <c r="G65" i="2"/>
  <c r="H65" i="2" s="1"/>
  <c r="G56" i="2"/>
  <c r="H56" i="2" s="1"/>
  <c r="G21" i="2"/>
  <c r="H21" i="2" s="1"/>
  <c r="G15" i="2"/>
  <c r="H15" i="2" s="1"/>
  <c r="G6" i="2"/>
  <c r="H6" i="2" s="1"/>
  <c r="H171" i="2"/>
  <c r="H158" i="2"/>
  <c r="H107" i="2"/>
  <c r="G95" i="2"/>
  <c r="H95" i="2" s="1"/>
  <c r="G62" i="2"/>
  <c r="H62" i="2"/>
  <c r="G44" i="2"/>
  <c r="H44" i="2" s="1"/>
  <c r="G27" i="2"/>
  <c r="H27" i="2" s="1"/>
  <c r="G8" i="2"/>
  <c r="H8" i="2" s="1"/>
  <c r="H175" i="2"/>
  <c r="H164" i="2"/>
  <c r="H148" i="2"/>
  <c r="H131" i="2"/>
  <c r="G76" i="2"/>
  <c r="H76" i="2" s="1"/>
  <c r="G17" i="2"/>
  <c r="H17" i="2" s="1"/>
  <c r="G10" i="2"/>
  <c r="H10" i="2" s="1"/>
  <c r="H160" i="2"/>
  <c r="H155" i="2"/>
  <c r="H142" i="2"/>
  <c r="H104" i="2"/>
  <c r="H101" i="2"/>
  <c r="G14" i="2"/>
  <c r="H14" i="2" s="1"/>
  <c r="H205" i="2"/>
  <c r="H177" i="2"/>
  <c r="H166" i="2"/>
  <c r="H122" i="2"/>
  <c r="G79" i="2"/>
  <c r="H79" i="2" s="1"/>
  <c r="G55" i="2"/>
  <c r="H55" i="2" s="1"/>
  <c r="G52" i="2"/>
  <c r="H52" i="2" s="1"/>
  <c r="G36" i="2"/>
  <c r="H36" i="2" s="1"/>
  <c r="G139" i="2"/>
  <c r="H139" i="2" s="1"/>
  <c r="H126" i="2"/>
  <c r="G67" i="2"/>
  <c r="H67" i="2" s="1"/>
  <c r="G46" i="2"/>
  <c r="H46" i="2" s="1"/>
  <c r="G43" i="2"/>
  <c r="H43" i="2" s="1"/>
  <c r="G29" i="2"/>
  <c r="H29" i="2" s="1"/>
  <c r="G26" i="2"/>
  <c r="H26" i="2" s="1"/>
  <c r="G7" i="2"/>
  <c r="H7" i="2" s="1"/>
  <c r="H186" i="2"/>
  <c r="H157" i="2"/>
  <c r="G119" i="2"/>
  <c r="H119" i="2" s="1"/>
  <c r="G75" i="2"/>
  <c r="H75" i="2" s="1"/>
  <c r="G13" i="2"/>
  <c r="H13" i="2" s="1"/>
  <c r="H172" i="2"/>
  <c r="H170" i="2"/>
  <c r="H162" i="2"/>
  <c r="H161" i="2"/>
  <c r="H147" i="2"/>
  <c r="H114" i="2"/>
  <c r="H103" i="2"/>
  <c r="G89" i="2"/>
  <c r="H89" i="2" s="1"/>
  <c r="G86" i="2"/>
  <c r="H86" i="2" s="1"/>
  <c r="G54" i="2"/>
  <c r="H54" i="2" s="1"/>
  <c r="G51" i="2"/>
  <c r="H51" i="2" s="1"/>
  <c r="G35" i="2"/>
  <c r="H35" i="2" s="1"/>
  <c r="H206" i="2"/>
  <c r="H198" i="2"/>
  <c r="H180" i="2"/>
  <c r="H168" i="2"/>
  <c r="H141" i="2"/>
  <c r="G109" i="2"/>
  <c r="H109" i="2" s="1"/>
  <c r="G97" i="2"/>
  <c r="H97" i="2" s="1"/>
  <c r="H83" i="2"/>
  <c r="G42" i="2"/>
  <c r="H42" i="2" s="1"/>
  <c r="G37" i="2"/>
  <c r="H37" i="2" s="1"/>
  <c r="G25" i="2"/>
  <c r="H25" i="2" s="1"/>
  <c r="H149" i="2"/>
  <c r="H132" i="2"/>
  <c r="G115" i="2"/>
  <c r="H115" i="2" s="1"/>
  <c r="G66" i="2"/>
  <c r="H66" i="2" s="1"/>
  <c r="G45" i="2"/>
  <c r="H45" i="2" s="1"/>
  <c r="G41" i="2"/>
  <c r="H41" i="2" s="1"/>
  <c r="G28" i="2"/>
  <c r="H28" i="2" s="1"/>
  <c r="G16" i="2"/>
  <c r="H16" i="2" s="1"/>
  <c r="H138" i="2"/>
  <c r="G117" i="2"/>
  <c r="H117" i="2" s="1"/>
  <c r="G105" i="2"/>
  <c r="H105" i="2" s="1"/>
  <c r="H93" i="2"/>
  <c r="G34" i="2"/>
  <c r="H34" i="2" s="1"/>
  <c r="H3" i="2"/>
  <c r="H102" i="2"/>
  <c r="H98" i="2"/>
  <c r="H90" i="2"/>
  <c r="H80" i="2"/>
  <c r="H70" i="2"/>
  <c r="H60" i="2"/>
  <c r="H49" i="2"/>
  <c r="H39" i="2"/>
  <c r="H12" i="2"/>
  <c r="H78" i="2"/>
  <c r="H68" i="2"/>
  <c r="H58" i="2"/>
  <c r="H47" i="2"/>
  <c r="G2" i="2"/>
  <c r="H2" i="2" s="1"/>
  <c r="N106" i="2" l="1"/>
  <c r="K106" i="2"/>
  <c r="N592" i="2"/>
  <c r="K592" i="2"/>
  <c r="N607" i="2"/>
  <c r="K607" i="2"/>
  <c r="J433" i="2"/>
  <c r="N433" i="2" s="1"/>
  <c r="K433" i="2"/>
  <c r="N134" i="2"/>
  <c r="K134" i="2"/>
  <c r="N110" i="2"/>
  <c r="K110" i="2"/>
  <c r="N509" i="2"/>
  <c r="K509" i="2"/>
  <c r="N520" i="2"/>
  <c r="K520" i="2"/>
  <c r="N543" i="2"/>
  <c r="K543" i="2"/>
  <c r="N548" i="2"/>
  <c r="K548" i="2"/>
  <c r="N560" i="2"/>
  <c r="K560" i="2"/>
  <c r="N564" i="2"/>
  <c r="K564" i="2"/>
  <c r="N585" i="2"/>
  <c r="K585" i="2"/>
  <c r="N597" i="2"/>
  <c r="K597" i="2"/>
  <c r="J614" i="2"/>
  <c r="N614" i="2" s="1"/>
  <c r="K614" i="2"/>
  <c r="N34" i="2"/>
  <c r="K34" i="2"/>
  <c r="N73" i="2"/>
  <c r="K73" i="2"/>
  <c r="N223" i="2"/>
  <c r="K223" i="2"/>
  <c r="N348" i="2"/>
  <c r="K348" i="2"/>
  <c r="N75" i="2"/>
  <c r="K75" i="2"/>
  <c r="N77" i="2"/>
  <c r="K77" i="2"/>
  <c r="N103" i="2"/>
  <c r="K103" i="2"/>
  <c r="N113" i="2"/>
  <c r="K113" i="2"/>
  <c r="N117" i="2"/>
  <c r="K117" i="2"/>
  <c r="N325" i="2"/>
  <c r="K325" i="2"/>
  <c r="N327" i="2"/>
  <c r="K327" i="2"/>
  <c r="N344" i="2"/>
  <c r="K344" i="2"/>
  <c r="N355" i="2"/>
  <c r="K355" i="2"/>
  <c r="N586" i="2"/>
  <c r="K586" i="2"/>
  <c r="N20" i="2"/>
  <c r="K20" i="2"/>
  <c r="N177" i="2"/>
  <c r="K177" i="2"/>
  <c r="N203" i="2"/>
  <c r="K203" i="2"/>
  <c r="N214" i="2"/>
  <c r="K214" i="2"/>
  <c r="N225" i="2"/>
  <c r="K225" i="2"/>
  <c r="N295" i="2"/>
  <c r="K295" i="2"/>
  <c r="N299" i="2"/>
  <c r="K299" i="2"/>
  <c r="N303" i="2"/>
  <c r="K303" i="2"/>
  <c r="N324" i="2"/>
  <c r="K324" i="2"/>
  <c r="N349" i="2"/>
  <c r="K349" i="2"/>
  <c r="N352" i="2"/>
  <c r="K352" i="2"/>
  <c r="N354" i="2"/>
  <c r="K354" i="2"/>
  <c r="N358" i="2"/>
  <c r="K358" i="2"/>
  <c r="N360" i="2"/>
  <c r="K360" i="2"/>
  <c r="N391" i="2"/>
  <c r="K391" i="2"/>
  <c r="N473" i="2"/>
  <c r="K473" i="2"/>
  <c r="N482" i="2"/>
  <c r="K482" i="2"/>
  <c r="N484" i="2"/>
  <c r="K484" i="2"/>
  <c r="N497" i="2"/>
  <c r="K497" i="2"/>
  <c r="N513" i="2"/>
  <c r="K513" i="2"/>
  <c r="N519" i="2"/>
  <c r="K519" i="2"/>
  <c r="N549" i="2"/>
  <c r="K549" i="2"/>
  <c r="N556" i="2"/>
  <c r="K556" i="2"/>
  <c r="N558" i="2"/>
  <c r="K558" i="2"/>
  <c r="N561" i="2"/>
  <c r="K561" i="2"/>
  <c r="N596" i="2"/>
  <c r="K596" i="2"/>
  <c r="N600" i="2"/>
  <c r="K600" i="2"/>
  <c r="N605" i="2"/>
  <c r="K605" i="2"/>
  <c r="N615" i="2"/>
  <c r="K615" i="2"/>
  <c r="N629" i="2"/>
  <c r="K629" i="2"/>
  <c r="N633" i="2"/>
  <c r="K633" i="2"/>
  <c r="N634" i="2"/>
  <c r="K634" i="2"/>
  <c r="N640" i="2"/>
  <c r="K640" i="2"/>
  <c r="N649" i="2"/>
  <c r="K649" i="2"/>
  <c r="N668" i="2"/>
  <c r="K668" i="2"/>
  <c r="N705" i="2"/>
  <c r="K705" i="2"/>
  <c r="N713" i="2"/>
  <c r="K713" i="2"/>
  <c r="N726" i="2"/>
  <c r="K726" i="2"/>
  <c r="N751" i="2"/>
  <c r="K751" i="2"/>
  <c r="N390" i="2"/>
  <c r="K390" i="2"/>
  <c r="N738" i="2"/>
  <c r="K738" i="2"/>
  <c r="N22" i="2"/>
  <c r="K22" i="2"/>
  <c r="N32" i="2"/>
  <c r="K32" i="2"/>
  <c r="N85" i="2"/>
  <c r="K85" i="2"/>
  <c r="N296" i="2"/>
  <c r="K296" i="2"/>
  <c r="N351" i="2"/>
  <c r="K351" i="2"/>
  <c r="N353" i="2"/>
  <c r="K353" i="2"/>
  <c r="N428" i="2"/>
  <c r="K428" i="2"/>
  <c r="N435" i="2"/>
  <c r="K435" i="2"/>
  <c r="N466" i="2"/>
  <c r="K466" i="2"/>
  <c r="N467" i="2"/>
  <c r="K467" i="2"/>
  <c r="N474" i="2"/>
  <c r="K474" i="2"/>
  <c r="N511" i="2"/>
  <c r="K511" i="2"/>
  <c r="N514" i="2"/>
  <c r="K514" i="2"/>
  <c r="N516" i="2"/>
  <c r="K516" i="2"/>
  <c r="N518" i="2"/>
  <c r="K518" i="2"/>
  <c r="N521" i="2"/>
  <c r="K521" i="2"/>
  <c r="N522" i="2"/>
  <c r="K522" i="2"/>
  <c r="N524" i="2"/>
  <c r="K524" i="2"/>
  <c r="N533" i="2"/>
  <c r="K533" i="2"/>
  <c r="N534" i="2"/>
  <c r="K534" i="2"/>
  <c r="N535" i="2"/>
  <c r="K535" i="2"/>
  <c r="N545" i="2"/>
  <c r="K545" i="2"/>
  <c r="N612" i="2"/>
  <c r="K612" i="2"/>
  <c r="N628" i="2"/>
  <c r="K628" i="2"/>
  <c r="N644" i="2"/>
  <c r="K644" i="2"/>
  <c r="N654" i="2"/>
  <c r="K654" i="2"/>
  <c r="N699" i="2"/>
  <c r="K699" i="2"/>
  <c r="N707" i="2"/>
  <c r="K707" i="2"/>
  <c r="N725" i="2"/>
  <c r="K725" i="2"/>
  <c r="N732" i="2"/>
  <c r="K732" i="2"/>
  <c r="N734" i="2"/>
  <c r="K734" i="2"/>
  <c r="N739" i="2"/>
  <c r="K739" i="2"/>
  <c r="N758" i="2"/>
  <c r="K758" i="2"/>
  <c r="N760" i="2"/>
  <c r="K760" i="2"/>
  <c r="N762" i="2"/>
  <c r="K762" i="2"/>
  <c r="N33" i="2"/>
  <c r="K33" i="2"/>
  <c r="N37" i="2"/>
  <c r="K37" i="2"/>
  <c r="N88" i="2"/>
  <c r="K88" i="2"/>
  <c r="N98" i="2"/>
  <c r="K98" i="2"/>
  <c r="N138" i="2"/>
  <c r="K138" i="2"/>
  <c r="N657" i="2"/>
  <c r="K657" i="2"/>
  <c r="N700" i="2"/>
  <c r="K700" i="2"/>
  <c r="K215" i="2"/>
  <c r="N215" i="2"/>
  <c r="K3" i="2"/>
  <c r="N3" i="2"/>
  <c r="K4" i="2"/>
  <c r="N4" i="2"/>
  <c r="K5" i="2"/>
  <c r="N5" i="2"/>
  <c r="K6" i="2"/>
  <c r="N6" i="2"/>
  <c r="K7" i="2"/>
  <c r="N7" i="2"/>
  <c r="K8" i="2"/>
  <c r="N8" i="2"/>
  <c r="K9" i="2"/>
  <c r="N9" i="2"/>
  <c r="K10" i="2"/>
  <c r="N10" i="2"/>
  <c r="K11" i="2"/>
  <c r="N11" i="2"/>
  <c r="K12" i="2"/>
  <c r="N12" i="2"/>
  <c r="K13" i="2"/>
  <c r="N13" i="2"/>
  <c r="K14" i="2"/>
  <c r="N14" i="2"/>
  <c r="K15" i="2"/>
  <c r="N15" i="2"/>
  <c r="K16" i="2"/>
  <c r="N16" i="2"/>
  <c r="K17" i="2"/>
  <c r="N17" i="2"/>
  <c r="K18" i="2"/>
  <c r="N18" i="2"/>
  <c r="K23" i="2"/>
  <c r="N23" i="2"/>
  <c r="K24" i="2"/>
  <c r="N24" i="2"/>
  <c r="K25" i="2"/>
  <c r="N25" i="2"/>
  <c r="K26" i="2"/>
  <c r="N26" i="2"/>
  <c r="K27" i="2"/>
  <c r="N27" i="2"/>
  <c r="K28" i="2"/>
  <c r="N28" i="2"/>
  <c r="K29" i="2"/>
  <c r="N29" i="2"/>
  <c r="K30" i="2"/>
  <c r="N30" i="2"/>
  <c r="K31" i="2"/>
  <c r="N31" i="2"/>
  <c r="K38" i="2"/>
  <c r="N38" i="2"/>
  <c r="K39" i="2"/>
  <c r="N39" i="2"/>
  <c r="K40" i="2"/>
  <c r="N40" i="2"/>
  <c r="K41" i="2"/>
  <c r="N41" i="2"/>
  <c r="K42" i="2"/>
  <c r="N42" i="2"/>
  <c r="K43" i="2"/>
  <c r="N43" i="2"/>
  <c r="K44" i="2"/>
  <c r="N44" i="2"/>
  <c r="K45" i="2"/>
  <c r="N45" i="2"/>
  <c r="K46" i="2"/>
  <c r="N46" i="2"/>
  <c r="K47" i="2"/>
  <c r="N47" i="2"/>
  <c r="K48" i="2"/>
  <c r="N48" i="2"/>
  <c r="K49" i="2"/>
  <c r="N49" i="2"/>
  <c r="K50" i="2"/>
  <c r="N50" i="2"/>
  <c r="K51" i="2"/>
  <c r="N51" i="2"/>
  <c r="K52" i="2"/>
  <c r="N52" i="2"/>
  <c r="K53" i="2"/>
  <c r="N53" i="2"/>
  <c r="K54" i="2"/>
  <c r="N54" i="2"/>
  <c r="K55" i="2"/>
  <c r="N55" i="2"/>
  <c r="K56" i="2"/>
  <c r="N56" i="2"/>
  <c r="K57" i="2"/>
  <c r="N57" i="2"/>
  <c r="K58" i="2"/>
  <c r="N58" i="2"/>
  <c r="K59" i="2"/>
  <c r="N59" i="2"/>
  <c r="K60" i="2"/>
  <c r="N60" i="2"/>
  <c r="K61" i="2"/>
  <c r="N61" i="2"/>
  <c r="K62" i="2"/>
  <c r="N62" i="2"/>
  <c r="K63" i="2"/>
  <c r="N63" i="2"/>
  <c r="K64" i="2"/>
  <c r="N64" i="2"/>
  <c r="K65" i="2"/>
  <c r="N65" i="2"/>
  <c r="K66" i="2"/>
  <c r="N66" i="2"/>
  <c r="K67" i="2"/>
  <c r="N67" i="2"/>
  <c r="K69" i="2"/>
  <c r="N69" i="2"/>
  <c r="K70" i="2"/>
  <c r="N70" i="2"/>
  <c r="K71" i="2"/>
  <c r="N71" i="2"/>
  <c r="K72" i="2"/>
  <c r="N72" i="2"/>
  <c r="K74" i="2"/>
  <c r="N74" i="2"/>
  <c r="K76" i="2"/>
  <c r="N76" i="2"/>
  <c r="K78" i="2"/>
  <c r="N78" i="2"/>
  <c r="K79" i="2"/>
  <c r="N79" i="2"/>
  <c r="K80" i="2"/>
  <c r="N80" i="2"/>
  <c r="K81" i="2"/>
  <c r="N81" i="2"/>
  <c r="K83" i="2"/>
  <c r="N83" i="2"/>
  <c r="K84" i="2"/>
  <c r="N84" i="2"/>
  <c r="K86" i="2"/>
  <c r="N86" i="2"/>
  <c r="K89" i="2"/>
  <c r="N89" i="2"/>
  <c r="K90" i="2"/>
  <c r="N90" i="2"/>
  <c r="K91" i="2"/>
  <c r="N91" i="2"/>
  <c r="K92" i="2"/>
  <c r="N92" i="2"/>
  <c r="K94" i="2"/>
  <c r="N94" i="2"/>
  <c r="K95" i="2"/>
  <c r="N95" i="2"/>
  <c r="K96" i="2"/>
  <c r="N96" i="2"/>
  <c r="K97" i="2"/>
  <c r="N97" i="2"/>
  <c r="K100" i="2"/>
  <c r="N100" i="2"/>
  <c r="K101" i="2"/>
  <c r="N101" i="2"/>
  <c r="K102" i="2"/>
  <c r="N102" i="2"/>
  <c r="K104" i="2"/>
  <c r="N104" i="2"/>
  <c r="K105" i="2"/>
  <c r="N105" i="2"/>
  <c r="K107" i="2"/>
  <c r="N107" i="2"/>
  <c r="K108" i="2"/>
  <c r="N108" i="2"/>
  <c r="K109" i="2"/>
  <c r="N109" i="2"/>
  <c r="K111" i="2"/>
  <c r="N111" i="2"/>
  <c r="K112" i="2"/>
  <c r="N112" i="2"/>
  <c r="K114" i="2"/>
  <c r="N114" i="2"/>
  <c r="K115" i="2"/>
  <c r="N115" i="2"/>
  <c r="K118" i="2"/>
  <c r="N118" i="2"/>
  <c r="K119" i="2"/>
  <c r="N119" i="2"/>
  <c r="K120" i="2"/>
  <c r="N120" i="2"/>
  <c r="K121" i="2"/>
  <c r="N121" i="2"/>
  <c r="K122" i="2"/>
  <c r="N122" i="2"/>
  <c r="K123" i="2"/>
  <c r="N123" i="2"/>
  <c r="K124" i="2"/>
  <c r="N124" i="2"/>
  <c r="K125" i="2"/>
  <c r="N125" i="2"/>
  <c r="K126" i="2"/>
  <c r="N126" i="2"/>
  <c r="K127" i="2"/>
  <c r="N127" i="2"/>
  <c r="K128" i="2"/>
  <c r="N128" i="2"/>
  <c r="K129" i="2"/>
  <c r="N129" i="2"/>
  <c r="K130" i="2"/>
  <c r="N130" i="2"/>
  <c r="K131" i="2"/>
  <c r="N131" i="2"/>
  <c r="K132" i="2"/>
  <c r="N132" i="2"/>
  <c r="K135" i="2"/>
  <c r="N135" i="2"/>
  <c r="K136" i="2"/>
  <c r="N136" i="2"/>
  <c r="K137" i="2"/>
  <c r="N137" i="2"/>
  <c r="K139" i="2"/>
  <c r="N139" i="2"/>
  <c r="K140" i="2"/>
  <c r="N140" i="2"/>
  <c r="K141" i="2"/>
  <c r="N141" i="2"/>
  <c r="K142" i="2"/>
  <c r="N142" i="2"/>
  <c r="K143" i="2"/>
  <c r="N143" i="2"/>
  <c r="K144" i="2"/>
  <c r="N144" i="2"/>
  <c r="K145" i="2"/>
  <c r="N145" i="2"/>
  <c r="K146" i="2"/>
  <c r="N146" i="2"/>
  <c r="K147" i="2"/>
  <c r="N147" i="2"/>
  <c r="K148" i="2"/>
  <c r="N148" i="2"/>
  <c r="K149" i="2"/>
  <c r="N149" i="2"/>
  <c r="K150" i="2"/>
  <c r="N150" i="2"/>
  <c r="K151" i="2"/>
  <c r="N151" i="2"/>
  <c r="K152" i="2"/>
  <c r="N152" i="2"/>
  <c r="K153" i="2"/>
  <c r="N153" i="2"/>
  <c r="K154" i="2"/>
  <c r="N154" i="2"/>
  <c r="K155" i="2"/>
  <c r="N155" i="2"/>
  <c r="K156" i="2"/>
  <c r="N156" i="2"/>
  <c r="K157" i="2"/>
  <c r="N157" i="2"/>
  <c r="K158" i="2"/>
  <c r="N158" i="2"/>
  <c r="K161" i="2"/>
  <c r="N161" i="2"/>
  <c r="K162" i="2"/>
  <c r="N162" i="2"/>
  <c r="K163" i="2"/>
  <c r="N163" i="2"/>
  <c r="K164" i="2"/>
  <c r="N164" i="2"/>
  <c r="K165" i="2"/>
  <c r="N165" i="2"/>
  <c r="K166" i="2"/>
  <c r="N166" i="2"/>
  <c r="K167" i="2"/>
  <c r="N167" i="2"/>
  <c r="K168" i="2"/>
  <c r="N168" i="2"/>
  <c r="K169" i="2"/>
  <c r="N169" i="2"/>
  <c r="K170" i="2"/>
  <c r="N170" i="2"/>
  <c r="K171" i="2"/>
  <c r="N171" i="2"/>
  <c r="K172" i="2"/>
  <c r="N172" i="2"/>
  <c r="K173" i="2"/>
  <c r="N173" i="2"/>
  <c r="K174" i="2"/>
  <c r="N174" i="2"/>
  <c r="K175" i="2"/>
  <c r="N175" i="2"/>
  <c r="K178" i="2"/>
  <c r="N178" i="2"/>
  <c r="K179" i="2"/>
  <c r="N179" i="2"/>
  <c r="K180" i="2"/>
  <c r="N180" i="2"/>
  <c r="K181" i="2"/>
  <c r="N181" i="2"/>
  <c r="K182" i="2"/>
  <c r="N182" i="2"/>
  <c r="K183" i="2"/>
  <c r="N183" i="2"/>
  <c r="K184" i="2"/>
  <c r="N184" i="2"/>
  <c r="K185" i="2"/>
  <c r="N185" i="2"/>
  <c r="K186" i="2"/>
  <c r="N186" i="2"/>
  <c r="K187" i="2"/>
  <c r="N187" i="2"/>
  <c r="K188" i="2"/>
  <c r="N188" i="2"/>
  <c r="K189" i="2"/>
  <c r="N189" i="2"/>
  <c r="K190" i="2"/>
  <c r="N190" i="2"/>
  <c r="K191" i="2"/>
  <c r="N191" i="2"/>
  <c r="K192" i="2"/>
  <c r="N192" i="2"/>
  <c r="K193" i="2"/>
  <c r="N193" i="2"/>
  <c r="K195" i="2"/>
  <c r="N195" i="2"/>
  <c r="K196" i="2"/>
  <c r="N196" i="2"/>
  <c r="K197" i="2"/>
  <c r="N197" i="2"/>
  <c r="K198" i="2"/>
  <c r="N198" i="2"/>
  <c r="K199" i="2"/>
  <c r="N199" i="2"/>
  <c r="K201" i="2"/>
  <c r="N201" i="2"/>
  <c r="K204" i="2"/>
  <c r="N204" i="2"/>
  <c r="K206" i="2"/>
  <c r="N206" i="2"/>
  <c r="K207" i="2"/>
  <c r="N207" i="2"/>
  <c r="K208" i="2"/>
  <c r="N208" i="2"/>
  <c r="K209" i="2"/>
  <c r="N209" i="2"/>
  <c r="K210" i="2"/>
  <c r="N210" i="2"/>
  <c r="N211" i="2"/>
  <c r="K211" i="2"/>
  <c r="K224" i="2"/>
  <c r="N224" i="2"/>
  <c r="K227" i="2"/>
  <c r="N227" i="2"/>
  <c r="K228" i="2"/>
  <c r="N228" i="2"/>
  <c r="K229" i="2"/>
  <c r="N229" i="2"/>
  <c r="K230" i="2"/>
  <c r="N230" i="2"/>
  <c r="K231" i="2"/>
  <c r="N231" i="2"/>
  <c r="K232" i="2"/>
  <c r="N232" i="2"/>
  <c r="K233" i="2"/>
  <c r="N233" i="2"/>
  <c r="K234" i="2"/>
  <c r="N234" i="2"/>
  <c r="K235" i="2"/>
  <c r="N235" i="2"/>
  <c r="K236" i="2"/>
  <c r="N236" i="2"/>
  <c r="K237" i="2"/>
  <c r="N237" i="2"/>
  <c r="K239" i="2"/>
  <c r="N239" i="2"/>
  <c r="K240" i="2"/>
  <c r="N240" i="2"/>
  <c r="K241" i="2"/>
  <c r="N241" i="2"/>
  <c r="K242" i="2"/>
  <c r="N242" i="2"/>
  <c r="K243" i="2"/>
  <c r="N243" i="2"/>
  <c r="K244" i="2"/>
  <c r="N244" i="2"/>
  <c r="K245" i="2"/>
  <c r="N245" i="2"/>
  <c r="K246" i="2"/>
  <c r="N246" i="2"/>
  <c r="K247" i="2"/>
  <c r="N247" i="2"/>
  <c r="K248" i="2"/>
  <c r="N248" i="2"/>
  <c r="K249" i="2"/>
  <c r="N249" i="2"/>
  <c r="K251" i="2"/>
  <c r="N251" i="2"/>
  <c r="K252" i="2"/>
  <c r="N252" i="2"/>
  <c r="K253" i="2"/>
  <c r="N253" i="2"/>
  <c r="K254" i="2"/>
  <c r="N254" i="2"/>
  <c r="K255" i="2"/>
  <c r="N255" i="2"/>
  <c r="K256" i="2"/>
  <c r="N256" i="2"/>
  <c r="K257" i="2"/>
  <c r="N257" i="2"/>
  <c r="K258" i="2"/>
  <c r="N258" i="2"/>
  <c r="K259" i="2"/>
  <c r="N259" i="2"/>
  <c r="K260" i="2"/>
  <c r="N260" i="2"/>
  <c r="K261" i="2"/>
  <c r="N261" i="2"/>
  <c r="K262" i="2"/>
  <c r="N262" i="2"/>
  <c r="K263" i="2"/>
  <c r="N263" i="2"/>
  <c r="K264" i="2"/>
  <c r="N264" i="2"/>
  <c r="K265" i="2"/>
  <c r="N265" i="2"/>
  <c r="K266" i="2"/>
  <c r="N266" i="2"/>
  <c r="K267" i="2"/>
  <c r="N267" i="2"/>
  <c r="K268" i="2"/>
  <c r="N268" i="2"/>
  <c r="K269" i="2"/>
  <c r="N269" i="2"/>
  <c r="K270" i="2"/>
  <c r="N270" i="2"/>
  <c r="K271" i="2"/>
  <c r="N271" i="2"/>
  <c r="K272" i="2"/>
  <c r="N272" i="2"/>
  <c r="K273" i="2"/>
  <c r="N273" i="2"/>
  <c r="K274" i="2"/>
  <c r="N274" i="2"/>
  <c r="K275" i="2"/>
  <c r="N275" i="2"/>
  <c r="K277" i="2"/>
  <c r="N277" i="2"/>
  <c r="K278" i="2"/>
  <c r="N278" i="2"/>
  <c r="K279" i="2"/>
  <c r="N279" i="2"/>
  <c r="K281" i="2"/>
  <c r="N281" i="2"/>
  <c r="K282" i="2"/>
  <c r="N282" i="2"/>
  <c r="K283" i="2"/>
  <c r="N283" i="2"/>
  <c r="K284" i="2"/>
  <c r="N284" i="2"/>
  <c r="K285" i="2"/>
  <c r="N285" i="2"/>
  <c r="K286" i="2"/>
  <c r="N286" i="2"/>
  <c r="K287" i="2"/>
  <c r="N287" i="2"/>
  <c r="K288" i="2"/>
  <c r="N288" i="2"/>
  <c r="K289" i="2"/>
  <c r="N289" i="2"/>
  <c r="K290" i="2"/>
  <c r="N290" i="2"/>
  <c r="K291" i="2"/>
  <c r="N291" i="2"/>
  <c r="K292" i="2"/>
  <c r="N292" i="2"/>
  <c r="K298" i="2"/>
  <c r="N298" i="2"/>
  <c r="K300" i="2"/>
  <c r="N300" i="2"/>
  <c r="K301" i="2"/>
  <c r="N301" i="2"/>
  <c r="K302" i="2"/>
  <c r="N302" i="2"/>
  <c r="K304" i="2"/>
  <c r="N304" i="2"/>
  <c r="K305" i="2"/>
  <c r="N305" i="2"/>
  <c r="K306" i="2"/>
  <c r="N306" i="2"/>
  <c r="K307" i="2"/>
  <c r="N307" i="2"/>
  <c r="K308" i="2"/>
  <c r="N308" i="2"/>
  <c r="K309" i="2"/>
  <c r="N309" i="2"/>
  <c r="K310" i="2"/>
  <c r="N310" i="2"/>
  <c r="K311" i="2"/>
  <c r="N311" i="2"/>
  <c r="K312" i="2"/>
  <c r="N312" i="2"/>
  <c r="K313" i="2"/>
  <c r="N313" i="2"/>
  <c r="K314" i="2"/>
  <c r="N314" i="2"/>
  <c r="K315" i="2"/>
  <c r="N315" i="2"/>
  <c r="K316" i="2"/>
  <c r="N316" i="2"/>
  <c r="K317" i="2"/>
  <c r="N317" i="2"/>
  <c r="K318" i="2"/>
  <c r="N318" i="2"/>
  <c r="K320" i="2"/>
  <c r="N320" i="2"/>
  <c r="K326" i="2"/>
  <c r="N326" i="2"/>
  <c r="K328" i="2"/>
  <c r="N328" i="2"/>
  <c r="K329" i="2"/>
  <c r="N329" i="2"/>
  <c r="K330" i="2"/>
  <c r="N330" i="2"/>
  <c r="K331" i="2"/>
  <c r="N331" i="2"/>
  <c r="K332" i="2"/>
  <c r="N332" i="2"/>
  <c r="K333" i="2"/>
  <c r="N333" i="2"/>
  <c r="K334" i="2"/>
  <c r="N334" i="2"/>
  <c r="K335" i="2"/>
  <c r="N335" i="2"/>
  <c r="K336" i="2"/>
  <c r="N336" i="2"/>
  <c r="K337" i="2"/>
  <c r="N337" i="2"/>
  <c r="K338" i="2"/>
  <c r="N338" i="2"/>
  <c r="K339" i="2"/>
  <c r="N339" i="2"/>
  <c r="K340" i="2"/>
  <c r="N340" i="2"/>
  <c r="K341" i="2"/>
  <c r="N341" i="2"/>
  <c r="K343" i="2"/>
  <c r="N343" i="2"/>
  <c r="K345" i="2"/>
  <c r="N345" i="2"/>
  <c r="K346" i="2"/>
  <c r="N346" i="2"/>
  <c r="K347" i="2"/>
  <c r="N347" i="2"/>
  <c r="K357" i="2"/>
  <c r="N357" i="2"/>
  <c r="K359" i="2"/>
  <c r="N359" i="2"/>
  <c r="K361" i="2"/>
  <c r="N361" i="2"/>
  <c r="K363" i="2"/>
  <c r="N363" i="2"/>
  <c r="K364" i="2"/>
  <c r="N364" i="2"/>
  <c r="K365" i="2"/>
  <c r="N365" i="2"/>
  <c r="K366" i="2"/>
  <c r="N366" i="2"/>
  <c r="K367" i="2"/>
  <c r="N367" i="2"/>
  <c r="K368" i="2"/>
  <c r="N368" i="2"/>
  <c r="K369" i="2"/>
  <c r="N369" i="2"/>
  <c r="K370" i="2"/>
  <c r="N370" i="2"/>
  <c r="K371" i="2"/>
  <c r="N371" i="2"/>
  <c r="K372" i="2"/>
  <c r="N372" i="2"/>
  <c r="K373" i="2"/>
  <c r="N373" i="2"/>
  <c r="K374" i="2"/>
  <c r="N374" i="2"/>
  <c r="K375" i="2"/>
  <c r="N375" i="2"/>
  <c r="K376" i="2"/>
  <c r="N376" i="2"/>
  <c r="K377" i="2"/>
  <c r="N377" i="2"/>
  <c r="K378" i="2"/>
  <c r="N378" i="2"/>
  <c r="K379" i="2"/>
  <c r="N379" i="2"/>
  <c r="K380" i="2"/>
  <c r="N380" i="2"/>
  <c r="K381" i="2"/>
  <c r="N381" i="2"/>
  <c r="K382" i="2"/>
  <c r="N382" i="2"/>
  <c r="K383" i="2"/>
  <c r="N383" i="2"/>
  <c r="K384" i="2"/>
  <c r="N384" i="2"/>
  <c r="K385" i="2"/>
  <c r="N385" i="2"/>
  <c r="K386" i="2"/>
  <c r="N386" i="2"/>
  <c r="K387" i="2"/>
  <c r="N387" i="2"/>
  <c r="K388" i="2"/>
  <c r="N388" i="2"/>
  <c r="K389" i="2"/>
  <c r="N389" i="2"/>
  <c r="K392" i="2"/>
  <c r="N392" i="2"/>
  <c r="K393" i="2"/>
  <c r="N393" i="2"/>
  <c r="K394" i="2"/>
  <c r="N394" i="2"/>
  <c r="K395" i="2"/>
  <c r="N395" i="2"/>
  <c r="K396" i="2"/>
  <c r="N396" i="2"/>
  <c r="K397" i="2"/>
  <c r="N397" i="2"/>
  <c r="K398" i="2"/>
  <c r="N398" i="2"/>
  <c r="K399" i="2"/>
  <c r="N399" i="2"/>
  <c r="K400" i="2"/>
  <c r="N400" i="2"/>
  <c r="K401" i="2"/>
  <c r="N401" i="2"/>
  <c r="K402" i="2"/>
  <c r="N402" i="2"/>
  <c r="K403" i="2"/>
  <c r="N403" i="2"/>
  <c r="K404" i="2"/>
  <c r="N404" i="2"/>
  <c r="K405" i="2"/>
  <c r="N405" i="2"/>
  <c r="K406" i="2"/>
  <c r="N406" i="2"/>
  <c r="K407" i="2"/>
  <c r="N407" i="2"/>
  <c r="K408" i="2"/>
  <c r="N408" i="2"/>
  <c r="K409" i="2"/>
  <c r="N409" i="2"/>
  <c r="K410" i="2"/>
  <c r="N410" i="2"/>
  <c r="K411" i="2"/>
  <c r="N411" i="2"/>
  <c r="K412" i="2"/>
  <c r="N412" i="2"/>
  <c r="K413" i="2"/>
  <c r="N413" i="2"/>
  <c r="K414" i="2"/>
  <c r="N414" i="2"/>
  <c r="K415" i="2"/>
  <c r="N415" i="2"/>
  <c r="K416" i="2"/>
  <c r="N416" i="2"/>
  <c r="K417" i="2"/>
  <c r="N417" i="2"/>
  <c r="K418" i="2"/>
  <c r="N418" i="2"/>
  <c r="K419" i="2"/>
  <c r="N419" i="2"/>
  <c r="K420" i="2"/>
  <c r="N420" i="2"/>
  <c r="K421" i="2"/>
  <c r="N421" i="2"/>
  <c r="K424" i="2"/>
  <c r="N424" i="2"/>
  <c r="K425" i="2"/>
  <c r="N425" i="2"/>
  <c r="K426" i="2"/>
  <c r="N426" i="2"/>
  <c r="K427" i="2"/>
  <c r="N427" i="2"/>
  <c r="K429" i="2"/>
  <c r="N429" i="2"/>
  <c r="K430" i="2"/>
  <c r="N430" i="2"/>
  <c r="K431" i="2"/>
  <c r="N431" i="2"/>
  <c r="K432" i="2"/>
  <c r="N432" i="2"/>
  <c r="K434" i="2"/>
  <c r="N434" i="2"/>
  <c r="K436" i="2"/>
  <c r="N436" i="2"/>
  <c r="K437" i="2"/>
  <c r="N437" i="2"/>
  <c r="K438" i="2"/>
  <c r="N438" i="2"/>
  <c r="K439" i="2"/>
  <c r="N439" i="2"/>
  <c r="K440" i="2"/>
  <c r="N440" i="2"/>
  <c r="K441" i="2"/>
  <c r="N441" i="2"/>
  <c r="K442" i="2"/>
  <c r="N442" i="2"/>
  <c r="K443" i="2"/>
  <c r="N443" i="2"/>
  <c r="K444" i="2"/>
  <c r="N444" i="2"/>
  <c r="K445" i="2"/>
  <c r="N445" i="2"/>
  <c r="K446" i="2"/>
  <c r="N446" i="2"/>
  <c r="K447" i="2"/>
  <c r="N447" i="2"/>
  <c r="K448" i="2"/>
  <c r="N448" i="2"/>
  <c r="K449" i="2"/>
  <c r="N449" i="2"/>
  <c r="K450" i="2"/>
  <c r="N450" i="2"/>
  <c r="K451" i="2"/>
  <c r="N451" i="2"/>
  <c r="K452" i="2"/>
  <c r="N452" i="2"/>
  <c r="K455" i="2"/>
  <c r="N455" i="2"/>
  <c r="K456" i="2"/>
  <c r="N456" i="2"/>
  <c r="K458" i="2"/>
  <c r="N458" i="2"/>
  <c r="K459" i="2"/>
  <c r="N459" i="2"/>
  <c r="K460" i="2"/>
  <c r="N460" i="2"/>
  <c r="K461" i="2"/>
  <c r="N461" i="2"/>
  <c r="K462" i="2"/>
  <c r="N462" i="2"/>
  <c r="K463" i="2"/>
  <c r="N463" i="2"/>
  <c r="K464" i="2"/>
  <c r="N464" i="2"/>
  <c r="K465" i="2"/>
  <c r="N465" i="2"/>
  <c r="K468" i="2"/>
  <c r="N468" i="2"/>
  <c r="K469" i="2"/>
  <c r="N469" i="2"/>
  <c r="K470" i="2"/>
  <c r="N470" i="2"/>
  <c r="K471" i="2"/>
  <c r="N471" i="2"/>
  <c r="K478" i="2"/>
  <c r="N478" i="2"/>
  <c r="K479" i="2"/>
  <c r="N479" i="2"/>
  <c r="K480" i="2"/>
  <c r="N480" i="2"/>
  <c r="K481" i="2"/>
  <c r="N481" i="2"/>
  <c r="K483" i="2"/>
  <c r="N483" i="2"/>
  <c r="K485" i="2"/>
  <c r="N485" i="2"/>
  <c r="K487" i="2"/>
  <c r="N487" i="2"/>
  <c r="K488" i="2"/>
  <c r="N488" i="2"/>
  <c r="K489" i="2"/>
  <c r="N489" i="2"/>
  <c r="K490" i="2"/>
  <c r="N490" i="2"/>
  <c r="K491" i="2"/>
  <c r="N491" i="2"/>
  <c r="K492" i="2"/>
  <c r="N492" i="2"/>
  <c r="K494" i="2"/>
  <c r="N494" i="2"/>
  <c r="K495" i="2"/>
  <c r="N495" i="2"/>
  <c r="K496" i="2"/>
  <c r="N496" i="2"/>
  <c r="K498" i="2"/>
  <c r="N498" i="2"/>
  <c r="K499" i="2"/>
  <c r="N499" i="2"/>
  <c r="K500" i="2"/>
  <c r="N500" i="2"/>
  <c r="K501" i="2"/>
  <c r="N501" i="2"/>
  <c r="K505" i="2"/>
  <c r="N505" i="2"/>
  <c r="K506" i="2"/>
  <c r="N506" i="2"/>
  <c r="K507" i="2"/>
  <c r="N507" i="2"/>
  <c r="K508" i="2"/>
  <c r="N508" i="2"/>
  <c r="K512" i="2"/>
  <c r="N512" i="2"/>
  <c r="K526" i="2"/>
  <c r="N526" i="2"/>
  <c r="K527" i="2"/>
  <c r="N527" i="2"/>
  <c r="K528" i="2"/>
  <c r="N528" i="2"/>
  <c r="K529" i="2"/>
  <c r="N529" i="2"/>
  <c r="K530" i="2"/>
  <c r="N530" i="2"/>
  <c r="K531" i="2"/>
  <c r="N531" i="2"/>
  <c r="K532" i="2"/>
  <c r="N532" i="2"/>
  <c r="K536" i="2"/>
  <c r="N536" i="2"/>
  <c r="K538" i="2"/>
  <c r="N538" i="2"/>
  <c r="K539" i="2"/>
  <c r="N539" i="2"/>
  <c r="K540" i="2"/>
  <c r="N540" i="2"/>
  <c r="K541" i="2"/>
  <c r="N541" i="2"/>
  <c r="K544" i="2"/>
  <c r="N544" i="2"/>
  <c r="K546" i="2"/>
  <c r="N546" i="2"/>
  <c r="K551" i="2"/>
  <c r="N551" i="2"/>
  <c r="K552" i="2"/>
  <c r="N552" i="2"/>
  <c r="K553" i="2"/>
  <c r="N553" i="2"/>
  <c r="K555" i="2"/>
  <c r="N555" i="2"/>
  <c r="K557" i="2"/>
  <c r="N557" i="2"/>
  <c r="K559" i="2"/>
  <c r="N559" i="2"/>
  <c r="K563" i="2"/>
  <c r="N563" i="2"/>
  <c r="K566" i="2"/>
  <c r="N566" i="2"/>
  <c r="K567" i="2"/>
  <c r="N567" i="2"/>
  <c r="K568" i="2"/>
  <c r="N568" i="2"/>
  <c r="K569" i="2"/>
  <c r="N569" i="2"/>
  <c r="K570" i="2"/>
  <c r="N570" i="2"/>
  <c r="K572" i="2"/>
  <c r="N572" i="2"/>
  <c r="K573" i="2"/>
  <c r="N573" i="2"/>
  <c r="K574" i="2"/>
  <c r="N574" i="2"/>
  <c r="K575" i="2"/>
  <c r="N575" i="2"/>
  <c r="K576" i="2"/>
  <c r="N576" i="2"/>
  <c r="K577" i="2"/>
  <c r="N577" i="2"/>
  <c r="K578" i="2"/>
  <c r="N578" i="2"/>
  <c r="K579" i="2"/>
  <c r="N579" i="2"/>
  <c r="K580" i="2"/>
  <c r="N580" i="2"/>
  <c r="K581" i="2"/>
  <c r="N581" i="2"/>
  <c r="K584" i="2"/>
  <c r="N584" i="2"/>
  <c r="K587" i="2"/>
  <c r="N587" i="2"/>
  <c r="K588" i="2"/>
  <c r="N588" i="2"/>
  <c r="K589" i="2"/>
  <c r="N589" i="2"/>
  <c r="K590" i="2"/>
  <c r="N590" i="2"/>
  <c r="K591" i="2"/>
  <c r="N591" i="2"/>
  <c r="K593" i="2"/>
  <c r="N593" i="2"/>
  <c r="K594" i="2"/>
  <c r="N594" i="2"/>
  <c r="K598" i="2"/>
  <c r="N598" i="2"/>
  <c r="K602" i="2"/>
  <c r="N602" i="2"/>
  <c r="K603" i="2"/>
  <c r="N603" i="2"/>
  <c r="K606" i="2"/>
  <c r="N606" i="2"/>
  <c r="K608" i="2"/>
  <c r="N608" i="2"/>
  <c r="K609" i="2"/>
  <c r="N609" i="2"/>
  <c r="K611" i="2"/>
  <c r="N611" i="2"/>
  <c r="K613" i="2"/>
  <c r="N613" i="2"/>
  <c r="K616" i="2"/>
  <c r="N616" i="2"/>
  <c r="K617" i="2"/>
  <c r="N617" i="2"/>
  <c r="K619" i="2"/>
  <c r="N619" i="2"/>
  <c r="K620" i="2"/>
  <c r="N620" i="2"/>
  <c r="K621" i="2"/>
  <c r="N621" i="2"/>
  <c r="K622" i="2"/>
  <c r="N622" i="2"/>
  <c r="K623" i="2"/>
  <c r="N623" i="2"/>
  <c r="K624" i="2"/>
  <c r="N624" i="2"/>
  <c r="K625" i="2"/>
  <c r="N625" i="2"/>
  <c r="K631" i="2"/>
  <c r="N631" i="2"/>
  <c r="K636" i="2"/>
  <c r="N636" i="2"/>
  <c r="K637" i="2"/>
  <c r="N637" i="2"/>
  <c r="K641" i="2"/>
  <c r="N641" i="2"/>
  <c r="K646" i="2"/>
  <c r="N646" i="2"/>
  <c r="K647" i="2"/>
  <c r="N647" i="2"/>
  <c r="K650" i="2"/>
  <c r="N650" i="2"/>
  <c r="K652" i="2"/>
  <c r="N652" i="2"/>
  <c r="K655" i="2"/>
  <c r="N655" i="2"/>
  <c r="K658" i="2"/>
  <c r="N658" i="2"/>
  <c r="K660" i="2"/>
  <c r="N660" i="2"/>
  <c r="K661" i="2"/>
  <c r="N661" i="2"/>
  <c r="K662" i="2"/>
  <c r="N662" i="2"/>
  <c r="K663" i="2"/>
  <c r="N663" i="2"/>
  <c r="K664" i="2"/>
  <c r="N664" i="2"/>
  <c r="K665" i="2"/>
  <c r="N665" i="2"/>
  <c r="K666" i="2"/>
  <c r="N666" i="2"/>
  <c r="K667" i="2"/>
  <c r="N667" i="2"/>
  <c r="K669" i="2"/>
  <c r="N669" i="2"/>
  <c r="K670" i="2"/>
  <c r="N670" i="2"/>
  <c r="K671" i="2"/>
  <c r="N671" i="2"/>
  <c r="K672" i="2"/>
  <c r="N672" i="2"/>
  <c r="K673" i="2"/>
  <c r="N673" i="2"/>
  <c r="K674" i="2"/>
  <c r="N674" i="2"/>
  <c r="K675" i="2"/>
  <c r="N675" i="2"/>
  <c r="K676" i="2"/>
  <c r="N676" i="2"/>
  <c r="K677" i="2"/>
  <c r="N677" i="2"/>
  <c r="K678" i="2"/>
  <c r="N678" i="2"/>
  <c r="K682" i="2"/>
  <c r="N682" i="2"/>
  <c r="K683" i="2"/>
  <c r="N683" i="2"/>
  <c r="K684" i="2"/>
  <c r="N684" i="2"/>
  <c r="K685" i="2"/>
  <c r="N685" i="2"/>
  <c r="K686" i="2"/>
  <c r="N686" i="2"/>
  <c r="K687" i="2"/>
  <c r="N687" i="2"/>
  <c r="K688" i="2"/>
  <c r="N688" i="2"/>
  <c r="K689" i="2"/>
  <c r="N689" i="2"/>
  <c r="K690" i="2"/>
  <c r="N690" i="2"/>
  <c r="K691" i="2"/>
  <c r="N691" i="2"/>
  <c r="K692" i="2"/>
  <c r="N692" i="2"/>
  <c r="K693" i="2"/>
  <c r="N693" i="2"/>
  <c r="K694" i="2"/>
  <c r="N694" i="2"/>
  <c r="K695" i="2"/>
  <c r="N695" i="2"/>
  <c r="K697" i="2"/>
  <c r="N697" i="2"/>
  <c r="K701" i="2"/>
  <c r="N701" i="2"/>
  <c r="K702" i="2"/>
  <c r="N702" i="2"/>
  <c r="K703" i="2"/>
  <c r="N703" i="2"/>
  <c r="K704" i="2"/>
  <c r="N704" i="2"/>
  <c r="K706" i="2"/>
  <c r="N706" i="2"/>
  <c r="K710" i="2"/>
  <c r="N710" i="2"/>
  <c r="K712" i="2"/>
  <c r="N712" i="2"/>
  <c r="K714" i="2"/>
  <c r="N714" i="2"/>
  <c r="K715" i="2"/>
  <c r="N715" i="2"/>
  <c r="K716" i="2"/>
  <c r="N716" i="2"/>
  <c r="K717" i="2"/>
  <c r="N717" i="2"/>
  <c r="K718" i="2"/>
  <c r="N718" i="2"/>
  <c r="K719" i="2"/>
  <c r="N719" i="2"/>
  <c r="K720" i="2"/>
  <c r="N720" i="2"/>
  <c r="K721" i="2"/>
  <c r="N721" i="2"/>
  <c r="K722" i="2"/>
  <c r="N722" i="2"/>
  <c r="K727" i="2"/>
  <c r="N727" i="2"/>
  <c r="K728" i="2"/>
  <c r="N728" i="2"/>
  <c r="K729" i="2"/>
  <c r="N729" i="2"/>
  <c r="K730" i="2"/>
  <c r="N730" i="2"/>
  <c r="K731" i="2"/>
  <c r="N731" i="2"/>
  <c r="K735" i="2"/>
  <c r="N735" i="2"/>
  <c r="K736" i="2"/>
  <c r="N736" i="2"/>
  <c r="K737" i="2"/>
  <c r="N737" i="2"/>
  <c r="K741" i="2"/>
  <c r="N741" i="2"/>
  <c r="K742" i="2"/>
  <c r="N742" i="2"/>
  <c r="K743" i="2"/>
  <c r="N743" i="2"/>
  <c r="K744" i="2"/>
  <c r="N744" i="2"/>
  <c r="K745" i="2"/>
  <c r="N745" i="2"/>
  <c r="K747" i="2"/>
  <c r="N747" i="2"/>
  <c r="K748" i="2"/>
  <c r="N748" i="2"/>
  <c r="K749" i="2"/>
  <c r="N749" i="2"/>
  <c r="K750" i="2"/>
  <c r="N750" i="2"/>
  <c r="K752" i="2"/>
  <c r="N752" i="2"/>
  <c r="K753" i="2"/>
  <c r="N753" i="2"/>
  <c r="K754" i="2"/>
  <c r="N754" i="2"/>
  <c r="K756" i="2"/>
  <c r="N756" i="2"/>
  <c r="K757" i="2"/>
  <c r="N757" i="2"/>
  <c r="K761" i="2"/>
  <c r="N761" i="2"/>
  <c r="K763" i="2"/>
  <c r="N763" i="2"/>
  <c r="K764" i="2"/>
  <c r="N764" i="2"/>
  <c r="K765" i="2"/>
  <c r="N765" i="2"/>
  <c r="K2" i="2"/>
  <c r="N2" i="2"/>
  <c r="L2" i="2" l="1"/>
  <c r="M2" i="2" s="1"/>
  <c r="L636" i="2"/>
  <c r="M636" i="2" s="1"/>
  <c r="L631" i="2"/>
  <c r="M631" i="2" s="1"/>
  <c r="L635" i="2"/>
  <c r="M635" i="2" s="1"/>
  <c r="L588" i="2"/>
  <c r="M588" i="2" s="1"/>
  <c r="L186" i="2"/>
  <c r="M186" i="2"/>
  <c r="L234" i="2"/>
  <c r="M234" i="2" s="1"/>
  <c r="L184" i="2"/>
  <c r="M184" i="2"/>
  <c r="L580" i="2"/>
  <c r="M580" i="2" s="1"/>
  <c r="L559" i="2"/>
  <c r="M559" i="2" s="1"/>
  <c r="L708" i="2"/>
  <c r="M708" i="2" s="1"/>
  <c r="L738" i="2"/>
  <c r="M738" i="2" s="1"/>
  <c r="L96" i="2"/>
  <c r="M96" i="2" s="1"/>
  <c r="L433" i="2"/>
  <c r="M433" i="2" s="1"/>
  <c r="L118" i="2"/>
  <c r="M118" i="2" s="1"/>
  <c r="L515" i="2"/>
  <c r="M515" i="2" s="1"/>
  <c r="L460" i="2"/>
  <c r="M460" i="2" s="1"/>
  <c r="L745" i="2"/>
  <c r="M745" i="2" s="1"/>
  <c r="L104" i="2"/>
  <c r="M104" i="2" s="1"/>
  <c r="L553" i="2"/>
  <c r="M553" i="2" s="1"/>
  <c r="L649" i="2"/>
  <c r="M649" i="2" s="1"/>
  <c r="L7" i="2"/>
  <c r="M7" i="2"/>
  <c r="L54" i="2"/>
  <c r="M54" i="2" s="1"/>
  <c r="L160" i="2"/>
  <c r="M160" i="2" s="1"/>
  <c r="L132" i="2"/>
  <c r="M132" i="2" s="1"/>
  <c r="L317" i="2"/>
  <c r="M317" i="2" s="1"/>
  <c r="L279" i="2"/>
  <c r="M279" i="2" s="1"/>
  <c r="L92" i="2"/>
  <c r="M92" i="2" s="1"/>
  <c r="L63" i="2"/>
  <c r="M63" i="2" s="1"/>
  <c r="L746" i="2"/>
  <c r="M746" i="2" s="1"/>
  <c r="L490" i="2"/>
  <c r="M490" i="2" s="1"/>
  <c r="L440" i="2"/>
  <c r="M440" i="2" s="1"/>
  <c r="L41" i="2"/>
  <c r="M41" i="2" s="1"/>
  <c r="L510" i="2"/>
  <c r="M510" i="2" s="1"/>
  <c r="L245" i="2"/>
  <c r="M245" i="2" s="1"/>
  <c r="L215" i="2"/>
  <c r="M215" i="2" s="1"/>
  <c r="L352" i="2"/>
  <c r="M352" i="2" s="1"/>
  <c r="L644" i="2"/>
  <c r="M644" i="2" s="1"/>
  <c r="L170" i="2"/>
  <c r="M170" i="2" s="1"/>
  <c r="L329" i="2"/>
  <c r="M329" i="2" s="1"/>
  <c r="L444" i="2"/>
  <c r="M444" i="2" s="1"/>
  <c r="L542" i="2"/>
  <c r="M542" i="2" s="1"/>
  <c r="L275" i="2"/>
  <c r="M275" i="2" s="1"/>
  <c r="L255" i="2"/>
  <c r="M255" i="2" s="1"/>
  <c r="L629" i="2"/>
  <c r="M629" i="2" s="1"/>
  <c r="L202" i="2"/>
  <c r="M202" i="2" s="1"/>
  <c r="L569" i="2"/>
  <c r="M569" i="2" s="1"/>
  <c r="L478" i="2"/>
  <c r="M478" i="2" s="1"/>
  <c r="L72" i="2"/>
  <c r="M72" i="2" s="1"/>
  <c r="L207" i="2"/>
  <c r="M207" i="2" s="1"/>
  <c r="L431" i="2"/>
  <c r="M431" i="2" s="1"/>
  <c r="L599" i="2"/>
  <c r="M599" i="2" s="1"/>
  <c r="L208" i="2"/>
  <c r="M208" i="2" s="1"/>
  <c r="L355" i="2"/>
  <c r="M355" i="2" s="1"/>
  <c r="L479" i="2"/>
  <c r="M479" i="2" s="1"/>
  <c r="L306" i="2"/>
  <c r="M306" i="2" s="1"/>
  <c r="L556" i="2"/>
  <c r="M556" i="2" s="1"/>
  <c r="L730" i="2"/>
  <c r="M730" i="2" s="1"/>
  <c r="L242" i="2"/>
  <c r="M242" i="2" s="1"/>
  <c r="L125" i="2"/>
  <c r="M125" i="2" s="1"/>
  <c r="L341" i="2"/>
  <c r="M341" i="2" s="1"/>
  <c r="L764" i="2"/>
  <c r="M764" i="2"/>
  <c r="L499" i="2"/>
  <c r="M499" i="2" s="1"/>
  <c r="L411" i="2"/>
  <c r="M411" i="2" s="1"/>
  <c r="L506" i="2"/>
  <c r="M506" i="2" s="1"/>
  <c r="L509" i="2"/>
  <c r="M509" i="2" s="1"/>
  <c r="L702" i="2"/>
  <c r="M702" i="2" s="1"/>
  <c r="L443" i="2"/>
  <c r="M443" i="2" s="1"/>
  <c r="L224" i="2"/>
  <c r="M224" i="2" s="1"/>
  <c r="L108" i="2"/>
  <c r="M108" i="2" s="1"/>
  <c r="L168" i="2"/>
  <c r="M168" i="2" s="1"/>
  <c r="L90" i="2"/>
  <c r="M90" i="2" s="1"/>
  <c r="L103" i="2"/>
  <c r="M103" i="2" s="1"/>
  <c r="L127" i="2"/>
  <c r="M127" i="2" s="1"/>
  <c r="L321" i="2"/>
  <c r="M321" i="2" s="1"/>
  <c r="L548" i="2"/>
  <c r="M548" i="2" s="1"/>
  <c r="L602" i="2"/>
  <c r="M602" i="2" s="1"/>
  <c r="L177" i="2"/>
  <c r="M177" i="2" s="1"/>
  <c r="L392" i="2"/>
  <c r="M392" i="2" s="1"/>
  <c r="L69" i="2"/>
  <c r="M69" i="2" s="1"/>
  <c r="L331" i="2"/>
  <c r="M331" i="2" s="1"/>
  <c r="L541" i="2"/>
  <c r="M541" i="2" s="1"/>
  <c r="L259" i="2"/>
  <c r="M259" i="2" s="1"/>
  <c r="L503" i="2"/>
  <c r="M503" i="2" s="1"/>
  <c r="L650" i="2"/>
  <c r="M650" i="2" s="1"/>
  <c r="L375" i="2"/>
  <c r="M375" i="2" s="1"/>
  <c r="L661" i="2"/>
  <c r="M661" i="2" s="1"/>
  <c r="L211" i="2"/>
  <c r="M211" i="2"/>
  <c r="L568" i="2"/>
  <c r="M568" i="2" s="1"/>
  <c r="L508" i="2"/>
  <c r="M508" i="2"/>
  <c r="L370" i="2"/>
  <c r="M370" i="2" s="1"/>
  <c r="L722" i="2"/>
  <c r="M722" i="2" s="1"/>
  <c r="L709" i="2"/>
  <c r="M709" i="2" s="1"/>
  <c r="L753" i="2"/>
  <c r="M753" i="2" s="1"/>
  <c r="L693" i="2"/>
  <c r="M693" i="2" s="1"/>
  <c r="L138" i="2"/>
  <c r="M138" i="2" s="1"/>
  <c r="L293" i="2"/>
  <c r="M293" i="2" s="1"/>
  <c r="L587" i="2"/>
  <c r="M587" i="2" s="1"/>
  <c r="L520" i="2"/>
  <c r="M520" i="2" s="1"/>
  <c r="L201" i="2"/>
  <c r="M201" i="2" s="1"/>
  <c r="L639" i="2"/>
  <c r="M639" i="2" s="1"/>
  <c r="L320" i="2"/>
  <c r="M320" i="2" s="1"/>
  <c r="L52" i="2"/>
  <c r="M52" i="2" s="1"/>
  <c r="L119" i="2"/>
  <c r="M119" i="2" s="1"/>
  <c r="L106" i="2"/>
  <c r="M106" i="2" s="1"/>
  <c r="L87" i="2"/>
  <c r="M87" i="2" s="1"/>
  <c r="L336" i="2"/>
  <c r="M336" i="2" s="1"/>
  <c r="L505" i="2"/>
  <c r="M505" i="2" s="1"/>
  <c r="L77" i="2"/>
  <c r="M77" i="2" s="1"/>
  <c r="L236" i="2"/>
  <c r="M236" i="2" s="1"/>
  <c r="L622" i="2"/>
  <c r="M622" i="2" s="1"/>
  <c r="L158" i="2"/>
  <c r="M158" i="2" s="1"/>
  <c r="L173" i="2"/>
  <c r="M173" i="2" s="1"/>
  <c r="L616" i="2"/>
  <c r="M616" i="2" s="1"/>
  <c r="L149" i="2"/>
  <c r="M149" i="2" s="1"/>
  <c r="L455" i="2"/>
  <c r="M455" i="2"/>
  <c r="L139" i="2"/>
  <c r="M139" i="2" s="1"/>
  <c r="L562" i="2"/>
  <c r="M562" i="2" s="1"/>
  <c r="L543" i="2"/>
  <c r="M543" i="2" s="1"/>
  <c r="L135" i="2"/>
  <c r="M135" i="2"/>
  <c r="L596" i="2"/>
  <c r="M596" i="2" s="1"/>
  <c r="L115" i="2"/>
  <c r="M115" i="2" s="1"/>
  <c r="L514" i="2"/>
  <c r="M514" i="2" s="1"/>
  <c r="L659" i="2"/>
  <c r="M659" i="2" s="1"/>
  <c r="L662" i="2"/>
  <c r="M662" i="2" s="1"/>
  <c r="L88" i="2"/>
  <c r="M88" i="2" s="1"/>
  <c r="L477" i="2"/>
  <c r="M477" i="2" s="1"/>
  <c r="L220" i="2"/>
  <c r="M220" i="2" s="1"/>
  <c r="L350" i="2"/>
  <c r="M350" i="2" s="1"/>
  <c r="L101" i="2"/>
  <c r="M101" i="2" s="1"/>
  <c r="L219" i="2"/>
  <c r="M219" i="2" s="1"/>
  <c r="L723" i="2"/>
  <c r="M723" i="2" s="1"/>
  <c r="L574" i="2"/>
  <c r="M574" i="2" s="1"/>
  <c r="L383" i="2"/>
  <c r="M383" i="2" s="1"/>
  <c r="L286" i="2"/>
  <c r="M286" i="2" s="1"/>
  <c r="L459" i="2"/>
  <c r="M459" i="2" s="1"/>
  <c r="L265" i="2"/>
  <c r="M265" i="2" s="1"/>
  <c r="L641" i="2"/>
  <c r="M641" i="2" s="1"/>
  <c r="L724" i="2"/>
  <c r="M724" i="2" s="1"/>
  <c r="L521" i="2"/>
  <c r="M521" i="2" s="1"/>
  <c r="L648" i="2"/>
  <c r="M648" i="2" s="1"/>
  <c r="L264" i="2"/>
  <c r="M264" i="2" s="1"/>
  <c r="L613" i="2"/>
  <c r="M613" i="2" s="1"/>
  <c r="L47" i="2"/>
  <c r="M47" i="2" s="1"/>
  <c r="L491" i="2"/>
  <c r="M491" i="2" s="1"/>
  <c r="L750" i="2"/>
  <c r="M750" i="2" s="1"/>
  <c r="L430" i="2"/>
  <c r="M430" i="2" s="1"/>
  <c r="L34" i="2"/>
  <c r="L58" i="2"/>
  <c r="M58" i="2" s="1"/>
  <c r="L381" i="2"/>
  <c r="M381" i="2" s="1"/>
  <c r="L487" i="2"/>
  <c r="M487" i="2" s="1"/>
  <c r="M34" i="2"/>
  <c r="L545" i="2"/>
  <c r="M545" i="2" s="1"/>
  <c r="L646" i="2"/>
  <c r="M646" i="2" s="1"/>
  <c r="L280" i="2"/>
  <c r="M280" i="2"/>
  <c r="L564" i="2"/>
  <c r="M564" i="2" s="1"/>
  <c r="L563" i="2"/>
  <c r="M563" i="2"/>
  <c r="L116" i="2"/>
  <c r="M116" i="2" s="1"/>
  <c r="L747" i="2"/>
  <c r="M747" i="2" s="1"/>
  <c r="L453" i="2"/>
  <c r="M453" i="2" s="1"/>
  <c r="L666" i="2"/>
  <c r="M666" i="2" s="1"/>
  <c r="L397" i="2"/>
  <c r="M397" i="2"/>
  <c r="L66" i="2"/>
  <c r="M66" i="2" s="1"/>
  <c r="L212" i="2"/>
  <c r="M212" i="2"/>
  <c r="L346" i="2"/>
  <c r="M346" i="2" s="1"/>
  <c r="L619" i="2"/>
  <c r="M619" i="2" s="1"/>
  <c r="L113" i="2"/>
  <c r="M113" i="2" s="1"/>
  <c r="L150" i="2"/>
  <c r="M150" i="2" s="1"/>
  <c r="L83" i="2"/>
  <c r="M83" i="2" s="1"/>
  <c r="L51" i="2"/>
  <c r="M51" i="2" s="1"/>
  <c r="L582" i="2"/>
  <c r="M582" i="2" s="1"/>
  <c r="L657" i="2"/>
  <c r="M657" i="2" s="1"/>
  <c r="L294" i="2"/>
  <c r="M294" i="2" s="1"/>
  <c r="L60" i="2"/>
  <c r="M60" i="2" s="1"/>
  <c r="L630" i="2"/>
  <c r="M630" i="2" s="1"/>
  <c r="L450" i="2"/>
  <c r="M450" i="2" s="1"/>
  <c r="L527" i="2"/>
  <c r="M527" i="2" s="1"/>
  <c r="L266" i="2"/>
  <c r="M266" i="2" s="1"/>
  <c r="L13" i="2"/>
  <c r="M13" i="2" s="1"/>
  <c r="L442" i="2"/>
  <c r="M442" i="2" s="1"/>
  <c r="L100" i="2"/>
  <c r="M100" i="2" s="1"/>
  <c r="L35" i="2"/>
  <c r="M35" i="2" s="1"/>
  <c r="L9" i="2"/>
  <c r="M9" i="2" s="1"/>
  <c r="L658" i="2"/>
  <c r="M658" i="2" s="1"/>
  <c r="L105" i="2"/>
  <c r="M105" i="2" s="1"/>
  <c r="L591" i="2"/>
  <c r="M591" i="2" s="1"/>
  <c r="L365" i="2"/>
  <c r="M365" i="2" s="1"/>
  <c r="L436" i="2"/>
  <c r="M436" i="2" s="1"/>
  <c r="L109" i="2"/>
  <c r="M109" i="2" s="1"/>
  <c r="L558" i="2"/>
  <c r="M558" i="2" s="1"/>
  <c r="L218" i="2"/>
  <c r="M218" i="2" s="1"/>
  <c r="L535" i="2"/>
  <c r="M535" i="2" s="1"/>
  <c r="L529" i="2"/>
  <c r="M529" i="2" s="1"/>
  <c r="L91" i="2"/>
  <c r="M91" i="2" s="1"/>
  <c r="L33" i="2"/>
  <c r="M33" i="2" s="1"/>
  <c r="L334" i="2"/>
  <c r="M334" i="2" s="1"/>
  <c r="L86" i="2"/>
  <c r="M86" i="2" s="1"/>
  <c r="L276" i="2"/>
  <c r="M276" i="2" s="1"/>
  <c r="L28" i="2"/>
  <c r="M28" i="2" s="1"/>
  <c r="L112" i="2"/>
  <c r="M112" i="2" s="1"/>
  <c r="L84" i="2"/>
  <c r="M84" i="2" s="1"/>
  <c r="L241" i="2"/>
  <c r="M241" i="2" s="1"/>
  <c r="L386" i="2"/>
  <c r="M386" i="2" s="1"/>
  <c r="L547" i="2"/>
  <c r="M547" i="2" s="1"/>
  <c r="L549" i="2"/>
  <c r="M549" i="2" s="1"/>
  <c r="L308" i="2"/>
  <c r="M308" i="2" s="1"/>
  <c r="L351" i="2"/>
  <c r="M351" i="2" s="1"/>
  <c r="L27" i="2"/>
  <c r="M27" i="2" s="1"/>
  <c r="L59" i="2"/>
  <c r="M59" i="2" s="1"/>
  <c r="L190" i="2"/>
  <c r="M190" i="2" s="1"/>
  <c r="L544" i="2"/>
  <c r="M544" i="2"/>
  <c r="L176" i="2"/>
  <c r="M176" i="2" s="1"/>
  <c r="L462" i="2"/>
  <c r="M462" i="2" s="1"/>
  <c r="L163" i="2"/>
  <c r="M163" i="2" s="1"/>
  <c r="L388" i="2"/>
  <c r="M388" i="2" s="1"/>
  <c r="L151" i="2"/>
  <c r="M151" i="2" s="1"/>
  <c r="L734" i="2"/>
  <c r="M734" i="2" s="1"/>
  <c r="L198" i="2"/>
  <c r="M198" i="2" s="1"/>
  <c r="L729" i="2"/>
  <c r="M729" i="2"/>
  <c r="L581" i="2"/>
  <c r="M581" i="2" s="1"/>
  <c r="L470" i="2"/>
  <c r="M470" i="2" s="1"/>
  <c r="L193" i="2"/>
  <c r="M193" i="2" s="1"/>
  <c r="L75" i="2"/>
  <c r="M75" i="2" s="1"/>
  <c r="L466" i="2"/>
  <c r="M466" i="2" s="1"/>
  <c r="L731" i="2"/>
  <c r="M731" i="2" s="1"/>
  <c r="L567" i="2"/>
  <c r="M567" i="2" s="1"/>
  <c r="L660" i="2"/>
  <c r="M660" i="2" s="1"/>
  <c r="L609" i="2"/>
  <c r="M609" i="2" s="1"/>
  <c r="L451" i="2"/>
  <c r="M451" i="2" s="1"/>
  <c r="L429" i="2"/>
  <c r="M429" i="2" s="1"/>
  <c r="L555" i="2"/>
  <c r="M555" i="2" s="1"/>
  <c r="L246" i="2"/>
  <c r="M246" i="2" s="1"/>
  <c r="L171" i="2"/>
  <c r="M171" i="2" s="1"/>
  <c r="L277" i="2"/>
  <c r="M277" i="2" s="1"/>
  <c r="L298" i="2"/>
  <c r="M298" i="2" s="1"/>
  <c r="L314" i="2"/>
  <c r="M314" i="2" s="1"/>
  <c r="L461" i="2"/>
  <c r="M461" i="2" s="1"/>
  <c r="L645" i="2"/>
  <c r="M645" i="2" s="1"/>
  <c r="L447" i="2"/>
  <c r="M447" i="2" s="1"/>
  <c r="L452" i="2"/>
  <c r="M452" i="2" s="1"/>
  <c r="L62" i="2"/>
  <c r="M62" i="2" s="1"/>
  <c r="L572" i="2"/>
  <c r="M572" i="2" s="1"/>
  <c r="L632" i="2"/>
  <c r="M632" i="2" s="1"/>
  <c r="L701" i="2"/>
  <c r="M701" i="2" s="1"/>
  <c r="L403" i="2"/>
  <c r="M403" i="2" s="1"/>
  <c r="L485" i="2"/>
  <c r="M485" i="2" s="1"/>
  <c r="L652" i="2"/>
  <c r="M652" i="2" s="1"/>
  <c r="L699" i="2"/>
  <c r="M699" i="2" s="1"/>
  <c r="L185" i="2"/>
  <c r="M185" i="2" s="1"/>
  <c r="L664" i="2"/>
  <c r="M664" i="2" s="1"/>
  <c r="L287" i="2"/>
  <c r="M287" i="2" s="1"/>
  <c r="L181" i="2"/>
  <c r="M181" i="2" s="1"/>
  <c r="L366" i="2"/>
  <c r="M366" i="2" s="1"/>
  <c r="L748" i="2"/>
  <c r="M748" i="2" s="1"/>
  <c r="L493" i="2"/>
  <c r="M493" i="2" s="1"/>
  <c r="L504" i="2"/>
  <c r="M504" i="2" s="1"/>
  <c r="L373" i="2"/>
  <c r="M373" i="2" s="1"/>
  <c r="L123" i="2"/>
  <c r="M123" i="2" s="1"/>
  <c r="L363" i="2"/>
  <c r="M363" i="2" s="1"/>
  <c r="L654" i="2"/>
  <c r="M654" i="2" s="1"/>
  <c r="L99" i="2"/>
  <c r="M99" i="2" s="1"/>
  <c r="L494" i="2"/>
  <c r="M494" i="2" s="1"/>
  <c r="L604" i="2"/>
  <c r="M604" i="2" s="1"/>
  <c r="L316" i="2"/>
  <c r="M316" i="2" s="1"/>
  <c r="L327" i="2"/>
  <c r="M327" i="2" s="1"/>
  <c r="L625" i="2"/>
  <c r="M625" i="2" s="1"/>
  <c r="L226" i="2"/>
  <c r="M226" i="2" s="1"/>
  <c r="L40" i="2"/>
  <c r="M40" i="2" s="1"/>
  <c r="L435" i="2"/>
  <c r="M435" i="2" s="1"/>
  <c r="L121" i="2"/>
  <c r="M121" i="2" s="1"/>
  <c r="L322" i="2"/>
  <c r="M322" i="2" s="1"/>
  <c r="L565" i="2"/>
  <c r="M565" i="2" s="1"/>
  <c r="L102" i="2"/>
  <c r="M102" i="2" s="1"/>
  <c r="L290" i="2"/>
  <c r="M290" i="2" s="1"/>
  <c r="L154" i="2"/>
  <c r="M154" i="2" s="1"/>
  <c r="L387" i="2"/>
  <c r="M387" i="2" s="1"/>
  <c r="L157" i="2"/>
  <c r="M157" i="2" s="1"/>
  <c r="L64" i="2"/>
  <c r="M64" i="2" s="1"/>
  <c r="L705" i="2"/>
  <c r="M705" i="2" s="1"/>
  <c r="L162" i="2"/>
  <c r="M162" i="2" s="1"/>
  <c r="L340" i="2"/>
  <c r="M340" i="2" s="1"/>
  <c r="L663" i="2"/>
  <c r="M663" i="2" s="1"/>
  <c r="L765" i="2"/>
  <c r="M765" i="2" s="1"/>
  <c r="L165" i="2"/>
  <c r="M165" i="2" s="1"/>
  <c r="L690" i="2"/>
  <c r="M690" i="2" s="1"/>
  <c r="L312" i="2"/>
  <c r="M312" i="2" s="1"/>
  <c r="L618" i="2"/>
  <c r="M618" i="2" s="1"/>
  <c r="L197" i="2"/>
  <c r="M197" i="2"/>
  <c r="L467" i="2"/>
  <c r="M467" i="2" s="1"/>
  <c r="L281" i="2"/>
  <c r="M281" i="2" s="1"/>
  <c r="L110" i="2"/>
  <c r="M110" i="2" s="1"/>
  <c r="L672" i="2"/>
  <c r="M672" i="2" s="1"/>
  <c r="L700" i="2"/>
  <c r="M700" i="2" s="1"/>
  <c r="L595" i="2"/>
  <c r="M595" i="2" s="1"/>
  <c r="L324" i="2"/>
  <c r="M324" i="2" s="1"/>
  <c r="L263" i="2"/>
  <c r="M263" i="2" s="1"/>
  <c r="L721" i="2"/>
  <c r="M721" i="2" s="1"/>
  <c r="L214" i="2"/>
  <c r="M214" i="2" s="1"/>
  <c r="L577" i="2"/>
  <c r="M577" i="2" s="1"/>
  <c r="L348" i="2"/>
  <c r="M348" i="2" s="1"/>
  <c r="L239" i="2"/>
  <c r="M239" i="2" s="1"/>
  <c r="L300" i="2"/>
  <c r="M300" i="2" s="1"/>
  <c r="L254" i="2"/>
  <c r="M254" i="2" s="1"/>
  <c r="L637" i="2"/>
  <c r="M637" i="2" s="1"/>
  <c r="L68" i="2"/>
  <c r="M68" i="2"/>
  <c r="L474" i="2"/>
  <c r="M474" i="2" s="1"/>
  <c r="L205" i="2"/>
  <c r="M205" i="2" s="1"/>
  <c r="L752" i="2"/>
  <c r="M752" i="2" s="1"/>
  <c r="L525" i="2"/>
  <c r="M525" i="2" s="1"/>
  <c r="L244" i="2"/>
  <c r="M244" i="2" s="1"/>
  <c r="L117" i="2"/>
  <c r="M117" i="2" s="1"/>
  <c r="L362" i="2"/>
  <c r="M362" i="2" s="1"/>
  <c r="L419" i="2"/>
  <c r="M419" i="2" s="1"/>
  <c r="L550" i="2"/>
  <c r="M550" i="2" s="1"/>
  <c r="L257" i="2"/>
  <c r="M257" i="2" s="1"/>
  <c r="L486" i="2"/>
  <c r="M486" i="2" s="1"/>
  <c r="L46" i="2"/>
  <c r="M46" i="2" s="1"/>
  <c r="L394" i="2"/>
  <c r="M394" i="2" s="1"/>
  <c r="L603" i="2"/>
  <c r="M603" i="2" s="1"/>
  <c r="L571" i="2"/>
  <c r="M571" i="2" s="1"/>
  <c r="L739" i="2"/>
  <c r="M739" i="2" s="1"/>
  <c r="L274" i="2"/>
  <c r="M274" i="2" s="1"/>
  <c r="L98" i="2"/>
  <c r="M98" i="2" s="1"/>
  <c r="L679" i="2"/>
  <c r="M679" i="2" s="1"/>
  <c r="L496" i="2"/>
  <c r="M496" i="2" s="1"/>
  <c r="L269" i="2"/>
  <c r="M269" i="2" s="1"/>
  <c r="L57" i="2"/>
  <c r="M57" i="2" s="1"/>
  <c r="L124" i="2"/>
  <c r="M124" i="2" s="1"/>
  <c r="L299" i="2"/>
  <c r="M299" i="2" s="1"/>
  <c r="L539" i="2"/>
  <c r="M539" i="2" s="1"/>
  <c r="L691" i="2"/>
  <c r="M691" i="2" s="1"/>
  <c r="L441" i="2"/>
  <c r="M441" i="2" s="1"/>
  <c r="L344" i="2"/>
  <c r="M344" i="2" s="1"/>
  <c r="L29" i="2"/>
  <c r="M29" i="2" s="1"/>
  <c r="L668" i="2"/>
  <c r="M668" i="2" s="1"/>
  <c r="L10" i="2"/>
  <c r="M10" i="2" s="1"/>
  <c r="L711" i="2"/>
  <c r="M711" i="2" s="1"/>
  <c r="L578" i="2"/>
  <c r="M578" i="2" s="1"/>
  <c r="L511" i="2"/>
  <c r="M511" i="2" s="1"/>
  <c r="L22" i="2"/>
  <c r="M22" i="2" s="1"/>
  <c r="L377" i="2"/>
  <c r="M377" i="2" s="1"/>
  <c r="L627" i="2"/>
  <c r="M627" i="2" s="1"/>
  <c r="L289" i="2"/>
  <c r="M289" i="2" s="1"/>
  <c r="L647" i="2"/>
  <c r="M647" i="2" s="1"/>
  <c r="L175" i="2"/>
  <c r="M175" i="2" s="1"/>
  <c r="L400" i="2"/>
  <c r="M400" i="2" s="1"/>
  <c r="L323" i="2"/>
  <c r="M323" i="2" s="1"/>
  <c r="L389" i="2"/>
  <c r="M389" i="2" s="1"/>
  <c r="L507" i="2"/>
  <c r="M507" i="2" s="1"/>
  <c r="L540" i="2"/>
  <c r="M540" i="2" s="1"/>
  <c r="L612" i="2"/>
  <c r="M612" i="2" s="1"/>
  <c r="L736" i="2"/>
  <c r="M736" i="2" s="1"/>
  <c r="L206" i="2"/>
  <c r="M206" i="2" s="1"/>
  <c r="L643" i="2"/>
  <c r="M643" i="2" s="1"/>
  <c r="L4" i="2"/>
  <c r="M4" i="2" s="1"/>
  <c r="L680" i="2"/>
  <c r="M680" i="2"/>
  <c r="L707" i="2"/>
  <c r="M707" i="2" s="1"/>
  <c r="L380" i="2"/>
  <c r="M380" i="2" s="1"/>
  <c r="L621" i="2"/>
  <c r="M621" i="2" s="1"/>
  <c r="L686" i="2"/>
  <c r="M686" i="2" s="1"/>
  <c r="L687" i="2"/>
  <c r="M687" i="2" s="1"/>
  <c r="L614" i="2"/>
  <c r="M614" i="2" s="1"/>
  <c r="L498" i="2"/>
  <c r="M498" i="2" s="1"/>
  <c r="L749" i="2"/>
  <c r="M749" i="2" s="1"/>
  <c r="L471" i="2"/>
  <c r="M471" i="2"/>
  <c r="L677" i="2"/>
  <c r="M677" i="2" s="1"/>
  <c r="L713" i="2"/>
  <c r="M713" i="2" s="1"/>
  <c r="L166" i="2"/>
  <c r="M166" i="2" s="1"/>
  <c r="L16" i="2"/>
  <c r="M16" i="2" s="1"/>
  <c r="L144" i="2"/>
  <c r="M144" i="2" s="1"/>
  <c r="L448" i="2"/>
  <c r="M448" i="2" s="1"/>
  <c r="L148" i="2"/>
  <c r="M148" i="2" s="1"/>
  <c r="L233" i="2"/>
  <c r="M233" i="2" s="1"/>
  <c r="L480" i="2"/>
  <c r="M480" i="2" s="1"/>
  <c r="L291" i="2"/>
  <c r="M291" i="2" s="1"/>
  <c r="L592" i="2"/>
  <c r="M592" i="2" s="1"/>
  <c r="L552" i="2"/>
  <c r="M552" i="2" s="1"/>
  <c r="L566" i="2"/>
  <c r="M566" i="2" s="1"/>
  <c r="L251" i="2"/>
  <c r="M251" i="2" s="1"/>
  <c r="L615" i="2"/>
  <c r="M615" i="2" s="1"/>
  <c r="L759" i="2"/>
  <c r="M759" i="2" s="1"/>
  <c r="L278" i="2"/>
  <c r="M278" i="2" s="1"/>
  <c r="L409" i="2"/>
  <c r="M409" i="2" s="1"/>
  <c r="L301" i="2"/>
  <c r="M301" i="2" s="1"/>
  <c r="L107" i="2"/>
  <c r="M107" i="2" s="1"/>
  <c r="L728" i="2"/>
  <c r="M728" i="2" s="1"/>
  <c r="L217" i="2"/>
  <c r="M217" i="2" s="1"/>
  <c r="L258" i="2"/>
  <c r="M258" i="2"/>
  <c r="L70" i="2"/>
  <c r="M70" i="2" s="1"/>
  <c r="L326" i="2"/>
  <c r="M326" i="2" s="1"/>
  <c r="L671" i="2"/>
  <c r="M671" i="2" s="1"/>
  <c r="L714" i="2"/>
  <c r="M714" i="2" s="1"/>
  <c r="L524" i="2"/>
  <c r="M524" i="2"/>
  <c r="L634" i="2"/>
  <c r="M634" i="2" s="1"/>
  <c r="L516" i="2"/>
  <c r="M516" i="2" s="1"/>
  <c r="L111" i="2"/>
  <c r="M111" i="2"/>
  <c r="L611" i="2"/>
  <c r="M611" i="2" s="1"/>
  <c r="L305" i="2"/>
  <c r="M305" i="2" s="1"/>
  <c r="L561" i="2"/>
  <c r="M561" i="2" s="1"/>
  <c r="L473" i="2"/>
  <c r="M473" i="2" s="1"/>
  <c r="L464" i="2"/>
  <c r="M464" i="2" s="1"/>
  <c r="L497" i="2"/>
  <c r="M497" i="2" s="1"/>
  <c r="L620" i="2"/>
  <c r="M620" i="2" s="1"/>
  <c r="L8" i="2"/>
  <c r="M8" i="2" s="1"/>
  <c r="L412" i="2"/>
  <c r="M412" i="2" s="1"/>
  <c r="L223" i="2"/>
  <c r="M223" i="2" s="1"/>
  <c r="L717" i="2"/>
  <c r="M717" i="2" s="1"/>
  <c r="L704" i="2"/>
  <c r="M704" i="2" s="1"/>
  <c r="L642" i="2"/>
  <c r="M642" i="2" s="1"/>
  <c r="L607" i="2"/>
  <c r="M607" i="2" s="1"/>
  <c r="L427" i="2"/>
  <c r="M427" i="2" s="1"/>
  <c r="L684" i="2"/>
  <c r="M684" i="2" s="1"/>
  <c r="L318" i="2"/>
  <c r="M318" i="2" s="1"/>
  <c r="L469" i="2"/>
  <c r="M469" i="2" s="1"/>
  <c r="L483" i="2"/>
  <c r="M483" i="2" s="1"/>
  <c r="L364" i="2"/>
  <c r="M364" i="2" s="1"/>
  <c r="L633" i="2"/>
  <c r="M633" i="2" s="1"/>
  <c r="L695" i="2"/>
  <c r="M695" i="2" s="1"/>
  <c r="L519" i="2"/>
  <c r="M519" i="2" s="1"/>
  <c r="L126" i="2"/>
  <c r="M126" i="2" s="1"/>
  <c r="L449" i="2"/>
  <c r="M449" i="2" s="1"/>
  <c r="L361" i="2"/>
  <c r="M361" i="2" s="1"/>
  <c r="L65" i="2"/>
  <c r="M65" i="2" s="1"/>
  <c r="L468" i="2"/>
  <c r="M468" i="2" s="1"/>
  <c r="L247" i="2"/>
  <c r="M247" i="2" s="1"/>
  <c r="L3" i="2"/>
  <c r="M3" i="2" s="1"/>
  <c r="L95" i="2"/>
  <c r="M95" i="2" s="1"/>
  <c r="L262" i="2"/>
  <c r="M262" i="2" s="1"/>
  <c r="L526" i="2"/>
  <c r="M526" i="2" s="1"/>
  <c r="L751" i="2"/>
  <c r="M751" i="2" s="1"/>
  <c r="L48" i="2"/>
  <c r="M48" i="2" s="1"/>
  <c r="L342" i="2"/>
  <c r="M342" i="2" s="1"/>
  <c r="L209" i="2"/>
  <c r="M209" i="2" s="1"/>
  <c r="L130" i="2"/>
  <c r="M130" i="2" s="1"/>
  <c r="L626" i="2"/>
  <c r="M626" i="2" s="1"/>
  <c r="L537" i="2"/>
  <c r="M537" i="2" s="1"/>
  <c r="L216" i="2"/>
  <c r="M216" i="2" s="1"/>
  <c r="L408" i="2"/>
  <c r="M408" i="2" s="1"/>
  <c r="L538" i="2"/>
  <c r="M538" i="2" s="1"/>
  <c r="L141" i="2"/>
  <c r="M141" i="2" s="1"/>
  <c r="L283" i="2"/>
  <c r="M283" i="2" s="1"/>
  <c r="L227" i="2"/>
  <c r="M227" i="2" s="1"/>
  <c r="L606" i="2"/>
  <c r="M606" i="2" s="1"/>
  <c r="L18" i="2"/>
  <c r="M18" i="2" s="1"/>
  <c r="L665" i="2"/>
  <c r="M665" i="2" s="1"/>
  <c r="L458" i="2"/>
  <c r="M458" i="2" s="1"/>
  <c r="L740" i="2"/>
  <c r="M740" i="2" s="1"/>
  <c r="L292" i="2"/>
  <c r="M292" i="2" s="1"/>
  <c r="L712" i="2"/>
  <c r="M712" i="2" s="1"/>
  <c r="L500" i="2"/>
  <c r="M500" i="2" s="1"/>
  <c r="L439" i="2"/>
  <c r="M439" i="2" s="1"/>
  <c r="L252" i="2"/>
  <c r="M252" i="2" s="1"/>
  <c r="L424" i="2"/>
  <c r="M424" i="2" s="1"/>
  <c r="L78" i="2"/>
  <c r="M78" i="2" s="1"/>
  <c r="L378" i="2"/>
  <c r="M378" i="2" s="1"/>
  <c r="L45" i="2"/>
  <c r="M45" i="2" s="1"/>
  <c r="L225" i="2"/>
  <c r="M225" i="2" s="1"/>
  <c r="L145" i="2"/>
  <c r="M145" i="2" s="1"/>
  <c r="L737" i="2"/>
  <c r="M737" i="2" s="1"/>
  <c r="L43" i="2"/>
  <c r="M43" i="2" s="1"/>
  <c r="L21" i="2"/>
  <c r="M21" i="2" s="1"/>
  <c r="L570" i="2"/>
  <c r="M570" i="2" s="1"/>
  <c r="L608" i="2"/>
  <c r="M608" i="2" s="1"/>
  <c r="L140" i="2"/>
  <c r="M140" i="2" s="1"/>
  <c r="L697" i="2"/>
  <c r="M697" i="2"/>
  <c r="L203" i="2"/>
  <c r="M203" i="2" s="1"/>
  <c r="L495" i="2"/>
  <c r="M495" i="2" s="1"/>
  <c r="L15" i="2"/>
  <c r="M15" i="2"/>
  <c r="L230" i="2"/>
  <c r="M230" i="2" s="1"/>
  <c r="L143" i="2"/>
  <c r="M143" i="2" s="1"/>
  <c r="L454" i="2"/>
  <c r="M454" i="2" s="1"/>
  <c r="L416" i="2"/>
  <c r="M416" i="2" s="1"/>
  <c r="L456" i="2"/>
  <c r="M456" i="2" s="1"/>
  <c r="L413" i="2"/>
  <c r="M413" i="2" s="1"/>
  <c r="L420" i="2"/>
  <c r="M420" i="2" s="1"/>
  <c r="L376" i="2"/>
  <c r="M376" i="2" s="1"/>
  <c r="L692" i="2"/>
  <c r="M692" i="2" s="1"/>
  <c r="L94" i="2"/>
  <c r="M94" i="2" s="1"/>
  <c r="L253" i="2"/>
  <c r="M253" i="2" s="1"/>
  <c r="L551" i="2"/>
  <c r="M551" i="2" s="1"/>
  <c r="L531" i="2"/>
  <c r="M531" i="2" s="1"/>
  <c r="L302" i="2"/>
  <c r="M302" i="2" s="1"/>
  <c r="L240" i="2"/>
  <c r="M240" i="2" s="1"/>
  <c r="L501" i="2"/>
  <c r="M501" i="2" s="1"/>
  <c r="L391" i="2"/>
  <c r="M391" i="2" s="1"/>
  <c r="L754" i="2"/>
  <c r="M754" i="2" s="1"/>
  <c r="L762" i="2"/>
  <c r="M762" i="2" s="1"/>
  <c r="L667" i="2"/>
  <c r="M667" i="2" s="1"/>
  <c r="L188" i="2"/>
  <c r="M188" i="2" s="1"/>
  <c r="L196" i="2"/>
  <c r="M196" i="2" s="1"/>
  <c r="L685" i="2"/>
  <c r="M685" i="2" s="1"/>
  <c r="L601" i="2"/>
  <c r="M601" i="2" s="1"/>
  <c r="L628" i="2"/>
  <c r="M628" i="2" s="1"/>
  <c r="L359" i="2"/>
  <c r="M359" i="2" s="1"/>
  <c r="L56" i="2"/>
  <c r="M56" i="2" s="1"/>
  <c r="L307" i="2"/>
  <c r="M307" i="2" s="1"/>
  <c r="L560" i="2"/>
  <c r="M560" i="2" s="1"/>
  <c r="L445" i="2"/>
  <c r="M445" i="2" s="1"/>
  <c r="L146" i="2"/>
  <c r="M146" i="2" s="1"/>
  <c r="L518" i="2"/>
  <c r="M518" i="2" s="1"/>
  <c r="L232" i="2"/>
  <c r="M232" i="2" s="1"/>
  <c r="L437" i="2"/>
  <c r="M437" i="2" s="1"/>
  <c r="L347" i="2"/>
  <c r="M347" i="2" s="1"/>
  <c r="L353" i="2"/>
  <c r="M353" i="2" s="1"/>
  <c r="L297" i="2"/>
  <c r="M297" i="2" s="1"/>
  <c r="L30" i="2"/>
  <c r="M30" i="2" s="1"/>
  <c r="L395" i="2"/>
  <c r="M395" i="2" s="1"/>
  <c r="L182" i="2"/>
  <c r="M182" i="2"/>
  <c r="L82" i="2"/>
  <c r="M82" i="2" s="1"/>
  <c r="L339" i="2"/>
  <c r="M339" i="2" s="1"/>
  <c r="L159" i="2"/>
  <c r="M159" i="2" s="1"/>
  <c r="L406" i="2"/>
  <c r="M406" i="2" s="1"/>
  <c r="L200" i="2"/>
  <c r="M200" i="2" s="1"/>
  <c r="L328" i="2"/>
  <c r="M328" i="2" s="1"/>
  <c r="L172" i="2"/>
  <c r="M172" i="2" s="1"/>
  <c r="L390" i="2"/>
  <c r="M390" i="2" s="1"/>
  <c r="L228" i="2"/>
  <c r="M228" i="2" s="1"/>
  <c r="L758" i="2"/>
  <c r="M758" i="2" s="1"/>
  <c r="L410" i="2"/>
  <c r="M410" i="2"/>
  <c r="L589" i="2"/>
  <c r="M589" i="2" s="1"/>
  <c r="L152" i="2"/>
  <c r="M152" i="2" s="1"/>
  <c r="L73" i="2"/>
  <c r="M73" i="2" s="1"/>
  <c r="L457" i="2"/>
  <c r="M457" i="2" s="1"/>
  <c r="L534" i="2"/>
  <c r="M534" i="2" s="1"/>
  <c r="L530" i="2"/>
  <c r="M530" i="2" s="1"/>
  <c r="L475" i="2"/>
  <c r="M475" i="2" s="1"/>
  <c r="L332" i="2"/>
  <c r="M332" i="2" s="1"/>
  <c r="L617" i="2"/>
  <c r="M617" i="2" s="1"/>
  <c r="L742" i="2"/>
  <c r="M742" i="2" s="1"/>
  <c r="L367" i="2"/>
  <c r="M367" i="2" s="1"/>
  <c r="L114" i="2"/>
  <c r="M114" i="2" s="1"/>
  <c r="L557" i="2"/>
  <c r="M557" i="2" s="1"/>
  <c r="L422" i="2"/>
  <c r="M422" i="2" s="1"/>
  <c r="L79" i="2"/>
  <c r="M79" i="2" s="1"/>
  <c r="L465" i="2"/>
  <c r="M465" i="2"/>
  <c r="L37" i="2"/>
  <c r="M37" i="2" s="1"/>
  <c r="L584" i="2"/>
  <c r="M584" i="2" s="1"/>
  <c r="L532" i="2"/>
  <c r="M532" i="2" s="1"/>
  <c r="L360" i="2"/>
  <c r="M360" i="2" s="1"/>
  <c r="L231" i="2"/>
  <c r="M231" i="2" s="1"/>
  <c r="L651" i="2"/>
  <c r="M651" i="2" s="1"/>
  <c r="L71" i="2"/>
  <c r="M71" i="2" s="1"/>
  <c r="L472" i="2"/>
  <c r="M472" i="2" s="1"/>
  <c r="L93" i="2"/>
  <c r="M93" i="2" s="1"/>
  <c r="L282" i="2"/>
  <c r="M282" i="2" s="1"/>
  <c r="L120" i="2"/>
  <c r="M120" i="2" s="1"/>
  <c r="L11" i="2"/>
  <c r="M11" i="2" s="1"/>
  <c r="L19" i="2"/>
  <c r="M19" i="2" s="1"/>
  <c r="L229" i="2"/>
  <c r="M229" i="2" s="1"/>
  <c r="L463" i="2"/>
  <c r="M463" i="2" s="1"/>
  <c r="L727" i="2"/>
  <c r="M727" i="2" s="1"/>
  <c r="L238" i="2"/>
  <c r="M238" i="2" s="1"/>
  <c r="L489" i="2"/>
  <c r="M489" i="2"/>
  <c r="L423" i="2"/>
  <c r="M423" i="2"/>
  <c r="L303" i="2"/>
  <c r="M303" i="2" s="1"/>
  <c r="L49" i="2"/>
  <c r="M49" i="2"/>
  <c r="L128" i="2"/>
  <c r="M128" i="2" s="1"/>
  <c r="L310" i="2"/>
  <c r="M310" i="2" s="1"/>
  <c r="L5" i="2"/>
  <c r="M5" i="2" s="1"/>
  <c r="L683" i="2"/>
  <c r="M683" i="2" s="1"/>
  <c r="L575" i="2"/>
  <c r="M575" i="2" s="1"/>
  <c r="L222" i="2"/>
  <c r="M222" i="2" s="1"/>
  <c r="L678" i="2"/>
  <c r="M678" i="2" s="1"/>
  <c r="L315" i="2"/>
  <c r="M315" i="2" s="1"/>
  <c r="L593" i="2"/>
  <c r="M593" i="2" s="1"/>
  <c r="L594" i="2"/>
  <c r="M594" i="2" s="1"/>
  <c r="L385" i="2"/>
  <c r="M385" i="2" s="1"/>
  <c r="L446" i="2"/>
  <c r="M446" i="2" s="1"/>
  <c r="L194" i="2"/>
  <c r="M194" i="2" s="1"/>
  <c r="L417" i="2"/>
  <c r="M417" i="2" s="1"/>
  <c r="L640" i="2"/>
  <c r="M640" i="2" s="1"/>
  <c r="L164" i="2"/>
  <c r="M164" i="2" s="1"/>
  <c r="L204" i="2"/>
  <c r="M204" i="2" s="1"/>
  <c r="L393" i="2"/>
  <c r="M393" i="2" s="1"/>
  <c r="L579" i="2"/>
  <c r="M579" i="2" s="1"/>
  <c r="L213" i="2"/>
  <c r="M213" i="2" s="1"/>
  <c r="L523" i="2"/>
  <c r="M523" i="2"/>
  <c r="L481" i="2"/>
  <c r="M481" i="2" s="1"/>
  <c r="L415" i="2"/>
  <c r="M415" i="2" s="1"/>
  <c r="L760" i="2"/>
  <c r="M760" i="2" s="1"/>
  <c r="L482" i="2"/>
  <c r="M482" i="2" s="1"/>
  <c r="L763" i="2"/>
  <c r="L576" i="2"/>
  <c r="M576" i="2" s="1"/>
  <c r="L384" i="2"/>
  <c r="L715" i="2"/>
  <c r="L502" i="2"/>
  <c r="M502" i="2" s="1"/>
  <c r="L517" i="2"/>
  <c r="M517" i="2" s="1"/>
  <c r="L296" i="2"/>
  <c r="M296" i="2" s="1"/>
  <c r="L725" i="2"/>
  <c r="M725" i="2" s="1"/>
  <c r="L719" i="2"/>
  <c r="M719" i="2" s="1"/>
  <c r="L345" i="2"/>
  <c r="L405" i="2"/>
  <c r="M405" i="2"/>
  <c r="L337" i="2"/>
  <c r="M337" i="2" s="1"/>
  <c r="L533" i="2"/>
  <c r="M533" i="2" s="1"/>
  <c r="L129" i="2"/>
  <c r="L623" i="2"/>
  <c r="L260" i="2"/>
  <c r="L585" i="2"/>
  <c r="L122" i="2"/>
  <c r="L167" i="2"/>
  <c r="M167" i="2" s="1"/>
  <c r="L399" i="2"/>
  <c r="L319" i="2"/>
  <c r="L372" i="2"/>
  <c r="L25" i="2"/>
  <c r="M25" i="2"/>
  <c r="L325" i="2"/>
  <c r="L210" i="2"/>
  <c r="M210" i="2" s="1"/>
  <c r="L24" i="2"/>
  <c r="L757" i="2"/>
  <c r="M757" i="2" s="1"/>
  <c r="L735" i="2"/>
  <c r="M735" i="2" s="1"/>
  <c r="L74" i="2"/>
  <c r="M74" i="2" s="1"/>
  <c r="L674" i="2"/>
  <c r="L414" i="2"/>
  <c r="M414" i="2" s="1"/>
  <c r="L624" i="2"/>
  <c r="M624" i="2"/>
  <c r="L195" i="2"/>
  <c r="M195" i="2" s="1"/>
  <c r="L261" i="2"/>
  <c r="M261" i="2" s="1"/>
  <c r="L17" i="2"/>
  <c r="M17" i="2" s="1"/>
  <c r="L349" i="2"/>
  <c r="M349" i="2" s="1"/>
  <c r="L741" i="2"/>
  <c r="M741" i="2" s="1"/>
  <c r="L76" i="2"/>
  <c r="M76" i="2" s="1"/>
  <c r="M319" i="2"/>
  <c r="L744" i="2"/>
  <c r="M744" i="2" s="1"/>
  <c r="L374" i="2"/>
  <c r="M374" i="2" s="1"/>
  <c r="L743" i="2"/>
  <c r="M743" i="2" s="1"/>
  <c r="L313" i="2"/>
  <c r="M313" i="2" s="1"/>
  <c r="L670" i="2"/>
  <c r="M670" i="2" s="1"/>
  <c r="M122" i="2"/>
  <c r="L597" i="2"/>
  <c r="M597" i="2" s="1"/>
  <c r="M674" i="2"/>
  <c r="L183" i="2"/>
  <c r="M183" i="2" s="1"/>
  <c r="M623" i="2"/>
  <c r="M260" i="2"/>
  <c r="M129" i="2"/>
  <c r="M345" i="2"/>
  <c r="M715" i="2"/>
  <c r="M384" i="2"/>
  <c r="M763" i="2"/>
  <c r="M585" i="2"/>
  <c r="M372" i="2"/>
  <c r="M325" i="2"/>
  <c r="M24" i="2"/>
  <c r="M399" i="2"/>
  <c r="L147" i="2" l="1"/>
  <c r="M147" i="2" s="1"/>
  <c r="L638" i="2"/>
  <c r="M638" i="2" s="1"/>
  <c r="L256" i="2"/>
  <c r="M256" i="2" s="1"/>
  <c r="L484" i="2"/>
  <c r="M484" i="2" s="1"/>
  <c r="L333" i="2"/>
  <c r="M333" i="2" s="1"/>
  <c r="L426" i="2"/>
  <c r="M426" i="2" s="1"/>
  <c r="L382" i="2"/>
  <c r="M382" i="2" s="1"/>
  <c r="L358" i="2"/>
  <c r="M358" i="2" s="1"/>
  <c r="L20" i="2"/>
  <c r="M20" i="2" s="1"/>
  <c r="L689" i="2"/>
  <c r="M689" i="2" s="1"/>
  <c r="L221" i="2"/>
  <c r="M221" i="2" s="1"/>
  <c r="L44" i="2"/>
  <c r="M44" i="2" s="1"/>
  <c r="L401" i="2"/>
  <c r="M401" i="2" s="1"/>
  <c r="L248" i="2"/>
  <c r="M248" i="2" s="1"/>
  <c r="L134" i="2"/>
  <c r="M134" i="2" s="1"/>
  <c r="L284" i="2"/>
  <c r="M284" i="2" s="1"/>
  <c r="L38" i="2"/>
  <c r="M38" i="2" s="1"/>
  <c r="L418" i="2"/>
  <c r="M418" i="2" s="1"/>
  <c r="L335" i="2"/>
  <c r="M335" i="2" s="1"/>
  <c r="L270" i="2"/>
  <c r="M270" i="2" s="1"/>
  <c r="L682" i="2"/>
  <c r="M682" i="2" s="1"/>
  <c r="L285" i="2"/>
  <c r="M285" i="2" s="1"/>
  <c r="L605" i="2"/>
  <c r="M605" i="2" s="1"/>
  <c r="L513" i="2"/>
  <c r="M513" i="2" s="1"/>
  <c r="L718" i="2"/>
  <c r="M718" i="2" s="1"/>
  <c r="L402" i="2"/>
  <c r="M402" i="2" s="1"/>
  <c r="L155" i="2"/>
  <c r="M155" i="2" s="1"/>
  <c r="L80" i="2"/>
  <c r="M80" i="2" s="1"/>
  <c r="L268" i="2"/>
  <c r="M268" i="2" s="1"/>
  <c r="L81" i="2"/>
  <c r="M81" i="2" s="1"/>
  <c r="L425" i="2"/>
  <c r="M425" i="2" s="1"/>
  <c r="L698" i="2"/>
  <c r="M698" i="2" s="1"/>
  <c r="L703" i="2"/>
  <c r="M703" i="2" s="1"/>
  <c r="L180" i="2"/>
  <c r="M180" i="2" s="1"/>
  <c r="L271" i="2"/>
  <c r="M271" i="2" s="1"/>
  <c r="L369" i="2"/>
  <c r="M369" i="2" s="1"/>
  <c r="L249" i="2"/>
  <c r="M249" i="2" s="1"/>
  <c r="L295" i="2"/>
  <c r="M295" i="2" s="1"/>
  <c r="L6" i="2"/>
  <c r="M6" i="2" s="1"/>
  <c r="L356" i="2"/>
  <c r="M356" i="2" s="1"/>
  <c r="L379" i="2"/>
  <c r="M379" i="2" s="1"/>
  <c r="L343" i="2"/>
  <c r="M343" i="2" s="1"/>
  <c r="L131" i="2"/>
  <c r="M131" i="2" s="1"/>
  <c r="L681" i="2"/>
  <c r="M681" i="2" s="1"/>
  <c r="L573" i="2"/>
  <c r="M573" i="2" s="1"/>
  <c r="L161" i="2"/>
  <c r="M161" i="2" s="1"/>
  <c r="L156" i="2"/>
  <c r="M156" i="2" s="1"/>
  <c r="L720" i="2"/>
  <c r="M720" i="2" s="1"/>
  <c r="L726" i="2"/>
  <c r="M726" i="2" s="1"/>
  <c r="L191" i="2"/>
  <c r="M191" i="2" s="1"/>
  <c r="L61" i="2"/>
  <c r="M61" i="2" s="1"/>
  <c r="L187" i="2"/>
  <c r="M187" i="2" s="1"/>
  <c r="L50" i="2"/>
  <c r="M50" i="2" s="1"/>
  <c r="L67" i="2"/>
  <c r="M67" i="2" s="1"/>
  <c r="L178" i="2"/>
  <c r="M178" i="2" s="1"/>
  <c r="L476" i="2"/>
  <c r="M476" i="2" s="1"/>
  <c r="L169" i="2"/>
  <c r="M169" i="2" s="1"/>
  <c r="L733" i="2"/>
  <c r="M733" i="2" s="1"/>
  <c r="L396" i="2"/>
  <c r="M396" i="2" s="1"/>
  <c r="L716" i="2"/>
  <c r="M716" i="2" s="1"/>
  <c r="L421" i="2"/>
  <c r="M421" i="2" s="1"/>
  <c r="L653" i="2"/>
  <c r="M653" i="2" s="1"/>
  <c r="L237" i="2"/>
  <c r="M237" i="2" s="1"/>
  <c r="L598" i="2"/>
  <c r="M598" i="2" s="1"/>
  <c r="L14" i="2"/>
  <c r="M14" i="2" s="1"/>
  <c r="L153" i="2"/>
  <c r="M153" i="2" s="1"/>
  <c r="L309" i="2"/>
  <c r="M309" i="2" s="1"/>
  <c r="L488" i="2"/>
  <c r="M488" i="2" s="1"/>
  <c r="L756" i="2"/>
  <c r="M756" i="2" s="1"/>
  <c r="L354" i="2"/>
  <c r="M354" i="2" s="1"/>
  <c r="L179" i="2"/>
  <c r="M179" i="2" s="1"/>
  <c r="L590" i="2"/>
  <c r="M590" i="2" s="1"/>
  <c r="L23" i="2"/>
  <c r="M23" i="2" s="1"/>
  <c r="L694" i="2"/>
  <c r="M694" i="2" s="1"/>
  <c r="L398" i="2"/>
  <c r="M398" i="2" s="1"/>
  <c r="L492" i="2"/>
  <c r="M492" i="2" s="1"/>
  <c r="L586" i="2"/>
  <c r="M586" i="2" s="1"/>
  <c r="L42" i="2"/>
  <c r="M42" i="2" s="1"/>
  <c r="L26" i="2"/>
  <c r="M26" i="2" s="1"/>
  <c r="L407" i="2"/>
  <c r="M407" i="2" s="1"/>
  <c r="L610" i="2"/>
  <c r="M610" i="2" s="1"/>
  <c r="L288" i="2"/>
  <c r="M288" i="2" s="1"/>
  <c r="L133" i="2"/>
  <c r="M133" i="2" s="1"/>
  <c r="L85" i="2"/>
  <c r="M85" i="2" s="1"/>
  <c r="L404" i="2"/>
  <c r="M404" i="2" s="1"/>
  <c r="L710" i="2"/>
  <c r="M710" i="2" s="1"/>
  <c r="L368" i="2"/>
  <c r="M368" i="2" s="1"/>
  <c r="L97" i="2"/>
  <c r="M97" i="2" s="1"/>
  <c r="L12" i="2"/>
  <c r="M12" i="2" s="1"/>
  <c r="L656" i="2"/>
  <c r="M656" i="2" s="1"/>
  <c r="L673" i="2"/>
  <c r="M673" i="2" s="1"/>
  <c r="L554" i="2"/>
  <c r="M554" i="2" s="1"/>
  <c r="L438" i="2"/>
  <c r="M438" i="2" s="1"/>
  <c r="L546" i="2"/>
  <c r="M546" i="2" s="1"/>
  <c r="L434" i="2"/>
  <c r="M434" i="2" s="1"/>
  <c r="L272" i="2"/>
  <c r="M272" i="2" s="1"/>
  <c r="L250" i="2"/>
  <c r="M250" i="2" s="1"/>
  <c r="L137" i="2"/>
  <c r="M137" i="2" s="1"/>
  <c r="L761" i="2"/>
  <c r="M761" i="2" s="1"/>
  <c r="L53" i="2"/>
  <c r="M53" i="2" s="1"/>
  <c r="L136" i="2"/>
  <c r="M136" i="2" s="1"/>
  <c r="L688" i="2"/>
  <c r="M688" i="2" s="1"/>
  <c r="L676" i="2"/>
  <c r="M676" i="2" s="1"/>
  <c r="L600" i="2"/>
  <c r="M600" i="2" s="1"/>
  <c r="L55" i="2"/>
  <c r="M55" i="2" s="1"/>
  <c r="L142" i="2"/>
  <c r="M142" i="2" s="1"/>
  <c r="L39" i="2"/>
  <c r="M39" i="2" s="1"/>
  <c r="L31" i="2"/>
  <c r="M31" i="2" s="1"/>
  <c r="L371" i="2"/>
  <c r="M371" i="2" s="1"/>
  <c r="L304" i="2"/>
  <c r="M304" i="2" s="1"/>
  <c r="L189" i="2"/>
  <c r="M189" i="2" s="1"/>
  <c r="L432" i="2"/>
  <c r="M432" i="2" s="1"/>
  <c r="L199" i="2"/>
  <c r="M199" i="2" s="1"/>
  <c r="L32" i="2"/>
  <c r="M32" i="2" s="1"/>
  <c r="L528" i="2"/>
  <c r="M528" i="2" s="1"/>
  <c r="L174" i="2"/>
  <c r="M174" i="2" s="1"/>
  <c r="L36" i="2"/>
  <c r="M36" i="2" s="1"/>
  <c r="L357" i="2"/>
  <c r="M357" i="2" s="1"/>
  <c r="L675" i="2"/>
  <c r="M675" i="2" s="1"/>
  <c r="L583" i="2"/>
  <c r="M583" i="2" s="1"/>
  <c r="L243" i="2"/>
  <c r="M243" i="2" s="1"/>
  <c r="L655" i="2"/>
  <c r="M655" i="2" s="1"/>
  <c r="L235" i="2"/>
  <c r="M235" i="2" s="1"/>
  <c r="L338" i="2"/>
  <c r="M338" i="2" s="1"/>
  <c r="L311" i="2"/>
  <c r="M311" i="2" s="1"/>
  <c r="L273" i="2"/>
  <c r="M273" i="2" s="1"/>
  <c r="L732" i="2"/>
  <c r="M732" i="2" s="1"/>
  <c r="L755" i="2"/>
  <c r="M755" i="2" s="1"/>
  <c r="L512" i="2"/>
  <c r="M512" i="2" s="1"/>
  <c r="L696" i="2"/>
  <c r="M696" i="2" s="1"/>
  <c r="L89" i="2"/>
  <c r="M89" i="2" s="1"/>
  <c r="L669" i="2"/>
  <c r="M669" i="2" s="1"/>
  <c r="L706" i="2"/>
  <c r="M706" i="2" s="1"/>
  <c r="L428" i="2"/>
  <c r="M428" i="2" s="1"/>
  <c r="L522" i="2"/>
  <c r="M522" i="2" s="1"/>
  <c r="L192" i="2"/>
  <c r="M192" i="2" s="1"/>
  <c r="L267" i="2"/>
  <c r="M267" i="2" s="1"/>
  <c r="L330" i="2"/>
  <c r="M330" i="2" s="1"/>
  <c r="L536" i="2"/>
  <c r="M536" i="2" s="1"/>
</calcChain>
</file>

<file path=xl/sharedStrings.xml><?xml version="1.0" encoding="utf-8"?>
<sst xmlns="http://schemas.openxmlformats.org/spreadsheetml/2006/main" count="1929" uniqueCount="864">
  <si>
    <t>Security Code</t>
  </si>
  <si>
    <t>Security Name</t>
  </si>
  <si>
    <t>Company Name</t>
  </si>
  <si>
    <t>Ex Date</t>
  </si>
  <si>
    <t>Purpose</t>
  </si>
  <si>
    <t>Amount in Rupees</t>
  </si>
  <si>
    <t>Record Date</t>
  </si>
  <si>
    <t>BC Start Date</t>
  </si>
  <si>
    <t xml:space="preserve"> BC End Date	</t>
  </si>
  <si>
    <t>ND Start Date</t>
  </si>
  <si>
    <t>ND End Date</t>
  </si>
  <si>
    <t>Actual Payment Date</t>
  </si>
  <si>
    <t>CRISIL</t>
  </si>
  <si>
    <t>Crisil Ltd</t>
  </si>
  <si>
    <t xml:space="preserve">Final Dividend </t>
  </si>
  <si>
    <t>-</t>
  </si>
  <si>
    <t>ELIXIR</t>
  </si>
  <si>
    <t>Elixir Capital Ltd</t>
  </si>
  <si>
    <t xml:space="preserve">Interim Dividend </t>
  </si>
  <si>
    <t>NDLVENTURE</t>
  </si>
  <si>
    <t>NDL Ventures Ltd</t>
  </si>
  <si>
    <t>FUTSOL</t>
  </si>
  <si>
    <t>Futuristic Solutions Ltd</t>
  </si>
  <si>
    <t>TRANSCOR</t>
  </si>
  <si>
    <t>Transcorp International Ltd</t>
  </si>
  <si>
    <t>BNRSEC</t>
  </si>
  <si>
    <t>BN Rathi Securities Ltd</t>
  </si>
  <si>
    <t>HBPOR</t>
  </si>
  <si>
    <t>HB Portfolio Ltd</t>
  </si>
  <si>
    <t>SUMEDHA</t>
  </si>
  <si>
    <t>Sumedha Fiscal Services Ltd</t>
  </si>
  <si>
    <t>EENTER</t>
  </si>
  <si>
    <t>E &amp; E Enterprises Ltd</t>
  </si>
  <si>
    <t>NEXOME</t>
  </si>
  <si>
    <t>Nexome Capital Markets Ltd</t>
  </si>
  <si>
    <t>COMCL</t>
  </si>
  <si>
    <t>Comfort Commotrade Ltd</t>
  </si>
  <si>
    <t>PRITHVIEXCH</t>
  </si>
  <si>
    <t>Prithvi Exchange (India) Ltd</t>
  </si>
  <si>
    <t>BHARAT</t>
  </si>
  <si>
    <t>Bharat Bhushan Finance &amp; Commodity Brokers Ltd</t>
  </si>
  <si>
    <t>WESTLEIRES</t>
  </si>
  <si>
    <t>West Leisure Resorts Ltd</t>
  </si>
  <si>
    <t>MPILCORPL</t>
  </si>
  <si>
    <t>MPIL Corporation Ltd</t>
  </si>
  <si>
    <t>PRIMESECU</t>
  </si>
  <si>
    <t>Prime Securities Ltd</t>
  </si>
  <si>
    <t>CASPIAN</t>
  </si>
  <si>
    <t>Caspian Corporate Services Ltd</t>
  </si>
  <si>
    <t>GAMCO</t>
  </si>
  <si>
    <t>Gamco Ltd</t>
  </si>
  <si>
    <t>RFSL</t>
  </si>
  <si>
    <t>Richfield Financial Services Ltd</t>
  </si>
  <si>
    <t>RELIABLE</t>
  </si>
  <si>
    <t>Reliable Data Services Ltd</t>
  </si>
  <si>
    <t>JYOTIN</t>
  </si>
  <si>
    <t>Jyot International Marketing Ltd</t>
  </si>
  <si>
    <t>COLAB</t>
  </si>
  <si>
    <t>Colab Platforms Ltd</t>
  </si>
  <si>
    <t>SHYMINV</t>
  </si>
  <si>
    <t xml:space="preserve">Shyamkamal Investments Ltd </t>
  </si>
  <si>
    <t>WEALTH</t>
  </si>
  <si>
    <t>Wealth First Portfolio Managers Ltd</t>
  </si>
  <si>
    <t>PFC</t>
  </si>
  <si>
    <t>Power Finance Corporation Ltd</t>
  </si>
  <si>
    <t>Bonus issue</t>
  </si>
  <si>
    <t>RECLTD</t>
  </si>
  <si>
    <t>REC Ltd</t>
  </si>
  <si>
    <t>Client ID</t>
  </si>
  <si>
    <t>Trade Date</t>
  </si>
  <si>
    <t>Settled Shares</t>
  </si>
  <si>
    <t>Dividend Rate</t>
  </si>
  <si>
    <t>Gross Entitlement</t>
  </si>
  <si>
    <t>TDS Withheld (10%)</t>
  </si>
  <si>
    <t>Net Payout</t>
  </si>
  <si>
    <t>Bonus Shares Received</t>
  </si>
  <si>
    <t>New Total Shares</t>
  </si>
  <si>
    <t>Processing Status</t>
  </si>
  <si>
    <t>ACC-IND-10002</t>
  </si>
  <si>
    <t>ACC-IND-10004</t>
  </si>
  <si>
    <t>ACC-IND-10005</t>
  </si>
  <si>
    <t>ACC-IND-10007</t>
  </si>
  <si>
    <t>ACC-IND-10008</t>
  </si>
  <si>
    <t>ACC-IND-10010</t>
  </si>
  <si>
    <t>ACC-IND-10011</t>
  </si>
  <si>
    <t>ACC-IND-10012</t>
  </si>
  <si>
    <t>ACC-IND-10013</t>
  </si>
  <si>
    <t>ACC-IND-10014</t>
  </si>
  <si>
    <t>ACC-IND-10015</t>
  </si>
  <si>
    <t>ACC-IND-10018</t>
  </si>
  <si>
    <t>ACC-IND-10019</t>
  </si>
  <si>
    <t>ACC-IND-10020</t>
  </si>
  <si>
    <t>ACC-IND-10021</t>
  </si>
  <si>
    <t>ACC-IND-10023</t>
  </si>
  <si>
    <t>ACC-IND-10026</t>
  </si>
  <si>
    <t>ACC-IND-10027</t>
  </si>
  <si>
    <t>ACC-IND-10028</t>
  </si>
  <si>
    <t>ACC-IND-10029</t>
  </si>
  <si>
    <t>ACC-IND-10030</t>
  </si>
  <si>
    <t>ACC-IND-10031</t>
  </si>
  <si>
    <t>ACC-IND-10032</t>
  </si>
  <si>
    <t>ACC-IND-10033</t>
  </si>
  <si>
    <t>ACC-IND-10034</t>
  </si>
  <si>
    <t>ACC-IND-10035</t>
  </si>
  <si>
    <t>ACC-IND-10036</t>
  </si>
  <si>
    <t>ACC-IND-10037</t>
  </si>
  <si>
    <t>ACC-IND-10038</t>
  </si>
  <si>
    <t>ACC-IND-10039</t>
  </si>
  <si>
    <t>ACC-IND-10040</t>
  </si>
  <si>
    <t>ACC-IND-10043</t>
  </si>
  <si>
    <t>ACC-IND-10044</t>
  </si>
  <si>
    <t>ACC-IND-10045</t>
  </si>
  <si>
    <t>ACC-IND-10046</t>
  </si>
  <si>
    <t>ACC-IND-10048</t>
  </si>
  <si>
    <t>ACC-IND-10050</t>
  </si>
  <si>
    <t>ACC-IND-10051</t>
  </si>
  <si>
    <t>ACC-IND-10052</t>
  </si>
  <si>
    <t>ACC-IND-10053</t>
  </si>
  <si>
    <t>ACC-IND-10056</t>
  </si>
  <si>
    <t>ACC-IND-10057</t>
  </si>
  <si>
    <t>ACC-IND-10058</t>
  </si>
  <si>
    <t>ACC-IND-10059</t>
  </si>
  <si>
    <t>ACC-IND-10060</t>
  </si>
  <si>
    <t>ACC-IND-10061</t>
  </si>
  <si>
    <t>ACC-IND-10062</t>
  </si>
  <si>
    <t>ACC-IND-10063</t>
  </si>
  <si>
    <t>ACC-IND-10064</t>
  </si>
  <si>
    <t>ACC-IND-10065</t>
  </si>
  <si>
    <t>ACC-IND-10066</t>
  </si>
  <si>
    <t>ACC-IND-10067</t>
  </si>
  <si>
    <t>ACC-IND-10068</t>
  </si>
  <si>
    <t>ACC-IND-10069</t>
  </si>
  <si>
    <t>ACC-IND-10070</t>
  </si>
  <si>
    <t>ACC-IND-10071</t>
  </si>
  <si>
    <t>ACC-IND-10073</t>
  </si>
  <si>
    <t>ACC-IND-10074</t>
  </si>
  <si>
    <t>ACC-IND-10075</t>
  </si>
  <si>
    <t>ACC-IND-10076</t>
  </si>
  <si>
    <t>ACC-IND-10077</t>
  </si>
  <si>
    <t>ACC-IND-10078</t>
  </si>
  <si>
    <t>ACC-IND-10079</t>
  </si>
  <si>
    <t>ACC-IND-10080</t>
  </si>
  <si>
    <t>ACC-IND-10081</t>
  </si>
  <si>
    <t>ACC-IND-10082</t>
  </si>
  <si>
    <t>ACC-IND-10085</t>
  </si>
  <si>
    <t>ACC-IND-10086</t>
  </si>
  <si>
    <t>ACC-IND-10087</t>
  </si>
  <si>
    <t>ACC-IND-10088</t>
  </si>
  <si>
    <t>ACC-IND-10089</t>
  </si>
  <si>
    <t>ACC-IND-10090</t>
  </si>
  <si>
    <t>ACC-IND-10091</t>
  </si>
  <si>
    <t>ACC-IND-10092</t>
  </si>
  <si>
    <t>ACC-IND-10093</t>
  </si>
  <si>
    <t>ACC-IND-10096</t>
  </si>
  <si>
    <t>ACC-IND-10097</t>
  </si>
  <si>
    <t>ACC-IND-10098</t>
  </si>
  <si>
    <t>ACC-IND-10099</t>
  </si>
  <si>
    <t>ACC-IND-10100</t>
  </si>
  <si>
    <t>ACC-IND-10101</t>
  </si>
  <si>
    <t>ACC-IND-10102</t>
  </si>
  <si>
    <t>ACC-IND-10103</t>
  </si>
  <si>
    <t>ACC-IND-10104</t>
  </si>
  <si>
    <t>ACC-IND-10105</t>
  </si>
  <si>
    <t>ACC-IND-10108</t>
  </si>
  <si>
    <t>ACC-IND-10109</t>
  </si>
  <si>
    <t>ACC-IND-10110</t>
  </si>
  <si>
    <t>ACC-IND-10111</t>
  </si>
  <si>
    <t>ACC-IND-10112</t>
  </si>
  <si>
    <t>ACC-IND-10113</t>
  </si>
  <si>
    <t>ACC-IND-10114</t>
  </si>
  <si>
    <t>ACC-IND-10115</t>
  </si>
  <si>
    <t>ACC-IND-10116</t>
  </si>
  <si>
    <t>ACC-IND-10119</t>
  </si>
  <si>
    <t>ACC-IND-10120</t>
  </si>
  <si>
    <t>ACC-IND-10123</t>
  </si>
  <si>
    <t>ACC-IND-10124</t>
  </si>
  <si>
    <t>ACC-IND-10125</t>
  </si>
  <si>
    <t>ACC-IND-10126</t>
  </si>
  <si>
    <t>ACC-IND-10127</t>
  </si>
  <si>
    <t>ACC-IND-10128</t>
  </si>
  <si>
    <t>ACC-IND-10129</t>
  </si>
  <si>
    <t>ACC-IND-10130</t>
  </si>
  <si>
    <t>ACC-IND-10131</t>
  </si>
  <si>
    <t>ACC-IND-10132</t>
  </si>
  <si>
    <t>ACC-IND-10133</t>
  </si>
  <si>
    <t>ACC-IND-10135</t>
  </si>
  <si>
    <t>ACC-IND-10136</t>
  </si>
  <si>
    <t>ACC-IND-10137</t>
  </si>
  <si>
    <t>ACC-IND-10138</t>
  </si>
  <si>
    <t>ACC-IND-10139</t>
  </si>
  <si>
    <t>ACC-IND-10140</t>
  </si>
  <si>
    <t>ACC-IND-10142</t>
  </si>
  <si>
    <t>ACC-IND-10143</t>
  </si>
  <si>
    <t>ACC-IND-10144</t>
  </si>
  <si>
    <t>ACC-IND-10145</t>
  </si>
  <si>
    <t>ACC-IND-10147</t>
  </si>
  <si>
    <t>ACC-IND-10148</t>
  </si>
  <si>
    <t>ACC-IND-10149</t>
  </si>
  <si>
    <t>ACC-IND-10152</t>
  </si>
  <si>
    <t>ACC-IND-10155</t>
  </si>
  <si>
    <t>ACC-IND-10156</t>
  </si>
  <si>
    <t>ACC-IND-10157</t>
  </si>
  <si>
    <t>ACC-IND-10158</t>
  </si>
  <si>
    <t>ACC-IND-10159</t>
  </si>
  <si>
    <t>ACC-IND-10160</t>
  </si>
  <si>
    <t>ACC-IND-10161</t>
  </si>
  <si>
    <t>ACC-IND-10162</t>
  </si>
  <si>
    <t>ACC-IND-10163</t>
  </si>
  <si>
    <t>ACC-IND-10164</t>
  </si>
  <si>
    <t>ACC-IND-10165</t>
  </si>
  <si>
    <t>ACC-IND-10166</t>
  </si>
  <si>
    <t>ACC-IND-10167</t>
  </si>
  <si>
    <t>ACC-IND-10168</t>
  </si>
  <si>
    <t>ACC-IND-10169</t>
  </si>
  <si>
    <t>ACC-IND-10170</t>
  </si>
  <si>
    <t>ACC-IND-10171</t>
  </si>
  <si>
    <t>ACC-IND-10173</t>
  </si>
  <si>
    <t>ACC-IND-10175</t>
  </si>
  <si>
    <t>ACC-IND-10176</t>
  </si>
  <si>
    <t>ACC-IND-10180</t>
  </si>
  <si>
    <t>ACC-IND-10182</t>
  </si>
  <si>
    <t>ACC-IND-10184</t>
  </si>
  <si>
    <t>ACC-IND-10185</t>
  </si>
  <si>
    <t>ACC-IND-10186</t>
  </si>
  <si>
    <t>ACC-IND-10187</t>
  </si>
  <si>
    <t>ACC-IND-10188</t>
  </si>
  <si>
    <t>ACC-IND-10189</t>
  </si>
  <si>
    <t>ACC-IND-10190</t>
  </si>
  <si>
    <t>ACC-IND-10191</t>
  </si>
  <si>
    <t>ACC-IND-10192</t>
  </si>
  <si>
    <t>ACC-IND-10196</t>
  </si>
  <si>
    <t>ACC-IND-10197</t>
  </si>
  <si>
    <t>ACC-IND-10198</t>
  </si>
  <si>
    <t>ACC-IND-10199</t>
  </si>
  <si>
    <t>ACC-IND-10200</t>
  </si>
  <si>
    <t>ACC-IND-10201</t>
  </si>
  <si>
    <t>ACC-IND-10202</t>
  </si>
  <si>
    <t>ACC-IND-10205</t>
  </si>
  <si>
    <t>ACC-IND-10207</t>
  </si>
  <si>
    <t>ACC-IND-10208</t>
  </si>
  <si>
    <t>ACC-IND-10210</t>
  </si>
  <si>
    <t>ACC-IND-10211</t>
  </si>
  <si>
    <t>ACC-IND-10212</t>
  </si>
  <si>
    <t>ACC-IND-10213</t>
  </si>
  <si>
    <t>ACC-IND-10215</t>
  </si>
  <si>
    <t>ACC-IND-10216</t>
  </si>
  <si>
    <t>ACC-IND-10217</t>
  </si>
  <si>
    <t>ACC-IND-10218</t>
  </si>
  <si>
    <t>ACC-IND-10219</t>
  </si>
  <si>
    <t>ACC-IND-10220</t>
  </si>
  <si>
    <t>ACC-IND-10221</t>
  </si>
  <si>
    <t>ACC-IND-10222</t>
  </si>
  <si>
    <t>ACC-IND-10223</t>
  </si>
  <si>
    <t>ACC-IND-10224</t>
  </si>
  <si>
    <t>ACC-IND-10225</t>
  </si>
  <si>
    <t>ACC-IND-10226</t>
  </si>
  <si>
    <t>ACC-IND-10227</t>
  </si>
  <si>
    <t>ACC-IND-10228</t>
  </si>
  <si>
    <t>ACC-IND-10229</t>
  </si>
  <si>
    <t>ACC-IND-10232</t>
  </si>
  <si>
    <t>ACC-IND-10233</t>
  </si>
  <si>
    <t>ACC-IND-10234</t>
  </si>
  <si>
    <t>ACC-IND-10235</t>
  </si>
  <si>
    <t>ACC-IND-10236</t>
  </si>
  <si>
    <t>ACC-IND-10237</t>
  </si>
  <si>
    <t>ACC-IND-10239</t>
  </si>
  <si>
    <t>ACC-IND-10240</t>
  </si>
  <si>
    <t>ACC-IND-10241</t>
  </si>
  <si>
    <t>ACC-IND-10242</t>
  </si>
  <si>
    <t>ACC-IND-10244</t>
  </si>
  <si>
    <t>ACC-IND-10245</t>
  </si>
  <si>
    <t>ACC-IND-10246</t>
  </si>
  <si>
    <t>ACC-IND-10248</t>
  </si>
  <si>
    <t>ACC-IND-10250</t>
  </si>
  <si>
    <t>ACC-IND-10251</t>
  </si>
  <si>
    <t>ACC-IND-10252</t>
  </si>
  <si>
    <t>ACC-IND-10253</t>
  </si>
  <si>
    <t>ACC-IND-10254</t>
  </si>
  <si>
    <t>ACC-IND-10255</t>
  </si>
  <si>
    <t>ACC-IND-10256</t>
  </si>
  <si>
    <t>ACC-IND-10258</t>
  </si>
  <si>
    <t>ACC-IND-10259</t>
  </si>
  <si>
    <t>ACC-IND-10260</t>
  </si>
  <si>
    <t>ACC-IND-10261</t>
  </si>
  <si>
    <t>ACC-IND-10262</t>
  </si>
  <si>
    <t>ACC-IND-10264</t>
  </si>
  <si>
    <t>ACC-IND-10265</t>
  </si>
  <si>
    <t>ACC-IND-10266</t>
  </si>
  <si>
    <t>ACC-IND-10267</t>
  </si>
  <si>
    <t>ACC-IND-10268</t>
  </si>
  <si>
    <t>ACC-IND-10270</t>
  </si>
  <si>
    <t>ACC-IND-10271</t>
  </si>
  <si>
    <t>ACC-IND-10274</t>
  </si>
  <si>
    <t>ACC-IND-10275</t>
  </si>
  <si>
    <t>ACC-IND-10276</t>
  </si>
  <si>
    <t>ACC-IND-10277</t>
  </si>
  <si>
    <t>ACC-IND-10278</t>
  </si>
  <si>
    <t>ACC-IND-10279</t>
  </si>
  <si>
    <t>ACC-IND-10281</t>
  </si>
  <si>
    <t>ACC-IND-10282</t>
  </si>
  <si>
    <t>ACC-IND-10283</t>
  </si>
  <si>
    <t>ACC-IND-10284</t>
  </si>
  <si>
    <t>ACC-IND-10285</t>
  </si>
  <si>
    <t>ACC-IND-10286</t>
  </si>
  <si>
    <t>ACC-IND-10288</t>
  </si>
  <si>
    <t>ACC-IND-10290</t>
  </si>
  <si>
    <t>ACC-IND-10292</t>
  </si>
  <si>
    <t>ACC-IND-10294</t>
  </si>
  <si>
    <t>ACC-IND-10295</t>
  </si>
  <si>
    <t>ACC-IND-10296</t>
  </si>
  <si>
    <t>ACC-IND-10297</t>
  </si>
  <si>
    <t>ACC-IND-10298</t>
  </si>
  <si>
    <t>ACC-IND-10300</t>
  </si>
  <si>
    <t>ACC-IND-10301</t>
  </si>
  <si>
    <t>ACC-IND-10302</t>
  </si>
  <si>
    <t>ACC-IND-10303</t>
  </si>
  <si>
    <t>ACC-IND-10304</t>
  </si>
  <si>
    <t>ACC-IND-10305</t>
  </si>
  <si>
    <t>ACC-IND-10306</t>
  </si>
  <si>
    <t>ACC-IND-10307</t>
  </si>
  <si>
    <t>ACC-IND-10308</t>
  </si>
  <si>
    <t>ACC-IND-10309</t>
  </si>
  <si>
    <t>ACC-IND-10310</t>
  </si>
  <si>
    <t>ACC-IND-10311</t>
  </si>
  <si>
    <t>ACC-IND-10312</t>
  </si>
  <si>
    <t>ACC-IND-10313</t>
  </si>
  <si>
    <t>ACC-IND-10314</t>
  </si>
  <si>
    <t>ACC-IND-10315</t>
  </si>
  <si>
    <t>ACC-IND-10316</t>
  </si>
  <si>
    <t>ACC-IND-10317</t>
  </si>
  <si>
    <t>ACC-IND-10318</t>
  </si>
  <si>
    <t>ACC-IND-10319</t>
  </si>
  <si>
    <t>ACC-IND-10320</t>
  </si>
  <si>
    <t>ACC-IND-10321</t>
  </si>
  <si>
    <t>ACC-IND-10322</t>
  </si>
  <si>
    <t>ACC-IND-10324</t>
  </si>
  <si>
    <t>ACC-IND-10325</t>
  </si>
  <si>
    <t>ACC-IND-10326</t>
  </si>
  <si>
    <t>ACC-IND-10327</t>
  </si>
  <si>
    <t>ACC-IND-10328</t>
  </si>
  <si>
    <t>ACC-IND-10329</t>
  </si>
  <si>
    <t>ACC-IND-10331</t>
  </si>
  <si>
    <t>ACC-IND-10332</t>
  </si>
  <si>
    <t>ACC-IND-10333</t>
  </si>
  <si>
    <t>ACC-IND-10335</t>
  </si>
  <si>
    <t>ACC-IND-10337</t>
  </si>
  <si>
    <t>ACC-IND-10338</t>
  </si>
  <si>
    <t>ACC-IND-10339</t>
  </si>
  <si>
    <t>ACC-IND-10340</t>
  </si>
  <si>
    <t>ACC-IND-10341</t>
  </si>
  <si>
    <t>ACC-IND-10342</t>
  </si>
  <si>
    <t>ACC-IND-10343</t>
  </si>
  <si>
    <t>ACC-IND-10344</t>
  </si>
  <si>
    <t>ACC-IND-10345</t>
  </si>
  <si>
    <t>ACC-IND-10346</t>
  </si>
  <si>
    <t>ACC-IND-10347</t>
  </si>
  <si>
    <t>ACC-IND-10348</t>
  </si>
  <si>
    <t>ACC-IND-10349</t>
  </si>
  <si>
    <t>ACC-IND-10350</t>
  </si>
  <si>
    <t>ACC-IND-10351</t>
  </si>
  <si>
    <t>ACC-IND-10353</t>
  </si>
  <si>
    <t>ACC-IND-10355</t>
  </si>
  <si>
    <t>ACC-IND-10356</t>
  </si>
  <si>
    <t>ACC-IND-10357</t>
  </si>
  <si>
    <t>ACC-IND-10358</t>
  </si>
  <si>
    <t>ACC-IND-10359</t>
  </si>
  <si>
    <t>ACC-IND-10360</t>
  </si>
  <si>
    <t>ACC-IND-10361</t>
  </si>
  <si>
    <t>ACC-IND-10364</t>
  </si>
  <si>
    <t>ACC-IND-10365</t>
  </si>
  <si>
    <t>ACC-IND-10366</t>
  </si>
  <si>
    <t>ACC-IND-10367</t>
  </si>
  <si>
    <t>ACC-IND-10368</t>
  </si>
  <si>
    <t>ACC-IND-10369</t>
  </si>
  <si>
    <t>ACC-IND-10373</t>
  </si>
  <si>
    <t>ACC-IND-10374</t>
  </si>
  <si>
    <t>ACC-IND-10377</t>
  </si>
  <si>
    <t>ACC-IND-10378</t>
  </si>
  <si>
    <t>ACC-IND-10379</t>
  </si>
  <si>
    <t>ACC-IND-10380</t>
  </si>
  <si>
    <t>ACC-IND-10381</t>
  </si>
  <si>
    <t>ACC-IND-10382</t>
  </si>
  <si>
    <t>ACC-IND-10383</t>
  </si>
  <si>
    <t>ACC-IND-10385</t>
  </si>
  <si>
    <t>ACC-IND-10387</t>
  </si>
  <si>
    <t>ACC-IND-10388</t>
  </si>
  <si>
    <t>ACC-IND-10389</t>
  </si>
  <si>
    <t>ACC-IND-10390</t>
  </si>
  <si>
    <t>ACC-IND-10392</t>
  </si>
  <si>
    <t>ACC-IND-10393</t>
  </si>
  <si>
    <t>ACC-IND-10394</t>
  </si>
  <si>
    <t>ACC-IND-10397</t>
  </si>
  <si>
    <t>ACC-IND-10398</t>
  </si>
  <si>
    <t>ACC-IND-10399</t>
  </si>
  <si>
    <t>ACC-IND-10401</t>
  </si>
  <si>
    <t>ACC-IND-10403</t>
  </si>
  <si>
    <t>ACC-IND-10404</t>
  </si>
  <si>
    <t>ACC-IND-10405</t>
  </si>
  <si>
    <t>ACC-IND-10406</t>
  </si>
  <si>
    <t>ACC-IND-10407</t>
  </si>
  <si>
    <t>ACC-IND-10408</t>
  </si>
  <si>
    <t>ACC-IND-10409</t>
  </si>
  <si>
    <t>ACC-IND-10410</t>
  </si>
  <si>
    <t>ACC-IND-10411</t>
  </si>
  <si>
    <t>ACC-IND-10412</t>
  </si>
  <si>
    <t>ACC-IND-10413</t>
  </si>
  <si>
    <t>ACC-IND-10414</t>
  </si>
  <si>
    <t>ACC-IND-10415</t>
  </si>
  <si>
    <t>ACC-IND-10416</t>
  </si>
  <si>
    <t>ACC-IND-10417</t>
  </si>
  <si>
    <t>ACC-IND-10418</t>
  </si>
  <si>
    <t>ACC-IND-10419</t>
  </si>
  <si>
    <t>ACC-IND-10420</t>
  </si>
  <si>
    <t>ACC-IND-10421</t>
  </si>
  <si>
    <t>ACC-IND-10422</t>
  </si>
  <si>
    <t>ACC-IND-10426</t>
  </si>
  <si>
    <t>ACC-IND-10427</t>
  </si>
  <si>
    <t>ACC-IND-10429</t>
  </si>
  <si>
    <t>ACC-IND-10430</t>
  </si>
  <si>
    <t>ACC-IND-10431</t>
  </si>
  <si>
    <t>ACC-IND-10433</t>
  </si>
  <si>
    <t>ACC-IND-10435</t>
  </si>
  <si>
    <t>ACC-IND-10436</t>
  </si>
  <si>
    <t>ACC-IND-10437</t>
  </si>
  <si>
    <t>ACC-IND-10438</t>
  </si>
  <si>
    <t>ACC-IND-10439</t>
  </si>
  <si>
    <t>ACC-IND-10440</t>
  </si>
  <si>
    <t>ACC-IND-10441</t>
  </si>
  <si>
    <t>ACC-IND-10443</t>
  </si>
  <si>
    <t>ACC-IND-10444</t>
  </si>
  <si>
    <t>ACC-IND-10446</t>
  </si>
  <si>
    <t>ACC-IND-10447</t>
  </si>
  <si>
    <t>ACC-IND-10448</t>
  </si>
  <si>
    <t>ACC-IND-10450</t>
  </si>
  <si>
    <t>ACC-IND-10453</t>
  </si>
  <si>
    <t>ACC-IND-10454</t>
  </si>
  <si>
    <t>ACC-IND-10455</t>
  </si>
  <si>
    <t>ACC-IND-10457</t>
  </si>
  <si>
    <t>ACC-IND-10459</t>
  </si>
  <si>
    <t>ACC-IND-10462</t>
  </si>
  <si>
    <t>ACC-IND-10463</t>
  </si>
  <si>
    <t>ACC-IND-10464</t>
  </si>
  <si>
    <t>ACC-IND-10467</t>
  </si>
  <si>
    <t>ACC-IND-10468</t>
  </si>
  <si>
    <t>ACC-IND-10469</t>
  </si>
  <si>
    <t>ACC-IND-10470</t>
  </si>
  <si>
    <t>ACC-IND-10472</t>
  </si>
  <si>
    <t>ACC-IND-10473</t>
  </si>
  <si>
    <t>ACC-IND-10476</t>
  </si>
  <si>
    <t>ACC-IND-10477</t>
  </si>
  <si>
    <t>ACC-IND-10478</t>
  </si>
  <si>
    <t>ACC-IND-10479</t>
  </si>
  <si>
    <t>ACC-IND-10480</t>
  </si>
  <si>
    <t>ACC-IND-10482</t>
  </si>
  <si>
    <t>ACC-IND-10483</t>
  </si>
  <si>
    <t>ACC-IND-10484</t>
  </si>
  <si>
    <t>ACC-IND-10485</t>
  </si>
  <si>
    <t>ACC-IND-10486</t>
  </si>
  <si>
    <t>ACC-IND-10487</t>
  </si>
  <si>
    <t>ACC-IND-10488</t>
  </si>
  <si>
    <t>ACC-IND-10489</t>
  </si>
  <si>
    <t>ACC-IND-10490</t>
  </si>
  <si>
    <t>ACC-IND-10491</t>
  </si>
  <si>
    <t>ACC-IND-10492</t>
  </si>
  <si>
    <t>ACC-IND-10493</t>
  </si>
  <si>
    <t>ACC-IND-10494</t>
  </si>
  <si>
    <t>ACC-IND-10495</t>
  </si>
  <si>
    <t>ACC-IND-10496</t>
  </si>
  <si>
    <t>ACC-IND-10497</t>
  </si>
  <si>
    <t>ACC-IND-10498</t>
  </si>
  <si>
    <t>ACC-IND-10499</t>
  </si>
  <si>
    <t>ACC-IND-10500</t>
  </si>
  <si>
    <t>ACC-IND-10501</t>
  </si>
  <si>
    <t>ACC-IND-10502</t>
  </si>
  <si>
    <t>ACC-IND-10504</t>
  </si>
  <si>
    <t>ACC-IND-10505</t>
  </si>
  <si>
    <t>ACC-IND-10506</t>
  </si>
  <si>
    <t>ACC-IND-10507</t>
  </si>
  <si>
    <t>ACC-IND-10508</t>
  </si>
  <si>
    <t>ACC-IND-10510</t>
  </si>
  <si>
    <t>ACC-IND-10511</t>
  </si>
  <si>
    <t>ACC-IND-10512</t>
  </si>
  <si>
    <t>ACC-IND-10513</t>
  </si>
  <si>
    <t>ACC-IND-10514</t>
  </si>
  <si>
    <t>ACC-IND-10515</t>
  </si>
  <si>
    <t>ACC-IND-10516</t>
  </si>
  <si>
    <t>ACC-IND-10517</t>
  </si>
  <si>
    <t>ACC-IND-10518</t>
  </si>
  <si>
    <t>ACC-IND-10519</t>
  </si>
  <si>
    <t>ACC-IND-10520</t>
  </si>
  <si>
    <t>ACC-IND-10524</t>
  </si>
  <si>
    <t>ACC-IND-10526</t>
  </si>
  <si>
    <t>ACC-IND-10527</t>
  </si>
  <si>
    <t>ACC-IND-10528</t>
  </si>
  <si>
    <t>ACC-IND-10529</t>
  </si>
  <si>
    <t>ACC-IND-10530</t>
  </si>
  <si>
    <t>ACC-IND-10531</t>
  </si>
  <si>
    <t>ACC-IND-10532</t>
  </si>
  <si>
    <t>ACC-IND-10533</t>
  </si>
  <si>
    <t>ACC-IND-10535</t>
  </si>
  <si>
    <t>ACC-IND-10537</t>
  </si>
  <si>
    <t>ACC-IND-10538</t>
  </si>
  <si>
    <t>ACC-IND-10540</t>
  </si>
  <si>
    <t>ACC-IND-10543</t>
  </si>
  <si>
    <t>ACC-IND-10544</t>
  </si>
  <si>
    <t>ACC-IND-10545</t>
  </si>
  <si>
    <t>ACC-IND-10546</t>
  </si>
  <si>
    <t>ACC-IND-10547</t>
  </si>
  <si>
    <t>ACC-IND-10548</t>
  </si>
  <si>
    <t>ACC-IND-10550</t>
  </si>
  <si>
    <t>ACC-IND-10551</t>
  </si>
  <si>
    <t>ACC-IND-10552</t>
  </si>
  <si>
    <t>ACC-IND-10554</t>
  </si>
  <si>
    <t>ACC-IND-10556</t>
  </si>
  <si>
    <t>ACC-IND-10557</t>
  </si>
  <si>
    <t>ACC-IND-10558</t>
  </si>
  <si>
    <t>ACC-IND-10559</t>
  </si>
  <si>
    <t>ACC-IND-10560</t>
  </si>
  <si>
    <t>ACC-IND-10562</t>
  </si>
  <si>
    <t>ACC-IND-10563</t>
  </si>
  <si>
    <t>ACC-IND-10564</t>
  </si>
  <si>
    <t>ACC-IND-10566</t>
  </si>
  <si>
    <t>ACC-IND-10567</t>
  </si>
  <si>
    <t>ACC-IND-10568</t>
  </si>
  <si>
    <t>ACC-IND-10569</t>
  </si>
  <si>
    <t>ACC-IND-10570</t>
  </si>
  <si>
    <t>ACC-IND-10572</t>
  </si>
  <si>
    <t>ACC-IND-10575</t>
  </si>
  <si>
    <t>ACC-IND-10576</t>
  </si>
  <si>
    <t>ACC-IND-10577</t>
  </si>
  <si>
    <t>ACC-IND-10578</t>
  </si>
  <si>
    <t>ACC-IND-10580</t>
  </si>
  <si>
    <t>ACC-IND-10581</t>
  </si>
  <si>
    <t>ACC-IND-10582</t>
  </si>
  <si>
    <t>ACC-IND-10583</t>
  </si>
  <si>
    <t>ACC-IND-10586</t>
  </si>
  <si>
    <t>ACC-IND-10588</t>
  </si>
  <si>
    <t>ACC-IND-10589</t>
  </si>
  <si>
    <t>ACC-IND-10590</t>
  </si>
  <si>
    <t>ACC-IND-10593</t>
  </si>
  <si>
    <t>ACC-IND-10594</t>
  </si>
  <si>
    <t>ACC-IND-10595</t>
  </si>
  <si>
    <t>ACC-IND-10596</t>
  </si>
  <si>
    <t>ACC-IND-10597</t>
  </si>
  <si>
    <t>ACC-IND-10598</t>
  </si>
  <si>
    <t>ACC-IND-10600</t>
  </si>
  <si>
    <t>ACC-IND-10601</t>
  </si>
  <si>
    <t>ACC-IND-10603</t>
  </si>
  <si>
    <t>ACC-IND-10605</t>
  </si>
  <si>
    <t>ACC-IND-10606</t>
  </si>
  <si>
    <t>ACC-IND-10607</t>
  </si>
  <si>
    <t>ACC-IND-10608</t>
  </si>
  <si>
    <t>ACC-IND-10611</t>
  </si>
  <si>
    <t>ACC-IND-10612</t>
  </si>
  <si>
    <t>ACC-IND-10615</t>
  </si>
  <si>
    <t>ACC-IND-10616</t>
  </si>
  <si>
    <t>ACC-IND-10617</t>
  </si>
  <si>
    <t>ACC-IND-10618</t>
  </si>
  <si>
    <t>ACC-IND-10620</t>
  </si>
  <si>
    <t>ACC-IND-10621</t>
  </si>
  <si>
    <t>ACC-IND-10622</t>
  </si>
  <si>
    <t>ACC-IND-10624</t>
  </si>
  <si>
    <t>ACC-IND-10625</t>
  </si>
  <si>
    <t>ACC-IND-10627</t>
  </si>
  <si>
    <t>ACC-IND-10629</t>
  </si>
  <si>
    <t>ACC-IND-10630</t>
  </si>
  <si>
    <t>ACC-IND-10631</t>
  </si>
  <si>
    <t>ACC-IND-10633</t>
  </si>
  <si>
    <t>ACC-IND-10634</t>
  </si>
  <si>
    <t>ACC-IND-10637</t>
  </si>
  <si>
    <t>ACC-IND-10638</t>
  </si>
  <si>
    <t>ACC-IND-10639</t>
  </si>
  <si>
    <t>ACC-IND-10641</t>
  </si>
  <si>
    <t>ACC-IND-10642</t>
  </si>
  <si>
    <t>ACC-IND-10643</t>
  </si>
  <si>
    <t>ACC-IND-10644</t>
  </si>
  <si>
    <t>ACC-IND-10647</t>
  </si>
  <si>
    <t>ACC-IND-10648</t>
  </si>
  <si>
    <t>ACC-IND-10650</t>
  </si>
  <si>
    <t>ACC-IND-10651</t>
  </si>
  <si>
    <t>ACC-IND-10652</t>
  </si>
  <si>
    <t>ACC-IND-10655</t>
  </si>
  <si>
    <t>ACC-IND-10656</t>
  </si>
  <si>
    <t>ACC-IND-10657</t>
  </si>
  <si>
    <t>ACC-IND-10658</t>
  </si>
  <si>
    <t>ACC-IND-10659</t>
  </si>
  <si>
    <t>ACC-IND-10660</t>
  </si>
  <si>
    <t>ACC-IND-10661</t>
  </si>
  <si>
    <t>ACC-IND-10662</t>
  </si>
  <si>
    <t>ACC-IND-10663</t>
  </si>
  <si>
    <t>ACC-IND-10664</t>
  </si>
  <si>
    <t>ACC-IND-10666</t>
  </si>
  <si>
    <t>ACC-IND-10669</t>
  </si>
  <si>
    <t>ACC-IND-10670</t>
  </si>
  <si>
    <t>ACC-IND-10671</t>
  </si>
  <si>
    <t>ACC-IND-10672</t>
  </si>
  <si>
    <t>ACC-IND-10673</t>
  </si>
  <si>
    <t>ACC-IND-10674</t>
  </si>
  <si>
    <t>ACC-IND-10675</t>
  </si>
  <si>
    <t>ACC-IND-10676</t>
  </si>
  <si>
    <t>ACC-IND-10677</t>
  </si>
  <si>
    <t>ACC-IND-10678</t>
  </si>
  <si>
    <t>ACC-IND-10679</t>
  </si>
  <si>
    <t>ACC-IND-10680</t>
  </si>
  <si>
    <t>ACC-IND-10681</t>
  </si>
  <si>
    <t>ACC-IND-10682</t>
  </si>
  <si>
    <t>ACC-IND-10683</t>
  </si>
  <si>
    <t>ACC-IND-10684</t>
  </si>
  <si>
    <t>ACC-IND-10685</t>
  </si>
  <si>
    <t>ACC-IND-10686</t>
  </si>
  <si>
    <t>ACC-IND-10687</t>
  </si>
  <si>
    <t>ACC-IND-10688</t>
  </si>
  <si>
    <t>ACC-IND-10690</t>
  </si>
  <si>
    <t>ACC-IND-10691</t>
  </si>
  <si>
    <t>ACC-IND-10695</t>
  </si>
  <si>
    <t>ACC-IND-10696</t>
  </si>
  <si>
    <t>ACC-IND-10697</t>
  </si>
  <si>
    <t>ACC-IND-10698</t>
  </si>
  <si>
    <t>ACC-IND-10699</t>
  </si>
  <si>
    <t>ACC-IND-10701</t>
  </si>
  <si>
    <t>ACC-IND-10702</t>
  </si>
  <si>
    <t>ACC-IND-10703</t>
  </si>
  <si>
    <t>ACC-IND-10704</t>
  </si>
  <si>
    <t>ACC-IND-10706</t>
  </si>
  <si>
    <t>ACC-IND-10708</t>
  </si>
  <si>
    <t>ACC-IND-10709</t>
  </si>
  <si>
    <t>ACC-IND-10710</t>
  </si>
  <si>
    <t>ACC-IND-10712</t>
  </si>
  <si>
    <t>ACC-IND-10713</t>
  </si>
  <si>
    <t>ACC-IND-10714</t>
  </si>
  <si>
    <t>ACC-IND-10716</t>
  </si>
  <si>
    <t>ACC-IND-10717</t>
  </si>
  <si>
    <t>ACC-IND-10719</t>
  </si>
  <si>
    <t>ACC-IND-10720</t>
  </si>
  <si>
    <t>ACC-IND-10723</t>
  </si>
  <si>
    <t>ACC-IND-10725</t>
  </si>
  <si>
    <t>ACC-IND-10726</t>
  </si>
  <si>
    <t>ACC-IND-10727</t>
  </si>
  <si>
    <t>ACC-IND-10729</t>
  </si>
  <si>
    <t>ACC-IND-10730</t>
  </si>
  <si>
    <t>ACC-IND-10731</t>
  </si>
  <si>
    <t>ACC-IND-10732</t>
  </si>
  <si>
    <t>ACC-IND-10733</t>
  </si>
  <si>
    <t>ACC-IND-10734</t>
  </si>
  <si>
    <t>ACC-IND-10735</t>
  </si>
  <si>
    <t>ACC-IND-10736</t>
  </si>
  <si>
    <t>ACC-IND-10738</t>
  </si>
  <si>
    <t>ACC-IND-10740</t>
  </si>
  <si>
    <t>ACC-IND-10743</t>
  </si>
  <si>
    <t>ACC-IND-10745</t>
  </si>
  <si>
    <t>ACC-IND-10747</t>
  </si>
  <si>
    <t>ACC-IND-10748</t>
  </si>
  <si>
    <t>ACC-IND-10749</t>
  </si>
  <si>
    <t>ACC-IND-10751</t>
  </si>
  <si>
    <t>ACC-IND-10752</t>
  </si>
  <si>
    <t>ACC-IND-10753</t>
  </si>
  <si>
    <t>ACC-IND-10754</t>
  </si>
  <si>
    <t>ACC-IND-10755</t>
  </si>
  <si>
    <t>ACC-IND-10756</t>
  </si>
  <si>
    <t>ACC-IND-10757</t>
  </si>
  <si>
    <t>ACC-IND-10758</t>
  </si>
  <si>
    <t>ACC-IND-10761</t>
  </si>
  <si>
    <t>ACC-IND-10762</t>
  </si>
  <si>
    <t>ACC-IND-10763</t>
  </si>
  <si>
    <t>ACC-IND-10764</t>
  </si>
  <si>
    <t>ACC-IND-10765</t>
  </si>
  <si>
    <t>ACC-IND-10766</t>
  </si>
  <si>
    <t>ACC-IND-10767</t>
  </si>
  <si>
    <t>ACC-IND-10769</t>
  </si>
  <si>
    <t>ACC-IND-10770</t>
  </si>
  <si>
    <t>ACC-IND-10772</t>
  </si>
  <si>
    <t>ACC-IND-10775</t>
  </si>
  <si>
    <t>ACC-IND-10776</t>
  </si>
  <si>
    <t>ACC-IND-10777</t>
  </si>
  <si>
    <t>ACC-IND-10780</t>
  </si>
  <si>
    <t>ACC-IND-10781</t>
  </si>
  <si>
    <t>ACC-IND-10782</t>
  </si>
  <si>
    <t>ACC-IND-10783</t>
  </si>
  <si>
    <t>ACC-IND-10785</t>
  </si>
  <si>
    <t>ACC-IND-10786</t>
  </si>
  <si>
    <t>ACC-IND-10788</t>
  </si>
  <si>
    <t>ACC-IND-10789</t>
  </si>
  <si>
    <t>ACC-IND-10790</t>
  </si>
  <si>
    <t>ACC-IND-10791</t>
  </si>
  <si>
    <t>ACC-IND-10792</t>
  </si>
  <si>
    <t>ACC-IND-10793</t>
  </si>
  <si>
    <t>ACC-IND-10794</t>
  </si>
  <si>
    <t>ACC-IND-10795</t>
  </si>
  <si>
    <t>ACC-IND-10797</t>
  </si>
  <si>
    <t>ACC-IND-10798</t>
  </si>
  <si>
    <t>ACC-IND-10799</t>
  </si>
  <si>
    <t>ACC-IND-10800</t>
  </si>
  <si>
    <t>ACC-IND-10801</t>
  </si>
  <si>
    <t>ACC-IND-10802</t>
  </si>
  <si>
    <t>ACC-IND-10803</t>
  </si>
  <si>
    <t>ACC-IND-10804</t>
  </si>
  <si>
    <t>ACC-IND-10806</t>
  </si>
  <si>
    <t>ACC-IND-10807</t>
  </si>
  <si>
    <t>ACC-IND-10808</t>
  </si>
  <si>
    <t>ACC-IND-10809</t>
  </si>
  <si>
    <t>ACC-IND-10812</t>
  </si>
  <si>
    <t>ACC-IND-10814</t>
  </si>
  <si>
    <t>ACC-IND-10815</t>
  </si>
  <si>
    <t>ACC-IND-10816</t>
  </si>
  <si>
    <t>ACC-IND-10817</t>
  </si>
  <si>
    <t>ACC-IND-10818</t>
  </si>
  <si>
    <t>ACC-IND-10819</t>
  </si>
  <si>
    <t>ACC-IND-10820</t>
  </si>
  <si>
    <t>ACC-IND-10822</t>
  </si>
  <si>
    <t>ACC-IND-10823</t>
  </si>
  <si>
    <t>ACC-IND-10824</t>
  </si>
  <si>
    <t>ACC-IND-10825</t>
  </si>
  <si>
    <t>ACC-IND-10827</t>
  </si>
  <si>
    <t>ACC-IND-10828</t>
  </si>
  <si>
    <t>ACC-IND-10829</t>
  </si>
  <si>
    <t>ACC-IND-10830</t>
  </si>
  <si>
    <t>ACC-IND-10832</t>
  </si>
  <si>
    <t>ACC-IND-10833</t>
  </si>
  <si>
    <t>ACC-IND-10834</t>
  </si>
  <si>
    <t>ACC-IND-10835</t>
  </si>
  <si>
    <t>ACC-IND-10838</t>
  </si>
  <si>
    <t>ACC-IND-10842</t>
  </si>
  <si>
    <t>ACC-IND-10844</t>
  </si>
  <si>
    <t>ACC-IND-10846</t>
  </si>
  <si>
    <t>ACC-IND-10847</t>
  </si>
  <si>
    <t>ACC-IND-10848</t>
  </si>
  <si>
    <t>ACC-IND-10849</t>
  </si>
  <si>
    <t>ACC-IND-10851</t>
  </si>
  <si>
    <t>ACC-IND-10852</t>
  </si>
  <si>
    <t>ACC-IND-10854</t>
  </si>
  <si>
    <t>ACC-IND-10855</t>
  </si>
  <si>
    <t>ACC-IND-10856</t>
  </si>
  <si>
    <t>ACC-IND-10862</t>
  </si>
  <si>
    <t>ACC-IND-10864</t>
  </si>
  <si>
    <t>ACC-IND-10866</t>
  </si>
  <si>
    <t>ACC-IND-10867</t>
  </si>
  <si>
    <t>ACC-IND-10868</t>
  </si>
  <si>
    <t>ACC-IND-10869</t>
  </si>
  <si>
    <t>ACC-IND-10870</t>
  </si>
  <si>
    <t>ACC-IND-10871</t>
  </si>
  <si>
    <t>ACC-IND-10872</t>
  </si>
  <si>
    <t>ACC-IND-10874</t>
  </si>
  <si>
    <t>ACC-IND-10875</t>
  </si>
  <si>
    <t>ACC-IND-10876</t>
  </si>
  <si>
    <t>ACC-IND-10877</t>
  </si>
  <si>
    <t>ACC-IND-10878</t>
  </si>
  <si>
    <t>ACC-IND-10880</t>
  </si>
  <si>
    <t>ACC-IND-10881</t>
  </si>
  <si>
    <t>ACC-IND-10882</t>
  </si>
  <si>
    <t>ACC-IND-10883</t>
  </si>
  <si>
    <t>ACC-IND-10884</t>
  </si>
  <si>
    <t>ACC-IND-10885</t>
  </si>
  <si>
    <t>ACC-IND-10886</t>
  </si>
  <si>
    <t>ACC-IND-10887</t>
  </si>
  <si>
    <t>ACC-IND-10889</t>
  </si>
  <si>
    <t>ACC-IND-10890</t>
  </si>
  <si>
    <t>ACC-IND-10893</t>
  </si>
  <si>
    <t>ACC-IND-10894</t>
  </si>
  <si>
    <t>ACC-IND-10895</t>
  </si>
  <si>
    <t>ACC-IND-10896</t>
  </si>
  <si>
    <t>ACC-IND-10898</t>
  </si>
  <si>
    <t>ACC-IND-10899</t>
  </si>
  <si>
    <t>ACC-IND-10900</t>
  </si>
  <si>
    <t>ACC-IND-10901</t>
  </si>
  <si>
    <t>ACC-IND-10902</t>
  </si>
  <si>
    <t>ACC-IND-10903</t>
  </si>
  <si>
    <t>ACC-IND-10904</t>
  </si>
  <si>
    <t>ACC-IND-10905</t>
  </si>
  <si>
    <t>ACC-IND-10906</t>
  </si>
  <si>
    <t>ACC-IND-10907</t>
  </si>
  <si>
    <t>ACC-IND-10908</t>
  </si>
  <si>
    <t>ACC-IND-10910</t>
  </si>
  <si>
    <t>ACC-IND-10911</t>
  </si>
  <si>
    <t>ACC-IND-10913</t>
  </si>
  <si>
    <t>ACC-IND-10914</t>
  </si>
  <si>
    <t>ACC-IND-10916</t>
  </si>
  <si>
    <t>ACC-IND-10918</t>
  </si>
  <si>
    <t>ACC-IND-10919</t>
  </si>
  <si>
    <t>ACC-IND-10922</t>
  </si>
  <si>
    <t>ACC-IND-10923</t>
  </si>
  <si>
    <t>ACC-IND-10927</t>
  </si>
  <si>
    <t>ACC-IND-10928</t>
  </si>
  <si>
    <t>ACC-IND-10929</t>
  </si>
  <si>
    <t>ACC-IND-10930</t>
  </si>
  <si>
    <t>ACC-IND-10931</t>
  </si>
  <si>
    <t>ACC-IND-10932</t>
  </si>
  <si>
    <t>ACC-IND-10933</t>
  </si>
  <si>
    <t>ACC-IND-10934</t>
  </si>
  <si>
    <t>ACC-IND-10935</t>
  </si>
  <si>
    <t>ACC-IND-10936</t>
  </si>
  <si>
    <t>ACC-IND-10937</t>
  </si>
  <si>
    <t>ACC-IND-10938</t>
  </si>
  <si>
    <t>ACC-IND-10939</t>
  </si>
  <si>
    <t>ACC-IND-10940</t>
  </si>
  <si>
    <t>ACC-IND-10941</t>
  </si>
  <si>
    <t>ACC-IND-10942</t>
  </si>
  <si>
    <t>ACC-IND-10943</t>
  </si>
  <si>
    <t>ACC-IND-10944</t>
  </si>
  <si>
    <t>ACC-IND-10945</t>
  </si>
  <si>
    <t>ACC-IND-10946</t>
  </si>
  <si>
    <t>ACC-IND-10947</t>
  </si>
  <si>
    <t>ACC-IND-10948</t>
  </si>
  <si>
    <t>ACC-IND-10949</t>
  </si>
  <si>
    <t>ACC-IND-10950</t>
  </si>
  <si>
    <t>ACC-IND-10951</t>
  </si>
  <si>
    <t>ACC-IND-10952</t>
  </si>
  <si>
    <t>ACC-IND-10953</t>
  </si>
  <si>
    <t>ACC-IND-10956</t>
  </si>
  <si>
    <t>ACC-IND-10957</t>
  </si>
  <si>
    <t>ACC-IND-10958</t>
  </si>
  <si>
    <t>ACC-IND-10959</t>
  </si>
  <si>
    <t>ACC-IND-10961</t>
  </si>
  <si>
    <t>ACC-IND-10962</t>
  </si>
  <si>
    <t>ACC-IND-10963</t>
  </si>
  <si>
    <t>ACC-IND-10964</t>
  </si>
  <si>
    <t>ACC-IND-10965</t>
  </si>
  <si>
    <t>ACC-IND-10966</t>
  </si>
  <si>
    <t>ACC-IND-10967</t>
  </si>
  <si>
    <t>ACC-IND-10968</t>
  </si>
  <si>
    <t>ACC-IND-10969</t>
  </si>
  <si>
    <t>ACC-IND-10970</t>
  </si>
  <si>
    <t>ACC-IND-10973</t>
  </si>
  <si>
    <t>ACC-IND-10974</t>
  </si>
  <si>
    <t>ACC-IND-10975</t>
  </si>
  <si>
    <t>ACC-IND-10976</t>
  </si>
  <si>
    <t>ACC-IND-10978</t>
  </si>
  <si>
    <t>ACC-IND-10979</t>
  </si>
  <si>
    <t>ACC-IND-10980</t>
  </si>
  <si>
    <t>ACC-IND-10982</t>
  </si>
  <si>
    <t>ACC-IND-10984</t>
  </si>
  <si>
    <t>ACC-IND-10985</t>
  </si>
  <si>
    <t>ACC-IND-10986</t>
  </si>
  <si>
    <t>ACC-IND-10987</t>
  </si>
  <si>
    <t>ACC-IND-10988</t>
  </si>
  <si>
    <t>ACC-IND-10989</t>
  </si>
  <si>
    <t>ACC-IND-10990</t>
  </si>
  <si>
    <t>ACC-IND-10991</t>
  </si>
  <si>
    <t>ACC-IND-10992</t>
  </si>
  <si>
    <t>ACC-IND-10997</t>
  </si>
  <si>
    <t>ACC-IND-10998</t>
  </si>
  <si>
    <t>ACC-IND-11000</t>
  </si>
  <si>
    <t>ACC-IND-11001</t>
  </si>
  <si>
    <t>Processed (Eligible)</t>
  </si>
  <si>
    <t>Treasury Funding &amp; Settlement Terminal</t>
  </si>
  <si>
    <t>Row Labels</t>
  </si>
  <si>
    <t>Grand Total</t>
  </si>
  <si>
    <t>Count of Client ID</t>
  </si>
  <si>
    <t>Sum of Net Payout</t>
  </si>
  <si>
    <t>Total TDS Withheld:</t>
  </si>
  <si>
    <t>Total Bonus Shares:</t>
  </si>
  <si>
    <t xml:space="preserve">Payout ratio 1:4 </t>
  </si>
  <si>
    <t xml:space="preserve">Type CA event </t>
  </si>
  <si>
    <t xml:space="preserve">Entity wise divident </t>
  </si>
  <si>
    <t xml:space="preserve">D-ref generate </t>
  </si>
  <si>
    <t>Bonus Multiplier</t>
  </si>
  <si>
    <t>Sum of TDS Withheld (10%)</t>
  </si>
  <si>
    <t>Sum of Bonus Shares Received</t>
  </si>
  <si>
    <t>Fractional Settlement Price</t>
  </si>
  <si>
    <t>Whole Bonus Shares</t>
  </si>
  <si>
    <t>Fractional Shares</t>
  </si>
  <si>
    <t>Cash-in-Lieu Payout</t>
  </si>
  <si>
    <t>Adjusted Total Cash Payout</t>
  </si>
  <si>
    <t>1:5</t>
  </si>
  <si>
    <t>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</si>
</sst>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INR&quot;\ #,##0.00"/>
    <numFmt numFmtId="165" formatCode="dd\-mmm\-yyyy"/>
  </numFmts>
  <fonts count="5" x14ac:knownFonts="1">
    <font>
      <sz val="11"/>
      <color theme="1"/>
      <name val="Aptos Narrow"/>
      <family val="2"/>
      <scheme val="minor"/>
    </font>
    <font>
      <b/>
      <sz val="11"/>
      <color theme="1"/>
      <name val="Aptos Narrow"/>
      <family val="2"/>
      <scheme val="minor"/>
    </font>
    <font>
      <b/>
      <sz val="16"/>
      <color theme="0"/>
      <name val="Aptos Narrow"/>
      <family val="2"/>
      <scheme val="minor"/>
    </font>
    <font>
      <sz val="20"/>
      <color theme="0"/>
      <name val="Aptos Narrow"/>
      <family val="2"/>
      <scheme val="minor"/>
    </font>
    <font>
      <b/>
      <sz val="24"/>
      <color theme="0"/>
      <name val="Times New Roman"/>
      <family val="1"/>
    </font>
  </fonts>
  <fills count="3">
    <fill>
      <patternFill patternType="none"/>
    </fill>
    <fill>
      <patternFill patternType="gray125"/>
    </fill>
    <fill>
      <patternFill patternType="solid">
        <fgColor rgb="FF1E1E1E"/>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top/>
      <bottom/>
      <diagonal/>
    </border>
    <border>
      <left style="thin">
        <color indexed="64"/>
      </left>
      <right style="thin">
        <color theme="0"/>
      </right>
      <top style="thin">
        <color theme="0"/>
      </top>
      <bottom/>
      <diagonal/>
    </border>
    <border>
      <left/>
      <right style="thin">
        <color theme="0"/>
      </right>
      <top/>
      <bottom/>
      <diagonal/>
    </border>
    <border>
      <left/>
      <right/>
      <top style="thin">
        <color theme="0"/>
      </top>
      <bottom/>
      <diagonal/>
    </border>
    <border>
      <left style="thin">
        <color theme="0"/>
      </left>
      <right style="thin">
        <color indexed="64"/>
      </right>
      <top style="thin">
        <color theme="0"/>
      </top>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theme="0"/>
      </bottom>
      <diagonal/>
    </border>
  </borders>
  <cellStyleXfs count="1">
    <xf numFmtId="0" fontId="0" fillId="0" borderId="0"/>
  </cellStyleXfs>
  <cellXfs count="25">
    <xf numFmtId="0" fontId="0" fillId="0" borderId="0" xfId="0"/>
    <xf numFmtId="15" fontId="0" fillId="0" borderId="0" xfId="0" applyNumberFormat="1"/>
    <xf numFmtId="3" fontId="0" fillId="0" borderId="0" xfId="0" applyNumberFormat="1"/>
    <xf numFmtId="164" fontId="0" fillId="0" borderId="0" xfId="0" applyNumberFormat="1"/>
    <xf numFmtId="0" fontId="1" fillId="0" borderId="0" xfId="0" applyFont="1"/>
    <xf numFmtId="165" fontId="0" fillId="0" borderId="0" xfId="0" applyNumberFormat="1"/>
    <xf numFmtId="3" fontId="1" fillId="0" borderId="0" xfId="0" applyNumberFormat="1" applyFont="1"/>
    <xf numFmtId="164" fontId="1" fillId="0" borderId="0" xfId="0" applyNumberFormat="1" applyFont="1"/>
    <xf numFmtId="0" fontId="0" fillId="0" borderId="0" xfId="0" pivotButton="1"/>
    <xf numFmtId="0" fontId="0" fillId="0" borderId="0" xfId="0" applyAlignment="1">
      <alignment horizontal="left"/>
    </xf>
    <xf numFmtId="0" fontId="1" fillId="2" borderId="0" xfId="0" applyFont="1" applyFill="1" applyAlignment="1">
      <alignment vertical="center"/>
    </xf>
    <xf numFmtId="0" fontId="0" fillId="2" borderId="0" xfId="0" applyFill="1"/>
    <xf numFmtId="0" fontId="3" fillId="2" borderId="1" xfId="0" applyFont="1" applyFill="1" applyBorder="1" applyAlignment="1">
      <alignment horizontal="center" vertical="center"/>
    </xf>
    <xf numFmtId="0" fontId="2" fillId="2" borderId="0" xfId="0" applyFont="1" applyFill="1" applyAlignment="1">
      <alignment vertical="center"/>
    </xf>
    <xf numFmtId="0" fontId="4" fillId="2" borderId="0" xfId="0" applyFont="1" applyFill="1" applyAlignment="1">
      <alignment horizontal="center" vertical="center"/>
    </xf>
    <xf numFmtId="0" fontId="0" fillId="2" borderId="4" xfId="0" applyFill="1" applyBorder="1"/>
    <xf numFmtId="0" fontId="0" fillId="2" borderId="5" xfId="0" applyFill="1" applyBorder="1"/>
    <xf numFmtId="0" fontId="0" fillId="2" borderId="2" xfId="0" applyFill="1" applyBorder="1"/>
    <xf numFmtId="20" fontId="0" fillId="0" borderId="0" xfId="0" quotePrefix="1" applyNumberFormat="1"/>
    <xf numFmtId="3" fontId="3" fillId="2" borderId="1" xfId="0" applyNumberFormat="1" applyFont="1" applyFill="1" applyBorder="1" applyAlignment="1">
      <alignment horizontal="center" vertical="center"/>
    </xf>
    <xf numFmtId="0" fontId="4" fillId="2" borderId="0" xfId="0" applyFont="1" applyFill="1" applyAlignment="1">
      <alignment horizontal="center" vertical="center"/>
    </xf>
    <xf numFmtId="0" fontId="3" fillId="2" borderId="6"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1E1E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[1_CA_Action_Settlement_using_Formula.xlsx]Pivot_Data!PivotTable3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Account Eligibility &amp; Status Breakdown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9.8309492563429579E-2"/>
          <c:y val="0.16245370370370371"/>
          <c:w val="0.46641666666666665"/>
          <c:h val="0.77736111111111106"/>
        </c:manualLayout>
      </c:layout>
      <c:doughnutChart>
        <c:varyColors val="1"/>
        <c:ser>
          <c:idx val="0"/>
          <c:order val="0"/>
          <c:tx>
            <c:strRef>
              <c:f>Pivot_Data!$B$1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1B-4EB4-9644-6EEF994B21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1B-4EB4-9644-6EEF994B21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1B-4EB4-9644-6EEF994B2170}"/>
              </c:ext>
            </c:extLst>
          </c:dPt>
          <c:cat>
            <c:strRef>
              <c:f>Pivot_Data!$A$2:$A$3</c:f>
              <c:strCache>
                <c:ptCount val="1"/>
                <c:pt idx="0">
                  <c:v>Processed (Eligible)</c:v>
                </c:pt>
              </c:strCache>
            </c:strRef>
          </c:cat>
          <c:val>
            <c:numRef>
              <c:f>Pivot_Data!$B$2:$B$3</c:f>
              <c:numCache>
                <c:formatCode>General</c:formatCode>
                <c:ptCount val="1"/>
                <c:pt idx="0">
                  <c:v>9</c:v>
                </c:pt>
              </c:numCache>
            </c:numRef>
          </c:val>
          <c:extLst>
            <c:ext xmlns:c16="http://schemas.microsoft.com/office/drawing/2014/chart" uri="{C3380CC4-5D6E-409C-BE32-E72D297353CC}">
              <c16:uniqueId val="{00000006-B31B-4EB4-9644-6EEF994B217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[1_CA_Action_Settlement_using_Formula.xlsx]Pivot_Data!PivotTable5</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Net Cash Liability by Asset (INR)</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Pivot_Data!$F$1</c:f>
              <c:strCache>
                <c:ptCount val="1"/>
                <c:pt idx="0">
                  <c:v>Total</c:v>
                </c:pt>
              </c:strCache>
            </c:strRef>
          </c:tx>
          <c:spPr>
            <a:solidFill>
              <a:srgbClr val="00B0F0"/>
            </a:solidFill>
            <a:ln>
              <a:noFill/>
            </a:ln>
            <a:effectLst/>
          </c:spPr>
          <c:invertIfNegative val="0"/>
          <c:cat>
            <c:strRef>
              <c:f>Pivot_Data!$E$2:$E$3</c:f>
              <c:strCache>
                <c:ptCount val="1"/>
                <c:pt idx="0">
                  <c:v>GAMCO</c:v>
                </c:pt>
              </c:strCache>
            </c:strRef>
          </c:cat>
          <c:val>
            <c:numRef>
              <c:f>Pivot_Data!$F$2:$F$3</c:f>
              <c:numCache>
                <c:formatCode>"INR"\ #,##0.00</c:formatCode>
                <c:ptCount val="1"/>
                <c:pt idx="0">
                  <c:v>36135</c:v>
                </c:pt>
              </c:numCache>
            </c:numRef>
          </c:val>
          <c:extLst>
            <c:ext xmlns:c16="http://schemas.microsoft.com/office/drawing/2014/chart" uri="{C3380CC4-5D6E-409C-BE32-E72D297353CC}">
              <c16:uniqueId val="{00000000-FAB1-4EF0-8AD4-2232EB59AF79}"/>
            </c:ext>
          </c:extLst>
        </c:ser>
        <c:dLbls>
          <c:showLegendKey val="0"/>
          <c:showVal val="0"/>
          <c:showCatName val="0"/>
          <c:showSerName val="0"/>
          <c:showPercent val="0"/>
          <c:showBubbleSize val="0"/>
        </c:dLbls>
        <c:gapWidth val="182"/>
        <c:axId val="1126996479"/>
        <c:axId val="1303605263"/>
      </c:barChart>
      <c:catAx>
        <c:axId val="1126996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3605263"/>
        <c:crosses val="autoZero"/>
        <c:auto val="1"/>
        <c:lblAlgn val="ctr"/>
        <c:lblOffset val="100"/>
        <c:noMultiLvlLbl val="0"/>
      </c:catAx>
      <c:valAx>
        <c:axId val="1303605263"/>
        <c:scaling>
          <c:orientation val="minMax"/>
          <c:max val="1200000"/>
        </c:scaling>
        <c:delete val="0"/>
        <c:axPos val="b"/>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699647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6</xdr:row>
      <xdr:rowOff>68580</xdr:rowOff>
    </xdr:from>
    <xdr:to>
      <xdr:col>7</xdr:col>
      <xdr:colOff>838200</xdr:colOff>
      <xdr:row>22</xdr:row>
      <xdr:rowOff>167640</xdr:rowOff>
    </xdr:to>
    <xdr:graphicFrame macro="">
      <xdr:nvGraphicFramePr>
        <xdr:cNvPr id="2" name="Chart 1">
          <a:extLst>
            <a:ext uri="{FF2B5EF4-FFF2-40B4-BE49-F238E27FC236}">
              <a16:creationId xmlns:a16="http://schemas.microsoft.com/office/drawing/2014/main" id="{77F6E035-4384-46FB-89BE-37A903E82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1089660</xdr:colOff>
      <xdr:row>6</xdr:row>
      <xdr:rowOff>60960</xdr:rowOff>
    </xdr:from>
    <xdr:to>
      <xdr:col>12</xdr:col>
      <xdr:colOff>137160</xdr:colOff>
      <xdr:row>22</xdr:row>
      <xdr:rowOff>175260</xdr:rowOff>
    </xdr:to>
    <xdr:graphicFrame macro="">
      <xdr:nvGraphicFramePr>
        <xdr:cNvPr id="10" name="Chart 9">
          <a:extLst>
            <a:ext uri="{FF2B5EF4-FFF2-40B4-BE49-F238E27FC236}">
              <a16:creationId xmlns:a16="http://schemas.microsoft.com/office/drawing/2014/main" id="{85AC5248-3864-4AAA-A5A2-601C80D0A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22860</xdr:colOff>
      <xdr:row>6</xdr:row>
      <xdr:rowOff>45720</xdr:rowOff>
    </xdr:from>
    <xdr:to>
      <xdr:col>3</xdr:col>
      <xdr:colOff>678180</xdr:colOff>
      <xdr:row>16</xdr:row>
      <xdr:rowOff>106680</xdr:rowOff>
    </xdr:to>
    <mc:AlternateContent xmlns:mc="http://schemas.openxmlformats.org/markup-compatibility/2006" xmlns:a14="http://schemas.microsoft.com/office/drawing/2010/main">
      <mc:Choice Requires="a14">
        <xdr:graphicFrame macro="">
          <xdr:nvGraphicFramePr>
            <xdr:cNvPr id="11" name="Security Name">
              <a:extLst>
                <a:ext uri="{FF2B5EF4-FFF2-40B4-BE49-F238E27FC236}">
                  <a16:creationId xmlns:a16="http://schemas.microsoft.com/office/drawing/2014/main" id="{1E69A814-77EC-0D09-0CC2-8044D7ED6E5E}"/>
                </a:ext>
              </a:extLst>
            </xdr:cNvPr>
            <xdr:cNvGraphicFramePr/>
          </xdr:nvGraphicFramePr>
          <xdr:xfrm>
            <a:off x="0" y="0"/>
            <a:ext cx="0" cy="0"/>
          </xdr:xfrm>
          <a:graphic>
            <a:graphicData uri="http://schemas.microsoft.com/office/drawing/2010/slicer">
              <sle:slicer xmlns:sle="http://schemas.microsoft.com/office/drawing/2010/slicer" name="Security Name"/>
            </a:graphicData>
          </a:graphic>
        </xdr:graphicFrame>
      </mc:Choice>
      <mc:Fallback xmlns="">
        <xdr:sp macro="" textlink="">
          <xdr:nvSpPr>
            <xdr:cNvPr id="0" name=""/>
            <xdr:cNvSpPr>
              <a:spLocks noTextEdit="1"/>
            </xdr:cNvSpPr>
          </xdr:nvSpPr>
          <xdr:spPr>
            <a:xfrm>
              <a:off x="632460" y="1699260"/>
              <a:ext cx="1828800" cy="1889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xdr:colOff>
      <xdr:row>16</xdr:row>
      <xdr:rowOff>175261</xdr:rowOff>
    </xdr:from>
    <xdr:to>
      <xdr:col>3</xdr:col>
      <xdr:colOff>693420</xdr:colOff>
      <xdr:row>23</xdr:row>
      <xdr:rowOff>144781</xdr:rowOff>
    </xdr:to>
    <mc:AlternateContent xmlns:mc="http://schemas.openxmlformats.org/markup-compatibility/2006" xmlns:a14="http://schemas.microsoft.com/office/drawing/2010/main">
      <mc:Choice Requires="a14">
        <xdr:graphicFrame macro="">
          <xdr:nvGraphicFramePr>
            <xdr:cNvPr id="12" name="Processing Status">
              <a:extLst>
                <a:ext uri="{FF2B5EF4-FFF2-40B4-BE49-F238E27FC236}">
                  <a16:creationId xmlns:a16="http://schemas.microsoft.com/office/drawing/2014/main" id="{1AB4D7FD-1314-0E0B-D6A7-102F3B0E7179}"/>
                </a:ext>
              </a:extLst>
            </xdr:cNvPr>
            <xdr:cNvGraphicFramePr/>
          </xdr:nvGraphicFramePr>
          <xdr:xfrm>
            <a:off x="0" y="0"/>
            <a:ext cx="0" cy="0"/>
          </xdr:xfrm>
          <a:graphic>
            <a:graphicData uri="http://schemas.microsoft.com/office/drawing/2010/slicer">
              <sle:slicer xmlns:sle="http://schemas.microsoft.com/office/drawing/2010/slicer" name="Processing Status"/>
            </a:graphicData>
          </a:graphic>
        </xdr:graphicFrame>
      </mc:Choice>
      <mc:Fallback xmlns="">
        <xdr:sp macro="" textlink="">
          <xdr:nvSpPr>
            <xdr:cNvPr id="0" name=""/>
            <xdr:cNvSpPr>
              <a:spLocks noTextEdit="1"/>
            </xdr:cNvSpPr>
          </xdr:nvSpPr>
          <xdr:spPr>
            <a:xfrm>
              <a:off x="647700" y="365760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Thakar" refreshedDate="46270.906485995372" createdVersion="8" refreshedVersion="8" minRefreshableVersion="3" recordCount="1000" xr:uid="{BB0A65DE-BA1E-4877-956A-B8D48D422D12}">
  <cacheSource type="worksheet">
    <worksheetSource ref="A1:O765" sheet="Ledger"/>
  </cacheSource>
  <cacheFields count="11">
    <cacheField name="Client ID" numFmtId="0">
      <sharedItems/>
    </cacheField>
    <cacheField name="Security Name" numFmtId="0">
      <sharedItems count="41">
        <s v="TRANSCOR"/>
        <s v="INFY"/>
        <s v="SUMEDHA"/>
        <s v="GYFTR"/>
        <s v="EENTER"/>
        <s v="PRITHVIEXCH"/>
        <s v="DELPHIFX"/>
        <s v="CRISIL"/>
        <s v="BHARAT"/>
        <s v="HDFCBANK"/>
        <s v="MPILCORPL"/>
        <s v="COMCL"/>
        <s v="RELIANCE"/>
        <s v="MODEX"/>
        <s v="WESTLEIRES"/>
        <s v="ELIXIR"/>
        <s v="NDLVENTURE"/>
        <s v="BNRSEC"/>
        <s v="CASPIAN"/>
        <s v="CENTRUM"/>
        <s v="ASHCAP"/>
        <s v="HBPOR"/>
        <s v="WIPRO"/>
        <s v="RELIABLE"/>
        <s v="COLAB"/>
        <s v="FUTSOL"/>
        <s v="TCS"/>
        <s v="NEXOME"/>
        <s v="PFC"/>
        <s v="PRIMESECU"/>
        <s v="WEALTH"/>
        <s v="MODRNSH"/>
        <s v="INDICAP"/>
        <s v="GAMCO"/>
        <s v="REGENCY"/>
        <s v="RECLTD"/>
        <s v="RFSL"/>
        <s v="PML"/>
        <s v="SHYMINV"/>
        <s v="JYOTIN"/>
        <s v="DARJEELING"/>
      </sharedItems>
    </cacheField>
    <cacheField name="Trade Date" numFmtId="165">
      <sharedItems containsSemiMixedTypes="0" containsNonDate="0" containsDate="1" containsString="0" minDate="2015-01-02T00:00:00" maxDate="2026-08-08T00:00:00"/>
    </cacheField>
    <cacheField name="Settled Shares" numFmtId="3">
      <sharedItems containsSemiMixedTypes="0" containsString="0" containsNumber="1" containsInteger="1" minValue="15" maxValue="10050"/>
    </cacheField>
    <cacheField name="Dividend Rate" numFmtId="0">
      <sharedItems containsSemiMixedTypes="0" containsString="0" containsNumber="1" minValue="0" maxValue="19"/>
    </cacheField>
    <cacheField name="Gross Entitlement" numFmtId="0">
      <sharedItems containsSemiMixedTypes="0" containsString="0" containsNumber="1" minValue="0" maxValue="77200"/>
    </cacheField>
    <cacheField name="TDS Withheld (10%)" numFmtId="0">
      <sharedItems containsSemiMixedTypes="0" containsString="0" containsNumber="1" minValue="0" maxValue="7720"/>
    </cacheField>
    <cacheField name="Net Payout" numFmtId="0">
      <sharedItems containsSemiMixedTypes="0" containsString="0" containsNumber="1" minValue="0" maxValue="69480"/>
    </cacheField>
    <cacheField name="Bonus Shares Received" numFmtId="0">
      <sharedItems containsSemiMixedTypes="0" containsString="0" containsNumber="1" minValue="0" maxValue="12250"/>
    </cacheField>
    <cacheField name="New Total Shares" numFmtId="3">
      <sharedItems containsSemiMixedTypes="0" containsString="0" containsNumber="1" minValue="15" maxValue="22050"/>
    </cacheField>
    <cacheField name="Processing Status" numFmtId="0">
      <sharedItems count="3">
        <s v="Processed (Eligible)"/>
        <s v="No Action Announced"/>
        <s v="Ineligible (Post Ex-Date)"/>
      </sharedItems>
    </cacheField>
  </cacheFields>
  <extLst>
    <ext xmlns:x14="http://schemas.microsoft.com/office/spreadsheetml/2009/9/main" uri="{725AE2AE-9491-48be-B2B4-4EB974FC3084}">
      <x14:pivotCacheDefinition pivotCacheId="5082985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ACC-IND-10002"/>
    <x v="0"/>
    <d v="2020-04-09T00:00:00"/>
    <n v="7800"/>
    <n v="1.5000000000000002"/>
    <n v="11700.000000000002"/>
    <n v="1170.0000000000002"/>
    <n v="10530.000000000002"/>
    <n v="0"/>
    <n v="7800"/>
    <x v="0"/>
  </r>
  <r>
    <s v="ACC-IND-10003"/>
    <x v="1"/>
    <d v="2023-09-02T00:00:00"/>
    <n v="4200"/>
    <n v="0"/>
    <n v="0"/>
    <n v="0"/>
    <n v="0"/>
    <n v="0"/>
    <n v="4200"/>
    <x v="1"/>
  </r>
  <r>
    <s v="ACC-IND-10004"/>
    <x v="0"/>
    <d v="2018-12-25T00:00:00"/>
    <n v="650"/>
    <n v="1.5000000000000002"/>
    <n v="975.00000000000011"/>
    <n v="97.500000000000014"/>
    <n v="877.50000000000011"/>
    <n v="0"/>
    <n v="650"/>
    <x v="0"/>
  </r>
  <r>
    <s v="ACC-IND-10005"/>
    <x v="2"/>
    <d v="2020-10-02T00:00:00"/>
    <n v="6000"/>
    <n v="3"/>
    <n v="18000"/>
    <n v="1800"/>
    <n v="16200"/>
    <n v="0"/>
    <n v="6000"/>
    <x v="0"/>
  </r>
  <r>
    <s v="ACC-IND-10006"/>
    <x v="3"/>
    <d v="2021-08-08T00:00:00"/>
    <n v="2850"/>
    <n v="0"/>
    <n v="0"/>
    <n v="0"/>
    <n v="0"/>
    <n v="0"/>
    <n v="2850"/>
    <x v="1"/>
  </r>
  <r>
    <s v="ACC-IND-10007"/>
    <x v="4"/>
    <d v="2020-12-26T00:00:00"/>
    <n v="2350"/>
    <n v="3"/>
    <n v="7050"/>
    <n v="705"/>
    <n v="6345"/>
    <n v="0"/>
    <n v="2350"/>
    <x v="0"/>
  </r>
  <r>
    <s v="ACC-IND-10008"/>
    <x v="5"/>
    <d v="2017-07-03T00:00:00"/>
    <n v="10050"/>
    <n v="6.5"/>
    <n v="65325"/>
    <n v="6532.5"/>
    <n v="58792.5"/>
    <n v="0"/>
    <n v="10050"/>
    <x v="0"/>
  </r>
  <r>
    <s v="ACC-IND-10009"/>
    <x v="6"/>
    <d v="2020-02-03T00:00:00"/>
    <n v="8050"/>
    <n v="0"/>
    <n v="0"/>
    <n v="0"/>
    <n v="0"/>
    <n v="0"/>
    <n v="8050"/>
    <x v="1"/>
  </r>
  <r>
    <s v="ACC-IND-10010"/>
    <x v="0"/>
    <d v="2017-05-09T00:00:00"/>
    <n v="9550"/>
    <n v="1.5000000000000002"/>
    <n v="14325.000000000002"/>
    <n v="1432.5000000000002"/>
    <n v="12892.500000000002"/>
    <n v="0"/>
    <n v="9550"/>
    <x v="0"/>
  </r>
  <r>
    <s v="ACC-IND-10500"/>
    <x v="7"/>
    <d v="2021-02-25T00:00:00"/>
    <n v="80"/>
    <n v="19"/>
    <n v="1520"/>
    <n v="152"/>
    <n v="1368"/>
    <n v="0"/>
    <n v="80"/>
    <x v="0"/>
  </r>
  <r>
    <s v="ACC-IND-10012"/>
    <x v="2"/>
    <d v="2022-04-18T00:00:00"/>
    <n v="2150"/>
    <n v="3"/>
    <n v="6450"/>
    <n v="645"/>
    <n v="5805"/>
    <n v="0"/>
    <n v="2150"/>
    <x v="0"/>
  </r>
  <r>
    <s v="ACC-IND-10013"/>
    <x v="8"/>
    <d v="2015-06-26T00:00:00"/>
    <n v="2700"/>
    <n v="1.2"/>
    <n v="3240"/>
    <n v="324"/>
    <n v="2916"/>
    <n v="0"/>
    <n v="2700"/>
    <x v="0"/>
  </r>
  <r>
    <s v="ACC-IND-10014"/>
    <x v="8"/>
    <d v="2017-12-18T00:00:00"/>
    <n v="6350"/>
    <n v="1.2"/>
    <n v="7620"/>
    <n v="762"/>
    <n v="6858"/>
    <n v="0"/>
    <n v="6350"/>
    <x v="0"/>
  </r>
  <r>
    <s v="ACC-IND-10090"/>
    <x v="7"/>
    <d v="2020-04-26T00:00:00"/>
    <n v="80"/>
    <n v="19"/>
    <n v="1520"/>
    <n v="152"/>
    <n v="1368"/>
    <n v="0"/>
    <n v="80"/>
    <x v="0"/>
  </r>
  <r>
    <s v="ACC-IND-10016"/>
    <x v="9"/>
    <d v="2024-06-19T00:00:00"/>
    <n v="5100"/>
    <n v="0"/>
    <n v="0"/>
    <n v="0"/>
    <n v="0"/>
    <n v="0"/>
    <n v="5100"/>
    <x v="1"/>
  </r>
  <r>
    <s v="ACC-IND-10017"/>
    <x v="3"/>
    <d v="2018-05-08T00:00:00"/>
    <n v="650"/>
    <n v="0"/>
    <n v="0"/>
    <n v="0"/>
    <n v="0"/>
    <n v="0"/>
    <n v="650"/>
    <x v="1"/>
  </r>
  <r>
    <s v="ACC-IND-10018"/>
    <x v="5"/>
    <d v="2015-05-11T00:00:00"/>
    <n v="4950"/>
    <n v="6.5"/>
    <n v="32175"/>
    <n v="3217.5"/>
    <n v="28957.5"/>
    <n v="0"/>
    <n v="4950"/>
    <x v="0"/>
  </r>
  <r>
    <s v="ACC-IND-10034"/>
    <x v="7"/>
    <d v="2023-10-19T00:00:00"/>
    <n v="80"/>
    <n v="19"/>
    <n v="1520"/>
    <n v="152"/>
    <n v="1368"/>
    <n v="0"/>
    <n v="80"/>
    <x v="0"/>
  </r>
  <r>
    <s v="ACC-IND-10020"/>
    <x v="10"/>
    <d v="2020-05-04T00:00:00"/>
    <n v="7900"/>
    <n v="1.35"/>
    <n v="10665"/>
    <n v="1066.5"/>
    <n v="9598.5"/>
    <n v="0"/>
    <n v="7900"/>
    <x v="0"/>
  </r>
  <r>
    <s v="ACC-IND-10021"/>
    <x v="11"/>
    <d v="2020-10-01T00:00:00"/>
    <n v="2200"/>
    <n v="1"/>
    <n v="2200"/>
    <n v="220"/>
    <n v="1980"/>
    <n v="0"/>
    <n v="2200"/>
    <x v="0"/>
  </r>
  <r>
    <s v="ACC-IND-10022"/>
    <x v="12"/>
    <d v="2018-02-01T00:00:00"/>
    <n v="5450"/>
    <n v="0"/>
    <n v="0"/>
    <n v="0"/>
    <n v="0"/>
    <n v="0"/>
    <n v="5450"/>
    <x v="1"/>
  </r>
  <r>
    <s v="ACC-IND-10023"/>
    <x v="4"/>
    <d v="2023-01-06T00:00:00"/>
    <n v="6850"/>
    <n v="3"/>
    <n v="20550"/>
    <n v="2055"/>
    <n v="18495"/>
    <n v="0"/>
    <n v="6850"/>
    <x v="0"/>
  </r>
  <r>
    <s v="ACC-IND-10024"/>
    <x v="13"/>
    <d v="2016-09-27T00:00:00"/>
    <n v="5400"/>
    <n v="0"/>
    <n v="0"/>
    <n v="0"/>
    <n v="0"/>
    <n v="0"/>
    <n v="5400"/>
    <x v="1"/>
  </r>
  <r>
    <s v="ACC-IND-10025"/>
    <x v="1"/>
    <d v="2019-06-14T00:00:00"/>
    <n v="2150"/>
    <n v="0"/>
    <n v="0"/>
    <n v="0"/>
    <n v="0"/>
    <n v="0"/>
    <n v="2150"/>
    <x v="1"/>
  </r>
  <r>
    <s v="ACC-IND-10026"/>
    <x v="14"/>
    <d v="2020-03-26T00:00:00"/>
    <n v="1050"/>
    <n v="0.2"/>
    <n v="210"/>
    <n v="21"/>
    <n v="189"/>
    <n v="0"/>
    <n v="1050"/>
    <x v="0"/>
  </r>
  <r>
    <s v="ACC-IND-10027"/>
    <x v="8"/>
    <d v="2023-10-08T00:00:00"/>
    <n v="6800"/>
    <n v="1.2"/>
    <n v="8160"/>
    <n v="816"/>
    <n v="7344"/>
    <n v="0"/>
    <n v="6800"/>
    <x v="0"/>
  </r>
  <r>
    <s v="ACC-IND-10028"/>
    <x v="8"/>
    <d v="2015-04-23T00:00:00"/>
    <n v="3050"/>
    <n v="1.2"/>
    <n v="3660"/>
    <n v="366"/>
    <n v="3294"/>
    <n v="0"/>
    <n v="3050"/>
    <x v="0"/>
  </r>
  <r>
    <s v="ACC-IND-10029"/>
    <x v="15"/>
    <d v="2017-05-02T00:00:00"/>
    <n v="4900"/>
    <n v="3.75"/>
    <n v="18375"/>
    <n v="1837.5"/>
    <n v="16537.5"/>
    <n v="0"/>
    <n v="4900"/>
    <x v="0"/>
  </r>
  <r>
    <s v="ACC-IND-10030"/>
    <x v="16"/>
    <d v="2020-10-26T00:00:00"/>
    <n v="3400"/>
    <n v="1.5"/>
    <n v="5100"/>
    <n v="510"/>
    <n v="4590"/>
    <n v="0"/>
    <n v="3400"/>
    <x v="0"/>
  </r>
  <r>
    <s v="ACC-IND-10031"/>
    <x v="11"/>
    <d v="2021-05-27T00:00:00"/>
    <n v="1200"/>
    <n v="1"/>
    <n v="1200"/>
    <n v="120"/>
    <n v="1080"/>
    <n v="0"/>
    <n v="1200"/>
    <x v="0"/>
  </r>
  <r>
    <s v="ACC-IND-10032"/>
    <x v="17"/>
    <d v="2018-02-14T00:00:00"/>
    <n v="2250"/>
    <n v="2.5"/>
    <n v="5625"/>
    <n v="562.5"/>
    <n v="5062.5"/>
    <n v="0"/>
    <n v="2250"/>
    <x v="0"/>
  </r>
  <r>
    <s v="ACC-IND-10033"/>
    <x v="17"/>
    <d v="2015-05-16T00:00:00"/>
    <n v="9300"/>
    <n v="2.5"/>
    <n v="23250"/>
    <n v="2325"/>
    <n v="20925"/>
    <n v="0"/>
    <n v="9300"/>
    <x v="0"/>
  </r>
  <r>
    <s v="ACC-IND-10317"/>
    <x v="7"/>
    <d v="2023-08-02T00:00:00"/>
    <n v="80"/>
    <n v="19"/>
    <n v="1520"/>
    <n v="152"/>
    <n v="1368"/>
    <n v="0"/>
    <n v="80"/>
    <x v="0"/>
  </r>
  <r>
    <s v="ACC-IND-10035"/>
    <x v="15"/>
    <d v="2019-05-20T00:00:00"/>
    <n v="1850"/>
    <n v="3.75"/>
    <n v="6937.5"/>
    <n v="693.75"/>
    <n v="6243.75"/>
    <n v="0"/>
    <n v="1850"/>
    <x v="0"/>
  </r>
  <r>
    <s v="ACC-IND-10036"/>
    <x v="17"/>
    <d v="2023-07-12T00:00:00"/>
    <n v="5150"/>
    <n v="2.5"/>
    <n v="12875"/>
    <n v="1287.5"/>
    <n v="11587.5"/>
    <n v="0"/>
    <n v="5150"/>
    <x v="0"/>
  </r>
  <r>
    <s v="ACC-IND-10037"/>
    <x v="17"/>
    <d v="2019-09-25T00:00:00"/>
    <n v="3800"/>
    <n v="2.5"/>
    <n v="9500"/>
    <n v="950"/>
    <n v="8550"/>
    <n v="0"/>
    <n v="3800"/>
    <x v="0"/>
  </r>
  <r>
    <s v="ACC-IND-10166"/>
    <x v="7"/>
    <d v="2023-02-22T00:00:00"/>
    <n v="80"/>
    <n v="19"/>
    <n v="1520"/>
    <n v="152"/>
    <n v="1368"/>
    <n v="0"/>
    <n v="80"/>
    <x v="0"/>
  </r>
  <r>
    <s v="ACC-IND-10039"/>
    <x v="11"/>
    <d v="2019-03-20T00:00:00"/>
    <n v="7550"/>
    <n v="1"/>
    <n v="7550"/>
    <n v="755"/>
    <n v="6795"/>
    <n v="0"/>
    <n v="7550"/>
    <x v="0"/>
  </r>
  <r>
    <s v="ACC-IND-10040"/>
    <x v="18"/>
    <d v="2016-10-06T00:00:00"/>
    <n v="9650"/>
    <n v="0.1"/>
    <n v="965"/>
    <n v="96.5"/>
    <n v="868.5"/>
    <n v="0"/>
    <n v="9650"/>
    <x v="0"/>
  </r>
  <r>
    <s v="ACC-IND-10041"/>
    <x v="12"/>
    <d v="2022-05-13T00:00:00"/>
    <n v="1250"/>
    <n v="0"/>
    <n v="0"/>
    <n v="0"/>
    <n v="0"/>
    <n v="0"/>
    <n v="1250"/>
    <x v="1"/>
  </r>
  <r>
    <s v="ACC-IND-10042"/>
    <x v="12"/>
    <d v="2015-09-15T00:00:00"/>
    <n v="5700"/>
    <n v="0"/>
    <n v="0"/>
    <n v="0"/>
    <n v="0"/>
    <n v="0"/>
    <n v="5700"/>
    <x v="1"/>
  </r>
  <r>
    <s v="ACC-IND-10043"/>
    <x v="17"/>
    <d v="2022-10-12T00:00:00"/>
    <n v="9100"/>
    <n v="2.5"/>
    <n v="22750"/>
    <n v="2275"/>
    <n v="20475"/>
    <n v="0"/>
    <n v="9100"/>
    <x v="0"/>
  </r>
  <r>
    <s v="ACC-IND-10044"/>
    <x v="8"/>
    <d v="2021-09-01T00:00:00"/>
    <n v="4400"/>
    <n v="1.2"/>
    <n v="5280"/>
    <n v="528"/>
    <n v="4752"/>
    <n v="0"/>
    <n v="4400"/>
    <x v="0"/>
  </r>
  <r>
    <s v="ACC-IND-10045"/>
    <x v="8"/>
    <d v="2024-10-20T00:00:00"/>
    <n v="4250"/>
    <n v="0.6"/>
    <n v="2550"/>
    <n v="255"/>
    <n v="2295"/>
    <n v="0"/>
    <n v="4250"/>
    <x v="0"/>
  </r>
  <r>
    <s v="ACC-IND-10046"/>
    <x v="8"/>
    <d v="2018-06-27T00:00:00"/>
    <n v="1300"/>
    <n v="1.2"/>
    <n v="1560"/>
    <n v="156"/>
    <n v="1404"/>
    <n v="0"/>
    <n v="1300"/>
    <x v="0"/>
  </r>
  <r>
    <s v="ACC-IND-10047"/>
    <x v="19"/>
    <d v="2016-03-03T00:00:00"/>
    <n v="4400"/>
    <n v="0"/>
    <n v="0"/>
    <n v="0"/>
    <n v="0"/>
    <n v="0"/>
    <n v="4400"/>
    <x v="1"/>
  </r>
  <r>
    <s v="ACC-IND-10048"/>
    <x v="17"/>
    <d v="2019-12-07T00:00:00"/>
    <n v="3850"/>
    <n v="2.5"/>
    <n v="9625"/>
    <n v="962.5"/>
    <n v="8662.5"/>
    <n v="0"/>
    <n v="3850"/>
    <x v="0"/>
  </r>
  <r>
    <s v="ACC-IND-10049"/>
    <x v="20"/>
    <d v="2020-02-15T00:00:00"/>
    <n v="9750"/>
    <n v="0"/>
    <n v="0"/>
    <n v="0"/>
    <n v="0"/>
    <n v="0"/>
    <n v="9750"/>
    <x v="1"/>
  </r>
  <r>
    <s v="ACC-IND-10050"/>
    <x v="21"/>
    <d v="2021-06-20T00:00:00"/>
    <n v="700"/>
    <n v="3.25"/>
    <n v="2275"/>
    <n v="227.5"/>
    <n v="2047.5"/>
    <n v="0"/>
    <n v="700"/>
    <x v="0"/>
  </r>
  <r>
    <s v="ACC-IND-10984"/>
    <x v="7"/>
    <d v="2022-08-19T00:00:00"/>
    <n v="80"/>
    <n v="19"/>
    <n v="1520"/>
    <n v="152"/>
    <n v="1368"/>
    <n v="0"/>
    <n v="80"/>
    <x v="0"/>
  </r>
  <r>
    <s v="ACC-IND-10052"/>
    <x v="17"/>
    <d v="2020-10-23T00:00:00"/>
    <n v="3350"/>
    <n v="2.5"/>
    <n v="8375"/>
    <n v="837.5"/>
    <n v="7537.5"/>
    <n v="0"/>
    <n v="3350"/>
    <x v="0"/>
  </r>
  <r>
    <s v="ACC-IND-10472"/>
    <x v="7"/>
    <d v="2022-04-02T00:00:00"/>
    <n v="80"/>
    <n v="19"/>
    <n v="1520"/>
    <n v="152"/>
    <n v="1368"/>
    <n v="0"/>
    <n v="80"/>
    <x v="0"/>
  </r>
  <r>
    <s v="ACC-IND-10054"/>
    <x v="22"/>
    <d v="2022-09-12T00:00:00"/>
    <n v="250"/>
    <n v="0"/>
    <n v="0"/>
    <n v="0"/>
    <n v="0"/>
    <n v="0"/>
    <n v="250"/>
    <x v="1"/>
  </r>
  <r>
    <s v="ACC-IND-10055"/>
    <x v="19"/>
    <d v="2020-05-03T00:00:00"/>
    <n v="2850"/>
    <n v="0"/>
    <n v="0"/>
    <n v="0"/>
    <n v="0"/>
    <n v="0"/>
    <n v="2850"/>
    <x v="1"/>
  </r>
  <r>
    <s v="ACC-IND-10284"/>
    <x v="7"/>
    <d v="2021-07-11T00:00:00"/>
    <n v="80"/>
    <n v="19"/>
    <n v="1520"/>
    <n v="152"/>
    <n v="1368"/>
    <n v="0"/>
    <n v="80"/>
    <x v="0"/>
  </r>
  <r>
    <s v="ACC-IND-10057"/>
    <x v="23"/>
    <d v="2017-06-07T00:00:00"/>
    <n v="8850"/>
    <n v="7.0000000000000007E-2"/>
    <n v="619.50000000000011"/>
    <n v="61.950000000000017"/>
    <n v="557.55000000000007"/>
    <n v="0"/>
    <n v="8850"/>
    <x v="0"/>
  </r>
  <r>
    <s v="ACC-IND-10058"/>
    <x v="8"/>
    <d v="2018-11-17T00:00:00"/>
    <n v="9400"/>
    <n v="1.2"/>
    <n v="11280"/>
    <n v="1128"/>
    <n v="10152"/>
    <n v="0"/>
    <n v="9400"/>
    <x v="0"/>
  </r>
  <r>
    <s v="ACC-IND-10067"/>
    <x v="7"/>
    <d v="2017-12-24T00:00:00"/>
    <n v="80"/>
    <n v="19"/>
    <n v="1520"/>
    <n v="152"/>
    <n v="1368"/>
    <n v="0"/>
    <n v="80"/>
    <x v="0"/>
  </r>
  <r>
    <s v="ACC-IND-10558"/>
    <x v="7"/>
    <d v="2020-04-05T00:00:00"/>
    <n v="80"/>
    <n v="19"/>
    <n v="1520"/>
    <n v="152"/>
    <n v="1368"/>
    <n v="0"/>
    <n v="80"/>
    <x v="0"/>
  </r>
  <r>
    <s v="ACC-IND-10061"/>
    <x v="24"/>
    <d v="2022-06-03T00:00:00"/>
    <n v="4200"/>
    <n v="0.02"/>
    <n v="84"/>
    <n v="8.4"/>
    <n v="75.599999999999994"/>
    <n v="0"/>
    <n v="4200"/>
    <x v="0"/>
  </r>
  <r>
    <s v="ACC-IND-10062"/>
    <x v="17"/>
    <d v="2018-10-05T00:00:00"/>
    <n v="6000"/>
    <n v="2.5"/>
    <n v="15000"/>
    <n v="1500"/>
    <n v="13500"/>
    <n v="0"/>
    <n v="6000"/>
    <x v="0"/>
  </r>
  <r>
    <s v="ACC-IND-10063"/>
    <x v="10"/>
    <d v="2024-02-28T00:00:00"/>
    <n v="6400"/>
    <n v="1.35"/>
    <n v="8640"/>
    <n v="864"/>
    <n v="7776"/>
    <n v="0"/>
    <n v="6400"/>
    <x v="0"/>
  </r>
  <r>
    <s v="ACC-IND-10053"/>
    <x v="7"/>
    <d v="2021-11-25T00:00:00"/>
    <n v="80"/>
    <n v="19"/>
    <n v="1520"/>
    <n v="152"/>
    <n v="1368"/>
    <n v="0"/>
    <n v="80"/>
    <x v="0"/>
  </r>
  <r>
    <s v="ACC-IND-10065"/>
    <x v="10"/>
    <d v="2017-05-12T00:00:00"/>
    <n v="5350"/>
    <n v="1.35"/>
    <n v="7222.5000000000009"/>
    <n v="722.25000000000011"/>
    <n v="6500.2500000000009"/>
    <n v="0"/>
    <n v="5350"/>
    <x v="0"/>
  </r>
  <r>
    <s v="ACC-IND-10066"/>
    <x v="8"/>
    <d v="2017-01-26T00:00:00"/>
    <n v="1200"/>
    <n v="1.2"/>
    <n v="1440"/>
    <n v="144"/>
    <n v="1296"/>
    <n v="0"/>
    <n v="1200"/>
    <x v="0"/>
  </r>
  <r>
    <s v="ACC-IND-10114"/>
    <x v="7"/>
    <d v="2020-07-08T00:00:00"/>
    <n v="80"/>
    <n v="19"/>
    <n v="1520"/>
    <n v="152"/>
    <n v="1368"/>
    <n v="0"/>
    <n v="80"/>
    <x v="0"/>
  </r>
  <r>
    <s v="ACC-IND-10068"/>
    <x v="23"/>
    <d v="2023-05-06T00:00:00"/>
    <n v="3350"/>
    <n v="7.0000000000000007E-2"/>
    <n v="234.50000000000003"/>
    <n v="23.450000000000003"/>
    <n v="211.05"/>
    <n v="0"/>
    <n v="3350"/>
    <x v="0"/>
  </r>
  <r>
    <s v="ACC-IND-10069"/>
    <x v="15"/>
    <d v="2021-02-06T00:00:00"/>
    <n v="7000"/>
    <n v="3.75"/>
    <n v="26250"/>
    <n v="2625"/>
    <n v="23625"/>
    <n v="0"/>
    <n v="7000"/>
    <x v="0"/>
  </r>
  <r>
    <s v="ACC-IND-10070"/>
    <x v="16"/>
    <d v="2024-06-01T00:00:00"/>
    <n v="4350"/>
    <n v="1.5"/>
    <n v="6525"/>
    <n v="652.5"/>
    <n v="5872.5"/>
    <n v="0"/>
    <n v="4350"/>
    <x v="0"/>
  </r>
  <r>
    <s v="ACC-IND-10071"/>
    <x v="16"/>
    <d v="2023-10-05T00:00:00"/>
    <n v="1150"/>
    <n v="1.5"/>
    <n v="1725"/>
    <n v="172.5"/>
    <n v="1552.5"/>
    <n v="0"/>
    <n v="1150"/>
    <x v="0"/>
  </r>
  <r>
    <s v="ACC-IND-10072"/>
    <x v="12"/>
    <d v="2018-03-28T00:00:00"/>
    <n v="8800"/>
    <n v="0"/>
    <n v="0"/>
    <n v="0"/>
    <n v="0"/>
    <n v="0"/>
    <n v="8800"/>
    <x v="1"/>
  </r>
  <r>
    <s v="ACC-IND-10271"/>
    <x v="7"/>
    <d v="2023-10-18T00:00:00"/>
    <n v="80"/>
    <n v="19"/>
    <n v="1520"/>
    <n v="152"/>
    <n v="1368"/>
    <n v="0"/>
    <n v="80"/>
    <x v="0"/>
  </r>
  <r>
    <s v="ACC-IND-10074"/>
    <x v="0"/>
    <d v="2018-06-16T00:00:00"/>
    <n v="8100"/>
    <n v="1.5000000000000002"/>
    <n v="12150.000000000002"/>
    <n v="1215.0000000000002"/>
    <n v="10935.000000000002"/>
    <n v="0"/>
    <n v="8100"/>
    <x v="0"/>
  </r>
  <r>
    <s v="ACC-IND-10577"/>
    <x v="7"/>
    <d v="2019-10-07T00:00:00"/>
    <n v="80"/>
    <n v="19"/>
    <n v="1520"/>
    <n v="152"/>
    <n v="1368"/>
    <n v="0"/>
    <n v="80"/>
    <x v="0"/>
  </r>
  <r>
    <s v="ACC-IND-10076"/>
    <x v="5"/>
    <d v="2020-01-16T00:00:00"/>
    <n v="2150"/>
    <n v="6.5"/>
    <n v="13975"/>
    <n v="1397.5"/>
    <n v="12577.5"/>
    <n v="0"/>
    <n v="2150"/>
    <x v="0"/>
  </r>
  <r>
    <s v="ACC-IND-10148"/>
    <x v="7"/>
    <d v="2017-09-12T00:00:00"/>
    <n v="80"/>
    <n v="19"/>
    <n v="1520"/>
    <n v="152"/>
    <n v="1368"/>
    <n v="0"/>
    <n v="80"/>
    <x v="0"/>
  </r>
  <r>
    <s v="ACC-IND-10078"/>
    <x v="2"/>
    <d v="2016-09-01T00:00:00"/>
    <n v="3450"/>
    <n v="3"/>
    <n v="10350"/>
    <n v="1035"/>
    <n v="9315"/>
    <n v="0"/>
    <n v="3450"/>
    <x v="0"/>
  </r>
  <r>
    <s v="ACC-IND-10079"/>
    <x v="25"/>
    <d v="2016-04-12T00:00:00"/>
    <n v="5650"/>
    <n v="1"/>
    <n v="5650"/>
    <n v="565"/>
    <n v="5085"/>
    <n v="0"/>
    <n v="5650"/>
    <x v="0"/>
  </r>
  <r>
    <s v="ACC-IND-10603"/>
    <x v="7"/>
    <d v="2021-05-14T00:00:00"/>
    <n v="80"/>
    <n v="19"/>
    <n v="1520"/>
    <n v="152"/>
    <n v="1368"/>
    <n v="0"/>
    <n v="80"/>
    <x v="0"/>
  </r>
  <r>
    <s v="ACC-IND-10916"/>
    <x v="7"/>
    <d v="2019-09-11T00:00:00"/>
    <n v="80"/>
    <n v="19"/>
    <n v="1520"/>
    <n v="152"/>
    <n v="1368"/>
    <n v="0"/>
    <n v="80"/>
    <x v="0"/>
  </r>
  <r>
    <s v="ACC-IND-10675"/>
    <x v="7"/>
    <d v="2017-12-12T00:00:00"/>
    <n v="80"/>
    <n v="19"/>
    <n v="1520"/>
    <n v="152"/>
    <n v="1368"/>
    <n v="0"/>
    <n v="80"/>
    <x v="0"/>
  </r>
  <r>
    <s v="ACC-IND-10083"/>
    <x v="20"/>
    <d v="2021-11-08T00:00:00"/>
    <n v="3750"/>
    <n v="0"/>
    <n v="0"/>
    <n v="0"/>
    <n v="0"/>
    <n v="0"/>
    <n v="3750"/>
    <x v="1"/>
  </r>
  <r>
    <s v="ACC-IND-10084"/>
    <x v="26"/>
    <d v="2024-10-17T00:00:00"/>
    <n v="6150"/>
    <n v="0"/>
    <n v="0"/>
    <n v="0"/>
    <n v="0"/>
    <n v="0"/>
    <n v="6150"/>
    <x v="1"/>
  </r>
  <r>
    <s v="ACC-IND-10085"/>
    <x v="14"/>
    <d v="2022-11-03T00:00:00"/>
    <n v="5500"/>
    <n v="0.2"/>
    <n v="1100"/>
    <n v="110"/>
    <n v="990"/>
    <n v="0"/>
    <n v="5500"/>
    <x v="0"/>
  </r>
  <r>
    <s v="ACC-IND-10086"/>
    <x v="27"/>
    <d v="2019-09-14T00:00:00"/>
    <n v="4150"/>
    <n v="1.5"/>
    <n v="6225"/>
    <n v="622.5"/>
    <n v="5602.5"/>
    <n v="0"/>
    <n v="4150"/>
    <x v="0"/>
  </r>
  <r>
    <s v="ACC-IND-10087"/>
    <x v="28"/>
    <d v="2020-07-18T00:00:00"/>
    <n v="950"/>
    <n v="0"/>
    <n v="0"/>
    <n v="0"/>
    <n v="0"/>
    <n v="1187.5"/>
    <n v="2137.5"/>
    <x v="0"/>
  </r>
  <r>
    <s v="ACC-IND-10088"/>
    <x v="14"/>
    <d v="2015-02-12T00:00:00"/>
    <n v="5550"/>
    <n v="0.2"/>
    <n v="1110"/>
    <n v="111"/>
    <n v="999"/>
    <n v="0"/>
    <n v="5550"/>
    <x v="0"/>
  </r>
  <r>
    <s v="ACC-IND-10089"/>
    <x v="18"/>
    <d v="2015-05-02T00:00:00"/>
    <n v="3200"/>
    <n v="0.1"/>
    <n v="320"/>
    <n v="32"/>
    <n v="288"/>
    <n v="0"/>
    <n v="3200"/>
    <x v="0"/>
  </r>
  <r>
    <s v="ACC-IND-10823"/>
    <x v="7"/>
    <d v="2022-09-14T00:00:00"/>
    <n v="80"/>
    <n v="19"/>
    <n v="1520"/>
    <n v="152"/>
    <n v="1368"/>
    <n v="0"/>
    <n v="80"/>
    <x v="0"/>
  </r>
  <r>
    <s v="ACC-IND-10091"/>
    <x v="16"/>
    <d v="2022-02-02T00:00:00"/>
    <n v="2500"/>
    <n v="1.5"/>
    <n v="3750"/>
    <n v="375"/>
    <n v="3375"/>
    <n v="0"/>
    <n v="2500"/>
    <x v="0"/>
  </r>
  <r>
    <s v="ACC-IND-10092"/>
    <x v="27"/>
    <d v="2018-09-23T00:00:00"/>
    <n v="450"/>
    <n v="1.5"/>
    <n v="675"/>
    <n v="67.5"/>
    <n v="607.5"/>
    <n v="0"/>
    <n v="450"/>
    <x v="0"/>
  </r>
  <r>
    <s v="ACC-IND-10093"/>
    <x v="15"/>
    <d v="2017-08-26T00:00:00"/>
    <n v="9550"/>
    <n v="3.75"/>
    <n v="35812.5"/>
    <n v="3581.25"/>
    <n v="32231.25"/>
    <n v="0"/>
    <n v="9550"/>
    <x v="0"/>
  </r>
  <r>
    <s v="ACC-IND-10094"/>
    <x v="6"/>
    <d v="2021-12-01T00:00:00"/>
    <n v="9600"/>
    <n v="0"/>
    <n v="0"/>
    <n v="0"/>
    <n v="0"/>
    <n v="0"/>
    <n v="9600"/>
    <x v="1"/>
  </r>
  <r>
    <s v="ACC-IND-10095"/>
    <x v="26"/>
    <d v="2020-10-02T00:00:00"/>
    <n v="600"/>
    <n v="0"/>
    <n v="0"/>
    <n v="0"/>
    <n v="0"/>
    <n v="0"/>
    <n v="600"/>
    <x v="1"/>
  </r>
  <r>
    <s v="ACC-IND-10096"/>
    <x v="5"/>
    <d v="2019-07-21T00:00:00"/>
    <n v="4600"/>
    <n v="6.5"/>
    <n v="29900"/>
    <n v="2990"/>
    <n v="26910"/>
    <n v="0"/>
    <n v="4600"/>
    <x v="0"/>
  </r>
  <r>
    <s v="ACC-IND-10097"/>
    <x v="27"/>
    <d v="2019-07-22T00:00:00"/>
    <n v="5900"/>
    <n v="1.5"/>
    <n v="8850"/>
    <n v="885"/>
    <n v="7965"/>
    <n v="0"/>
    <n v="5900"/>
    <x v="0"/>
  </r>
  <r>
    <s v="ACC-IND-10764"/>
    <x v="7"/>
    <d v="2017-10-13T00:00:00"/>
    <n v="80"/>
    <n v="19"/>
    <n v="1520"/>
    <n v="152"/>
    <n v="1368"/>
    <n v="0"/>
    <n v="80"/>
    <x v="0"/>
  </r>
  <r>
    <s v="ACC-IND-10099"/>
    <x v="14"/>
    <d v="2022-01-07T00:00:00"/>
    <n v="9600"/>
    <n v="0.2"/>
    <n v="1920"/>
    <n v="192"/>
    <n v="1728"/>
    <n v="0"/>
    <n v="9600"/>
    <x v="0"/>
  </r>
  <r>
    <s v="ACC-IND-10100"/>
    <x v="0"/>
    <d v="2016-03-26T00:00:00"/>
    <n v="2650"/>
    <n v="1.5000000000000002"/>
    <n v="3975.0000000000005"/>
    <n v="397.50000000000006"/>
    <n v="3577.5000000000005"/>
    <n v="0"/>
    <n v="2650"/>
    <x v="0"/>
  </r>
  <r>
    <s v="ACC-IND-10101"/>
    <x v="29"/>
    <d v="2021-10-22T00:00:00"/>
    <n v="3150"/>
    <n v="2.5"/>
    <n v="7875"/>
    <n v="787.5"/>
    <n v="7087.5"/>
    <n v="0"/>
    <n v="3150"/>
    <x v="0"/>
  </r>
  <r>
    <s v="ACC-IND-10102"/>
    <x v="25"/>
    <d v="2023-03-10T00:00:00"/>
    <n v="5600"/>
    <n v="1"/>
    <n v="5600"/>
    <n v="560"/>
    <n v="5040"/>
    <n v="0"/>
    <n v="5600"/>
    <x v="0"/>
  </r>
  <r>
    <s v="ACC-IND-10723"/>
    <x v="7"/>
    <d v="2020-04-11T00:00:00"/>
    <n v="80"/>
    <n v="19"/>
    <n v="1520"/>
    <n v="152"/>
    <n v="1368"/>
    <n v="0"/>
    <n v="80"/>
    <x v="0"/>
  </r>
  <r>
    <s v="ACC-IND-10104"/>
    <x v="8"/>
    <d v="2021-06-06T00:00:00"/>
    <n v="5050"/>
    <n v="1.2"/>
    <n v="6060"/>
    <n v="606"/>
    <n v="5454"/>
    <n v="0"/>
    <n v="5050"/>
    <x v="0"/>
  </r>
  <r>
    <s v="ACC-IND-10105"/>
    <x v="23"/>
    <d v="2018-06-16T00:00:00"/>
    <n v="6800"/>
    <n v="7.0000000000000007E-2"/>
    <n v="476.00000000000006"/>
    <n v="47.600000000000009"/>
    <n v="428.40000000000003"/>
    <n v="0"/>
    <n v="6800"/>
    <x v="0"/>
  </r>
  <r>
    <s v="ACC-IND-10106"/>
    <x v="1"/>
    <d v="2023-05-04T00:00:00"/>
    <n v="4350"/>
    <n v="0"/>
    <n v="0"/>
    <n v="0"/>
    <n v="0"/>
    <n v="0"/>
    <n v="4350"/>
    <x v="1"/>
  </r>
  <r>
    <s v="ACC-IND-10107"/>
    <x v="13"/>
    <d v="2019-09-13T00:00:00"/>
    <n v="7250"/>
    <n v="0"/>
    <n v="0"/>
    <n v="0"/>
    <n v="0"/>
    <n v="0"/>
    <n v="7250"/>
    <x v="1"/>
  </r>
  <r>
    <s v="ACC-IND-10108"/>
    <x v="27"/>
    <d v="2017-02-28T00:00:00"/>
    <n v="2900"/>
    <n v="1.5"/>
    <n v="4350"/>
    <n v="435"/>
    <n v="3915"/>
    <n v="0"/>
    <n v="2900"/>
    <x v="0"/>
  </r>
  <r>
    <s v="ACC-IND-10075"/>
    <x v="7"/>
    <d v="2017-05-17T00:00:00"/>
    <n v="80"/>
    <n v="19"/>
    <n v="1520"/>
    <n v="152"/>
    <n v="1368"/>
    <n v="0"/>
    <n v="80"/>
    <x v="0"/>
  </r>
  <r>
    <s v="ACC-IND-10110"/>
    <x v="4"/>
    <d v="2019-06-17T00:00:00"/>
    <n v="400"/>
    <n v="3"/>
    <n v="1200"/>
    <n v="120"/>
    <n v="1080"/>
    <n v="0"/>
    <n v="400"/>
    <x v="0"/>
  </r>
  <r>
    <s v="ACC-IND-10586"/>
    <x v="7"/>
    <d v="2017-01-10T00:00:00"/>
    <n v="80"/>
    <n v="19"/>
    <n v="1520"/>
    <n v="152"/>
    <n v="1368"/>
    <n v="0"/>
    <n v="80"/>
    <x v="0"/>
  </r>
  <r>
    <s v="ACC-IND-10112"/>
    <x v="15"/>
    <d v="2021-03-26T00:00:00"/>
    <n v="3250"/>
    <n v="3.75"/>
    <n v="12187.5"/>
    <n v="1218.75"/>
    <n v="10968.75"/>
    <n v="0"/>
    <n v="3250"/>
    <x v="0"/>
  </r>
  <r>
    <s v="ACC-IND-10051"/>
    <x v="7"/>
    <d v="2026-08-07T00:00:00"/>
    <n v="3350"/>
    <n v="0"/>
    <n v="0"/>
    <n v="0"/>
    <n v="0"/>
    <n v="0"/>
    <n v="3350"/>
    <x v="2"/>
  </r>
  <r>
    <s v="ACC-IND-10670"/>
    <x v="7"/>
    <d v="2026-08-07T00:00:00"/>
    <n v="3200"/>
    <n v="0"/>
    <n v="0"/>
    <n v="0"/>
    <n v="0"/>
    <n v="0"/>
    <n v="3200"/>
    <x v="2"/>
  </r>
  <r>
    <s v="ACC-IND-10115"/>
    <x v="21"/>
    <d v="2020-07-14T00:00:00"/>
    <n v="400"/>
    <n v="3.25"/>
    <n v="1300"/>
    <n v="130"/>
    <n v="1170"/>
    <n v="0"/>
    <n v="400"/>
    <x v="0"/>
  </r>
  <r>
    <s v="ACC-IND-10116"/>
    <x v="0"/>
    <d v="2021-02-06T00:00:00"/>
    <n v="3850"/>
    <n v="1.5000000000000002"/>
    <n v="5775.0000000000009"/>
    <n v="577.50000000000011"/>
    <n v="5197.5000000000009"/>
    <n v="0"/>
    <n v="3850"/>
    <x v="0"/>
  </r>
  <r>
    <s v="ACC-IND-10117"/>
    <x v="1"/>
    <d v="2022-06-12T00:00:00"/>
    <n v="3450"/>
    <n v="0"/>
    <n v="0"/>
    <n v="0"/>
    <n v="0"/>
    <n v="0"/>
    <n v="3450"/>
    <x v="1"/>
  </r>
  <r>
    <s v="ACC-IND-10118"/>
    <x v="3"/>
    <d v="2015-11-02T00:00:00"/>
    <n v="4650"/>
    <n v="0"/>
    <n v="0"/>
    <n v="0"/>
    <n v="0"/>
    <n v="0"/>
    <n v="4650"/>
    <x v="1"/>
  </r>
  <r>
    <s v="ACC-IND-10119"/>
    <x v="11"/>
    <d v="2023-03-14T00:00:00"/>
    <n v="8750"/>
    <n v="1"/>
    <n v="8750"/>
    <n v="875"/>
    <n v="7875"/>
    <n v="0"/>
    <n v="8750"/>
    <x v="0"/>
  </r>
  <r>
    <s v="ACC-IND-10517"/>
    <x v="7"/>
    <d v="2026-08-07T00:00:00"/>
    <n v="3200"/>
    <n v="0"/>
    <n v="0"/>
    <n v="0"/>
    <n v="0"/>
    <n v="0"/>
    <n v="3200"/>
    <x v="2"/>
  </r>
  <r>
    <s v="ACC-IND-10121"/>
    <x v="3"/>
    <d v="2021-02-20T00:00:00"/>
    <n v="2650"/>
    <n v="0"/>
    <n v="0"/>
    <n v="0"/>
    <n v="0"/>
    <n v="0"/>
    <n v="2650"/>
    <x v="1"/>
  </r>
  <r>
    <s v="ACC-IND-10122"/>
    <x v="26"/>
    <d v="2024-04-19T00:00:00"/>
    <n v="3700"/>
    <n v="0"/>
    <n v="0"/>
    <n v="0"/>
    <n v="0"/>
    <n v="0"/>
    <n v="3700"/>
    <x v="1"/>
  </r>
  <r>
    <s v="ACC-IND-10123"/>
    <x v="17"/>
    <d v="2017-03-12T00:00:00"/>
    <n v="6250"/>
    <n v="2.5"/>
    <n v="15625"/>
    <n v="1562.5"/>
    <n v="14062.5"/>
    <n v="0"/>
    <n v="6250"/>
    <x v="0"/>
  </r>
  <r>
    <s v="ACC-IND-10992"/>
    <x v="7"/>
    <d v="2026-08-07T00:00:00"/>
    <n v="3150"/>
    <n v="0"/>
    <n v="0"/>
    <n v="0"/>
    <n v="0"/>
    <n v="0"/>
    <n v="3150"/>
    <x v="2"/>
  </r>
  <r>
    <s v="ACC-IND-10125"/>
    <x v="10"/>
    <d v="2018-08-09T00:00:00"/>
    <n v="8450"/>
    <n v="1.35"/>
    <n v="11407.5"/>
    <n v="1140.75"/>
    <n v="10266.75"/>
    <n v="0"/>
    <n v="8450"/>
    <x v="0"/>
  </r>
  <r>
    <s v="ACC-IND-10887"/>
    <x v="7"/>
    <d v="2026-08-07T00:00:00"/>
    <n v="3150"/>
    <n v="0"/>
    <n v="0"/>
    <n v="0"/>
    <n v="0"/>
    <n v="0"/>
    <n v="3150"/>
    <x v="2"/>
  </r>
  <r>
    <s v="ACC-IND-10127"/>
    <x v="5"/>
    <d v="2018-03-25T00:00:00"/>
    <n v="1350"/>
    <n v="6.5"/>
    <n v="8775"/>
    <n v="877.5"/>
    <n v="7897.5"/>
    <n v="0"/>
    <n v="1350"/>
    <x v="0"/>
  </r>
  <r>
    <s v="ACC-IND-10128"/>
    <x v="29"/>
    <d v="2021-09-24T00:00:00"/>
    <n v="1050"/>
    <n v="2.5"/>
    <n v="2625"/>
    <n v="262.5"/>
    <n v="2362.5"/>
    <n v="0"/>
    <n v="1050"/>
    <x v="0"/>
  </r>
  <r>
    <s v="ACC-IND-10129"/>
    <x v="4"/>
    <d v="2017-09-12T00:00:00"/>
    <n v="8400"/>
    <n v="3"/>
    <n v="25200"/>
    <n v="2520"/>
    <n v="22680"/>
    <n v="0"/>
    <n v="8400"/>
    <x v="0"/>
  </r>
  <r>
    <s v="ACC-IND-10130"/>
    <x v="8"/>
    <d v="2017-09-26T00:00:00"/>
    <n v="2250"/>
    <n v="1.2"/>
    <n v="2700"/>
    <n v="270"/>
    <n v="2430"/>
    <n v="0"/>
    <n v="2250"/>
    <x v="0"/>
  </r>
  <r>
    <s v="ACC-IND-10131"/>
    <x v="2"/>
    <d v="2023-07-19T00:00:00"/>
    <n v="4650"/>
    <n v="3"/>
    <n v="13950"/>
    <n v="1395"/>
    <n v="12555"/>
    <n v="0"/>
    <n v="4650"/>
    <x v="0"/>
  </r>
  <r>
    <s v="ACC-IND-10132"/>
    <x v="21"/>
    <d v="2021-11-11T00:00:00"/>
    <n v="600"/>
    <n v="3.25"/>
    <n v="1950"/>
    <n v="195"/>
    <n v="1755"/>
    <n v="0"/>
    <n v="600"/>
    <x v="0"/>
  </r>
  <r>
    <s v="ACC-IND-10133"/>
    <x v="17"/>
    <d v="2018-06-09T00:00:00"/>
    <n v="9750"/>
    <n v="2.5"/>
    <n v="24375"/>
    <n v="2437.5"/>
    <n v="21937.5"/>
    <n v="0"/>
    <n v="9750"/>
    <x v="0"/>
  </r>
  <r>
    <s v="ACC-IND-10134"/>
    <x v="1"/>
    <d v="2021-07-01T00:00:00"/>
    <n v="7250"/>
    <n v="0"/>
    <n v="0"/>
    <n v="0"/>
    <n v="0"/>
    <n v="0"/>
    <n v="7250"/>
    <x v="1"/>
  </r>
  <r>
    <s v="ACC-IND-10135"/>
    <x v="5"/>
    <d v="2017-05-10T00:00:00"/>
    <n v="3600"/>
    <n v="6.5"/>
    <n v="23400"/>
    <n v="2340"/>
    <n v="21060"/>
    <n v="0"/>
    <n v="3600"/>
    <x v="0"/>
  </r>
  <r>
    <s v="ACC-IND-10732"/>
    <x v="7"/>
    <d v="2026-08-07T00:00:00"/>
    <n v="3100"/>
    <n v="0"/>
    <n v="0"/>
    <n v="0"/>
    <n v="0"/>
    <n v="0"/>
    <n v="3100"/>
    <x v="2"/>
  </r>
  <r>
    <s v="ACC-IND-10137"/>
    <x v="30"/>
    <d v="2017-10-22T00:00:00"/>
    <n v="4150"/>
    <n v="8"/>
    <n v="33200"/>
    <n v="3320"/>
    <n v="29880"/>
    <n v="0"/>
    <n v="4150"/>
    <x v="0"/>
  </r>
  <r>
    <s v="ACC-IND-10138"/>
    <x v="16"/>
    <d v="2019-02-28T00:00:00"/>
    <n v="1850"/>
    <n v="1.5"/>
    <n v="2775"/>
    <n v="277.5"/>
    <n v="2497.5"/>
    <n v="0"/>
    <n v="1850"/>
    <x v="0"/>
  </r>
  <r>
    <s v="ACC-IND-10548"/>
    <x v="7"/>
    <d v="2021-07-05T00:00:00"/>
    <n v="110"/>
    <n v="19"/>
    <n v="2090"/>
    <n v="209"/>
    <n v="1881"/>
    <n v="0"/>
    <n v="110"/>
    <x v="0"/>
  </r>
  <r>
    <s v="ACC-IND-10140"/>
    <x v="5"/>
    <d v="2019-07-02T00:00:00"/>
    <n v="4200"/>
    <n v="6.5"/>
    <n v="27300"/>
    <n v="2730"/>
    <n v="24570"/>
    <n v="0"/>
    <n v="4200"/>
    <x v="0"/>
  </r>
  <r>
    <s v="ACC-IND-10141"/>
    <x v="12"/>
    <d v="2018-12-17T00:00:00"/>
    <n v="2800"/>
    <n v="0"/>
    <n v="0"/>
    <n v="0"/>
    <n v="0"/>
    <n v="0"/>
    <n v="2800"/>
    <x v="1"/>
  </r>
  <r>
    <s v="ACC-IND-10142"/>
    <x v="17"/>
    <d v="2015-06-13T00:00:00"/>
    <n v="9550"/>
    <n v="2.5"/>
    <n v="23875"/>
    <n v="2387.5"/>
    <n v="21487.5"/>
    <n v="0"/>
    <n v="9550"/>
    <x v="0"/>
  </r>
  <r>
    <s v="ACC-IND-10143"/>
    <x v="27"/>
    <d v="2020-05-15T00:00:00"/>
    <n v="4050"/>
    <n v="1.5"/>
    <n v="6075"/>
    <n v="607.5"/>
    <n v="5467.5"/>
    <n v="0"/>
    <n v="4050"/>
    <x v="0"/>
  </r>
  <r>
    <s v="ACC-IND-10144"/>
    <x v="2"/>
    <d v="2021-05-16T00:00:00"/>
    <n v="8900"/>
    <n v="3"/>
    <n v="26700"/>
    <n v="2670"/>
    <n v="24030"/>
    <n v="0"/>
    <n v="8900"/>
    <x v="0"/>
  </r>
  <r>
    <s v="ACC-IND-10922"/>
    <x v="7"/>
    <d v="2026-08-01T00:00:00"/>
    <n v="110"/>
    <n v="0"/>
    <n v="0"/>
    <n v="0"/>
    <n v="0"/>
    <n v="0"/>
    <n v="110"/>
    <x v="2"/>
  </r>
  <r>
    <s v="ACC-IND-10146"/>
    <x v="1"/>
    <d v="2017-02-02T00:00:00"/>
    <n v="7000"/>
    <n v="0"/>
    <n v="0"/>
    <n v="0"/>
    <n v="0"/>
    <n v="0"/>
    <n v="7000"/>
    <x v="1"/>
  </r>
  <r>
    <s v="ACC-IND-10699"/>
    <x v="7"/>
    <d v="2021-12-10T00:00:00"/>
    <n v="110"/>
    <n v="19"/>
    <n v="2090"/>
    <n v="209"/>
    <n v="1881"/>
    <n v="0"/>
    <n v="110"/>
    <x v="0"/>
  </r>
  <r>
    <s v="ACC-IND-10520"/>
    <x v="7"/>
    <d v="2021-09-10T00:00:00"/>
    <n v="110"/>
    <n v="19"/>
    <n v="2090"/>
    <n v="209"/>
    <n v="1881"/>
    <n v="0"/>
    <n v="110"/>
    <x v="0"/>
  </r>
  <r>
    <s v="ACC-IND-10149"/>
    <x v="11"/>
    <d v="2016-05-18T00:00:00"/>
    <n v="5550"/>
    <n v="1"/>
    <n v="5550"/>
    <n v="555"/>
    <n v="4995"/>
    <n v="0"/>
    <n v="5550"/>
    <x v="0"/>
  </r>
  <r>
    <s v="ACC-IND-10150"/>
    <x v="31"/>
    <d v="2018-01-22T00:00:00"/>
    <n v="9300"/>
    <n v="0"/>
    <n v="0"/>
    <n v="0"/>
    <n v="0"/>
    <n v="0"/>
    <n v="9300"/>
    <x v="1"/>
  </r>
  <r>
    <s v="ACC-IND-10151"/>
    <x v="31"/>
    <d v="2024-03-12T00:00:00"/>
    <n v="3700"/>
    <n v="0"/>
    <n v="0"/>
    <n v="0"/>
    <n v="0"/>
    <n v="0"/>
    <n v="3700"/>
    <x v="1"/>
  </r>
  <r>
    <s v="ACC-IND-10152"/>
    <x v="5"/>
    <d v="2020-07-04T00:00:00"/>
    <n v="9050"/>
    <n v="6.5"/>
    <n v="58825"/>
    <n v="5882.5"/>
    <n v="52942.5"/>
    <n v="0"/>
    <n v="9050"/>
    <x v="0"/>
  </r>
  <r>
    <s v="ACC-IND-10153"/>
    <x v="1"/>
    <d v="2022-03-27T00:00:00"/>
    <n v="4750"/>
    <n v="0"/>
    <n v="0"/>
    <n v="0"/>
    <n v="0"/>
    <n v="0"/>
    <n v="4750"/>
    <x v="1"/>
  </r>
  <r>
    <s v="ACC-IND-10154"/>
    <x v="3"/>
    <d v="2017-08-16T00:00:00"/>
    <n v="4700"/>
    <n v="0"/>
    <n v="0"/>
    <n v="0"/>
    <n v="0"/>
    <n v="0"/>
    <n v="4700"/>
    <x v="1"/>
  </r>
  <r>
    <s v="ACC-IND-10155"/>
    <x v="8"/>
    <d v="2015-02-03T00:00:00"/>
    <n v="600"/>
    <n v="1.2"/>
    <n v="720"/>
    <n v="72"/>
    <n v="648"/>
    <n v="0"/>
    <n v="600"/>
    <x v="0"/>
  </r>
  <r>
    <s v="ACC-IND-10156"/>
    <x v="17"/>
    <d v="2017-05-25T00:00:00"/>
    <n v="4900"/>
    <n v="2.5"/>
    <n v="12250"/>
    <n v="1225"/>
    <n v="11025"/>
    <n v="0"/>
    <n v="4900"/>
    <x v="0"/>
  </r>
  <r>
    <s v="ACC-IND-10157"/>
    <x v="15"/>
    <d v="2015-02-27T00:00:00"/>
    <n v="8400"/>
    <n v="3.75"/>
    <n v="31500"/>
    <n v="3150"/>
    <n v="28350"/>
    <n v="0"/>
    <n v="8400"/>
    <x v="0"/>
  </r>
  <r>
    <s v="ACC-IND-10158"/>
    <x v="28"/>
    <d v="2017-08-18T00:00:00"/>
    <n v="9800"/>
    <n v="0"/>
    <n v="0"/>
    <n v="0"/>
    <n v="0"/>
    <n v="12250"/>
    <n v="22050"/>
    <x v="0"/>
  </r>
  <r>
    <s v="ACC-IND-11001"/>
    <x v="7"/>
    <d v="2022-05-13T00:00:00"/>
    <n v="110"/>
    <n v="19"/>
    <n v="2090"/>
    <n v="209"/>
    <n v="1881"/>
    <n v="0"/>
    <n v="110"/>
    <x v="0"/>
  </r>
  <r>
    <s v="ACC-IND-10327"/>
    <x v="7"/>
    <d v="2015-03-01T00:00:00"/>
    <n v="110"/>
    <n v="19"/>
    <n v="2090"/>
    <n v="209"/>
    <n v="1881"/>
    <n v="0"/>
    <n v="110"/>
    <x v="0"/>
  </r>
  <r>
    <s v="ACC-IND-10161"/>
    <x v="11"/>
    <d v="2020-06-02T00:00:00"/>
    <n v="450"/>
    <n v="1"/>
    <n v="450"/>
    <n v="45"/>
    <n v="405"/>
    <n v="0"/>
    <n v="450"/>
    <x v="0"/>
  </r>
  <r>
    <s v="ACC-IND-10162"/>
    <x v="10"/>
    <d v="2018-08-06T00:00:00"/>
    <n v="4400"/>
    <n v="1.35"/>
    <n v="5940"/>
    <n v="594"/>
    <n v="5346"/>
    <n v="0"/>
    <n v="4400"/>
    <x v="0"/>
  </r>
  <r>
    <s v="ACC-IND-10163"/>
    <x v="21"/>
    <d v="2017-01-23T00:00:00"/>
    <n v="7200"/>
    <n v="3.25"/>
    <n v="23400"/>
    <n v="2340"/>
    <n v="21060"/>
    <n v="0"/>
    <n v="7200"/>
    <x v="0"/>
  </r>
  <r>
    <s v="ACC-IND-10164"/>
    <x v="0"/>
    <d v="2023-12-08T00:00:00"/>
    <n v="4700"/>
    <n v="1.5000000000000002"/>
    <n v="7050.0000000000009"/>
    <n v="705.00000000000011"/>
    <n v="6345.0000000000009"/>
    <n v="0"/>
    <n v="4700"/>
    <x v="0"/>
  </r>
  <r>
    <s v="ACC-IND-10165"/>
    <x v="5"/>
    <d v="2020-11-17T00:00:00"/>
    <n v="4300"/>
    <n v="6.5"/>
    <n v="27950"/>
    <n v="2795"/>
    <n v="25155"/>
    <n v="0"/>
    <n v="4300"/>
    <x v="0"/>
  </r>
  <r>
    <s v="ACC-IND-10627"/>
    <x v="7"/>
    <d v="2026-08-01T00:00:00"/>
    <n v="110"/>
    <n v="0"/>
    <n v="0"/>
    <n v="0"/>
    <n v="0"/>
    <n v="0"/>
    <n v="110"/>
    <x v="2"/>
  </r>
  <r>
    <s v="ACC-IND-10167"/>
    <x v="29"/>
    <d v="2022-10-14T00:00:00"/>
    <n v="7450"/>
    <n v="2.5"/>
    <n v="18625"/>
    <n v="1862.5"/>
    <n v="16762.5"/>
    <n v="0"/>
    <n v="7450"/>
    <x v="0"/>
  </r>
  <r>
    <s v="ACC-IND-10168"/>
    <x v="5"/>
    <d v="2018-06-26T00:00:00"/>
    <n v="8750"/>
    <n v="6.5"/>
    <n v="56875"/>
    <n v="5687.5"/>
    <n v="51187.5"/>
    <n v="0"/>
    <n v="8750"/>
    <x v="0"/>
  </r>
  <r>
    <s v="ACC-IND-10169"/>
    <x v="2"/>
    <d v="2020-12-13T00:00:00"/>
    <n v="7850"/>
    <n v="3"/>
    <n v="23550"/>
    <n v="2355"/>
    <n v="21195"/>
    <n v="0"/>
    <n v="7850"/>
    <x v="0"/>
  </r>
  <r>
    <s v="ACC-IND-10170"/>
    <x v="11"/>
    <d v="2023-07-25T00:00:00"/>
    <n v="8150"/>
    <n v="1"/>
    <n v="8150"/>
    <n v="815"/>
    <n v="7335"/>
    <n v="0"/>
    <n v="8150"/>
    <x v="0"/>
  </r>
  <r>
    <s v="ACC-IND-10171"/>
    <x v="5"/>
    <d v="2015-10-07T00:00:00"/>
    <n v="2800"/>
    <n v="6.5"/>
    <n v="18200"/>
    <n v="1820"/>
    <n v="16380"/>
    <n v="0"/>
    <n v="2800"/>
    <x v="0"/>
  </r>
  <r>
    <s v="ACC-IND-10172"/>
    <x v="22"/>
    <d v="2024-04-16T00:00:00"/>
    <n v="3500"/>
    <n v="0"/>
    <n v="0"/>
    <n v="0"/>
    <n v="0"/>
    <n v="0"/>
    <n v="3500"/>
    <x v="1"/>
  </r>
  <r>
    <s v="ACC-IND-10942"/>
    <x v="7"/>
    <d v="2021-08-08T00:00:00"/>
    <n v="110"/>
    <n v="19"/>
    <n v="2090"/>
    <n v="209"/>
    <n v="1881"/>
    <n v="0"/>
    <n v="110"/>
    <x v="0"/>
  </r>
  <r>
    <s v="ACC-IND-10174"/>
    <x v="26"/>
    <d v="2021-06-09T00:00:00"/>
    <n v="8400"/>
    <n v="0"/>
    <n v="0"/>
    <n v="0"/>
    <n v="0"/>
    <n v="0"/>
    <n v="8400"/>
    <x v="1"/>
  </r>
  <r>
    <s v="ACC-IND-10175"/>
    <x v="15"/>
    <d v="2018-10-23T00:00:00"/>
    <n v="6150"/>
    <n v="3.75"/>
    <n v="23062.5"/>
    <n v="2306.25"/>
    <n v="20756.25"/>
    <n v="0"/>
    <n v="6150"/>
    <x v="0"/>
  </r>
  <r>
    <s v="ACC-IND-10176"/>
    <x v="14"/>
    <d v="2021-07-02T00:00:00"/>
    <n v="8500"/>
    <n v="0.2"/>
    <n v="1700"/>
    <n v="170"/>
    <n v="1530"/>
    <n v="0"/>
    <n v="8500"/>
    <x v="0"/>
  </r>
  <r>
    <s v="ACC-IND-10177"/>
    <x v="12"/>
    <d v="2018-06-12T00:00:00"/>
    <n v="8650"/>
    <n v="0"/>
    <n v="0"/>
    <n v="0"/>
    <n v="0"/>
    <n v="0"/>
    <n v="8650"/>
    <x v="1"/>
  </r>
  <r>
    <s v="ACC-IND-10178"/>
    <x v="22"/>
    <d v="2017-01-22T00:00:00"/>
    <n v="450"/>
    <n v="0"/>
    <n v="0"/>
    <n v="0"/>
    <n v="0"/>
    <n v="0"/>
    <n v="450"/>
    <x v="1"/>
  </r>
  <r>
    <s v="ACC-IND-10179"/>
    <x v="1"/>
    <d v="2017-11-06T00:00:00"/>
    <n v="2350"/>
    <n v="0"/>
    <n v="0"/>
    <n v="0"/>
    <n v="0"/>
    <n v="0"/>
    <n v="2350"/>
    <x v="1"/>
  </r>
  <r>
    <s v="ACC-IND-10180"/>
    <x v="17"/>
    <d v="2021-02-27T00:00:00"/>
    <n v="3900"/>
    <n v="2.5"/>
    <n v="9750"/>
    <n v="975"/>
    <n v="8775"/>
    <n v="0"/>
    <n v="3900"/>
    <x v="0"/>
  </r>
  <r>
    <s v="ACC-IND-10181"/>
    <x v="31"/>
    <d v="2023-06-12T00:00:00"/>
    <n v="9400"/>
    <n v="0"/>
    <n v="0"/>
    <n v="0"/>
    <n v="0"/>
    <n v="0"/>
    <n v="9400"/>
    <x v="1"/>
  </r>
  <r>
    <s v="ACC-IND-10182"/>
    <x v="15"/>
    <d v="2015-10-14T00:00:00"/>
    <n v="5550"/>
    <n v="3.75"/>
    <n v="20812.5"/>
    <n v="2081.25"/>
    <n v="18731.25"/>
    <n v="0"/>
    <n v="5550"/>
    <x v="0"/>
  </r>
  <r>
    <s v="ACC-IND-10183"/>
    <x v="6"/>
    <d v="2022-03-06T00:00:00"/>
    <n v="3300"/>
    <n v="0"/>
    <n v="0"/>
    <n v="0"/>
    <n v="0"/>
    <n v="0"/>
    <n v="3300"/>
    <x v="1"/>
  </r>
  <r>
    <s v="ACC-IND-10184"/>
    <x v="4"/>
    <d v="2016-06-24T00:00:00"/>
    <n v="5800"/>
    <n v="3"/>
    <n v="17400"/>
    <n v="1740"/>
    <n v="15660"/>
    <n v="0"/>
    <n v="5800"/>
    <x v="0"/>
  </r>
  <r>
    <s v="ACC-IND-10583"/>
    <x v="7"/>
    <d v="2023-12-27T00:00:00"/>
    <n v="110"/>
    <n v="19"/>
    <n v="2090"/>
    <n v="209"/>
    <n v="1881"/>
    <n v="0"/>
    <n v="110"/>
    <x v="0"/>
  </r>
  <r>
    <s v="ACC-IND-10186"/>
    <x v="2"/>
    <d v="2016-11-11T00:00:00"/>
    <n v="8200"/>
    <n v="3"/>
    <n v="24600"/>
    <n v="2460"/>
    <n v="22140"/>
    <n v="0"/>
    <n v="8200"/>
    <x v="0"/>
  </r>
  <r>
    <s v="ACC-IND-10187"/>
    <x v="8"/>
    <d v="2015-09-24T00:00:00"/>
    <n v="3000"/>
    <n v="1.2"/>
    <n v="3600"/>
    <n v="360"/>
    <n v="3240"/>
    <n v="0"/>
    <n v="3000"/>
    <x v="0"/>
  </r>
  <r>
    <s v="ACC-IND-10303"/>
    <x v="7"/>
    <d v="2015-03-02T00:00:00"/>
    <n v="110"/>
    <n v="19"/>
    <n v="2090"/>
    <n v="209"/>
    <n v="1881"/>
    <n v="0"/>
    <n v="110"/>
    <x v="0"/>
  </r>
  <r>
    <s v="ACC-IND-10189"/>
    <x v="0"/>
    <d v="2024-12-20T00:00:00"/>
    <n v="6950"/>
    <n v="0.90000000000000013"/>
    <n v="6255.0000000000009"/>
    <n v="625.50000000000011"/>
    <n v="5629.5000000000009"/>
    <n v="0"/>
    <n v="6950"/>
    <x v="0"/>
  </r>
  <r>
    <s v="ACC-IND-10190"/>
    <x v="27"/>
    <d v="2024-09-25T00:00:00"/>
    <n v="1350"/>
    <n v="1.5"/>
    <n v="2025"/>
    <n v="202.5"/>
    <n v="1822.5"/>
    <n v="0"/>
    <n v="1350"/>
    <x v="0"/>
  </r>
  <r>
    <s v="ACC-IND-10191"/>
    <x v="8"/>
    <d v="2015-04-26T00:00:00"/>
    <n v="2450"/>
    <n v="1.2"/>
    <n v="2940"/>
    <n v="294"/>
    <n v="2646"/>
    <n v="0"/>
    <n v="2450"/>
    <x v="0"/>
  </r>
  <r>
    <s v="ACC-IND-10192"/>
    <x v="0"/>
    <d v="2015-10-23T00:00:00"/>
    <n v="2100"/>
    <n v="1.5000000000000002"/>
    <n v="3150.0000000000005"/>
    <n v="315.00000000000006"/>
    <n v="2835.0000000000005"/>
    <n v="0"/>
    <n v="2100"/>
    <x v="0"/>
  </r>
  <r>
    <s v="ACC-IND-10193"/>
    <x v="1"/>
    <d v="2015-08-13T00:00:00"/>
    <n v="9500"/>
    <n v="0"/>
    <n v="0"/>
    <n v="0"/>
    <n v="0"/>
    <n v="0"/>
    <n v="9500"/>
    <x v="1"/>
  </r>
  <r>
    <s v="ACC-IND-10194"/>
    <x v="3"/>
    <d v="2021-03-09T00:00:00"/>
    <n v="1000"/>
    <n v="0"/>
    <n v="0"/>
    <n v="0"/>
    <n v="0"/>
    <n v="0"/>
    <n v="1000"/>
    <x v="1"/>
  </r>
  <r>
    <s v="ACC-IND-10195"/>
    <x v="22"/>
    <d v="2022-06-13T00:00:00"/>
    <n v="4700"/>
    <n v="0"/>
    <n v="0"/>
    <n v="0"/>
    <n v="0"/>
    <n v="0"/>
    <n v="4700"/>
    <x v="1"/>
  </r>
  <r>
    <s v="ACC-IND-10196"/>
    <x v="2"/>
    <d v="2022-05-11T00:00:00"/>
    <n v="2450"/>
    <n v="3"/>
    <n v="7350"/>
    <n v="735"/>
    <n v="6615"/>
    <n v="0"/>
    <n v="2450"/>
    <x v="0"/>
  </r>
  <r>
    <s v="ACC-IND-10197"/>
    <x v="4"/>
    <d v="2022-10-10T00:00:00"/>
    <n v="4250"/>
    <n v="3"/>
    <n v="12750"/>
    <n v="1275"/>
    <n v="11475"/>
    <n v="0"/>
    <n v="4250"/>
    <x v="0"/>
  </r>
  <r>
    <s v="ACC-IND-10572"/>
    <x v="7"/>
    <d v="2026-07-31T00:00:00"/>
    <n v="110"/>
    <n v="0"/>
    <n v="0"/>
    <n v="0"/>
    <n v="0"/>
    <n v="0"/>
    <n v="110"/>
    <x v="2"/>
  </r>
  <r>
    <s v="ACC-IND-10199"/>
    <x v="14"/>
    <d v="2022-08-10T00:00:00"/>
    <n v="9700"/>
    <n v="0.2"/>
    <n v="1940"/>
    <n v="194"/>
    <n v="1746"/>
    <n v="0"/>
    <n v="9700"/>
    <x v="0"/>
  </r>
  <r>
    <s v="ACC-IND-10353"/>
    <x v="7"/>
    <d v="2026-08-01T00:00:00"/>
    <n v="110"/>
    <n v="0"/>
    <n v="0"/>
    <n v="0"/>
    <n v="0"/>
    <n v="0"/>
    <n v="110"/>
    <x v="2"/>
  </r>
  <r>
    <s v="ACC-IND-10201"/>
    <x v="0"/>
    <d v="2023-10-10T00:00:00"/>
    <n v="5450"/>
    <n v="1.5000000000000002"/>
    <n v="8175.0000000000009"/>
    <n v="817.50000000000011"/>
    <n v="7357.5000000000009"/>
    <n v="0"/>
    <n v="5450"/>
    <x v="0"/>
  </r>
  <r>
    <s v="ACC-IND-10202"/>
    <x v="15"/>
    <d v="2022-06-16T00:00:00"/>
    <n v="800"/>
    <n v="3.75"/>
    <n v="3000"/>
    <n v="300"/>
    <n v="2700"/>
    <n v="0"/>
    <n v="800"/>
    <x v="0"/>
  </r>
  <r>
    <s v="ACC-IND-10203"/>
    <x v="22"/>
    <d v="2024-01-19T00:00:00"/>
    <n v="9600"/>
    <n v="0"/>
    <n v="0"/>
    <n v="0"/>
    <n v="0"/>
    <n v="0"/>
    <n v="9600"/>
    <x v="1"/>
  </r>
  <r>
    <s v="ACC-IND-10204"/>
    <x v="26"/>
    <d v="2019-11-05T00:00:00"/>
    <n v="8350"/>
    <n v="0"/>
    <n v="0"/>
    <n v="0"/>
    <n v="0"/>
    <n v="0"/>
    <n v="8350"/>
    <x v="1"/>
  </r>
  <r>
    <s v="ACC-IND-10205"/>
    <x v="0"/>
    <d v="2015-11-14T00:00:00"/>
    <n v="6800"/>
    <n v="1.5000000000000002"/>
    <n v="10200.000000000002"/>
    <n v="1020.0000000000002"/>
    <n v="9180.0000000000018"/>
    <n v="0"/>
    <n v="6800"/>
    <x v="0"/>
  </r>
  <r>
    <s v="ACC-IND-10206"/>
    <x v="12"/>
    <d v="2024-03-26T00:00:00"/>
    <n v="4550"/>
    <n v="0"/>
    <n v="0"/>
    <n v="0"/>
    <n v="0"/>
    <n v="0"/>
    <n v="4550"/>
    <x v="1"/>
  </r>
  <r>
    <s v="ACC-IND-10207"/>
    <x v="14"/>
    <d v="2022-11-08T00:00:00"/>
    <n v="3550"/>
    <n v="0.2"/>
    <n v="710"/>
    <n v="71"/>
    <n v="639"/>
    <n v="0"/>
    <n v="3550"/>
    <x v="0"/>
  </r>
  <r>
    <s v="ACC-IND-10208"/>
    <x v="24"/>
    <d v="2019-08-06T00:00:00"/>
    <n v="9500"/>
    <n v="0.02"/>
    <n v="190"/>
    <n v="19"/>
    <n v="171"/>
    <n v="0"/>
    <n v="9500"/>
    <x v="0"/>
  </r>
  <r>
    <s v="ACC-IND-10209"/>
    <x v="6"/>
    <d v="2018-08-11T00:00:00"/>
    <n v="6500"/>
    <n v="0"/>
    <n v="0"/>
    <n v="0"/>
    <n v="0"/>
    <n v="0"/>
    <n v="6500"/>
    <x v="1"/>
  </r>
  <r>
    <s v="ACC-IND-10210"/>
    <x v="17"/>
    <d v="2016-01-07T00:00:00"/>
    <n v="2050"/>
    <n v="2.5"/>
    <n v="5125"/>
    <n v="512.5"/>
    <n v="4612.5"/>
    <n v="0"/>
    <n v="2050"/>
    <x v="0"/>
  </r>
  <r>
    <s v="ACC-IND-10211"/>
    <x v="27"/>
    <d v="2021-11-08T00:00:00"/>
    <n v="2650"/>
    <n v="1.5"/>
    <n v="3975"/>
    <n v="397.5"/>
    <n v="3577.5"/>
    <n v="0"/>
    <n v="2650"/>
    <x v="0"/>
  </r>
  <r>
    <s v="ACC-IND-10212"/>
    <x v="10"/>
    <d v="2018-02-16T00:00:00"/>
    <n v="1300"/>
    <n v="1.35"/>
    <n v="1755.0000000000002"/>
    <n v="175.50000000000003"/>
    <n v="1579.5000000000002"/>
    <n v="0"/>
    <n v="1300"/>
    <x v="0"/>
  </r>
  <r>
    <s v="ACC-IND-10213"/>
    <x v="2"/>
    <d v="2021-06-16T00:00:00"/>
    <n v="2400"/>
    <n v="3"/>
    <n v="7200"/>
    <n v="720"/>
    <n v="6480"/>
    <n v="0"/>
    <n v="2400"/>
    <x v="0"/>
  </r>
  <r>
    <s v="ACC-IND-10214"/>
    <x v="26"/>
    <d v="2024-01-24T00:00:00"/>
    <n v="900"/>
    <n v="0"/>
    <n v="0"/>
    <n v="0"/>
    <n v="0"/>
    <n v="0"/>
    <n v="900"/>
    <x v="1"/>
  </r>
  <r>
    <s v="ACC-IND-10215"/>
    <x v="16"/>
    <d v="2024-01-17T00:00:00"/>
    <n v="5050"/>
    <n v="1.5"/>
    <n v="7575"/>
    <n v="757.5"/>
    <n v="6817.5"/>
    <n v="0"/>
    <n v="5050"/>
    <x v="0"/>
  </r>
  <r>
    <s v="ACC-IND-10936"/>
    <x v="7"/>
    <d v="2017-03-21T00:00:00"/>
    <n v="110"/>
    <n v="19"/>
    <n v="2090"/>
    <n v="209"/>
    <n v="1881"/>
    <n v="0"/>
    <n v="110"/>
    <x v="0"/>
  </r>
  <r>
    <s v="ACC-IND-10217"/>
    <x v="0"/>
    <d v="2019-12-04T00:00:00"/>
    <n v="6800"/>
    <n v="1.5000000000000002"/>
    <n v="10200.000000000002"/>
    <n v="1020.0000000000002"/>
    <n v="9180.0000000000018"/>
    <n v="0"/>
    <n v="6800"/>
    <x v="0"/>
  </r>
  <r>
    <s v="ACC-IND-10218"/>
    <x v="15"/>
    <d v="2019-12-24T00:00:00"/>
    <n v="1800"/>
    <n v="3.75"/>
    <n v="6750"/>
    <n v="675"/>
    <n v="6075"/>
    <n v="0"/>
    <n v="1800"/>
    <x v="0"/>
  </r>
  <r>
    <s v="ACC-IND-10219"/>
    <x v="8"/>
    <d v="2023-09-12T00:00:00"/>
    <n v="1050"/>
    <n v="1.2"/>
    <n v="1260"/>
    <n v="126"/>
    <n v="1134"/>
    <n v="0"/>
    <n v="1050"/>
    <x v="0"/>
  </r>
  <r>
    <s v="ACC-IND-10251"/>
    <x v="7"/>
    <d v="2018-11-15T00:00:00"/>
    <n v="110"/>
    <n v="19"/>
    <n v="2090"/>
    <n v="209"/>
    <n v="1881"/>
    <n v="0"/>
    <n v="110"/>
    <x v="0"/>
  </r>
  <r>
    <s v="ACC-IND-10221"/>
    <x v="29"/>
    <d v="2023-12-06T00:00:00"/>
    <n v="1550"/>
    <n v="2.5"/>
    <n v="3875"/>
    <n v="387.5"/>
    <n v="3487.5"/>
    <n v="0"/>
    <n v="1550"/>
    <x v="0"/>
  </r>
  <r>
    <s v="ACC-IND-10222"/>
    <x v="24"/>
    <d v="2018-11-22T00:00:00"/>
    <n v="3900"/>
    <n v="0.02"/>
    <n v="78"/>
    <n v="7.8000000000000007"/>
    <n v="70.2"/>
    <n v="0"/>
    <n v="3900"/>
    <x v="0"/>
  </r>
  <r>
    <s v="ACC-IND-10223"/>
    <x v="16"/>
    <d v="2020-06-17T00:00:00"/>
    <n v="7800"/>
    <n v="1.5"/>
    <n v="11700"/>
    <n v="1170"/>
    <n v="10530"/>
    <n v="0"/>
    <n v="7800"/>
    <x v="0"/>
  </r>
  <r>
    <s v="ACC-IND-10224"/>
    <x v="27"/>
    <d v="2023-04-05T00:00:00"/>
    <n v="1700"/>
    <n v="1.5"/>
    <n v="2550"/>
    <n v="255"/>
    <n v="2295"/>
    <n v="0"/>
    <n v="1700"/>
    <x v="0"/>
  </r>
  <r>
    <s v="ACC-IND-10225"/>
    <x v="27"/>
    <d v="2020-12-12T00:00:00"/>
    <n v="3050"/>
    <n v="1.5"/>
    <n v="4575"/>
    <n v="457.5"/>
    <n v="4117.5"/>
    <n v="0"/>
    <n v="3050"/>
    <x v="0"/>
  </r>
  <r>
    <s v="ACC-IND-10782"/>
    <x v="7"/>
    <d v="2016-06-17T00:00:00"/>
    <n v="110"/>
    <n v="19"/>
    <n v="2090"/>
    <n v="209"/>
    <n v="1881"/>
    <n v="0"/>
    <n v="110"/>
    <x v="0"/>
  </r>
  <r>
    <s v="ACC-IND-10227"/>
    <x v="18"/>
    <d v="2024-05-11T00:00:00"/>
    <n v="4650"/>
    <n v="0.1"/>
    <n v="465"/>
    <n v="46.5"/>
    <n v="418.5"/>
    <n v="0"/>
    <n v="4650"/>
    <x v="0"/>
  </r>
  <r>
    <s v="ACC-IND-10228"/>
    <x v="4"/>
    <d v="2023-10-13T00:00:00"/>
    <n v="1350"/>
    <n v="3"/>
    <n v="4050"/>
    <n v="405"/>
    <n v="3645"/>
    <n v="0"/>
    <n v="1350"/>
    <x v="0"/>
  </r>
  <r>
    <s v="ACC-IND-10229"/>
    <x v="10"/>
    <d v="2024-01-10T00:00:00"/>
    <n v="7200"/>
    <n v="1.35"/>
    <n v="9720"/>
    <n v="972"/>
    <n v="8748"/>
    <n v="0"/>
    <n v="7200"/>
    <x v="0"/>
  </r>
  <r>
    <s v="ACC-IND-10230"/>
    <x v="32"/>
    <d v="2016-04-14T00:00:00"/>
    <n v="9300"/>
    <n v="0"/>
    <n v="0"/>
    <n v="0"/>
    <n v="0"/>
    <n v="0"/>
    <n v="9300"/>
    <x v="1"/>
  </r>
  <r>
    <s v="ACC-IND-10231"/>
    <x v="1"/>
    <d v="2015-08-20T00:00:00"/>
    <n v="7850"/>
    <n v="0"/>
    <n v="0"/>
    <n v="0"/>
    <n v="0"/>
    <n v="0"/>
    <n v="7850"/>
    <x v="1"/>
  </r>
  <r>
    <s v="ACC-IND-10232"/>
    <x v="10"/>
    <d v="2016-12-10T00:00:00"/>
    <n v="750"/>
    <n v="1.35"/>
    <n v="1012.5000000000001"/>
    <n v="101.25000000000001"/>
    <n v="911.25000000000011"/>
    <n v="0"/>
    <n v="750"/>
    <x v="0"/>
  </r>
  <r>
    <s v="ACC-IND-10233"/>
    <x v="4"/>
    <d v="2016-11-05T00:00:00"/>
    <n v="4450"/>
    <n v="3"/>
    <n v="13350"/>
    <n v="1335"/>
    <n v="12015"/>
    <n v="0"/>
    <n v="4450"/>
    <x v="0"/>
  </r>
  <r>
    <s v="ACC-IND-10234"/>
    <x v="17"/>
    <d v="2024-06-22T00:00:00"/>
    <n v="7200"/>
    <n v="1"/>
    <n v="7200"/>
    <n v="720"/>
    <n v="6480"/>
    <n v="0"/>
    <n v="7200"/>
    <x v="0"/>
  </r>
  <r>
    <s v="ACC-IND-10235"/>
    <x v="5"/>
    <d v="2021-12-22T00:00:00"/>
    <n v="5750"/>
    <n v="6.5"/>
    <n v="37375"/>
    <n v="3737.5"/>
    <n v="33637.5"/>
    <n v="0"/>
    <n v="5750"/>
    <x v="0"/>
  </r>
  <r>
    <s v="ACC-IND-10236"/>
    <x v="8"/>
    <d v="2022-03-20T00:00:00"/>
    <n v="6150"/>
    <n v="1.2"/>
    <n v="7380"/>
    <n v="738"/>
    <n v="6642"/>
    <n v="0"/>
    <n v="6150"/>
    <x v="0"/>
  </r>
  <r>
    <s v="ACC-IND-10237"/>
    <x v="4"/>
    <d v="2023-08-02T00:00:00"/>
    <n v="4750"/>
    <n v="3"/>
    <n v="14250"/>
    <n v="1425"/>
    <n v="12825"/>
    <n v="0"/>
    <n v="4750"/>
    <x v="0"/>
  </r>
  <r>
    <s v="ACC-IND-10238"/>
    <x v="1"/>
    <d v="2022-06-01T00:00:00"/>
    <n v="5400"/>
    <n v="0"/>
    <n v="0"/>
    <n v="0"/>
    <n v="0"/>
    <n v="0"/>
    <n v="5400"/>
    <x v="1"/>
  </r>
  <r>
    <s v="ACC-IND-10239"/>
    <x v="16"/>
    <d v="2018-04-18T00:00:00"/>
    <n v="3750"/>
    <n v="1.5"/>
    <n v="5625"/>
    <n v="562.5"/>
    <n v="5062.5"/>
    <n v="0"/>
    <n v="3750"/>
    <x v="0"/>
  </r>
  <r>
    <s v="ACC-IND-10240"/>
    <x v="15"/>
    <d v="2021-02-20T00:00:00"/>
    <n v="9500"/>
    <n v="3.75"/>
    <n v="35625"/>
    <n v="3562.5"/>
    <n v="32062.5"/>
    <n v="0"/>
    <n v="9500"/>
    <x v="0"/>
  </r>
  <r>
    <s v="ACC-IND-10241"/>
    <x v="0"/>
    <d v="2016-04-21T00:00:00"/>
    <n v="2600"/>
    <n v="1.5000000000000002"/>
    <n v="3900.0000000000005"/>
    <n v="390.00000000000006"/>
    <n v="3510.0000000000005"/>
    <n v="0"/>
    <n v="2600"/>
    <x v="0"/>
  </r>
  <r>
    <s v="ACC-IND-10242"/>
    <x v="27"/>
    <d v="2023-11-06T00:00:00"/>
    <n v="9350"/>
    <n v="1.5"/>
    <n v="14025"/>
    <n v="1402.5"/>
    <n v="12622.5"/>
    <n v="0"/>
    <n v="9350"/>
    <x v="0"/>
  </r>
  <r>
    <s v="ACC-IND-10243"/>
    <x v="1"/>
    <d v="2022-12-13T00:00:00"/>
    <n v="9150"/>
    <n v="0"/>
    <n v="0"/>
    <n v="0"/>
    <n v="0"/>
    <n v="0"/>
    <n v="9150"/>
    <x v="1"/>
  </r>
  <r>
    <s v="ACC-IND-10244"/>
    <x v="16"/>
    <d v="2018-08-01T00:00:00"/>
    <n v="3550"/>
    <n v="1.5"/>
    <n v="5325"/>
    <n v="532.5"/>
    <n v="4792.5"/>
    <n v="0"/>
    <n v="3550"/>
    <x v="0"/>
  </r>
  <r>
    <s v="ACC-IND-10245"/>
    <x v="27"/>
    <d v="2017-01-24T00:00:00"/>
    <n v="2100"/>
    <n v="1.5"/>
    <n v="3150"/>
    <n v="315"/>
    <n v="2835"/>
    <n v="0"/>
    <n v="2100"/>
    <x v="0"/>
  </r>
  <r>
    <s v="ACC-IND-10246"/>
    <x v="15"/>
    <d v="2022-06-20T00:00:00"/>
    <n v="2850"/>
    <n v="3.75"/>
    <n v="10687.5"/>
    <n v="1068.75"/>
    <n v="9618.75"/>
    <n v="0"/>
    <n v="2850"/>
    <x v="0"/>
  </r>
  <r>
    <s v="ACC-IND-10247"/>
    <x v="26"/>
    <d v="2017-06-10T00:00:00"/>
    <n v="6500"/>
    <n v="0"/>
    <n v="0"/>
    <n v="0"/>
    <n v="0"/>
    <n v="0"/>
    <n v="6500"/>
    <x v="1"/>
  </r>
  <r>
    <s v="ACC-IND-10248"/>
    <x v="17"/>
    <d v="2019-06-18T00:00:00"/>
    <n v="6800"/>
    <n v="2.5"/>
    <n v="17000"/>
    <n v="1700"/>
    <n v="15300"/>
    <n v="0"/>
    <n v="6800"/>
    <x v="0"/>
  </r>
  <r>
    <s v="ACC-IND-10249"/>
    <x v="31"/>
    <d v="2020-01-18T00:00:00"/>
    <n v="1750"/>
    <n v="0"/>
    <n v="0"/>
    <n v="0"/>
    <n v="0"/>
    <n v="0"/>
    <n v="1750"/>
    <x v="1"/>
  </r>
  <r>
    <s v="ACC-IND-10250"/>
    <x v="4"/>
    <d v="2024-08-22T00:00:00"/>
    <n v="2950"/>
    <n v="3"/>
    <n v="8850"/>
    <n v="885"/>
    <n v="7965"/>
    <n v="0"/>
    <n v="2950"/>
    <x v="0"/>
  </r>
  <r>
    <s v="ACC-IND-10703"/>
    <x v="7"/>
    <d v="2026-07-31T00:00:00"/>
    <n v="110"/>
    <n v="0"/>
    <n v="0"/>
    <n v="0"/>
    <n v="0"/>
    <n v="0"/>
    <n v="110"/>
    <x v="2"/>
  </r>
  <r>
    <s v="ACC-IND-10252"/>
    <x v="2"/>
    <d v="2024-01-28T00:00:00"/>
    <n v="8550"/>
    <n v="3"/>
    <n v="25650"/>
    <n v="2565"/>
    <n v="23085"/>
    <n v="0"/>
    <n v="8550"/>
    <x v="0"/>
  </r>
  <r>
    <s v="ACC-IND-10748"/>
    <x v="7"/>
    <d v="2018-11-14T00:00:00"/>
    <n v="110"/>
    <n v="19"/>
    <n v="2090"/>
    <n v="209"/>
    <n v="1881"/>
    <n v="0"/>
    <n v="110"/>
    <x v="0"/>
  </r>
  <r>
    <s v="ACC-IND-10254"/>
    <x v="10"/>
    <d v="2015-11-02T00:00:00"/>
    <n v="4950"/>
    <n v="1.35"/>
    <n v="6682.5"/>
    <n v="668.25"/>
    <n v="6014.25"/>
    <n v="0"/>
    <n v="4950"/>
    <x v="0"/>
  </r>
  <r>
    <s v="ACC-IND-10286"/>
    <x v="7"/>
    <d v="2024-07-14T00:00:00"/>
    <n v="110"/>
    <n v="19"/>
    <n v="2090"/>
    <n v="209"/>
    <n v="1881"/>
    <n v="0"/>
    <n v="110"/>
    <x v="0"/>
  </r>
  <r>
    <s v="ACC-IND-10256"/>
    <x v="10"/>
    <d v="2015-08-21T00:00:00"/>
    <n v="3950"/>
    <n v="1.35"/>
    <n v="5332.5"/>
    <n v="533.25"/>
    <n v="4799.25"/>
    <n v="0"/>
    <n v="3950"/>
    <x v="0"/>
  </r>
  <r>
    <s v="ACC-IND-10257"/>
    <x v="19"/>
    <d v="2021-03-17T00:00:00"/>
    <n v="8600"/>
    <n v="0"/>
    <n v="0"/>
    <n v="0"/>
    <n v="0"/>
    <n v="0"/>
    <n v="8600"/>
    <x v="1"/>
  </r>
  <r>
    <s v="ACC-IND-10258"/>
    <x v="2"/>
    <d v="2018-08-04T00:00:00"/>
    <n v="7450"/>
    <n v="3"/>
    <n v="22350"/>
    <n v="2235"/>
    <n v="20115"/>
    <n v="0"/>
    <n v="7450"/>
    <x v="0"/>
  </r>
  <r>
    <s v="ACC-IND-10259"/>
    <x v="11"/>
    <d v="2023-08-08T00:00:00"/>
    <n v="4600"/>
    <n v="1"/>
    <n v="4600"/>
    <n v="460"/>
    <n v="4140"/>
    <n v="0"/>
    <n v="4600"/>
    <x v="0"/>
  </r>
  <r>
    <s v="ACC-IND-10260"/>
    <x v="27"/>
    <d v="2016-12-08T00:00:00"/>
    <n v="8850"/>
    <n v="1.5"/>
    <n v="13275"/>
    <n v="1327.5"/>
    <n v="11947.5"/>
    <n v="0"/>
    <n v="8850"/>
    <x v="0"/>
  </r>
  <r>
    <s v="ACC-IND-10743"/>
    <x v="7"/>
    <d v="2026-08-01T00:00:00"/>
    <n v="110"/>
    <n v="0"/>
    <n v="0"/>
    <n v="0"/>
    <n v="0"/>
    <n v="0"/>
    <n v="110"/>
    <x v="2"/>
  </r>
  <r>
    <s v="ACC-IND-10059"/>
    <x v="7"/>
    <d v="2023-04-08T00:00:00"/>
    <n v="110"/>
    <n v="19"/>
    <n v="2090"/>
    <n v="209"/>
    <n v="1881"/>
    <n v="0"/>
    <n v="110"/>
    <x v="0"/>
  </r>
  <r>
    <s v="ACC-IND-10263"/>
    <x v="26"/>
    <d v="2018-07-07T00:00:00"/>
    <n v="9400"/>
    <n v="0"/>
    <n v="0"/>
    <n v="0"/>
    <n v="0"/>
    <n v="0"/>
    <n v="9400"/>
    <x v="1"/>
  </r>
  <r>
    <s v="ACC-IND-10264"/>
    <x v="14"/>
    <d v="2024-09-27T00:00:00"/>
    <n v="4900"/>
    <n v="0.2"/>
    <n v="980"/>
    <n v="98"/>
    <n v="882"/>
    <n v="0"/>
    <n v="4900"/>
    <x v="0"/>
  </r>
  <r>
    <s v="ACC-IND-10265"/>
    <x v="5"/>
    <d v="2015-02-20T00:00:00"/>
    <n v="2250"/>
    <n v="6.5"/>
    <n v="14625"/>
    <n v="1462.5"/>
    <n v="13162.5"/>
    <n v="0"/>
    <n v="2250"/>
    <x v="0"/>
  </r>
  <r>
    <s v="ACC-IND-10266"/>
    <x v="23"/>
    <d v="2017-05-08T00:00:00"/>
    <n v="4900"/>
    <n v="7.0000000000000007E-2"/>
    <n v="343.00000000000006"/>
    <n v="34.300000000000004"/>
    <n v="308.70000000000005"/>
    <n v="0"/>
    <n v="4900"/>
    <x v="0"/>
  </r>
  <r>
    <s v="ACC-IND-10267"/>
    <x v="8"/>
    <d v="2023-06-10T00:00:00"/>
    <n v="8750"/>
    <n v="1.2"/>
    <n v="10500"/>
    <n v="1050"/>
    <n v="9450"/>
    <n v="0"/>
    <n v="8750"/>
    <x v="0"/>
  </r>
  <r>
    <s v="ACC-IND-10834"/>
    <x v="7"/>
    <d v="2018-11-01T00:00:00"/>
    <n v="110"/>
    <n v="19"/>
    <n v="2090"/>
    <n v="209"/>
    <n v="1881"/>
    <n v="0"/>
    <n v="110"/>
    <x v="0"/>
  </r>
  <r>
    <s v="ACC-IND-10269"/>
    <x v="19"/>
    <d v="2016-08-02T00:00:00"/>
    <n v="10000"/>
    <n v="0"/>
    <n v="0"/>
    <n v="0"/>
    <n v="0"/>
    <n v="0"/>
    <n v="10000"/>
    <x v="1"/>
  </r>
  <r>
    <s v="ACC-IND-10270"/>
    <x v="33"/>
    <d v="2023-12-11T00:00:00"/>
    <n v="8500"/>
    <n v="1.1000000000000001"/>
    <n v="9350"/>
    <n v="935"/>
    <n v="8415"/>
    <n v="0"/>
    <n v="8500"/>
    <x v="0"/>
  </r>
  <r>
    <s v="ACC-IND-10109"/>
    <x v="7"/>
    <d v="2023-04-23T00:00:00"/>
    <n v="110"/>
    <n v="19"/>
    <n v="2090"/>
    <n v="209"/>
    <n v="1881"/>
    <n v="0"/>
    <n v="110"/>
    <x v="0"/>
  </r>
  <r>
    <s v="ACC-IND-10272"/>
    <x v="1"/>
    <d v="2016-01-09T00:00:00"/>
    <n v="5950"/>
    <n v="0"/>
    <n v="0"/>
    <n v="0"/>
    <n v="0"/>
    <n v="0"/>
    <n v="5950"/>
    <x v="1"/>
  </r>
  <r>
    <s v="ACC-IND-10273"/>
    <x v="3"/>
    <d v="2020-04-07T00:00:00"/>
    <n v="4450"/>
    <n v="0"/>
    <n v="0"/>
    <n v="0"/>
    <n v="0"/>
    <n v="0"/>
    <n v="4450"/>
    <x v="1"/>
  </r>
  <r>
    <s v="ACC-IND-10274"/>
    <x v="14"/>
    <d v="2024-05-11T00:00:00"/>
    <n v="9800"/>
    <n v="0.2"/>
    <n v="1960"/>
    <n v="196"/>
    <n v="1764"/>
    <n v="0"/>
    <n v="9800"/>
    <x v="0"/>
  </r>
  <r>
    <s v="ACC-IND-10275"/>
    <x v="27"/>
    <d v="2017-08-15T00:00:00"/>
    <n v="9400"/>
    <n v="1.5"/>
    <n v="14100"/>
    <n v="1410"/>
    <n v="12690"/>
    <n v="0"/>
    <n v="9400"/>
    <x v="0"/>
  </r>
  <r>
    <s v="ACC-IND-10276"/>
    <x v="8"/>
    <d v="2018-03-03T00:00:00"/>
    <n v="8200"/>
    <n v="1.2"/>
    <n v="9840"/>
    <n v="984"/>
    <n v="8856"/>
    <n v="0"/>
    <n v="8200"/>
    <x v="0"/>
  </r>
  <r>
    <s v="ACC-IND-10277"/>
    <x v="4"/>
    <d v="2018-01-28T00:00:00"/>
    <n v="6000"/>
    <n v="3"/>
    <n v="18000"/>
    <n v="1800"/>
    <n v="16200"/>
    <n v="0"/>
    <n v="6000"/>
    <x v="0"/>
  </r>
  <r>
    <s v="ACC-IND-10278"/>
    <x v="17"/>
    <d v="2018-11-20T00:00:00"/>
    <n v="8900"/>
    <n v="2.5"/>
    <n v="22250"/>
    <n v="2225"/>
    <n v="20025"/>
    <n v="0"/>
    <n v="8900"/>
    <x v="0"/>
  </r>
  <r>
    <s v="ACC-IND-10279"/>
    <x v="25"/>
    <d v="2019-02-05T00:00:00"/>
    <n v="5050"/>
    <n v="1"/>
    <n v="5050"/>
    <n v="505"/>
    <n v="4545"/>
    <n v="0"/>
    <n v="5050"/>
    <x v="0"/>
  </r>
  <r>
    <s v="ACC-IND-10280"/>
    <x v="3"/>
    <d v="2022-01-07T00:00:00"/>
    <n v="6050"/>
    <n v="0"/>
    <n v="0"/>
    <n v="0"/>
    <n v="0"/>
    <n v="0"/>
    <n v="6050"/>
    <x v="1"/>
  </r>
  <r>
    <s v="ACC-IND-10281"/>
    <x v="14"/>
    <d v="2016-08-19T00:00:00"/>
    <n v="9350"/>
    <n v="0.2"/>
    <n v="1870"/>
    <n v="187"/>
    <n v="1683"/>
    <n v="0"/>
    <n v="9350"/>
    <x v="0"/>
  </r>
  <r>
    <s v="ACC-IND-10126"/>
    <x v="7"/>
    <d v="2026-07-31T00:00:00"/>
    <n v="110"/>
    <n v="0"/>
    <n v="0"/>
    <n v="0"/>
    <n v="0"/>
    <n v="0"/>
    <n v="110"/>
    <x v="2"/>
  </r>
  <r>
    <s v="ACC-IND-10283"/>
    <x v="4"/>
    <d v="2016-11-27T00:00:00"/>
    <n v="3900"/>
    <n v="3"/>
    <n v="11700"/>
    <n v="1170"/>
    <n v="10530"/>
    <n v="0"/>
    <n v="3900"/>
    <x v="0"/>
  </r>
  <r>
    <s v="ACC-IND-10019"/>
    <x v="7"/>
    <d v="2017-08-16T00:00:00"/>
    <n v="110"/>
    <n v="19"/>
    <n v="2090"/>
    <n v="209"/>
    <n v="1881"/>
    <n v="0"/>
    <n v="110"/>
    <x v="0"/>
  </r>
  <r>
    <s v="ACC-IND-10285"/>
    <x v="18"/>
    <d v="2020-01-19T00:00:00"/>
    <n v="8950"/>
    <n v="0.1"/>
    <n v="895"/>
    <n v="89.5"/>
    <n v="805.5"/>
    <n v="0"/>
    <n v="8950"/>
    <x v="0"/>
  </r>
  <r>
    <s v="ACC-IND-10643"/>
    <x v="7"/>
    <d v="2015-01-07T00:00:00"/>
    <n v="110"/>
    <n v="19"/>
    <n v="2090"/>
    <n v="209"/>
    <n v="1881"/>
    <n v="0"/>
    <n v="110"/>
    <x v="0"/>
  </r>
  <r>
    <s v="ACC-IND-10287"/>
    <x v="6"/>
    <d v="2020-09-02T00:00:00"/>
    <n v="5600"/>
    <n v="0"/>
    <n v="0"/>
    <n v="0"/>
    <n v="0"/>
    <n v="0"/>
    <n v="5600"/>
    <x v="1"/>
  </r>
  <r>
    <s v="ACC-IND-10198"/>
    <x v="7"/>
    <d v="2019-11-10T00:00:00"/>
    <n v="110"/>
    <n v="19"/>
    <n v="2090"/>
    <n v="209"/>
    <n v="1881"/>
    <n v="0"/>
    <n v="110"/>
    <x v="0"/>
  </r>
  <r>
    <s v="ACC-IND-10289"/>
    <x v="34"/>
    <d v="2017-02-23T00:00:00"/>
    <n v="3650"/>
    <n v="0"/>
    <n v="0"/>
    <n v="0"/>
    <n v="0"/>
    <n v="0"/>
    <n v="3650"/>
    <x v="1"/>
  </r>
  <r>
    <s v="ACC-IND-10290"/>
    <x v="4"/>
    <d v="2018-11-10T00:00:00"/>
    <n v="2300"/>
    <n v="3"/>
    <n v="6900"/>
    <n v="690"/>
    <n v="6210"/>
    <n v="0"/>
    <n v="2300"/>
    <x v="0"/>
  </r>
  <r>
    <s v="ACC-IND-10291"/>
    <x v="26"/>
    <d v="2024-01-27T00:00:00"/>
    <n v="2000"/>
    <n v="0"/>
    <n v="0"/>
    <n v="0"/>
    <n v="0"/>
    <n v="0"/>
    <n v="2000"/>
    <x v="1"/>
  </r>
  <r>
    <s v="ACC-IND-10292"/>
    <x v="25"/>
    <d v="2016-08-15T00:00:00"/>
    <n v="2500"/>
    <n v="1"/>
    <n v="2500"/>
    <n v="250"/>
    <n v="2250"/>
    <n v="0"/>
    <n v="2500"/>
    <x v="0"/>
  </r>
  <r>
    <s v="ACC-IND-10293"/>
    <x v="1"/>
    <d v="2016-02-01T00:00:00"/>
    <n v="1850"/>
    <n v="0"/>
    <n v="0"/>
    <n v="0"/>
    <n v="0"/>
    <n v="0"/>
    <n v="1850"/>
    <x v="1"/>
  </r>
  <r>
    <s v="ACC-IND-10294"/>
    <x v="4"/>
    <d v="2021-09-14T00:00:00"/>
    <n v="3350"/>
    <n v="3"/>
    <n v="10050"/>
    <n v="1005"/>
    <n v="9045"/>
    <n v="0"/>
    <n v="3350"/>
    <x v="0"/>
  </r>
  <r>
    <s v="ACC-IND-10295"/>
    <x v="35"/>
    <d v="2019-03-22T00:00:00"/>
    <n v="1900"/>
    <n v="0"/>
    <n v="0"/>
    <n v="0"/>
    <n v="0"/>
    <n v="2533.333333333333"/>
    <n v="4433.333333333333"/>
    <x v="0"/>
  </r>
  <r>
    <s v="ACC-IND-10296"/>
    <x v="0"/>
    <d v="2017-10-14T00:00:00"/>
    <n v="1100"/>
    <n v="1.5000000000000002"/>
    <n v="1650.0000000000002"/>
    <n v="165.00000000000003"/>
    <n v="1485.0000000000002"/>
    <n v="0"/>
    <n v="1100"/>
    <x v="0"/>
  </r>
  <r>
    <s v="ACC-IND-10297"/>
    <x v="4"/>
    <d v="2018-03-20T00:00:00"/>
    <n v="6500"/>
    <n v="3"/>
    <n v="19500"/>
    <n v="1950"/>
    <n v="17550"/>
    <n v="0"/>
    <n v="6500"/>
    <x v="0"/>
  </r>
  <r>
    <s v="ACC-IND-10298"/>
    <x v="24"/>
    <d v="2017-11-24T00:00:00"/>
    <n v="1450"/>
    <n v="0.02"/>
    <n v="29"/>
    <n v="2.9000000000000004"/>
    <n v="26.1"/>
    <n v="0"/>
    <n v="1450"/>
    <x v="0"/>
  </r>
  <r>
    <s v="ACC-IND-10299"/>
    <x v="12"/>
    <d v="2017-03-03T00:00:00"/>
    <n v="6050"/>
    <n v="0"/>
    <n v="0"/>
    <n v="0"/>
    <n v="0"/>
    <n v="0"/>
    <n v="6050"/>
    <x v="1"/>
  </r>
  <r>
    <s v="ACC-IND-10309"/>
    <x v="7"/>
    <d v="2022-02-20T00:00:00"/>
    <n v="110"/>
    <n v="19"/>
    <n v="2090"/>
    <n v="209"/>
    <n v="1881"/>
    <n v="0"/>
    <n v="110"/>
    <x v="0"/>
  </r>
  <r>
    <s v="ACC-IND-10301"/>
    <x v="8"/>
    <d v="2024-06-07T00:00:00"/>
    <n v="10050"/>
    <n v="1.2"/>
    <n v="12060"/>
    <n v="1206"/>
    <n v="10854"/>
    <n v="0"/>
    <n v="10050"/>
    <x v="0"/>
  </r>
  <r>
    <s v="ACC-IND-10302"/>
    <x v="4"/>
    <d v="2024-06-22T00:00:00"/>
    <n v="1300"/>
    <n v="3"/>
    <n v="3900"/>
    <n v="390"/>
    <n v="3510"/>
    <n v="0"/>
    <n v="1300"/>
    <x v="0"/>
  </r>
  <r>
    <s v="ACC-IND-10145"/>
    <x v="7"/>
    <d v="2026-07-31T00:00:00"/>
    <n v="1550"/>
    <n v="0"/>
    <n v="0"/>
    <n v="0"/>
    <n v="0"/>
    <n v="0"/>
    <n v="1550"/>
    <x v="2"/>
  </r>
  <r>
    <s v="ACC-IND-10304"/>
    <x v="36"/>
    <d v="2020-11-23T00:00:00"/>
    <n v="6350"/>
    <n v="0.8"/>
    <n v="5080"/>
    <n v="508"/>
    <n v="4572"/>
    <n v="0"/>
    <n v="6350"/>
    <x v="0"/>
  </r>
  <r>
    <s v="ACC-IND-10305"/>
    <x v="15"/>
    <d v="2017-04-17T00:00:00"/>
    <n v="9600"/>
    <n v="3.75"/>
    <n v="36000"/>
    <n v="3600"/>
    <n v="32400"/>
    <n v="0"/>
    <n v="9600"/>
    <x v="0"/>
  </r>
  <r>
    <s v="ACC-IND-10306"/>
    <x v="29"/>
    <d v="2018-02-15T00:00:00"/>
    <n v="950"/>
    <n v="2.5"/>
    <n v="2375"/>
    <n v="237.5"/>
    <n v="2137.5"/>
    <n v="0"/>
    <n v="950"/>
    <x v="0"/>
  </r>
  <r>
    <s v="ACC-IND-10307"/>
    <x v="15"/>
    <d v="2024-11-06T00:00:00"/>
    <n v="850"/>
    <n v="2.5"/>
    <n v="2125"/>
    <n v="212.5"/>
    <n v="1912.5"/>
    <n v="0"/>
    <n v="850"/>
    <x v="0"/>
  </r>
  <r>
    <s v="ACC-IND-10308"/>
    <x v="23"/>
    <d v="2024-08-14T00:00:00"/>
    <n v="2750"/>
    <n v="7.0000000000000007E-2"/>
    <n v="192.50000000000003"/>
    <n v="19.250000000000004"/>
    <n v="173.25000000000003"/>
    <n v="0"/>
    <n v="2750"/>
    <x v="0"/>
  </r>
  <r>
    <s v="ACC-IND-10641"/>
    <x v="7"/>
    <d v="2022-04-22T00:00:00"/>
    <n v="1350"/>
    <n v="19"/>
    <n v="25650"/>
    <n v="2565"/>
    <n v="23085"/>
    <n v="0"/>
    <n v="1350"/>
    <x v="0"/>
  </r>
  <r>
    <s v="ACC-IND-10310"/>
    <x v="15"/>
    <d v="2018-11-20T00:00:00"/>
    <n v="6600"/>
    <n v="3.75"/>
    <n v="24750"/>
    <n v="2475"/>
    <n v="22275"/>
    <n v="0"/>
    <n v="6600"/>
    <x v="0"/>
  </r>
  <r>
    <s v="ACC-IND-10698"/>
    <x v="7"/>
    <d v="2019-08-26T00:00:00"/>
    <n v="1350"/>
    <n v="19"/>
    <n v="25650"/>
    <n v="2565"/>
    <n v="23085"/>
    <n v="0"/>
    <n v="1350"/>
    <x v="0"/>
  </r>
  <r>
    <s v="ACC-IND-10312"/>
    <x v="17"/>
    <d v="2020-05-19T00:00:00"/>
    <n v="1100"/>
    <n v="2.5"/>
    <n v="2750"/>
    <n v="275"/>
    <n v="2475"/>
    <n v="0"/>
    <n v="1100"/>
    <x v="0"/>
  </r>
  <r>
    <s v="ACC-IND-10313"/>
    <x v="23"/>
    <d v="2015-05-01T00:00:00"/>
    <n v="7100"/>
    <n v="7.0000000000000007E-2"/>
    <n v="497.00000000000006"/>
    <n v="49.70000000000001"/>
    <n v="447.30000000000007"/>
    <n v="0"/>
    <n v="7100"/>
    <x v="0"/>
  </r>
  <r>
    <s v="ACC-IND-10314"/>
    <x v="25"/>
    <d v="2019-05-23T00:00:00"/>
    <n v="7850"/>
    <n v="1"/>
    <n v="7850"/>
    <n v="785"/>
    <n v="7065"/>
    <n v="0"/>
    <n v="7850"/>
    <x v="0"/>
  </r>
  <r>
    <s v="ACC-IND-10315"/>
    <x v="16"/>
    <d v="2015-07-13T00:00:00"/>
    <n v="3700"/>
    <n v="1.5"/>
    <n v="5550"/>
    <n v="555"/>
    <n v="4995"/>
    <n v="0"/>
    <n v="3700"/>
    <x v="0"/>
  </r>
  <r>
    <s v="ACC-IND-10316"/>
    <x v="29"/>
    <d v="2020-09-02T00:00:00"/>
    <n v="3200"/>
    <n v="2.5"/>
    <n v="8000"/>
    <n v="800"/>
    <n v="7200"/>
    <n v="0"/>
    <n v="3200"/>
    <x v="0"/>
  </r>
  <r>
    <s v="ACC-IND-10951"/>
    <x v="7"/>
    <d v="2017-06-19T00:00:00"/>
    <n v="1300"/>
    <n v="19"/>
    <n v="24700"/>
    <n v="2470"/>
    <n v="22230"/>
    <n v="0"/>
    <n v="1300"/>
    <x v="0"/>
  </r>
  <r>
    <s v="ACC-IND-10318"/>
    <x v="2"/>
    <d v="2021-07-22T00:00:00"/>
    <n v="2450"/>
    <n v="3"/>
    <n v="7350"/>
    <n v="735"/>
    <n v="6615"/>
    <n v="0"/>
    <n v="2450"/>
    <x v="0"/>
  </r>
  <r>
    <s v="ACC-IND-10319"/>
    <x v="8"/>
    <d v="2020-05-10T00:00:00"/>
    <n v="3050"/>
    <n v="1.2"/>
    <n v="3660"/>
    <n v="366"/>
    <n v="3294"/>
    <n v="0"/>
    <n v="3050"/>
    <x v="0"/>
  </r>
  <r>
    <s v="ACC-IND-10320"/>
    <x v="8"/>
    <d v="2018-02-19T00:00:00"/>
    <n v="6650"/>
    <n v="1.2"/>
    <n v="7980"/>
    <n v="798"/>
    <n v="7182"/>
    <n v="0"/>
    <n v="6650"/>
    <x v="0"/>
  </r>
  <r>
    <s v="ACC-IND-10321"/>
    <x v="15"/>
    <d v="2015-06-23T00:00:00"/>
    <n v="5700"/>
    <n v="3.75"/>
    <n v="21375"/>
    <n v="2137.5"/>
    <n v="19237.5"/>
    <n v="0"/>
    <n v="5700"/>
    <x v="0"/>
  </r>
  <r>
    <s v="ACC-IND-10322"/>
    <x v="17"/>
    <d v="2020-11-11T00:00:00"/>
    <n v="1600"/>
    <n v="2.5"/>
    <n v="4000"/>
    <n v="400"/>
    <n v="3600"/>
    <n v="0"/>
    <n v="1600"/>
    <x v="0"/>
  </r>
  <r>
    <s v="ACC-IND-10323"/>
    <x v="1"/>
    <d v="2016-03-03T00:00:00"/>
    <n v="4400"/>
    <n v="0"/>
    <n v="0"/>
    <n v="0"/>
    <n v="0"/>
    <n v="0"/>
    <n v="4400"/>
    <x v="1"/>
  </r>
  <r>
    <s v="ACC-IND-10324"/>
    <x v="2"/>
    <d v="2023-07-28T00:00:00"/>
    <n v="9850"/>
    <n v="3"/>
    <n v="29550"/>
    <n v="2955"/>
    <n v="26595"/>
    <n v="0"/>
    <n v="9850"/>
    <x v="0"/>
  </r>
  <r>
    <s v="ACC-IND-10325"/>
    <x v="15"/>
    <d v="2021-08-07T00:00:00"/>
    <n v="8600"/>
    <n v="3.75"/>
    <n v="32250"/>
    <n v="3225"/>
    <n v="29025"/>
    <n v="0"/>
    <n v="8600"/>
    <x v="0"/>
  </r>
  <r>
    <s v="ACC-IND-10326"/>
    <x v="17"/>
    <d v="2015-02-23T00:00:00"/>
    <n v="4650"/>
    <n v="2.5"/>
    <n v="11625"/>
    <n v="1162.5"/>
    <n v="10462.5"/>
    <n v="0"/>
    <n v="4650"/>
    <x v="0"/>
  </r>
  <r>
    <s v="ACC-IND-10200"/>
    <x v="7"/>
    <d v="2017-10-26T00:00:00"/>
    <n v="1200"/>
    <n v="19"/>
    <n v="22800"/>
    <n v="2280"/>
    <n v="20520"/>
    <n v="0"/>
    <n v="1200"/>
    <x v="0"/>
  </r>
  <r>
    <s v="ACC-IND-10328"/>
    <x v="0"/>
    <d v="2023-01-20T00:00:00"/>
    <n v="6900"/>
    <n v="1.5000000000000002"/>
    <n v="10350.000000000002"/>
    <n v="1035.0000000000002"/>
    <n v="9315.0000000000018"/>
    <n v="0"/>
    <n v="6900"/>
    <x v="0"/>
  </r>
  <r>
    <s v="ACC-IND-10329"/>
    <x v="17"/>
    <d v="2022-11-26T00:00:00"/>
    <n v="4600"/>
    <n v="2.5"/>
    <n v="11500"/>
    <n v="1150"/>
    <n v="10350"/>
    <n v="0"/>
    <n v="4600"/>
    <x v="0"/>
  </r>
  <r>
    <s v="ACC-IND-10330"/>
    <x v="37"/>
    <d v="2022-11-05T00:00:00"/>
    <n v="4250"/>
    <n v="0"/>
    <n v="0"/>
    <n v="0"/>
    <n v="0"/>
    <n v="0"/>
    <n v="4250"/>
    <x v="1"/>
  </r>
  <r>
    <s v="ACC-IND-10331"/>
    <x v="11"/>
    <d v="2021-01-22T00:00:00"/>
    <n v="5250"/>
    <n v="1"/>
    <n v="5250"/>
    <n v="525"/>
    <n v="4725"/>
    <n v="0"/>
    <n v="5250"/>
    <x v="0"/>
  </r>
  <r>
    <s v="ACC-IND-10332"/>
    <x v="38"/>
    <d v="2021-12-06T00:00:00"/>
    <n v="2800"/>
    <n v="0.30000000000000004"/>
    <n v="840.00000000000011"/>
    <n v="84.000000000000014"/>
    <n v="756.00000000000011"/>
    <n v="0"/>
    <n v="2800"/>
    <x v="0"/>
  </r>
  <r>
    <s v="ACC-IND-10333"/>
    <x v="2"/>
    <d v="2022-01-10T00:00:00"/>
    <n v="2450"/>
    <n v="3"/>
    <n v="7350"/>
    <n v="735"/>
    <n v="6615"/>
    <n v="0"/>
    <n v="2450"/>
    <x v="0"/>
  </r>
  <r>
    <s v="ACC-IND-10334"/>
    <x v="12"/>
    <d v="2022-09-26T00:00:00"/>
    <n v="1400"/>
    <n v="0"/>
    <n v="0"/>
    <n v="0"/>
    <n v="0"/>
    <n v="0"/>
    <n v="1400"/>
    <x v="1"/>
  </r>
  <r>
    <s v="ACC-IND-10335"/>
    <x v="14"/>
    <d v="2022-03-18T00:00:00"/>
    <n v="5950"/>
    <n v="0.2"/>
    <n v="1190"/>
    <n v="119"/>
    <n v="1071"/>
    <n v="0"/>
    <n v="5950"/>
    <x v="0"/>
  </r>
  <r>
    <s v="ACC-IND-10336"/>
    <x v="9"/>
    <d v="2022-08-26T00:00:00"/>
    <n v="8250"/>
    <n v="0"/>
    <n v="0"/>
    <n v="0"/>
    <n v="0"/>
    <n v="0"/>
    <n v="8250"/>
    <x v="1"/>
  </r>
  <r>
    <s v="ACC-IND-10337"/>
    <x v="29"/>
    <d v="2015-02-18T00:00:00"/>
    <n v="5450"/>
    <n v="2.5"/>
    <n v="13625"/>
    <n v="1362.5"/>
    <n v="12262.5"/>
    <n v="0"/>
    <n v="5450"/>
    <x v="0"/>
  </r>
  <r>
    <s v="ACC-IND-10338"/>
    <x v="15"/>
    <d v="2021-12-11T00:00:00"/>
    <n v="250"/>
    <n v="3.75"/>
    <n v="937.5"/>
    <n v="93.75"/>
    <n v="843.75"/>
    <n v="0"/>
    <n v="250"/>
    <x v="0"/>
  </r>
  <r>
    <s v="ACC-IND-10339"/>
    <x v="39"/>
    <d v="2020-04-08T00:00:00"/>
    <n v="1050"/>
    <n v="0.05"/>
    <n v="52.5"/>
    <n v="5.25"/>
    <n v="47.25"/>
    <n v="0"/>
    <n v="1050"/>
    <x v="0"/>
  </r>
  <r>
    <s v="ACC-IND-10340"/>
    <x v="5"/>
    <d v="2015-10-27T00:00:00"/>
    <n v="4700"/>
    <n v="6.5"/>
    <n v="30550"/>
    <n v="3055"/>
    <n v="27495"/>
    <n v="0"/>
    <n v="4700"/>
    <x v="0"/>
  </r>
  <r>
    <s v="ACC-IND-10341"/>
    <x v="5"/>
    <d v="2016-02-23T00:00:00"/>
    <n v="6350"/>
    <n v="6.5"/>
    <n v="41275"/>
    <n v="4127.5"/>
    <n v="37147.5"/>
    <n v="0"/>
    <n v="6350"/>
    <x v="0"/>
  </r>
  <r>
    <s v="ACC-IND-10342"/>
    <x v="8"/>
    <d v="2019-05-10T00:00:00"/>
    <n v="3400"/>
    <n v="1.2"/>
    <n v="4080"/>
    <n v="408"/>
    <n v="3672"/>
    <n v="0"/>
    <n v="3400"/>
    <x v="0"/>
  </r>
  <r>
    <s v="ACC-IND-10343"/>
    <x v="11"/>
    <d v="2021-05-03T00:00:00"/>
    <n v="3700"/>
    <n v="1"/>
    <n v="3700"/>
    <n v="370"/>
    <n v="3330"/>
    <n v="0"/>
    <n v="3700"/>
    <x v="0"/>
  </r>
  <r>
    <s v="ACC-IND-10964"/>
    <x v="7"/>
    <d v="2020-08-21T00:00:00"/>
    <n v="1000"/>
    <n v="19"/>
    <n v="19000"/>
    <n v="1900"/>
    <n v="17100"/>
    <n v="0"/>
    <n v="1000"/>
    <x v="0"/>
  </r>
  <r>
    <s v="ACC-IND-10345"/>
    <x v="11"/>
    <d v="2024-02-14T00:00:00"/>
    <n v="2450"/>
    <n v="1"/>
    <n v="2450"/>
    <n v="245"/>
    <n v="2205"/>
    <n v="0"/>
    <n v="2450"/>
    <x v="0"/>
  </r>
  <r>
    <s v="ACC-IND-10346"/>
    <x v="14"/>
    <d v="2024-02-13T00:00:00"/>
    <n v="6600"/>
    <n v="0.2"/>
    <n v="1320"/>
    <n v="132"/>
    <n v="1188"/>
    <n v="0"/>
    <n v="6600"/>
    <x v="0"/>
  </r>
  <r>
    <s v="ACC-IND-10347"/>
    <x v="4"/>
    <d v="2023-08-21T00:00:00"/>
    <n v="9100"/>
    <n v="3"/>
    <n v="27300"/>
    <n v="2730"/>
    <n v="24570"/>
    <n v="0"/>
    <n v="9100"/>
    <x v="0"/>
  </r>
  <r>
    <s v="ACC-IND-10348"/>
    <x v="17"/>
    <d v="2017-02-22T00:00:00"/>
    <n v="650"/>
    <n v="2.5"/>
    <n v="1625"/>
    <n v="162.5"/>
    <n v="1462.5"/>
    <n v="0"/>
    <n v="650"/>
    <x v="0"/>
  </r>
  <r>
    <s v="ACC-IND-10349"/>
    <x v="17"/>
    <d v="2016-05-08T00:00:00"/>
    <n v="600"/>
    <n v="2.5"/>
    <n v="1500"/>
    <n v="150"/>
    <n v="1350"/>
    <n v="0"/>
    <n v="600"/>
    <x v="0"/>
  </r>
  <r>
    <s v="ACC-IND-10188"/>
    <x v="7"/>
    <d v="2015-08-28T00:00:00"/>
    <n v="1000"/>
    <n v="19"/>
    <n v="19000"/>
    <n v="1900"/>
    <n v="17100"/>
    <n v="0"/>
    <n v="1000"/>
    <x v="0"/>
  </r>
  <r>
    <s v="ACC-IND-10351"/>
    <x v="4"/>
    <d v="2023-12-19T00:00:00"/>
    <n v="9550"/>
    <n v="3"/>
    <n v="28650"/>
    <n v="2865"/>
    <n v="25785"/>
    <n v="0"/>
    <n v="9550"/>
    <x v="0"/>
  </r>
  <r>
    <s v="ACC-IND-10352"/>
    <x v="40"/>
    <d v="2015-09-14T00:00:00"/>
    <n v="2050"/>
    <n v="0"/>
    <n v="0"/>
    <n v="0"/>
    <n v="0"/>
    <n v="0"/>
    <n v="2050"/>
    <x v="1"/>
  </r>
  <r>
    <s v="ACC-IND-10407"/>
    <x v="7"/>
    <d v="2018-11-12T00:00:00"/>
    <n v="950"/>
    <n v="19"/>
    <n v="18050"/>
    <n v="1805"/>
    <n v="16245"/>
    <n v="0"/>
    <n v="950"/>
    <x v="0"/>
  </r>
  <r>
    <s v="ACC-IND-10354"/>
    <x v="9"/>
    <d v="2019-04-01T00:00:00"/>
    <n v="2800"/>
    <n v="0"/>
    <n v="0"/>
    <n v="0"/>
    <n v="0"/>
    <n v="0"/>
    <n v="2800"/>
    <x v="1"/>
  </r>
  <r>
    <s v="ACC-IND-10355"/>
    <x v="24"/>
    <d v="2016-01-14T00:00:00"/>
    <n v="9250"/>
    <n v="0.02"/>
    <n v="185"/>
    <n v="18.5"/>
    <n v="166.5"/>
    <n v="0"/>
    <n v="9250"/>
    <x v="0"/>
  </r>
  <r>
    <s v="ACC-IND-10356"/>
    <x v="5"/>
    <d v="2023-07-12T00:00:00"/>
    <n v="8300"/>
    <n v="6.5"/>
    <n v="53950"/>
    <n v="5395"/>
    <n v="48555"/>
    <n v="0"/>
    <n v="8300"/>
    <x v="0"/>
  </r>
  <r>
    <s v="ACC-IND-10848"/>
    <x v="7"/>
    <d v="2024-07-18T00:00:00"/>
    <n v="900"/>
    <n v="19"/>
    <n v="17100"/>
    <n v="1710"/>
    <n v="15390"/>
    <n v="0"/>
    <n v="900"/>
    <x v="0"/>
  </r>
  <r>
    <s v="ACC-IND-10358"/>
    <x v="10"/>
    <d v="2019-05-21T00:00:00"/>
    <n v="8800"/>
    <n v="1.35"/>
    <n v="11880"/>
    <n v="1188"/>
    <n v="10692"/>
    <n v="0"/>
    <n v="8800"/>
    <x v="0"/>
  </r>
  <r>
    <s v="ACC-IND-10973"/>
    <x v="7"/>
    <d v="2023-12-02T00:00:00"/>
    <n v="900"/>
    <n v="19"/>
    <n v="17100"/>
    <n v="1710"/>
    <n v="15390"/>
    <n v="0"/>
    <n v="900"/>
    <x v="0"/>
  </r>
  <r>
    <s v="ACC-IND-10360"/>
    <x v="10"/>
    <d v="2019-02-10T00:00:00"/>
    <n v="9800"/>
    <n v="1.35"/>
    <n v="13230"/>
    <n v="1323"/>
    <n v="11907"/>
    <n v="0"/>
    <n v="9800"/>
    <x v="0"/>
  </r>
  <r>
    <s v="ACC-IND-10361"/>
    <x v="15"/>
    <d v="2015-11-02T00:00:00"/>
    <n v="4050"/>
    <n v="3.75"/>
    <n v="15187.5"/>
    <n v="1518.75"/>
    <n v="13668.75"/>
    <n v="0"/>
    <n v="4050"/>
    <x v="0"/>
  </r>
  <r>
    <s v="ACC-IND-10362"/>
    <x v="3"/>
    <d v="2020-12-02T00:00:00"/>
    <n v="850"/>
    <n v="0"/>
    <n v="0"/>
    <n v="0"/>
    <n v="0"/>
    <n v="0"/>
    <n v="850"/>
    <x v="1"/>
  </r>
  <r>
    <s v="ACC-IND-10363"/>
    <x v="3"/>
    <d v="2023-07-04T00:00:00"/>
    <n v="3750"/>
    <n v="0"/>
    <n v="0"/>
    <n v="0"/>
    <n v="0"/>
    <n v="0"/>
    <n v="3750"/>
    <x v="1"/>
  </r>
  <r>
    <s v="ACC-IND-10364"/>
    <x v="17"/>
    <d v="2020-08-23T00:00:00"/>
    <n v="7700"/>
    <n v="2.5"/>
    <n v="19250"/>
    <n v="1925"/>
    <n v="17325"/>
    <n v="0"/>
    <n v="7700"/>
    <x v="0"/>
  </r>
  <r>
    <s v="ACC-IND-10365"/>
    <x v="2"/>
    <d v="2019-01-03T00:00:00"/>
    <n v="4650"/>
    <n v="3"/>
    <n v="13950"/>
    <n v="1395"/>
    <n v="12555"/>
    <n v="0"/>
    <n v="4650"/>
    <x v="0"/>
  </r>
  <r>
    <s v="ACC-IND-10366"/>
    <x v="10"/>
    <d v="2015-05-16T00:00:00"/>
    <n v="6200"/>
    <n v="1.35"/>
    <n v="8370"/>
    <n v="837"/>
    <n v="7533"/>
    <n v="0"/>
    <n v="6200"/>
    <x v="0"/>
  </r>
  <r>
    <s v="ACC-IND-10367"/>
    <x v="21"/>
    <d v="2021-08-04T00:00:00"/>
    <n v="2250"/>
    <n v="3.25"/>
    <n v="7312.5"/>
    <n v="731.25"/>
    <n v="6581.25"/>
    <n v="0"/>
    <n v="2250"/>
    <x v="0"/>
  </r>
  <r>
    <s v="ACC-IND-10368"/>
    <x v="21"/>
    <d v="2019-10-11T00:00:00"/>
    <n v="9050"/>
    <n v="3.25"/>
    <n v="29412.5"/>
    <n v="2941.25"/>
    <n v="26471.25"/>
    <n v="0"/>
    <n v="9050"/>
    <x v="0"/>
  </r>
  <r>
    <s v="ACC-IND-10369"/>
    <x v="10"/>
    <d v="2021-06-01T00:00:00"/>
    <n v="9550"/>
    <n v="1.35"/>
    <n v="12892.5"/>
    <n v="1289.25"/>
    <n v="11603.25"/>
    <n v="0"/>
    <n v="9550"/>
    <x v="0"/>
  </r>
  <r>
    <s v="ACC-IND-10370"/>
    <x v="12"/>
    <d v="2022-09-21T00:00:00"/>
    <n v="5250"/>
    <n v="0"/>
    <n v="0"/>
    <n v="0"/>
    <n v="0"/>
    <n v="0"/>
    <n v="5250"/>
    <x v="1"/>
  </r>
  <r>
    <s v="ACC-IND-10371"/>
    <x v="32"/>
    <d v="2023-08-14T00:00:00"/>
    <n v="7450"/>
    <n v="0"/>
    <n v="0"/>
    <n v="0"/>
    <n v="0"/>
    <n v="0"/>
    <n v="7450"/>
    <x v="1"/>
  </r>
  <r>
    <s v="ACC-IND-10372"/>
    <x v="9"/>
    <d v="2018-03-08T00:00:00"/>
    <n v="1550"/>
    <n v="0"/>
    <n v="0"/>
    <n v="0"/>
    <n v="0"/>
    <n v="0"/>
    <n v="1550"/>
    <x v="1"/>
  </r>
  <r>
    <s v="ACC-IND-10373"/>
    <x v="35"/>
    <d v="2019-10-01T00:00:00"/>
    <n v="7800"/>
    <n v="0"/>
    <n v="0"/>
    <n v="0"/>
    <n v="0"/>
    <n v="10400"/>
    <n v="18200"/>
    <x v="0"/>
  </r>
  <r>
    <s v="ACC-IND-10374"/>
    <x v="4"/>
    <d v="2020-01-13T00:00:00"/>
    <n v="6800"/>
    <n v="3"/>
    <n v="20400"/>
    <n v="2040"/>
    <n v="18360"/>
    <n v="0"/>
    <n v="6800"/>
    <x v="0"/>
  </r>
  <r>
    <s v="ACC-IND-10375"/>
    <x v="31"/>
    <d v="2015-06-20T00:00:00"/>
    <n v="8750"/>
    <n v="0"/>
    <n v="0"/>
    <n v="0"/>
    <n v="0"/>
    <n v="0"/>
    <n v="8750"/>
    <x v="1"/>
  </r>
  <r>
    <s v="ACC-IND-10376"/>
    <x v="19"/>
    <d v="2017-04-25T00:00:00"/>
    <n v="8700"/>
    <n v="0"/>
    <n v="0"/>
    <n v="0"/>
    <n v="0"/>
    <n v="0"/>
    <n v="8700"/>
    <x v="1"/>
  </r>
  <r>
    <s v="ACC-IND-10377"/>
    <x v="4"/>
    <d v="2021-08-22T00:00:00"/>
    <n v="2900"/>
    <n v="3"/>
    <n v="8700"/>
    <n v="870"/>
    <n v="7830"/>
    <n v="0"/>
    <n v="2900"/>
    <x v="0"/>
  </r>
  <r>
    <s v="ACC-IND-10378"/>
    <x v="4"/>
    <d v="2020-04-14T00:00:00"/>
    <n v="2950"/>
    <n v="3"/>
    <n v="8850"/>
    <n v="885"/>
    <n v="7965"/>
    <n v="0"/>
    <n v="2950"/>
    <x v="0"/>
  </r>
  <r>
    <s v="ACC-IND-10379"/>
    <x v="4"/>
    <d v="2018-11-18T00:00:00"/>
    <n v="7650"/>
    <n v="3"/>
    <n v="22950"/>
    <n v="2295"/>
    <n v="20655"/>
    <n v="0"/>
    <n v="7650"/>
    <x v="0"/>
  </r>
  <r>
    <s v="ACC-IND-10380"/>
    <x v="16"/>
    <d v="2021-08-08T00:00:00"/>
    <n v="4900"/>
    <n v="1.5"/>
    <n v="7350"/>
    <n v="735"/>
    <n v="6615"/>
    <n v="0"/>
    <n v="4900"/>
    <x v="0"/>
  </r>
  <r>
    <s v="ACC-IND-10381"/>
    <x v="17"/>
    <d v="2016-11-02T00:00:00"/>
    <n v="8050"/>
    <n v="2.5"/>
    <n v="20125"/>
    <n v="2012.5"/>
    <n v="18112.5"/>
    <n v="0"/>
    <n v="8050"/>
    <x v="0"/>
  </r>
  <r>
    <s v="ACC-IND-10382"/>
    <x v="25"/>
    <d v="2022-09-28T00:00:00"/>
    <n v="3950"/>
    <n v="1"/>
    <n v="3950"/>
    <n v="395"/>
    <n v="3555"/>
    <n v="0"/>
    <n v="3950"/>
    <x v="0"/>
  </r>
  <r>
    <s v="ACC-IND-10383"/>
    <x v="15"/>
    <d v="2017-04-21T00:00:00"/>
    <n v="2550"/>
    <n v="3.75"/>
    <n v="9562.5"/>
    <n v="956.25"/>
    <n v="8606.25"/>
    <n v="0"/>
    <n v="2550"/>
    <x v="0"/>
  </r>
  <r>
    <s v="ACC-IND-10384"/>
    <x v="1"/>
    <d v="2016-03-16T00:00:00"/>
    <n v="150"/>
    <n v="0"/>
    <n v="0"/>
    <n v="0"/>
    <n v="0"/>
    <n v="0"/>
    <n v="150"/>
    <x v="1"/>
  </r>
  <r>
    <s v="ACC-IND-10620"/>
    <x v="7"/>
    <d v="2023-11-06T00:00:00"/>
    <n v="900"/>
    <n v="19"/>
    <n v="17100"/>
    <n v="1710"/>
    <n v="15390"/>
    <n v="0"/>
    <n v="900"/>
    <x v="0"/>
  </r>
  <r>
    <s v="ACC-IND-10386"/>
    <x v="22"/>
    <d v="2015-12-01T00:00:00"/>
    <n v="3450"/>
    <n v="0"/>
    <n v="0"/>
    <n v="0"/>
    <n v="0"/>
    <n v="0"/>
    <n v="3450"/>
    <x v="1"/>
  </r>
  <r>
    <s v="ACC-IND-10387"/>
    <x v="2"/>
    <d v="2021-02-26T00:00:00"/>
    <n v="4100"/>
    <n v="3"/>
    <n v="12300"/>
    <n v="1230"/>
    <n v="11070"/>
    <n v="0"/>
    <n v="4100"/>
    <x v="0"/>
  </r>
  <r>
    <s v="ACC-IND-10388"/>
    <x v="5"/>
    <d v="2023-03-15T00:00:00"/>
    <n v="5400"/>
    <n v="6.5"/>
    <n v="35100"/>
    <n v="3510"/>
    <n v="31590"/>
    <n v="0"/>
    <n v="5400"/>
    <x v="0"/>
  </r>
  <r>
    <s v="ACC-IND-10389"/>
    <x v="21"/>
    <d v="2024-01-03T00:00:00"/>
    <n v="8350"/>
    <n v="3.25"/>
    <n v="27137.5"/>
    <n v="2713.75"/>
    <n v="24423.75"/>
    <n v="0"/>
    <n v="8350"/>
    <x v="0"/>
  </r>
  <r>
    <s v="ACC-IND-10390"/>
    <x v="15"/>
    <d v="2021-02-28T00:00:00"/>
    <n v="3350"/>
    <n v="3.75"/>
    <n v="12562.5"/>
    <n v="1256.25"/>
    <n v="11306.25"/>
    <n v="0"/>
    <n v="3350"/>
    <x v="0"/>
  </r>
  <r>
    <s v="ACC-IND-10391"/>
    <x v="22"/>
    <d v="2023-08-20T00:00:00"/>
    <n v="9750"/>
    <n v="0"/>
    <n v="0"/>
    <n v="0"/>
    <n v="0"/>
    <n v="0"/>
    <n v="9750"/>
    <x v="1"/>
  </r>
  <r>
    <s v="ACC-IND-10392"/>
    <x v="17"/>
    <d v="2024-11-06T00:00:00"/>
    <n v="7250"/>
    <n v="1"/>
    <n v="7250"/>
    <n v="725"/>
    <n v="6525"/>
    <n v="0"/>
    <n v="7250"/>
    <x v="0"/>
  </r>
  <r>
    <s v="ACC-IND-10393"/>
    <x v="0"/>
    <d v="2015-12-26T00:00:00"/>
    <n v="2400"/>
    <n v="1.5000000000000002"/>
    <n v="3600.0000000000005"/>
    <n v="360.00000000000006"/>
    <n v="3240.0000000000005"/>
    <n v="0"/>
    <n v="2400"/>
    <x v="0"/>
  </r>
  <r>
    <s v="ACC-IND-10394"/>
    <x v="11"/>
    <d v="2019-12-07T00:00:00"/>
    <n v="8800"/>
    <n v="1"/>
    <n v="8800"/>
    <n v="880"/>
    <n v="7920"/>
    <n v="0"/>
    <n v="8800"/>
    <x v="0"/>
  </r>
  <r>
    <s v="ACC-IND-10395"/>
    <x v="26"/>
    <d v="2019-08-27T00:00:00"/>
    <n v="9150"/>
    <n v="0"/>
    <n v="0"/>
    <n v="0"/>
    <n v="0"/>
    <n v="0"/>
    <n v="9150"/>
    <x v="1"/>
  </r>
  <r>
    <s v="ACC-IND-10396"/>
    <x v="19"/>
    <d v="2023-09-03T00:00:00"/>
    <n v="3150"/>
    <n v="0"/>
    <n v="0"/>
    <n v="0"/>
    <n v="0"/>
    <n v="0"/>
    <n v="3150"/>
    <x v="1"/>
  </r>
  <r>
    <s v="ACC-IND-10397"/>
    <x v="2"/>
    <d v="2022-04-09T00:00:00"/>
    <n v="4200"/>
    <n v="3"/>
    <n v="12600"/>
    <n v="1260"/>
    <n v="11340"/>
    <n v="0"/>
    <n v="4200"/>
    <x v="0"/>
  </r>
  <r>
    <s v="ACC-IND-10398"/>
    <x v="15"/>
    <d v="2021-05-14T00:00:00"/>
    <n v="3200"/>
    <n v="3.75"/>
    <n v="12000"/>
    <n v="1200"/>
    <n v="10800"/>
    <n v="0"/>
    <n v="3200"/>
    <x v="0"/>
  </r>
  <r>
    <s v="ACC-IND-10216"/>
    <x v="7"/>
    <d v="2023-10-02T00:00:00"/>
    <n v="900"/>
    <n v="19"/>
    <n v="17100"/>
    <n v="1710"/>
    <n v="15390"/>
    <n v="0"/>
    <n v="900"/>
    <x v="0"/>
  </r>
  <r>
    <s v="ACC-IND-10400"/>
    <x v="19"/>
    <d v="2018-05-27T00:00:00"/>
    <n v="6300"/>
    <n v="0"/>
    <n v="0"/>
    <n v="0"/>
    <n v="0"/>
    <n v="0"/>
    <n v="6300"/>
    <x v="1"/>
  </r>
  <r>
    <s v="ACC-IND-10401"/>
    <x v="25"/>
    <d v="2023-02-17T00:00:00"/>
    <n v="9450"/>
    <n v="1"/>
    <n v="9450"/>
    <n v="945"/>
    <n v="8505"/>
    <n v="0"/>
    <n v="9450"/>
    <x v="0"/>
  </r>
  <r>
    <s v="ACC-IND-10402"/>
    <x v="22"/>
    <d v="2017-12-09T00:00:00"/>
    <n v="3400"/>
    <n v="0"/>
    <n v="0"/>
    <n v="0"/>
    <n v="0"/>
    <n v="0"/>
    <n v="3400"/>
    <x v="1"/>
  </r>
  <r>
    <s v="ACC-IND-10403"/>
    <x v="29"/>
    <d v="2020-09-16T00:00:00"/>
    <n v="7600"/>
    <n v="2.5"/>
    <n v="19000"/>
    <n v="1900"/>
    <n v="17100"/>
    <n v="0"/>
    <n v="7600"/>
    <x v="0"/>
  </r>
  <r>
    <s v="ACC-IND-10404"/>
    <x v="2"/>
    <d v="2021-11-05T00:00:00"/>
    <n v="750"/>
    <n v="3"/>
    <n v="2250"/>
    <n v="225"/>
    <n v="2025"/>
    <n v="0"/>
    <n v="750"/>
    <x v="0"/>
  </r>
  <r>
    <s v="ACC-IND-10405"/>
    <x v="15"/>
    <d v="2016-10-03T00:00:00"/>
    <n v="3450"/>
    <n v="3.75"/>
    <n v="12937.5"/>
    <n v="1293.75"/>
    <n v="11643.75"/>
    <n v="0"/>
    <n v="3450"/>
    <x v="0"/>
  </r>
  <r>
    <s v="ACC-IND-10406"/>
    <x v="8"/>
    <d v="2018-08-22T00:00:00"/>
    <n v="4350"/>
    <n v="1.2"/>
    <n v="5220"/>
    <n v="522"/>
    <n v="4698"/>
    <n v="0"/>
    <n v="4350"/>
    <x v="0"/>
  </r>
  <r>
    <s v="ACC-IND-10588"/>
    <x v="7"/>
    <d v="2023-09-11T00:00:00"/>
    <n v="900"/>
    <n v="19"/>
    <n v="17100"/>
    <n v="1710"/>
    <n v="15390"/>
    <n v="0"/>
    <n v="900"/>
    <x v="0"/>
  </r>
  <r>
    <s v="ACC-IND-10716"/>
    <x v="7"/>
    <d v="2023-04-16T00:00:00"/>
    <n v="900"/>
    <n v="19"/>
    <n v="17100"/>
    <n v="1710"/>
    <n v="15390"/>
    <n v="0"/>
    <n v="900"/>
    <x v="0"/>
  </r>
  <r>
    <s v="ACC-IND-10409"/>
    <x v="0"/>
    <d v="2022-07-18T00:00:00"/>
    <n v="6000"/>
    <n v="1.5000000000000002"/>
    <n v="9000.0000000000018"/>
    <n v="900.00000000000023"/>
    <n v="8100.0000000000018"/>
    <n v="0"/>
    <n v="6000"/>
    <x v="0"/>
  </r>
  <r>
    <s v="ACC-IND-10410"/>
    <x v="2"/>
    <d v="2015-10-21T00:00:00"/>
    <n v="4300"/>
    <n v="3"/>
    <n v="12900"/>
    <n v="1290"/>
    <n v="11610"/>
    <n v="0"/>
    <n v="4300"/>
    <x v="0"/>
  </r>
  <r>
    <s v="ACC-IND-10411"/>
    <x v="24"/>
    <d v="2016-12-23T00:00:00"/>
    <n v="6750"/>
    <n v="0.02"/>
    <n v="135"/>
    <n v="13.5"/>
    <n v="121.5"/>
    <n v="0"/>
    <n v="6750"/>
    <x v="0"/>
  </r>
  <r>
    <s v="ACC-IND-10412"/>
    <x v="5"/>
    <d v="2019-01-08T00:00:00"/>
    <n v="3400"/>
    <n v="6.5"/>
    <n v="22100"/>
    <n v="2210"/>
    <n v="19890"/>
    <n v="0"/>
    <n v="3400"/>
    <x v="0"/>
  </r>
  <r>
    <s v="ACC-IND-10159"/>
    <x v="7"/>
    <d v="2023-02-07T00:00:00"/>
    <n v="900"/>
    <n v="19"/>
    <n v="17100"/>
    <n v="1710"/>
    <n v="15390"/>
    <n v="0"/>
    <n v="900"/>
    <x v="0"/>
  </r>
  <r>
    <s v="ACC-IND-10414"/>
    <x v="10"/>
    <d v="2020-05-13T00:00:00"/>
    <n v="9900"/>
    <n v="1.35"/>
    <n v="13365"/>
    <n v="1336.5"/>
    <n v="12028.5"/>
    <n v="0"/>
    <n v="9900"/>
    <x v="0"/>
  </r>
  <r>
    <s v="ACC-IND-10415"/>
    <x v="17"/>
    <d v="2020-02-11T00:00:00"/>
    <n v="9600"/>
    <n v="2.5"/>
    <n v="24000"/>
    <n v="2400"/>
    <n v="21600"/>
    <n v="0"/>
    <n v="9600"/>
    <x v="0"/>
  </r>
  <r>
    <s v="ACC-IND-10416"/>
    <x v="8"/>
    <d v="2018-06-17T00:00:00"/>
    <n v="8450"/>
    <n v="1.2"/>
    <n v="10140"/>
    <n v="1014"/>
    <n v="9126"/>
    <n v="0"/>
    <n v="8450"/>
    <x v="0"/>
  </r>
  <r>
    <s v="ACC-IND-10417"/>
    <x v="16"/>
    <d v="2015-05-24T00:00:00"/>
    <n v="8850"/>
    <n v="1.5"/>
    <n v="13275"/>
    <n v="1327.5"/>
    <n v="11947.5"/>
    <n v="0"/>
    <n v="8850"/>
    <x v="0"/>
  </r>
  <r>
    <s v="ACC-IND-10418"/>
    <x v="38"/>
    <d v="2024-08-04T00:00:00"/>
    <n v="1000"/>
    <n v="0.30000000000000004"/>
    <n v="300.00000000000006"/>
    <n v="30.000000000000007"/>
    <n v="270.00000000000006"/>
    <n v="0"/>
    <n v="1000"/>
    <x v="0"/>
  </r>
  <r>
    <s v="ACC-IND-10419"/>
    <x v="15"/>
    <d v="2020-05-02T00:00:00"/>
    <n v="6400"/>
    <n v="3.75"/>
    <n v="24000"/>
    <n v="2400"/>
    <n v="21600"/>
    <n v="0"/>
    <n v="6400"/>
    <x v="0"/>
  </r>
  <r>
    <s v="ACC-IND-10420"/>
    <x v="16"/>
    <d v="2022-06-04T00:00:00"/>
    <n v="8650"/>
    <n v="1.5"/>
    <n v="12975"/>
    <n v="1297.5"/>
    <n v="11677.5"/>
    <n v="0"/>
    <n v="8650"/>
    <x v="0"/>
  </r>
  <r>
    <s v="ACC-IND-10421"/>
    <x v="33"/>
    <d v="2019-07-07T00:00:00"/>
    <n v="6400"/>
    <n v="1.1000000000000001"/>
    <n v="7040.0000000000009"/>
    <n v="704.00000000000011"/>
    <n v="6336.0000000000009"/>
    <n v="0"/>
    <n v="6400"/>
    <x v="0"/>
  </r>
  <r>
    <s v="ACC-IND-10422"/>
    <x v="29"/>
    <d v="2019-04-09T00:00:00"/>
    <n v="5750"/>
    <n v="2.5"/>
    <n v="14375"/>
    <n v="1437.5"/>
    <n v="12937.5"/>
    <n v="0"/>
    <n v="5750"/>
    <x v="0"/>
  </r>
  <r>
    <s v="ACC-IND-10423"/>
    <x v="13"/>
    <d v="2020-06-17T00:00:00"/>
    <n v="850"/>
    <n v="0"/>
    <n v="0"/>
    <n v="0"/>
    <n v="0"/>
    <n v="0"/>
    <n v="850"/>
    <x v="1"/>
  </r>
  <r>
    <s v="ACC-IND-10424"/>
    <x v="19"/>
    <d v="2024-11-27T00:00:00"/>
    <n v="6750"/>
    <n v="0"/>
    <n v="0"/>
    <n v="0"/>
    <n v="0"/>
    <n v="0"/>
    <n v="6750"/>
    <x v="1"/>
  </r>
  <r>
    <s v="ACC-IND-10425"/>
    <x v="1"/>
    <d v="2018-12-06T00:00:00"/>
    <n v="7150"/>
    <n v="0"/>
    <n v="0"/>
    <n v="0"/>
    <n v="0"/>
    <n v="0"/>
    <n v="7150"/>
    <x v="1"/>
  </r>
  <r>
    <s v="ACC-IND-10426"/>
    <x v="16"/>
    <d v="2015-09-13T00:00:00"/>
    <n v="5500"/>
    <n v="1.5"/>
    <n v="8250"/>
    <n v="825"/>
    <n v="7425"/>
    <n v="0"/>
    <n v="5500"/>
    <x v="0"/>
  </r>
  <r>
    <s v="ACC-IND-10842"/>
    <x v="7"/>
    <d v="2023-02-03T00:00:00"/>
    <n v="900"/>
    <n v="19"/>
    <n v="17100"/>
    <n v="1710"/>
    <n v="15390"/>
    <n v="0"/>
    <n v="900"/>
    <x v="0"/>
  </r>
  <r>
    <s v="ACC-IND-10428"/>
    <x v="26"/>
    <d v="2019-12-22T00:00:00"/>
    <n v="6600"/>
    <n v="0"/>
    <n v="0"/>
    <n v="0"/>
    <n v="0"/>
    <n v="0"/>
    <n v="6600"/>
    <x v="1"/>
  </r>
  <r>
    <s v="ACC-IND-10429"/>
    <x v="2"/>
    <d v="2018-06-19T00:00:00"/>
    <n v="8550"/>
    <n v="3"/>
    <n v="25650"/>
    <n v="2565"/>
    <n v="23085"/>
    <n v="0"/>
    <n v="8550"/>
    <x v="0"/>
  </r>
  <r>
    <s v="ACC-IND-10600"/>
    <x v="7"/>
    <d v="2023-01-11T00:00:00"/>
    <n v="900"/>
    <n v="19"/>
    <n v="17100"/>
    <n v="1710"/>
    <n v="15390"/>
    <n v="0"/>
    <n v="900"/>
    <x v="0"/>
  </r>
  <r>
    <s v="ACC-IND-10431"/>
    <x v="8"/>
    <d v="2016-06-23T00:00:00"/>
    <n v="3250"/>
    <n v="1.2"/>
    <n v="3900"/>
    <n v="390"/>
    <n v="3510"/>
    <n v="0"/>
    <n v="3250"/>
    <x v="0"/>
  </r>
  <r>
    <s v="ACC-IND-10432"/>
    <x v="22"/>
    <d v="2017-11-12T00:00:00"/>
    <n v="7550"/>
    <n v="0"/>
    <n v="0"/>
    <n v="0"/>
    <n v="0"/>
    <n v="0"/>
    <n v="7550"/>
    <x v="1"/>
  </r>
  <r>
    <s v="ACC-IND-10433"/>
    <x v="16"/>
    <d v="2018-10-01T00:00:00"/>
    <n v="2550"/>
    <n v="1.5"/>
    <n v="3825"/>
    <n v="382.5"/>
    <n v="3442.5"/>
    <n v="0"/>
    <n v="2550"/>
    <x v="0"/>
  </r>
  <r>
    <s v="ACC-IND-10434"/>
    <x v="13"/>
    <d v="2024-08-25T00:00:00"/>
    <n v="2250"/>
    <n v="0"/>
    <n v="0"/>
    <n v="0"/>
    <n v="0"/>
    <n v="0"/>
    <n v="2250"/>
    <x v="1"/>
  </r>
  <r>
    <s v="ACC-IND-10435"/>
    <x v="29"/>
    <d v="2019-03-07T00:00:00"/>
    <n v="8950"/>
    <n v="2.5"/>
    <n v="22375"/>
    <n v="2237.5"/>
    <n v="20137.5"/>
    <n v="0"/>
    <n v="8950"/>
    <x v="0"/>
  </r>
  <r>
    <s v="ACC-IND-10436"/>
    <x v="4"/>
    <d v="2020-05-12T00:00:00"/>
    <n v="9900"/>
    <n v="3"/>
    <n v="29700"/>
    <n v="2970"/>
    <n v="26730"/>
    <n v="0"/>
    <n v="9900"/>
    <x v="0"/>
  </r>
  <r>
    <s v="ACC-IND-10437"/>
    <x v="5"/>
    <d v="2017-11-22T00:00:00"/>
    <n v="750"/>
    <n v="6.5"/>
    <n v="4875"/>
    <n v="487.5"/>
    <n v="4387.5"/>
    <n v="0"/>
    <n v="750"/>
    <x v="0"/>
  </r>
  <r>
    <s v="ACC-IND-10438"/>
    <x v="2"/>
    <d v="2020-11-01T00:00:00"/>
    <n v="3450"/>
    <n v="3"/>
    <n v="10350"/>
    <n v="1035"/>
    <n v="9315"/>
    <n v="0"/>
    <n v="3450"/>
    <x v="0"/>
  </r>
  <r>
    <s v="ACC-IND-10439"/>
    <x v="0"/>
    <d v="2018-04-28T00:00:00"/>
    <n v="7850"/>
    <n v="1.5000000000000002"/>
    <n v="11775.000000000002"/>
    <n v="1177.5000000000002"/>
    <n v="10597.500000000002"/>
    <n v="0"/>
    <n v="7850"/>
    <x v="0"/>
  </r>
  <r>
    <s v="ACC-IND-10440"/>
    <x v="10"/>
    <d v="2021-01-10T00:00:00"/>
    <n v="9650"/>
    <n v="1.35"/>
    <n v="13027.5"/>
    <n v="1302.75"/>
    <n v="11724.75"/>
    <n v="0"/>
    <n v="9650"/>
    <x v="0"/>
  </r>
  <r>
    <s v="ACC-IND-10966"/>
    <x v="7"/>
    <d v="2023-01-09T00:00:00"/>
    <n v="900"/>
    <n v="19"/>
    <n v="17100"/>
    <n v="1710"/>
    <n v="15390"/>
    <n v="0"/>
    <n v="900"/>
    <x v="0"/>
  </r>
  <r>
    <s v="ACC-IND-10442"/>
    <x v="1"/>
    <d v="2017-05-25T00:00:00"/>
    <n v="8250"/>
    <n v="0"/>
    <n v="0"/>
    <n v="0"/>
    <n v="0"/>
    <n v="0"/>
    <n v="8250"/>
    <x v="1"/>
  </r>
  <r>
    <s v="ACC-IND-10490"/>
    <x v="7"/>
    <d v="2026-08-01T00:00:00"/>
    <n v="900"/>
    <n v="0"/>
    <n v="0"/>
    <n v="0"/>
    <n v="0"/>
    <n v="0"/>
    <n v="900"/>
    <x v="2"/>
  </r>
  <r>
    <s v="ACC-IND-10444"/>
    <x v="8"/>
    <d v="2018-12-16T00:00:00"/>
    <n v="3650"/>
    <n v="1.2"/>
    <n v="4380"/>
    <n v="438"/>
    <n v="3942"/>
    <n v="0"/>
    <n v="3650"/>
    <x v="0"/>
  </r>
  <r>
    <s v="ACC-IND-10445"/>
    <x v="22"/>
    <d v="2018-05-06T00:00:00"/>
    <n v="3600"/>
    <n v="0"/>
    <n v="0"/>
    <n v="0"/>
    <n v="0"/>
    <n v="0"/>
    <n v="3600"/>
    <x v="1"/>
  </r>
  <r>
    <s v="ACC-IND-10446"/>
    <x v="8"/>
    <d v="2018-05-22T00:00:00"/>
    <n v="9400"/>
    <n v="1.2"/>
    <n v="11280"/>
    <n v="1128"/>
    <n v="10152"/>
    <n v="0"/>
    <n v="9400"/>
    <x v="0"/>
  </r>
  <r>
    <s v="ACC-IND-10136"/>
    <x v="7"/>
    <d v="2022-04-17T00:00:00"/>
    <n v="900"/>
    <n v="19"/>
    <n v="17100"/>
    <n v="1710"/>
    <n v="15390"/>
    <n v="0"/>
    <n v="900"/>
    <x v="0"/>
  </r>
  <r>
    <s v="ACC-IND-10448"/>
    <x v="38"/>
    <d v="2019-01-11T00:00:00"/>
    <n v="4500"/>
    <n v="0.30000000000000004"/>
    <n v="1350.0000000000002"/>
    <n v="135.00000000000003"/>
    <n v="1215.0000000000002"/>
    <n v="0"/>
    <n v="4500"/>
    <x v="0"/>
  </r>
  <r>
    <s v="ACC-IND-10449"/>
    <x v="3"/>
    <d v="2016-11-11T00:00:00"/>
    <n v="3950"/>
    <n v="0"/>
    <n v="0"/>
    <n v="0"/>
    <n v="0"/>
    <n v="0"/>
    <n v="3950"/>
    <x v="1"/>
  </r>
  <r>
    <s v="ACC-IND-10450"/>
    <x v="0"/>
    <d v="2024-12-02T00:00:00"/>
    <n v="3000"/>
    <n v="0.90000000000000013"/>
    <n v="2700.0000000000005"/>
    <n v="270.00000000000006"/>
    <n v="2430.0000000000005"/>
    <n v="0"/>
    <n v="3000"/>
    <x v="0"/>
  </r>
  <r>
    <s v="ACC-IND-10451"/>
    <x v="12"/>
    <d v="2019-05-21T00:00:00"/>
    <n v="3650"/>
    <n v="0"/>
    <n v="0"/>
    <n v="0"/>
    <n v="0"/>
    <n v="0"/>
    <n v="3650"/>
    <x v="1"/>
  </r>
  <r>
    <s v="ACC-IND-10452"/>
    <x v="9"/>
    <d v="2017-12-27T00:00:00"/>
    <n v="5500"/>
    <n v="0"/>
    <n v="0"/>
    <n v="0"/>
    <n v="0"/>
    <n v="0"/>
    <n v="5500"/>
    <x v="1"/>
  </r>
  <r>
    <s v="ACC-IND-10453"/>
    <x v="27"/>
    <d v="2015-07-25T00:00:00"/>
    <n v="9900"/>
    <n v="1.5"/>
    <n v="14850"/>
    <n v="1485"/>
    <n v="13365"/>
    <n v="0"/>
    <n v="9900"/>
    <x v="0"/>
  </r>
  <r>
    <s v="ACC-IND-10454"/>
    <x v="29"/>
    <d v="2020-06-13T00:00:00"/>
    <n v="3500"/>
    <n v="2.5"/>
    <n v="8750"/>
    <n v="875"/>
    <n v="7875"/>
    <n v="0"/>
    <n v="3500"/>
    <x v="0"/>
  </r>
  <r>
    <s v="ACC-IND-10455"/>
    <x v="15"/>
    <d v="2022-09-07T00:00:00"/>
    <n v="350"/>
    <n v="3.75"/>
    <n v="1312.5"/>
    <n v="131.25"/>
    <n v="1181.25"/>
    <n v="0"/>
    <n v="350"/>
    <x v="0"/>
  </r>
  <r>
    <s v="ACC-IND-10456"/>
    <x v="22"/>
    <d v="2016-01-12T00:00:00"/>
    <n v="5900"/>
    <n v="0"/>
    <n v="0"/>
    <n v="0"/>
    <n v="0"/>
    <n v="0"/>
    <n v="5900"/>
    <x v="1"/>
  </r>
  <r>
    <s v="ACC-IND-10457"/>
    <x v="16"/>
    <d v="2023-06-21T00:00:00"/>
    <n v="5750"/>
    <n v="1.5"/>
    <n v="8625"/>
    <n v="862.5"/>
    <n v="7762.5"/>
    <n v="0"/>
    <n v="5750"/>
    <x v="0"/>
  </r>
  <r>
    <s v="ACC-IND-10458"/>
    <x v="26"/>
    <d v="2017-09-13T00:00:00"/>
    <n v="8500"/>
    <n v="0"/>
    <n v="0"/>
    <n v="0"/>
    <n v="0"/>
    <n v="0"/>
    <n v="8500"/>
    <x v="1"/>
  </r>
  <r>
    <s v="ACC-IND-10408"/>
    <x v="7"/>
    <d v="2022-04-07T00:00:00"/>
    <n v="900"/>
    <n v="19"/>
    <n v="17100"/>
    <n v="1710"/>
    <n v="15390"/>
    <n v="0"/>
    <n v="900"/>
    <x v="0"/>
  </r>
  <r>
    <s v="ACC-IND-10460"/>
    <x v="31"/>
    <d v="2016-03-17T00:00:00"/>
    <n v="5550"/>
    <n v="0"/>
    <n v="0"/>
    <n v="0"/>
    <n v="0"/>
    <n v="0"/>
    <n v="5550"/>
    <x v="1"/>
  </r>
  <r>
    <s v="ACC-IND-10461"/>
    <x v="19"/>
    <d v="2015-04-27T00:00:00"/>
    <n v="5200"/>
    <n v="0"/>
    <n v="0"/>
    <n v="0"/>
    <n v="0"/>
    <n v="0"/>
    <n v="5200"/>
    <x v="1"/>
  </r>
  <r>
    <s v="ACC-IND-10462"/>
    <x v="14"/>
    <d v="2020-02-02T00:00:00"/>
    <n v="4000"/>
    <n v="0.2"/>
    <n v="800"/>
    <n v="80"/>
    <n v="720"/>
    <n v="0"/>
    <n v="4000"/>
    <x v="0"/>
  </r>
  <r>
    <s v="ACC-IND-10463"/>
    <x v="4"/>
    <d v="2017-06-15T00:00:00"/>
    <n v="2900"/>
    <n v="3"/>
    <n v="8700"/>
    <n v="870"/>
    <n v="7830"/>
    <n v="0"/>
    <n v="2900"/>
    <x v="0"/>
  </r>
  <r>
    <s v="ACC-IND-10464"/>
    <x v="0"/>
    <d v="2024-04-14T00:00:00"/>
    <n v="250"/>
    <n v="1.5000000000000002"/>
    <n v="375.00000000000006"/>
    <n v="37.500000000000007"/>
    <n v="337.50000000000006"/>
    <n v="0"/>
    <n v="250"/>
    <x v="0"/>
  </r>
  <r>
    <s v="ACC-IND-10465"/>
    <x v="12"/>
    <d v="2024-03-04T00:00:00"/>
    <n v="6450"/>
    <n v="0"/>
    <n v="0"/>
    <n v="0"/>
    <n v="0"/>
    <n v="0"/>
    <n v="6450"/>
    <x v="1"/>
  </r>
  <r>
    <s v="ACC-IND-10466"/>
    <x v="9"/>
    <d v="2021-05-05T00:00:00"/>
    <n v="9250"/>
    <n v="0"/>
    <n v="0"/>
    <n v="0"/>
    <n v="0"/>
    <n v="0"/>
    <n v="9250"/>
    <x v="1"/>
  </r>
  <r>
    <s v="ACC-IND-10467"/>
    <x v="27"/>
    <d v="2018-12-09T00:00:00"/>
    <n v="9000"/>
    <n v="1.5"/>
    <n v="13500"/>
    <n v="1350"/>
    <n v="12150"/>
    <n v="0"/>
    <n v="9000"/>
    <x v="0"/>
  </r>
  <r>
    <s v="ACC-IND-10468"/>
    <x v="8"/>
    <d v="2024-07-21T00:00:00"/>
    <n v="6400"/>
    <n v="1.2"/>
    <n v="7680"/>
    <n v="768"/>
    <n v="6912"/>
    <n v="0"/>
    <n v="6400"/>
    <x v="0"/>
  </r>
  <r>
    <s v="ACC-IND-10469"/>
    <x v="30"/>
    <d v="2018-11-23T00:00:00"/>
    <n v="7300"/>
    <n v="8"/>
    <n v="58400"/>
    <n v="5840"/>
    <n v="52560"/>
    <n v="0"/>
    <n v="7300"/>
    <x v="0"/>
  </r>
  <r>
    <s v="ACC-IND-10470"/>
    <x v="29"/>
    <d v="2015-08-28T00:00:00"/>
    <n v="1700"/>
    <n v="2.5"/>
    <n v="4250"/>
    <n v="425"/>
    <n v="3825"/>
    <n v="0"/>
    <n v="1700"/>
    <x v="0"/>
  </r>
  <r>
    <s v="ACC-IND-10471"/>
    <x v="9"/>
    <d v="2022-07-04T00:00:00"/>
    <n v="6850"/>
    <n v="0"/>
    <n v="0"/>
    <n v="0"/>
    <n v="0"/>
    <n v="0"/>
    <n v="6850"/>
    <x v="1"/>
  </r>
  <r>
    <s v="ACC-IND-10300"/>
    <x v="7"/>
    <d v="2021-01-13T00:00:00"/>
    <n v="900"/>
    <n v="19"/>
    <n v="17100"/>
    <n v="1710"/>
    <n v="15390"/>
    <n v="0"/>
    <n v="900"/>
    <x v="0"/>
  </r>
  <r>
    <s v="ACC-IND-10473"/>
    <x v="18"/>
    <d v="2021-11-03T00:00:00"/>
    <n v="100"/>
    <n v="0.1"/>
    <n v="10"/>
    <n v="1"/>
    <n v="9"/>
    <n v="0"/>
    <n v="100"/>
    <x v="0"/>
  </r>
  <r>
    <s v="ACC-IND-10474"/>
    <x v="1"/>
    <d v="2023-09-19T00:00:00"/>
    <n v="2200"/>
    <n v="0"/>
    <n v="0"/>
    <n v="0"/>
    <n v="0"/>
    <n v="0"/>
    <n v="2200"/>
    <x v="1"/>
  </r>
  <r>
    <s v="ACC-IND-10475"/>
    <x v="12"/>
    <d v="2023-11-04T00:00:00"/>
    <n v="6750"/>
    <n v="0"/>
    <n v="0"/>
    <n v="0"/>
    <n v="0"/>
    <n v="0"/>
    <n v="6750"/>
    <x v="1"/>
  </r>
  <r>
    <s v="ACC-IND-10476"/>
    <x v="15"/>
    <d v="2016-03-24T00:00:00"/>
    <n v="3200"/>
    <n v="3.75"/>
    <n v="12000"/>
    <n v="1200"/>
    <n v="10800"/>
    <n v="0"/>
    <n v="3200"/>
    <x v="0"/>
  </r>
  <r>
    <s v="ACC-IND-10477"/>
    <x v="17"/>
    <d v="2015-10-04T00:00:00"/>
    <n v="6700"/>
    <n v="2.5"/>
    <n v="16750"/>
    <n v="1675"/>
    <n v="15075"/>
    <n v="0"/>
    <n v="6700"/>
    <x v="0"/>
  </r>
  <r>
    <s v="ACC-IND-10064"/>
    <x v="7"/>
    <d v="2020-03-25T00:00:00"/>
    <n v="800"/>
    <n v="19"/>
    <n v="15200"/>
    <n v="1520"/>
    <n v="13680"/>
    <n v="0"/>
    <n v="800"/>
    <x v="0"/>
  </r>
  <r>
    <s v="ACC-IND-10385"/>
    <x v="7"/>
    <d v="2017-04-02T00:00:00"/>
    <n v="800"/>
    <n v="19"/>
    <n v="15200"/>
    <n v="1520"/>
    <n v="13680"/>
    <n v="0"/>
    <n v="800"/>
    <x v="0"/>
  </r>
  <r>
    <s v="ACC-IND-10480"/>
    <x v="17"/>
    <d v="2015-11-20T00:00:00"/>
    <n v="5700"/>
    <n v="2.5"/>
    <n v="14250"/>
    <n v="1425"/>
    <n v="12825"/>
    <n v="0"/>
    <n v="5700"/>
    <x v="0"/>
  </r>
  <r>
    <s v="ACC-IND-10481"/>
    <x v="26"/>
    <d v="2016-06-13T00:00:00"/>
    <n v="3500"/>
    <n v="0"/>
    <n v="0"/>
    <n v="0"/>
    <n v="0"/>
    <n v="0"/>
    <n v="3500"/>
    <x v="1"/>
  </r>
  <r>
    <s v="ACC-IND-10482"/>
    <x v="2"/>
    <d v="2022-10-18T00:00:00"/>
    <n v="6900"/>
    <n v="3"/>
    <n v="20700"/>
    <n v="2070"/>
    <n v="18630"/>
    <n v="0"/>
    <n v="6900"/>
    <x v="0"/>
  </r>
  <r>
    <s v="ACC-IND-10483"/>
    <x v="5"/>
    <d v="2016-12-19T00:00:00"/>
    <n v="3400"/>
    <n v="6.5"/>
    <n v="22100"/>
    <n v="2210"/>
    <n v="19890"/>
    <n v="0"/>
    <n v="3400"/>
    <x v="0"/>
  </r>
  <r>
    <s v="ACC-IND-10484"/>
    <x v="21"/>
    <d v="2015-06-20T00:00:00"/>
    <n v="3550"/>
    <n v="3.25"/>
    <n v="11537.5"/>
    <n v="1153.75"/>
    <n v="10383.75"/>
    <n v="0"/>
    <n v="3550"/>
    <x v="0"/>
  </r>
  <r>
    <s v="ACC-IND-10485"/>
    <x v="8"/>
    <d v="2020-09-22T00:00:00"/>
    <n v="6350"/>
    <n v="1.2"/>
    <n v="7620"/>
    <n v="762"/>
    <n v="6858"/>
    <n v="0"/>
    <n v="6350"/>
    <x v="0"/>
  </r>
  <r>
    <s v="ACC-IND-10486"/>
    <x v="16"/>
    <d v="2022-05-04T00:00:00"/>
    <n v="4100"/>
    <n v="1.5"/>
    <n v="6150"/>
    <n v="615"/>
    <n v="5535"/>
    <n v="0"/>
    <n v="4100"/>
    <x v="0"/>
  </r>
  <r>
    <s v="ACC-IND-10487"/>
    <x v="4"/>
    <d v="2017-02-10T00:00:00"/>
    <n v="5800"/>
    <n v="3"/>
    <n v="17400"/>
    <n v="1740"/>
    <n v="15660"/>
    <n v="0"/>
    <n v="5800"/>
    <x v="0"/>
  </r>
  <r>
    <s v="ACC-IND-10488"/>
    <x v="8"/>
    <d v="2020-01-08T00:00:00"/>
    <n v="2100"/>
    <n v="1.2"/>
    <n v="2520"/>
    <n v="252"/>
    <n v="2268"/>
    <n v="0"/>
    <n v="2100"/>
    <x v="0"/>
  </r>
  <r>
    <s v="ACC-IND-10489"/>
    <x v="8"/>
    <d v="2016-05-06T00:00:00"/>
    <n v="5750"/>
    <n v="1.2"/>
    <n v="6900"/>
    <n v="690"/>
    <n v="6210"/>
    <n v="0"/>
    <n v="5750"/>
    <x v="0"/>
  </r>
  <r>
    <s v="ACC-IND-10147"/>
    <x v="7"/>
    <d v="2023-12-15T00:00:00"/>
    <n v="750"/>
    <n v="19"/>
    <n v="14250"/>
    <n v="1425"/>
    <n v="12825"/>
    <n v="0"/>
    <n v="750"/>
    <x v="0"/>
  </r>
  <r>
    <s v="ACC-IND-10491"/>
    <x v="33"/>
    <d v="2023-06-14T00:00:00"/>
    <n v="1300"/>
    <n v="1.1000000000000001"/>
    <n v="1430.0000000000002"/>
    <n v="143.00000000000003"/>
    <n v="1287.0000000000002"/>
    <n v="0"/>
    <n v="1300"/>
    <x v="0"/>
  </r>
  <r>
    <s v="ACC-IND-10492"/>
    <x v="0"/>
    <d v="2020-02-09T00:00:00"/>
    <n v="7550"/>
    <n v="1.5000000000000002"/>
    <n v="11325.000000000002"/>
    <n v="1132.5000000000002"/>
    <n v="10192.500000000002"/>
    <n v="0"/>
    <n v="7550"/>
    <x v="0"/>
  </r>
  <r>
    <s v="ACC-IND-10493"/>
    <x v="0"/>
    <d v="2021-07-26T00:00:00"/>
    <n v="1650"/>
    <n v="1.5000000000000002"/>
    <n v="2475.0000000000005"/>
    <n v="247.50000000000006"/>
    <n v="2227.5000000000005"/>
    <n v="0"/>
    <n v="1650"/>
    <x v="0"/>
  </r>
  <r>
    <s v="ACC-IND-10494"/>
    <x v="38"/>
    <d v="2018-04-08T00:00:00"/>
    <n v="2750"/>
    <n v="0.30000000000000004"/>
    <n v="825.00000000000011"/>
    <n v="82.500000000000014"/>
    <n v="742.50000000000011"/>
    <n v="0"/>
    <n v="2750"/>
    <x v="0"/>
  </r>
  <r>
    <s v="ACC-IND-10495"/>
    <x v="30"/>
    <d v="2019-10-04T00:00:00"/>
    <n v="5350"/>
    <n v="8"/>
    <n v="42800"/>
    <n v="4280"/>
    <n v="38520"/>
    <n v="0"/>
    <n v="5350"/>
    <x v="0"/>
  </r>
  <r>
    <s v="ACC-IND-10496"/>
    <x v="25"/>
    <d v="2015-03-27T00:00:00"/>
    <n v="1850"/>
    <n v="1"/>
    <n v="1850"/>
    <n v="185"/>
    <n v="1665"/>
    <n v="0"/>
    <n v="1850"/>
    <x v="0"/>
  </r>
  <r>
    <s v="ACC-IND-10497"/>
    <x v="16"/>
    <d v="2018-03-17T00:00:00"/>
    <n v="8550"/>
    <n v="1.5"/>
    <n v="12825"/>
    <n v="1282.5"/>
    <n v="11542.5"/>
    <n v="0"/>
    <n v="8550"/>
    <x v="0"/>
  </r>
  <r>
    <s v="ACC-IND-10498"/>
    <x v="17"/>
    <d v="2015-12-26T00:00:00"/>
    <n v="1900"/>
    <n v="2.5"/>
    <n v="4750"/>
    <n v="475"/>
    <n v="4275"/>
    <n v="0"/>
    <n v="1900"/>
    <x v="0"/>
  </r>
  <r>
    <s v="ACC-IND-10499"/>
    <x v="17"/>
    <d v="2023-08-14T00:00:00"/>
    <n v="5300"/>
    <n v="2.5"/>
    <n v="13250"/>
    <n v="1325"/>
    <n v="11925"/>
    <n v="0"/>
    <n v="5300"/>
    <x v="0"/>
  </r>
  <r>
    <s v="ACC-IND-10777"/>
    <x v="7"/>
    <d v="2022-01-03T00:00:00"/>
    <n v="700"/>
    <n v="19"/>
    <n v="13300"/>
    <n v="1330"/>
    <n v="11970"/>
    <n v="0"/>
    <n v="700"/>
    <x v="0"/>
  </r>
  <r>
    <s v="ACC-IND-10501"/>
    <x v="2"/>
    <d v="2017-07-27T00:00:00"/>
    <n v="500"/>
    <n v="3"/>
    <n v="1500"/>
    <n v="150"/>
    <n v="1350"/>
    <n v="0"/>
    <n v="500"/>
    <x v="0"/>
  </r>
  <r>
    <s v="ACC-IND-10502"/>
    <x v="4"/>
    <d v="2018-07-11T00:00:00"/>
    <n v="6550"/>
    <n v="3"/>
    <n v="19650"/>
    <n v="1965"/>
    <n v="17685"/>
    <n v="0"/>
    <n v="6550"/>
    <x v="0"/>
  </r>
  <r>
    <s v="ACC-IND-10503"/>
    <x v="3"/>
    <d v="2017-05-17T00:00:00"/>
    <n v="5550"/>
    <n v="0"/>
    <n v="0"/>
    <n v="0"/>
    <n v="0"/>
    <n v="0"/>
    <n v="5550"/>
    <x v="1"/>
  </r>
  <r>
    <s v="ACC-IND-10785"/>
    <x v="7"/>
    <d v="2021-12-09T00:00:00"/>
    <n v="700"/>
    <n v="19"/>
    <n v="13300"/>
    <n v="1330"/>
    <n v="11970"/>
    <n v="0"/>
    <n v="700"/>
    <x v="0"/>
  </r>
  <r>
    <s v="ACC-IND-10505"/>
    <x v="14"/>
    <d v="2023-09-06T00:00:00"/>
    <n v="6100"/>
    <n v="0.2"/>
    <n v="1220"/>
    <n v="122"/>
    <n v="1098"/>
    <n v="0"/>
    <n v="6100"/>
    <x v="0"/>
  </r>
  <r>
    <s v="ACC-IND-10506"/>
    <x v="8"/>
    <d v="2020-07-25T00:00:00"/>
    <n v="3750"/>
    <n v="1.2"/>
    <n v="4500"/>
    <n v="450"/>
    <n v="4050"/>
    <n v="0"/>
    <n v="3750"/>
    <x v="0"/>
  </r>
  <r>
    <s v="ACC-IND-10507"/>
    <x v="28"/>
    <d v="2017-02-21T00:00:00"/>
    <n v="2600"/>
    <n v="0"/>
    <n v="0"/>
    <n v="0"/>
    <n v="0"/>
    <n v="3250"/>
    <n v="5850"/>
    <x v="0"/>
  </r>
  <r>
    <s v="ACC-IND-10508"/>
    <x v="4"/>
    <d v="2020-06-27T00:00:00"/>
    <n v="9500"/>
    <n v="3"/>
    <n v="28500"/>
    <n v="2850"/>
    <n v="25650"/>
    <n v="0"/>
    <n v="9500"/>
    <x v="0"/>
  </r>
  <r>
    <s v="ACC-IND-10509"/>
    <x v="9"/>
    <d v="2019-02-16T00:00:00"/>
    <n v="3400"/>
    <n v="0"/>
    <n v="0"/>
    <n v="0"/>
    <n v="0"/>
    <n v="0"/>
    <n v="3400"/>
    <x v="1"/>
  </r>
  <r>
    <s v="ACC-IND-10510"/>
    <x v="14"/>
    <d v="2019-06-03T00:00:00"/>
    <n v="8750"/>
    <n v="0.2"/>
    <n v="1750"/>
    <n v="175"/>
    <n v="1575"/>
    <n v="0"/>
    <n v="8750"/>
    <x v="0"/>
  </r>
  <r>
    <s v="ACC-IND-10511"/>
    <x v="15"/>
    <d v="2023-02-27T00:00:00"/>
    <n v="9950"/>
    <n v="3.75"/>
    <n v="37312.5"/>
    <n v="3731.25"/>
    <n v="33581.25"/>
    <n v="0"/>
    <n v="9950"/>
    <x v="0"/>
  </r>
  <r>
    <s v="ACC-IND-10512"/>
    <x v="4"/>
    <d v="2015-07-07T00:00:00"/>
    <n v="9650"/>
    <n v="3"/>
    <n v="28950"/>
    <n v="2895"/>
    <n v="26055"/>
    <n v="0"/>
    <n v="9650"/>
    <x v="0"/>
  </r>
  <r>
    <s v="ACC-IND-10513"/>
    <x v="36"/>
    <d v="2023-01-22T00:00:00"/>
    <n v="5050"/>
    <n v="0.8"/>
    <n v="4040"/>
    <n v="404"/>
    <n v="3636"/>
    <n v="0"/>
    <n v="5050"/>
    <x v="0"/>
  </r>
  <r>
    <s v="ACC-IND-10514"/>
    <x v="17"/>
    <d v="2017-10-15T00:00:00"/>
    <n v="250"/>
    <n v="2.5"/>
    <n v="625"/>
    <n v="62.5"/>
    <n v="562.5"/>
    <n v="0"/>
    <n v="250"/>
    <x v="0"/>
  </r>
  <r>
    <s v="ACC-IND-10515"/>
    <x v="5"/>
    <d v="2018-12-16T00:00:00"/>
    <n v="3100"/>
    <n v="6.5"/>
    <n v="20150"/>
    <n v="2015"/>
    <n v="18135"/>
    <n v="0"/>
    <n v="3100"/>
    <x v="0"/>
  </r>
  <r>
    <s v="ACC-IND-10516"/>
    <x v="14"/>
    <d v="2024-09-06T00:00:00"/>
    <n v="200"/>
    <n v="0.2"/>
    <n v="40"/>
    <n v="4"/>
    <n v="36"/>
    <n v="0"/>
    <n v="200"/>
    <x v="0"/>
  </r>
  <r>
    <s v="ACC-IND-10829"/>
    <x v="7"/>
    <d v="2021-12-07T00:00:00"/>
    <n v="700"/>
    <n v="19"/>
    <n v="13300"/>
    <n v="1330"/>
    <n v="11970"/>
    <n v="0"/>
    <n v="700"/>
    <x v="0"/>
  </r>
  <r>
    <s v="ACC-IND-10518"/>
    <x v="18"/>
    <d v="2021-11-05T00:00:00"/>
    <n v="5050"/>
    <n v="0.1"/>
    <n v="505"/>
    <n v="50.5"/>
    <n v="454.5"/>
    <n v="0"/>
    <n v="5050"/>
    <x v="0"/>
  </r>
  <r>
    <s v="ACC-IND-10519"/>
    <x v="14"/>
    <d v="2022-06-19T00:00:00"/>
    <n v="4600"/>
    <n v="0.2"/>
    <n v="920"/>
    <n v="92"/>
    <n v="828"/>
    <n v="0"/>
    <n v="4600"/>
    <x v="0"/>
  </r>
  <r>
    <s v="ACC-IND-10413"/>
    <x v="7"/>
    <d v="2021-12-03T00:00:00"/>
    <n v="700"/>
    <n v="19"/>
    <n v="13300"/>
    <n v="1330"/>
    <n v="11970"/>
    <n v="0"/>
    <n v="700"/>
    <x v="0"/>
  </r>
  <r>
    <s v="ACC-IND-10521"/>
    <x v="26"/>
    <d v="2016-05-11T00:00:00"/>
    <n v="4600"/>
    <n v="0"/>
    <n v="0"/>
    <n v="0"/>
    <n v="0"/>
    <n v="0"/>
    <n v="4600"/>
    <x v="1"/>
  </r>
  <r>
    <s v="ACC-IND-10522"/>
    <x v="22"/>
    <d v="2017-02-23T00:00:00"/>
    <n v="3400"/>
    <n v="0"/>
    <n v="0"/>
    <n v="0"/>
    <n v="0"/>
    <n v="0"/>
    <n v="3400"/>
    <x v="1"/>
  </r>
  <r>
    <s v="ACC-IND-10523"/>
    <x v="1"/>
    <d v="2024-02-16T00:00:00"/>
    <n v="9050"/>
    <n v="0"/>
    <n v="0"/>
    <n v="0"/>
    <n v="0"/>
    <n v="0"/>
    <n v="9050"/>
    <x v="1"/>
  </r>
  <r>
    <s v="ACC-IND-10524"/>
    <x v="21"/>
    <d v="2019-07-20T00:00:00"/>
    <n v="10050"/>
    <n v="3.25"/>
    <n v="32662.5"/>
    <n v="3266.25"/>
    <n v="29396.25"/>
    <n v="0"/>
    <n v="10050"/>
    <x v="0"/>
  </r>
  <r>
    <s v="ACC-IND-10525"/>
    <x v="9"/>
    <d v="2023-01-09T00:00:00"/>
    <n v="5400"/>
    <n v="0"/>
    <n v="0"/>
    <n v="0"/>
    <n v="0"/>
    <n v="0"/>
    <n v="5400"/>
    <x v="1"/>
  </r>
  <r>
    <s v="ACC-IND-10526"/>
    <x v="17"/>
    <d v="2019-10-20T00:00:00"/>
    <n v="3750"/>
    <n v="2.5"/>
    <n v="9375"/>
    <n v="937.5"/>
    <n v="8437.5"/>
    <n v="0"/>
    <n v="3750"/>
    <x v="0"/>
  </r>
  <r>
    <s v="ACC-IND-10527"/>
    <x v="17"/>
    <d v="2021-04-12T00:00:00"/>
    <n v="8100"/>
    <n v="2.5"/>
    <n v="20250"/>
    <n v="2025"/>
    <n v="18225"/>
    <n v="0"/>
    <n v="8100"/>
    <x v="0"/>
  </r>
  <r>
    <s v="ACC-IND-10220"/>
    <x v="7"/>
    <d v="2021-04-03T00:00:00"/>
    <n v="700"/>
    <n v="19"/>
    <n v="13300"/>
    <n v="1330"/>
    <n v="11970"/>
    <n v="0"/>
    <n v="700"/>
    <x v="0"/>
  </r>
  <r>
    <s v="ACC-IND-10529"/>
    <x v="17"/>
    <d v="2018-06-07T00:00:00"/>
    <n v="6450"/>
    <n v="2.5"/>
    <n v="16125"/>
    <n v="1612.5"/>
    <n v="14512.5"/>
    <n v="0"/>
    <n v="6450"/>
    <x v="0"/>
  </r>
  <r>
    <s v="ACC-IND-10530"/>
    <x v="4"/>
    <d v="2024-02-26T00:00:00"/>
    <n v="7750"/>
    <n v="3"/>
    <n v="23250"/>
    <n v="2325"/>
    <n v="20925"/>
    <n v="0"/>
    <n v="7750"/>
    <x v="0"/>
  </r>
  <r>
    <s v="ACC-IND-10531"/>
    <x v="16"/>
    <d v="2022-01-16T00:00:00"/>
    <n v="5300"/>
    <n v="1.5"/>
    <n v="7950"/>
    <n v="795"/>
    <n v="7155"/>
    <n v="0"/>
    <n v="5300"/>
    <x v="0"/>
  </r>
  <r>
    <s v="ACC-IND-10532"/>
    <x v="4"/>
    <d v="2016-10-18T00:00:00"/>
    <n v="1600"/>
    <n v="3"/>
    <n v="4800"/>
    <n v="480"/>
    <n v="4320"/>
    <n v="0"/>
    <n v="1600"/>
    <x v="0"/>
  </r>
  <r>
    <s v="ACC-IND-10533"/>
    <x v="4"/>
    <d v="2021-07-28T00:00:00"/>
    <n v="7900"/>
    <n v="3"/>
    <n v="23700"/>
    <n v="2370"/>
    <n v="21330"/>
    <n v="0"/>
    <n v="7900"/>
    <x v="0"/>
  </r>
  <r>
    <s v="ACC-IND-10534"/>
    <x v="12"/>
    <d v="2018-05-28T00:00:00"/>
    <n v="5500"/>
    <n v="0"/>
    <n v="0"/>
    <n v="0"/>
    <n v="0"/>
    <n v="0"/>
    <n v="5500"/>
    <x v="1"/>
  </r>
  <r>
    <s v="ACC-IND-10535"/>
    <x v="4"/>
    <d v="2021-06-06T00:00:00"/>
    <n v="1400"/>
    <n v="3"/>
    <n v="4200"/>
    <n v="420"/>
    <n v="3780"/>
    <n v="0"/>
    <n v="1400"/>
    <x v="0"/>
  </r>
  <r>
    <s v="ACC-IND-10536"/>
    <x v="32"/>
    <d v="2019-03-03T00:00:00"/>
    <n v="9800"/>
    <n v="0"/>
    <n v="0"/>
    <n v="0"/>
    <n v="0"/>
    <n v="0"/>
    <n v="9800"/>
    <x v="1"/>
  </r>
  <r>
    <s v="ACC-IND-10537"/>
    <x v="25"/>
    <d v="2020-01-25T00:00:00"/>
    <n v="4700"/>
    <n v="1"/>
    <n v="4700"/>
    <n v="470"/>
    <n v="4230"/>
    <n v="0"/>
    <n v="4700"/>
    <x v="0"/>
  </r>
  <r>
    <s v="ACC-IND-10538"/>
    <x v="8"/>
    <d v="2017-08-08T00:00:00"/>
    <n v="300"/>
    <n v="1.2"/>
    <n v="360"/>
    <n v="36"/>
    <n v="324"/>
    <n v="0"/>
    <n v="300"/>
    <x v="0"/>
  </r>
  <r>
    <s v="ACC-IND-10539"/>
    <x v="3"/>
    <d v="2024-05-19T00:00:00"/>
    <n v="9100"/>
    <n v="0"/>
    <n v="0"/>
    <n v="0"/>
    <n v="0"/>
    <n v="0"/>
    <n v="9100"/>
    <x v="1"/>
  </r>
  <r>
    <s v="ACC-IND-10790"/>
    <x v="7"/>
    <d v="2020-09-23T00:00:00"/>
    <n v="700"/>
    <n v="19"/>
    <n v="13300"/>
    <n v="1330"/>
    <n v="11970"/>
    <n v="0"/>
    <n v="700"/>
    <x v="0"/>
  </r>
  <r>
    <s v="ACC-IND-10541"/>
    <x v="3"/>
    <d v="2018-12-09T00:00:00"/>
    <n v="1150"/>
    <n v="0"/>
    <n v="0"/>
    <n v="0"/>
    <n v="0"/>
    <n v="0"/>
    <n v="1150"/>
    <x v="1"/>
  </r>
  <r>
    <s v="ACC-IND-10542"/>
    <x v="26"/>
    <d v="2017-02-16T00:00:00"/>
    <n v="3650"/>
    <n v="0"/>
    <n v="0"/>
    <n v="0"/>
    <n v="0"/>
    <n v="0"/>
    <n v="3650"/>
    <x v="1"/>
  </r>
  <r>
    <s v="ACC-IND-10103"/>
    <x v="7"/>
    <d v="2020-08-04T00:00:00"/>
    <n v="700"/>
    <n v="19"/>
    <n v="13300"/>
    <n v="1330"/>
    <n v="11970"/>
    <n v="0"/>
    <n v="700"/>
    <x v="0"/>
  </r>
  <r>
    <s v="ACC-IND-10544"/>
    <x v="0"/>
    <d v="2017-12-21T00:00:00"/>
    <n v="3750"/>
    <n v="1.5000000000000002"/>
    <n v="5625.0000000000009"/>
    <n v="562.50000000000011"/>
    <n v="5062.5000000000009"/>
    <n v="0"/>
    <n v="3750"/>
    <x v="0"/>
  </r>
  <r>
    <s v="ACC-IND-10545"/>
    <x v="4"/>
    <d v="2015-03-04T00:00:00"/>
    <n v="6100"/>
    <n v="3"/>
    <n v="18300"/>
    <n v="1830"/>
    <n v="16470"/>
    <n v="0"/>
    <n v="6100"/>
    <x v="0"/>
  </r>
  <r>
    <s v="ACC-IND-10546"/>
    <x v="2"/>
    <d v="2015-10-16T00:00:00"/>
    <n v="500"/>
    <n v="3"/>
    <n v="1500"/>
    <n v="150"/>
    <n v="1350"/>
    <n v="0"/>
    <n v="500"/>
    <x v="0"/>
  </r>
  <r>
    <s v="ACC-IND-10547"/>
    <x v="11"/>
    <d v="2024-12-07T00:00:00"/>
    <n v="300"/>
    <n v="0.5"/>
    <n v="150"/>
    <n v="15"/>
    <n v="135"/>
    <n v="0"/>
    <n v="300"/>
    <x v="0"/>
  </r>
  <r>
    <s v="ACC-IND-10479"/>
    <x v="7"/>
    <d v="2020-04-07T00:00:00"/>
    <n v="700"/>
    <n v="19"/>
    <n v="13300"/>
    <n v="1330"/>
    <n v="11970"/>
    <n v="0"/>
    <n v="700"/>
    <x v="0"/>
  </r>
  <r>
    <s v="ACC-IND-10549"/>
    <x v="9"/>
    <d v="2018-12-07T00:00:00"/>
    <n v="8050"/>
    <n v="0"/>
    <n v="0"/>
    <n v="0"/>
    <n v="0"/>
    <n v="0"/>
    <n v="8050"/>
    <x v="1"/>
  </r>
  <r>
    <s v="ACC-IND-10550"/>
    <x v="28"/>
    <d v="2017-09-08T00:00:00"/>
    <n v="3900"/>
    <n v="0"/>
    <n v="0"/>
    <n v="0"/>
    <n v="0"/>
    <n v="4875"/>
    <n v="8775"/>
    <x v="0"/>
  </r>
  <r>
    <s v="ACC-IND-10551"/>
    <x v="5"/>
    <d v="2015-07-27T00:00:00"/>
    <n v="4350"/>
    <n v="6.5"/>
    <n v="28275"/>
    <n v="2827.5"/>
    <n v="25447.5"/>
    <n v="0"/>
    <n v="4350"/>
    <x v="0"/>
  </r>
  <r>
    <s v="ACC-IND-10552"/>
    <x v="14"/>
    <d v="2018-09-09T00:00:00"/>
    <n v="5700"/>
    <n v="0.2"/>
    <n v="1140"/>
    <n v="114"/>
    <n v="1026"/>
    <n v="0"/>
    <n v="5700"/>
    <x v="0"/>
  </r>
  <r>
    <s v="ACC-IND-10553"/>
    <x v="3"/>
    <d v="2019-04-28T00:00:00"/>
    <n v="9850"/>
    <n v="0"/>
    <n v="0"/>
    <n v="0"/>
    <n v="0"/>
    <n v="0"/>
    <n v="9850"/>
    <x v="1"/>
  </r>
  <r>
    <s v="ACC-IND-10554"/>
    <x v="8"/>
    <d v="2019-11-20T00:00:00"/>
    <n v="300"/>
    <n v="1.2"/>
    <n v="360"/>
    <n v="36"/>
    <n v="324"/>
    <n v="0"/>
    <n v="300"/>
    <x v="0"/>
  </r>
  <r>
    <s v="ACC-IND-10555"/>
    <x v="9"/>
    <d v="2018-01-23T00:00:00"/>
    <n v="1150"/>
    <n v="0"/>
    <n v="0"/>
    <n v="0"/>
    <n v="0"/>
    <n v="0"/>
    <n v="1150"/>
    <x v="1"/>
  </r>
  <r>
    <s v="ACC-IND-10791"/>
    <x v="7"/>
    <d v="2019-02-08T00:00:00"/>
    <n v="700"/>
    <n v="19"/>
    <n v="13300"/>
    <n v="1330"/>
    <n v="11970"/>
    <n v="0"/>
    <n v="700"/>
    <x v="0"/>
  </r>
  <r>
    <s v="ACC-IND-10557"/>
    <x v="33"/>
    <d v="2019-06-24T00:00:00"/>
    <n v="4000"/>
    <n v="1.1000000000000001"/>
    <n v="4400"/>
    <n v="440"/>
    <n v="3960"/>
    <n v="0"/>
    <n v="4000"/>
    <x v="0"/>
  </r>
  <r>
    <s v="ACC-IND-10261"/>
    <x v="7"/>
    <d v="2023-03-09T00:00:00"/>
    <n v="550"/>
    <n v="19"/>
    <n v="10450"/>
    <n v="1045"/>
    <n v="9405"/>
    <n v="0"/>
    <n v="550"/>
    <x v="0"/>
  </r>
  <r>
    <s v="ACC-IND-10559"/>
    <x v="4"/>
    <d v="2021-07-03T00:00:00"/>
    <n v="8600"/>
    <n v="3"/>
    <n v="25800"/>
    <n v="2580"/>
    <n v="23220"/>
    <n v="0"/>
    <n v="8600"/>
    <x v="0"/>
  </r>
  <r>
    <s v="ACC-IND-10560"/>
    <x v="16"/>
    <d v="2022-08-26T00:00:00"/>
    <n v="2000"/>
    <n v="1.5"/>
    <n v="3000"/>
    <n v="300"/>
    <n v="2700"/>
    <n v="0"/>
    <n v="2000"/>
    <x v="0"/>
  </r>
  <r>
    <s v="ACC-IND-10561"/>
    <x v="9"/>
    <d v="2020-10-21T00:00:00"/>
    <n v="7550"/>
    <n v="0"/>
    <n v="0"/>
    <n v="0"/>
    <n v="0"/>
    <n v="0"/>
    <n v="7550"/>
    <x v="1"/>
  </r>
  <r>
    <s v="ACC-IND-10562"/>
    <x v="0"/>
    <d v="2015-08-25T00:00:00"/>
    <n v="4300"/>
    <n v="1.5000000000000002"/>
    <n v="6450.0000000000009"/>
    <n v="645.00000000000011"/>
    <n v="5805.0000000000009"/>
    <n v="0"/>
    <n v="4300"/>
    <x v="0"/>
  </r>
  <r>
    <s v="ACC-IND-10563"/>
    <x v="0"/>
    <d v="2024-11-08T00:00:00"/>
    <n v="6550"/>
    <n v="1.2000000000000002"/>
    <n v="7860.0000000000009"/>
    <n v="786.00000000000011"/>
    <n v="7074.0000000000009"/>
    <n v="0"/>
    <n v="6550"/>
    <x v="0"/>
  </r>
  <r>
    <s v="ACC-IND-10564"/>
    <x v="21"/>
    <d v="2019-05-20T00:00:00"/>
    <n v="5300"/>
    <n v="3.25"/>
    <n v="17225"/>
    <n v="1722.5"/>
    <n v="15502.5"/>
    <n v="0"/>
    <n v="5300"/>
    <x v="0"/>
  </r>
  <r>
    <s v="ACC-IND-10565"/>
    <x v="3"/>
    <d v="2018-09-17T00:00:00"/>
    <n v="7000"/>
    <n v="0"/>
    <n v="0"/>
    <n v="0"/>
    <n v="0"/>
    <n v="0"/>
    <n v="7000"/>
    <x v="1"/>
  </r>
  <r>
    <s v="ACC-IND-10566"/>
    <x v="10"/>
    <d v="2023-11-15T00:00:00"/>
    <n v="6100"/>
    <n v="1.35"/>
    <n v="8235"/>
    <n v="823.5"/>
    <n v="7411.5"/>
    <n v="0"/>
    <n v="6100"/>
    <x v="0"/>
  </r>
  <r>
    <s v="ACC-IND-10567"/>
    <x v="5"/>
    <d v="2022-08-18T00:00:00"/>
    <n v="1900"/>
    <n v="6.5"/>
    <n v="12350"/>
    <n v="1235"/>
    <n v="11115"/>
    <n v="0"/>
    <n v="1900"/>
    <x v="0"/>
  </r>
  <r>
    <s v="ACC-IND-10568"/>
    <x v="33"/>
    <d v="2020-05-27T00:00:00"/>
    <n v="1500"/>
    <n v="1.1000000000000001"/>
    <n v="1650.0000000000002"/>
    <n v="165.00000000000003"/>
    <n v="1485.0000000000002"/>
    <n v="0"/>
    <n v="1500"/>
    <x v="0"/>
  </r>
  <r>
    <s v="ACC-IND-10569"/>
    <x v="8"/>
    <d v="2019-08-26T00:00:00"/>
    <n v="3450"/>
    <n v="1.2"/>
    <n v="4140"/>
    <n v="414"/>
    <n v="3726"/>
    <n v="0"/>
    <n v="3450"/>
    <x v="0"/>
  </r>
  <r>
    <s v="ACC-IND-10570"/>
    <x v="8"/>
    <d v="2020-10-16T00:00:00"/>
    <n v="9400"/>
    <n v="1.2"/>
    <n v="11280"/>
    <n v="1128"/>
    <n v="10152"/>
    <n v="0"/>
    <n v="9400"/>
    <x v="0"/>
  </r>
  <r>
    <s v="ACC-IND-10571"/>
    <x v="31"/>
    <d v="2023-03-19T00:00:00"/>
    <n v="3700"/>
    <n v="0"/>
    <n v="0"/>
    <n v="0"/>
    <n v="0"/>
    <n v="0"/>
    <n v="3700"/>
    <x v="1"/>
  </r>
  <r>
    <s v="ACC-IND-10556"/>
    <x v="7"/>
    <d v="2021-02-13T00:00:00"/>
    <n v="550"/>
    <n v="19"/>
    <n v="10450"/>
    <n v="1045"/>
    <n v="9405"/>
    <n v="0"/>
    <n v="550"/>
    <x v="0"/>
  </r>
  <r>
    <s v="ACC-IND-10573"/>
    <x v="9"/>
    <d v="2019-02-04T00:00:00"/>
    <n v="7450"/>
    <n v="0"/>
    <n v="0"/>
    <n v="0"/>
    <n v="0"/>
    <n v="0"/>
    <n v="7450"/>
    <x v="1"/>
  </r>
  <r>
    <s v="ACC-IND-10574"/>
    <x v="9"/>
    <d v="2015-02-27T00:00:00"/>
    <n v="2050"/>
    <n v="0"/>
    <n v="0"/>
    <n v="0"/>
    <n v="0"/>
    <n v="0"/>
    <n v="2050"/>
    <x v="1"/>
  </r>
  <r>
    <s v="ACC-IND-10575"/>
    <x v="16"/>
    <d v="2021-12-21T00:00:00"/>
    <n v="7850"/>
    <n v="1.5"/>
    <n v="11775"/>
    <n v="1177.5"/>
    <n v="10597.5"/>
    <n v="0"/>
    <n v="7850"/>
    <x v="0"/>
  </r>
  <r>
    <s v="ACC-IND-10576"/>
    <x v="5"/>
    <d v="2017-10-01T00:00:00"/>
    <n v="5600"/>
    <n v="6.5"/>
    <n v="36400"/>
    <n v="3640"/>
    <n v="32760"/>
    <n v="0"/>
    <n v="5600"/>
    <x v="0"/>
  </r>
  <r>
    <s v="ACC-IND-10731"/>
    <x v="7"/>
    <d v="2026-07-31T00:00:00"/>
    <n v="550"/>
    <n v="0"/>
    <n v="0"/>
    <n v="0"/>
    <n v="0"/>
    <n v="0"/>
    <n v="550"/>
    <x v="2"/>
  </r>
  <r>
    <s v="ACC-IND-10578"/>
    <x v="10"/>
    <d v="2023-06-12T00:00:00"/>
    <n v="5150"/>
    <n v="1.35"/>
    <n v="6952.5000000000009"/>
    <n v="695.25000000000011"/>
    <n v="6257.2500000000009"/>
    <n v="0"/>
    <n v="5150"/>
    <x v="0"/>
  </r>
  <r>
    <s v="ACC-IND-10579"/>
    <x v="37"/>
    <d v="2020-10-12T00:00:00"/>
    <n v="2450"/>
    <n v="0"/>
    <n v="0"/>
    <n v="0"/>
    <n v="0"/>
    <n v="0"/>
    <n v="2450"/>
    <x v="1"/>
  </r>
  <r>
    <s v="ACC-IND-10124"/>
    <x v="7"/>
    <d v="2020-08-03T00:00:00"/>
    <n v="500"/>
    <n v="19"/>
    <n v="9500"/>
    <n v="950"/>
    <n v="8550"/>
    <n v="0"/>
    <n v="500"/>
    <x v="0"/>
  </r>
  <r>
    <s v="ACC-IND-10581"/>
    <x v="17"/>
    <d v="2016-06-09T00:00:00"/>
    <n v="8300"/>
    <n v="2.5"/>
    <n v="20750"/>
    <n v="2075"/>
    <n v="18675"/>
    <n v="0"/>
    <n v="8300"/>
    <x v="0"/>
  </r>
  <r>
    <s v="ACC-IND-10582"/>
    <x v="0"/>
    <d v="2015-08-06T00:00:00"/>
    <n v="8100"/>
    <n v="1.5000000000000002"/>
    <n v="12150.000000000002"/>
    <n v="1215.0000000000002"/>
    <n v="10935.000000000002"/>
    <n v="0"/>
    <n v="8100"/>
    <x v="0"/>
  </r>
  <r>
    <s v="ACC-IND-10938"/>
    <x v="7"/>
    <d v="2021-04-09T00:00:00"/>
    <n v="400"/>
    <n v="19"/>
    <n v="7600"/>
    <n v="760"/>
    <n v="6840"/>
    <n v="0"/>
    <n v="400"/>
    <x v="0"/>
  </r>
  <r>
    <s v="ACC-IND-10584"/>
    <x v="31"/>
    <d v="2018-10-28T00:00:00"/>
    <n v="8150"/>
    <n v="0"/>
    <n v="0"/>
    <n v="0"/>
    <n v="0"/>
    <n v="0"/>
    <n v="8150"/>
    <x v="1"/>
  </r>
  <r>
    <s v="ACC-IND-10585"/>
    <x v="6"/>
    <d v="2024-09-23T00:00:00"/>
    <n v="8950"/>
    <n v="0"/>
    <n v="0"/>
    <n v="0"/>
    <n v="0"/>
    <n v="0"/>
    <n v="8950"/>
    <x v="1"/>
  </r>
  <r>
    <s v="ACC-IND-10719"/>
    <x v="7"/>
    <d v="2017-05-24T00:00:00"/>
    <n v="400"/>
    <n v="19"/>
    <n v="7600"/>
    <n v="760"/>
    <n v="6840"/>
    <n v="0"/>
    <n v="400"/>
    <x v="0"/>
  </r>
  <r>
    <s v="ACC-IND-10587"/>
    <x v="22"/>
    <d v="2021-12-28T00:00:00"/>
    <n v="5100"/>
    <n v="0"/>
    <n v="0"/>
    <n v="0"/>
    <n v="0"/>
    <n v="0"/>
    <n v="5100"/>
    <x v="1"/>
  </r>
  <r>
    <s v="ACC-IND-10459"/>
    <x v="7"/>
    <d v="2017-04-25T00:00:00"/>
    <n v="400"/>
    <n v="19"/>
    <n v="7600"/>
    <n v="760"/>
    <n v="6840"/>
    <n v="0"/>
    <n v="400"/>
    <x v="0"/>
  </r>
  <r>
    <s v="ACC-IND-10589"/>
    <x v="24"/>
    <d v="2015-08-10T00:00:00"/>
    <n v="4900"/>
    <n v="0.02"/>
    <n v="98"/>
    <n v="9.8000000000000007"/>
    <n v="88.2"/>
    <n v="0"/>
    <n v="4900"/>
    <x v="0"/>
  </r>
  <r>
    <s v="ACC-IND-10590"/>
    <x v="15"/>
    <d v="2018-06-11T00:00:00"/>
    <n v="2400"/>
    <n v="3.75"/>
    <n v="9000"/>
    <n v="900"/>
    <n v="8100"/>
    <n v="0"/>
    <n v="2400"/>
    <x v="0"/>
  </r>
  <r>
    <s v="ACC-IND-10591"/>
    <x v="31"/>
    <d v="2015-07-26T00:00:00"/>
    <n v="4400"/>
    <n v="0"/>
    <n v="0"/>
    <n v="0"/>
    <n v="0"/>
    <n v="0"/>
    <n v="4400"/>
    <x v="1"/>
  </r>
  <r>
    <s v="ACC-IND-10592"/>
    <x v="6"/>
    <d v="2023-09-28T00:00:00"/>
    <n v="5500"/>
    <n v="0"/>
    <n v="0"/>
    <n v="0"/>
    <n v="0"/>
    <n v="0"/>
    <n v="5500"/>
    <x v="1"/>
  </r>
  <r>
    <s v="ACC-IND-10593"/>
    <x v="21"/>
    <d v="2024-11-25T00:00:00"/>
    <n v="9450"/>
    <n v="3.25"/>
    <n v="30712.5"/>
    <n v="3071.25"/>
    <n v="27641.25"/>
    <n v="0"/>
    <n v="9450"/>
    <x v="0"/>
  </r>
  <r>
    <s v="ACC-IND-10594"/>
    <x v="16"/>
    <d v="2016-03-17T00:00:00"/>
    <n v="9000"/>
    <n v="1.5"/>
    <n v="13500"/>
    <n v="1350"/>
    <n v="12150"/>
    <n v="0"/>
    <n v="9000"/>
    <x v="0"/>
  </r>
  <r>
    <s v="ACC-IND-10595"/>
    <x v="11"/>
    <d v="2024-12-10T00:00:00"/>
    <n v="6500"/>
    <n v="0.5"/>
    <n v="3250"/>
    <n v="325"/>
    <n v="2925"/>
    <n v="0"/>
    <n v="6500"/>
    <x v="0"/>
  </r>
  <r>
    <s v="ACC-IND-10596"/>
    <x v="17"/>
    <d v="2016-07-25T00:00:00"/>
    <n v="6400"/>
    <n v="2.5"/>
    <n v="16000"/>
    <n v="1600"/>
    <n v="14400"/>
    <n v="0"/>
    <n v="6400"/>
    <x v="0"/>
  </r>
  <r>
    <s v="ACC-IND-10597"/>
    <x v="0"/>
    <d v="2016-10-17T00:00:00"/>
    <n v="5300"/>
    <n v="1.5000000000000002"/>
    <n v="7950.0000000000009"/>
    <n v="795.00000000000011"/>
    <n v="7155.0000000000009"/>
    <n v="0"/>
    <n v="5300"/>
    <x v="0"/>
  </r>
  <r>
    <s v="ACC-IND-10598"/>
    <x v="23"/>
    <d v="2020-11-22T00:00:00"/>
    <n v="5800"/>
    <n v="7.0000000000000007E-2"/>
    <n v="406.00000000000006"/>
    <n v="40.600000000000009"/>
    <n v="365.40000000000003"/>
    <n v="0"/>
    <n v="5800"/>
    <x v="0"/>
  </r>
  <r>
    <s v="ACC-IND-10599"/>
    <x v="34"/>
    <d v="2017-08-18T00:00:00"/>
    <n v="4550"/>
    <n v="0"/>
    <n v="0"/>
    <n v="0"/>
    <n v="0"/>
    <n v="0"/>
    <n v="4550"/>
    <x v="1"/>
  </r>
  <r>
    <s v="ACC-IND-10160"/>
    <x v="7"/>
    <d v="2024-07-27T00:00:00"/>
    <n v="200"/>
    <n v="19"/>
    <n v="3800"/>
    <n v="380"/>
    <n v="3420"/>
    <n v="0"/>
    <n v="200"/>
    <x v="0"/>
  </r>
  <r>
    <s v="ACC-IND-10601"/>
    <x v="4"/>
    <d v="2019-02-28T00:00:00"/>
    <n v="9800"/>
    <n v="3"/>
    <n v="29400"/>
    <n v="2940"/>
    <n v="26460"/>
    <n v="0"/>
    <n v="9800"/>
    <x v="0"/>
  </r>
  <r>
    <s v="ACC-IND-10602"/>
    <x v="19"/>
    <d v="2017-09-15T00:00:00"/>
    <n v="8600"/>
    <n v="0"/>
    <n v="0"/>
    <n v="0"/>
    <n v="0"/>
    <n v="0"/>
    <n v="8600"/>
    <x v="1"/>
  </r>
  <r>
    <s v="ACC-IND-10543"/>
    <x v="7"/>
    <d v="2024-05-06T00:00:00"/>
    <n v="150"/>
    <n v="19"/>
    <n v="2850"/>
    <n v="285"/>
    <n v="2565"/>
    <n v="0"/>
    <n v="150"/>
    <x v="0"/>
  </r>
  <r>
    <s v="ACC-IND-10604"/>
    <x v="12"/>
    <d v="2017-05-09T00:00:00"/>
    <n v="4000"/>
    <n v="0"/>
    <n v="0"/>
    <n v="0"/>
    <n v="0"/>
    <n v="0"/>
    <n v="4000"/>
    <x v="1"/>
  </r>
  <r>
    <s v="ACC-IND-10605"/>
    <x v="14"/>
    <d v="2020-05-20T00:00:00"/>
    <n v="9850"/>
    <n v="0.2"/>
    <n v="1970"/>
    <n v="197"/>
    <n v="1773"/>
    <n v="0"/>
    <n v="9850"/>
    <x v="0"/>
  </r>
  <r>
    <s v="ACC-IND-10606"/>
    <x v="5"/>
    <d v="2018-03-26T00:00:00"/>
    <n v="1450"/>
    <n v="6.5"/>
    <n v="9425"/>
    <n v="942.5"/>
    <n v="8482.5"/>
    <n v="0"/>
    <n v="1450"/>
    <x v="0"/>
  </r>
  <r>
    <s v="ACC-IND-10607"/>
    <x v="4"/>
    <d v="2021-06-09T00:00:00"/>
    <n v="6600"/>
    <n v="3"/>
    <n v="19800"/>
    <n v="1980"/>
    <n v="17820"/>
    <n v="0"/>
    <n v="6600"/>
    <x v="0"/>
  </r>
  <r>
    <s v="ACC-IND-10608"/>
    <x v="10"/>
    <d v="2023-09-22T00:00:00"/>
    <n v="2650"/>
    <n v="1.35"/>
    <n v="3577.5000000000005"/>
    <n v="357.75000000000006"/>
    <n v="3219.7500000000005"/>
    <n v="0"/>
    <n v="2650"/>
    <x v="0"/>
  </r>
  <r>
    <s v="ACC-IND-10609"/>
    <x v="26"/>
    <d v="2022-08-25T00:00:00"/>
    <n v="6750"/>
    <n v="0"/>
    <n v="0"/>
    <n v="0"/>
    <n v="0"/>
    <n v="0"/>
    <n v="6750"/>
    <x v="1"/>
  </r>
  <r>
    <s v="ACC-IND-10610"/>
    <x v="9"/>
    <d v="2021-08-25T00:00:00"/>
    <n v="1750"/>
    <n v="0"/>
    <n v="0"/>
    <n v="0"/>
    <n v="0"/>
    <n v="0"/>
    <n v="1750"/>
    <x v="1"/>
  </r>
  <r>
    <s v="ACC-IND-10611"/>
    <x v="15"/>
    <d v="2015-04-23T00:00:00"/>
    <n v="7050"/>
    <n v="3.75"/>
    <n v="26437.5"/>
    <n v="2643.75"/>
    <n v="23793.75"/>
    <n v="0"/>
    <n v="7050"/>
    <x v="0"/>
  </r>
  <r>
    <s v="ACC-IND-10612"/>
    <x v="29"/>
    <d v="2020-08-12T00:00:00"/>
    <n v="7050"/>
    <n v="2.5"/>
    <n v="17625"/>
    <n v="1762.5"/>
    <n v="15862.5"/>
    <n v="0"/>
    <n v="7050"/>
    <x v="0"/>
  </r>
  <r>
    <s v="ACC-IND-10613"/>
    <x v="9"/>
    <d v="2023-03-18T00:00:00"/>
    <n v="1500"/>
    <n v="0"/>
    <n v="0"/>
    <n v="0"/>
    <n v="0"/>
    <n v="0"/>
    <n v="1500"/>
    <x v="1"/>
  </r>
  <r>
    <s v="ACC-IND-10614"/>
    <x v="12"/>
    <d v="2015-05-20T00:00:00"/>
    <n v="5150"/>
    <n v="0"/>
    <n v="0"/>
    <n v="0"/>
    <n v="0"/>
    <n v="0"/>
    <n v="5150"/>
    <x v="1"/>
  </r>
  <r>
    <s v="ACC-IND-10615"/>
    <x v="5"/>
    <d v="2024-08-12T00:00:00"/>
    <n v="6550"/>
    <n v="4.5"/>
    <n v="29475"/>
    <n v="2947.5"/>
    <n v="26527.5"/>
    <n v="0"/>
    <n v="6550"/>
    <x v="0"/>
  </r>
  <r>
    <s v="ACC-IND-10616"/>
    <x v="35"/>
    <d v="2018-09-03T00:00:00"/>
    <n v="7650"/>
    <n v="0"/>
    <n v="0"/>
    <n v="0"/>
    <n v="0"/>
    <n v="10200"/>
    <n v="17850"/>
    <x v="0"/>
  </r>
  <r>
    <s v="ACC-IND-10617"/>
    <x v="15"/>
    <d v="2018-07-17T00:00:00"/>
    <n v="9450"/>
    <n v="3.75"/>
    <n v="35437.5"/>
    <n v="3543.75"/>
    <n v="31893.75"/>
    <n v="0"/>
    <n v="9450"/>
    <x v="0"/>
  </r>
  <r>
    <s v="ACC-IND-10618"/>
    <x v="18"/>
    <d v="2018-06-16T00:00:00"/>
    <n v="500"/>
    <n v="0.1"/>
    <n v="50"/>
    <n v="5"/>
    <n v="45"/>
    <n v="0"/>
    <n v="500"/>
    <x v="0"/>
  </r>
  <r>
    <s v="ACC-IND-10619"/>
    <x v="22"/>
    <d v="2022-08-25T00:00:00"/>
    <n v="8400"/>
    <n v="0"/>
    <n v="0"/>
    <n v="0"/>
    <n v="0"/>
    <n v="0"/>
    <n v="8400"/>
    <x v="1"/>
  </r>
  <r>
    <s v="ACC-IND-10528"/>
    <x v="7"/>
    <d v="2019-05-14T00:00:00"/>
    <n v="140"/>
    <n v="19"/>
    <n v="2660"/>
    <n v="266"/>
    <n v="2394"/>
    <n v="0"/>
    <n v="140"/>
    <x v="0"/>
  </r>
  <r>
    <s v="ACC-IND-10621"/>
    <x v="15"/>
    <d v="2020-02-14T00:00:00"/>
    <n v="5650"/>
    <n v="3.75"/>
    <n v="21187.5"/>
    <n v="2118.75"/>
    <n v="19068.75"/>
    <n v="0"/>
    <n v="5650"/>
    <x v="0"/>
  </r>
  <r>
    <s v="ACC-IND-10622"/>
    <x v="17"/>
    <d v="2022-03-03T00:00:00"/>
    <n v="5100"/>
    <n v="2.5"/>
    <n v="12750"/>
    <n v="1275"/>
    <n v="11475"/>
    <n v="0"/>
    <n v="5100"/>
    <x v="0"/>
  </r>
  <r>
    <s v="ACC-IND-10623"/>
    <x v="26"/>
    <d v="2021-10-19T00:00:00"/>
    <n v="2950"/>
    <n v="0"/>
    <n v="0"/>
    <n v="0"/>
    <n v="0"/>
    <n v="0"/>
    <n v="2950"/>
    <x v="1"/>
  </r>
  <r>
    <s v="ACC-IND-10624"/>
    <x v="4"/>
    <d v="2018-04-11T00:00:00"/>
    <n v="7950"/>
    <n v="3"/>
    <n v="23850"/>
    <n v="2385"/>
    <n v="21465"/>
    <n v="0"/>
    <n v="7950"/>
    <x v="0"/>
  </r>
  <r>
    <s v="ACC-IND-10991"/>
    <x v="7"/>
    <d v="2018-11-20T00:00:00"/>
    <n v="140"/>
    <n v="19"/>
    <n v="2660"/>
    <n v="266"/>
    <n v="2394"/>
    <n v="0"/>
    <n v="140"/>
    <x v="0"/>
  </r>
  <r>
    <s v="ACC-IND-10626"/>
    <x v="31"/>
    <d v="2024-08-22T00:00:00"/>
    <n v="9350"/>
    <n v="0"/>
    <n v="0"/>
    <n v="0"/>
    <n v="0"/>
    <n v="0"/>
    <n v="9350"/>
    <x v="1"/>
  </r>
  <r>
    <s v="ACC-IND-10980"/>
    <x v="7"/>
    <d v="2018-10-20T00:00:00"/>
    <n v="140"/>
    <n v="19"/>
    <n v="2660"/>
    <n v="266"/>
    <n v="2394"/>
    <n v="0"/>
    <n v="140"/>
    <x v="0"/>
  </r>
  <r>
    <s v="ACC-IND-10628"/>
    <x v="31"/>
    <d v="2016-02-25T00:00:00"/>
    <n v="2400"/>
    <n v="0"/>
    <n v="0"/>
    <n v="0"/>
    <n v="0"/>
    <n v="0"/>
    <n v="2400"/>
    <x v="1"/>
  </r>
  <r>
    <s v="ACC-IND-10629"/>
    <x v="2"/>
    <d v="2021-06-19T00:00:00"/>
    <n v="250"/>
    <n v="3"/>
    <n v="750"/>
    <n v="75"/>
    <n v="675"/>
    <n v="0"/>
    <n v="250"/>
    <x v="0"/>
  </r>
  <r>
    <s v="ACC-IND-10630"/>
    <x v="17"/>
    <d v="2016-12-13T00:00:00"/>
    <n v="2100"/>
    <n v="2.5"/>
    <n v="5250"/>
    <n v="525"/>
    <n v="4725"/>
    <n v="0"/>
    <n v="2100"/>
    <x v="0"/>
  </r>
  <r>
    <s v="ACC-IND-10631"/>
    <x v="5"/>
    <d v="2023-02-01T00:00:00"/>
    <n v="6900"/>
    <n v="6.5"/>
    <n v="44850"/>
    <n v="4485"/>
    <n v="40365"/>
    <n v="0"/>
    <n v="6900"/>
    <x v="0"/>
  </r>
  <r>
    <s v="ACC-IND-10632"/>
    <x v="1"/>
    <d v="2015-12-03T00:00:00"/>
    <n v="2400"/>
    <n v="0"/>
    <n v="0"/>
    <n v="0"/>
    <n v="0"/>
    <n v="0"/>
    <n v="2400"/>
    <x v="1"/>
  </r>
  <r>
    <s v="ACC-IND-10633"/>
    <x v="2"/>
    <d v="2016-06-26T00:00:00"/>
    <n v="1300"/>
    <n v="3"/>
    <n v="3900"/>
    <n v="390"/>
    <n v="3510"/>
    <n v="0"/>
    <n v="1300"/>
    <x v="0"/>
  </r>
  <r>
    <s v="ACC-IND-10979"/>
    <x v="7"/>
    <d v="2017-11-16T00:00:00"/>
    <n v="140"/>
    <n v="19"/>
    <n v="2660"/>
    <n v="266"/>
    <n v="2394"/>
    <n v="0"/>
    <n v="140"/>
    <x v="0"/>
  </r>
  <r>
    <s v="ACC-IND-10635"/>
    <x v="1"/>
    <d v="2015-10-25T00:00:00"/>
    <n v="7150"/>
    <n v="0"/>
    <n v="0"/>
    <n v="0"/>
    <n v="0"/>
    <n v="0"/>
    <n v="7150"/>
    <x v="1"/>
  </r>
  <r>
    <s v="ACC-IND-10636"/>
    <x v="13"/>
    <d v="2022-07-28T00:00:00"/>
    <n v="2400"/>
    <n v="0"/>
    <n v="0"/>
    <n v="0"/>
    <n v="0"/>
    <n v="0"/>
    <n v="2400"/>
    <x v="1"/>
  </r>
  <r>
    <s v="ACC-IND-10637"/>
    <x v="5"/>
    <d v="2019-06-24T00:00:00"/>
    <n v="5800"/>
    <n v="6.5"/>
    <n v="37700"/>
    <n v="3770"/>
    <n v="33930"/>
    <n v="0"/>
    <n v="5800"/>
    <x v="0"/>
  </r>
  <r>
    <s v="ACC-IND-10288"/>
    <x v="7"/>
    <d v="2017-08-10T00:00:00"/>
    <n v="140"/>
    <n v="19"/>
    <n v="2660"/>
    <n v="266"/>
    <n v="2394"/>
    <n v="0"/>
    <n v="140"/>
    <x v="0"/>
  </r>
  <r>
    <s v="ACC-IND-10639"/>
    <x v="29"/>
    <d v="2023-09-19T00:00:00"/>
    <n v="1900"/>
    <n v="2.5"/>
    <n v="4750"/>
    <n v="475"/>
    <n v="4275"/>
    <n v="0"/>
    <n v="1900"/>
    <x v="0"/>
  </r>
  <r>
    <s v="ACC-IND-10640"/>
    <x v="22"/>
    <d v="2022-08-22T00:00:00"/>
    <n v="2400"/>
    <n v="0"/>
    <n v="0"/>
    <n v="0"/>
    <n v="0"/>
    <n v="0"/>
    <n v="2400"/>
    <x v="1"/>
  </r>
  <r>
    <s v="ACC-IND-10882"/>
    <x v="7"/>
    <d v="2017-05-10T00:00:00"/>
    <n v="140"/>
    <n v="19"/>
    <n v="2660"/>
    <n v="266"/>
    <n v="2394"/>
    <n v="0"/>
    <n v="140"/>
    <x v="0"/>
  </r>
  <r>
    <s v="ACC-IND-10642"/>
    <x v="17"/>
    <d v="2024-01-20T00:00:00"/>
    <n v="7800"/>
    <n v="2.5"/>
    <n v="19500"/>
    <n v="1950"/>
    <n v="17550"/>
    <n v="0"/>
    <n v="7800"/>
    <x v="0"/>
  </r>
  <r>
    <s v="ACC-IND-10011"/>
    <x v="7"/>
    <d v="2017-02-05T00:00:00"/>
    <n v="140"/>
    <n v="19"/>
    <n v="2660"/>
    <n v="266"/>
    <n v="2394"/>
    <n v="0"/>
    <n v="140"/>
    <x v="0"/>
  </r>
  <r>
    <s v="ACC-IND-10644"/>
    <x v="29"/>
    <d v="2017-06-08T00:00:00"/>
    <n v="3300"/>
    <n v="2.5"/>
    <n v="8250"/>
    <n v="825"/>
    <n v="7425"/>
    <n v="0"/>
    <n v="3300"/>
    <x v="0"/>
  </r>
  <r>
    <s v="ACC-IND-10645"/>
    <x v="19"/>
    <d v="2016-12-27T00:00:00"/>
    <n v="5100"/>
    <n v="0"/>
    <n v="0"/>
    <n v="0"/>
    <n v="0"/>
    <n v="0"/>
    <n v="5100"/>
    <x v="1"/>
  </r>
  <r>
    <s v="ACC-IND-10646"/>
    <x v="26"/>
    <d v="2022-08-14T00:00:00"/>
    <n v="2550"/>
    <n v="0"/>
    <n v="0"/>
    <n v="0"/>
    <n v="0"/>
    <n v="0"/>
    <n v="2550"/>
    <x v="1"/>
  </r>
  <r>
    <s v="ACC-IND-10647"/>
    <x v="15"/>
    <d v="2015-02-04T00:00:00"/>
    <n v="4000"/>
    <n v="3.75"/>
    <n v="15000"/>
    <n v="1500"/>
    <n v="13500"/>
    <n v="0"/>
    <n v="4000"/>
    <x v="0"/>
  </r>
  <r>
    <s v="ACC-IND-10648"/>
    <x v="4"/>
    <d v="2016-03-11T00:00:00"/>
    <n v="1750"/>
    <n v="3"/>
    <n v="5250"/>
    <n v="525"/>
    <n v="4725"/>
    <n v="0"/>
    <n v="1750"/>
    <x v="0"/>
  </r>
  <r>
    <s v="ACC-IND-10649"/>
    <x v="31"/>
    <d v="2018-06-03T00:00:00"/>
    <n v="8800"/>
    <n v="0"/>
    <n v="0"/>
    <n v="0"/>
    <n v="0"/>
    <n v="0"/>
    <n v="8800"/>
    <x v="1"/>
  </r>
  <r>
    <s v="ACC-IND-10650"/>
    <x v="16"/>
    <d v="2019-09-02T00:00:00"/>
    <n v="8850"/>
    <n v="1.5"/>
    <n v="13275"/>
    <n v="1327.5"/>
    <n v="11947.5"/>
    <n v="0"/>
    <n v="8850"/>
    <x v="0"/>
  </r>
  <r>
    <s v="ACC-IND-10651"/>
    <x v="29"/>
    <d v="2018-11-06T00:00:00"/>
    <n v="8550"/>
    <n v="2.5"/>
    <n v="21375"/>
    <n v="2137.5"/>
    <n v="19237.5"/>
    <n v="0"/>
    <n v="8550"/>
    <x v="0"/>
  </r>
  <r>
    <s v="ACC-IND-10652"/>
    <x v="4"/>
    <d v="2018-08-19T00:00:00"/>
    <n v="5200"/>
    <n v="3"/>
    <n v="15600"/>
    <n v="1560"/>
    <n v="14040"/>
    <n v="0"/>
    <n v="5200"/>
    <x v="0"/>
  </r>
  <r>
    <s v="ACC-IND-10653"/>
    <x v="22"/>
    <d v="2021-11-02T00:00:00"/>
    <n v="3700"/>
    <n v="0"/>
    <n v="0"/>
    <n v="0"/>
    <n v="0"/>
    <n v="0"/>
    <n v="3700"/>
    <x v="1"/>
  </r>
  <r>
    <s v="ACC-IND-10654"/>
    <x v="3"/>
    <d v="2018-02-02T00:00:00"/>
    <n v="10050"/>
    <n v="0"/>
    <n v="0"/>
    <n v="0"/>
    <n v="0"/>
    <n v="0"/>
    <n v="10050"/>
    <x v="1"/>
  </r>
  <r>
    <s v="ACC-IND-10655"/>
    <x v="14"/>
    <d v="2016-03-02T00:00:00"/>
    <n v="1800"/>
    <n v="0.2"/>
    <n v="360"/>
    <n v="36"/>
    <n v="324"/>
    <n v="0"/>
    <n v="1800"/>
    <x v="0"/>
  </r>
  <r>
    <s v="ACC-IND-10656"/>
    <x v="0"/>
    <d v="2016-02-26T00:00:00"/>
    <n v="6850"/>
    <n v="1.5000000000000002"/>
    <n v="10275.000000000002"/>
    <n v="1027.5000000000002"/>
    <n v="9247.5000000000018"/>
    <n v="0"/>
    <n v="6850"/>
    <x v="0"/>
  </r>
  <r>
    <s v="ACC-IND-10657"/>
    <x v="4"/>
    <d v="2023-06-04T00:00:00"/>
    <n v="5450"/>
    <n v="3"/>
    <n v="16350"/>
    <n v="1635"/>
    <n v="14715"/>
    <n v="0"/>
    <n v="5450"/>
    <x v="0"/>
  </r>
  <r>
    <s v="ACC-IND-10658"/>
    <x v="5"/>
    <d v="2017-08-05T00:00:00"/>
    <n v="2900"/>
    <n v="6.5"/>
    <n v="18850"/>
    <n v="1885"/>
    <n v="16965"/>
    <n v="0"/>
    <n v="2900"/>
    <x v="0"/>
  </r>
  <r>
    <s v="ACC-IND-10659"/>
    <x v="25"/>
    <d v="2023-09-18T00:00:00"/>
    <n v="2550"/>
    <n v="1"/>
    <n v="2550"/>
    <n v="255"/>
    <n v="2295"/>
    <n v="0"/>
    <n v="2550"/>
    <x v="0"/>
  </r>
  <r>
    <s v="ACC-IND-10660"/>
    <x v="24"/>
    <d v="2015-11-14T00:00:00"/>
    <n v="750"/>
    <n v="0.02"/>
    <n v="15"/>
    <n v="1.5"/>
    <n v="13.5"/>
    <n v="0"/>
    <n v="750"/>
    <x v="0"/>
  </r>
  <r>
    <s v="ACC-IND-10661"/>
    <x v="14"/>
    <d v="2022-06-18T00:00:00"/>
    <n v="9450"/>
    <n v="0.2"/>
    <n v="1890"/>
    <n v="189"/>
    <n v="1701"/>
    <n v="0"/>
    <n v="9450"/>
    <x v="0"/>
  </r>
  <r>
    <s v="ACC-IND-10662"/>
    <x v="29"/>
    <d v="2019-01-10T00:00:00"/>
    <n v="2500"/>
    <n v="2.5"/>
    <n v="6250"/>
    <n v="625"/>
    <n v="5625"/>
    <n v="0"/>
    <n v="2500"/>
    <x v="0"/>
  </r>
  <r>
    <s v="ACC-IND-10663"/>
    <x v="28"/>
    <d v="2018-11-14T00:00:00"/>
    <n v="6350"/>
    <n v="0"/>
    <n v="0"/>
    <n v="0"/>
    <n v="0"/>
    <n v="7937.5"/>
    <n v="14287.5"/>
    <x v="0"/>
  </r>
  <r>
    <s v="ACC-IND-10664"/>
    <x v="4"/>
    <d v="2024-11-25T00:00:00"/>
    <n v="6600"/>
    <n v="2"/>
    <n v="13200"/>
    <n v="1320"/>
    <n v="11880"/>
    <n v="0"/>
    <n v="6600"/>
    <x v="0"/>
  </r>
  <r>
    <s v="ACC-IND-10665"/>
    <x v="3"/>
    <d v="2018-02-12T00:00:00"/>
    <n v="5400"/>
    <n v="0"/>
    <n v="0"/>
    <n v="0"/>
    <n v="0"/>
    <n v="0"/>
    <n v="5400"/>
    <x v="1"/>
  </r>
  <r>
    <s v="ACC-IND-10666"/>
    <x v="23"/>
    <d v="2024-11-13T00:00:00"/>
    <n v="7050"/>
    <n v="0.04"/>
    <n v="282"/>
    <n v="28.200000000000003"/>
    <n v="253.8"/>
    <n v="0"/>
    <n v="7050"/>
    <x v="0"/>
  </r>
  <r>
    <s v="ACC-IND-10667"/>
    <x v="1"/>
    <d v="2022-01-16T00:00:00"/>
    <n v="1000"/>
    <n v="0"/>
    <n v="0"/>
    <n v="0"/>
    <n v="0"/>
    <n v="0"/>
    <n v="1000"/>
    <x v="1"/>
  </r>
  <r>
    <s v="ACC-IND-10668"/>
    <x v="26"/>
    <d v="2021-06-06T00:00:00"/>
    <n v="5050"/>
    <n v="0"/>
    <n v="0"/>
    <n v="0"/>
    <n v="0"/>
    <n v="0"/>
    <n v="5050"/>
    <x v="1"/>
  </r>
  <r>
    <s v="ACC-IND-10669"/>
    <x v="2"/>
    <d v="2022-02-09T00:00:00"/>
    <n v="2800"/>
    <n v="3"/>
    <n v="8400"/>
    <n v="840"/>
    <n v="7560"/>
    <n v="0"/>
    <n v="2800"/>
    <x v="0"/>
  </r>
  <r>
    <s v="ACC-IND-10673"/>
    <x v="7"/>
    <d v="2016-08-20T00:00:00"/>
    <n v="140"/>
    <n v="19"/>
    <n v="2660"/>
    <n v="266"/>
    <n v="2394"/>
    <n v="0"/>
    <n v="140"/>
    <x v="0"/>
  </r>
  <r>
    <s v="ACC-IND-10671"/>
    <x v="35"/>
    <d v="2022-06-16T00:00:00"/>
    <n v="1200"/>
    <n v="0"/>
    <n v="0"/>
    <n v="0"/>
    <n v="0"/>
    <n v="1600"/>
    <n v="2800"/>
    <x v="0"/>
  </r>
  <r>
    <s v="ACC-IND-10672"/>
    <x v="0"/>
    <d v="2023-03-22T00:00:00"/>
    <n v="2350"/>
    <n v="1.5000000000000002"/>
    <n v="3525.0000000000005"/>
    <n v="352.50000000000006"/>
    <n v="3172.5000000000005"/>
    <n v="0"/>
    <n v="2350"/>
    <x v="0"/>
  </r>
  <r>
    <s v="ACC-IND-10751"/>
    <x v="7"/>
    <d v="2016-08-20T00:00:00"/>
    <n v="140"/>
    <n v="19"/>
    <n v="2660"/>
    <n v="266"/>
    <n v="2394"/>
    <n v="0"/>
    <n v="140"/>
    <x v="0"/>
  </r>
  <r>
    <s v="ACC-IND-10674"/>
    <x v="2"/>
    <d v="2020-05-18T00:00:00"/>
    <n v="750"/>
    <n v="3"/>
    <n v="2250"/>
    <n v="225"/>
    <n v="2025"/>
    <n v="0"/>
    <n v="750"/>
    <x v="0"/>
  </r>
  <r>
    <s v="ACC-IND-10038"/>
    <x v="7"/>
    <d v="2016-07-07T00:00:00"/>
    <n v="140"/>
    <n v="19"/>
    <n v="2660"/>
    <n v="266"/>
    <n v="2394"/>
    <n v="0"/>
    <n v="140"/>
    <x v="0"/>
  </r>
  <r>
    <s v="ACC-IND-10676"/>
    <x v="21"/>
    <d v="2022-10-16T00:00:00"/>
    <n v="5650"/>
    <n v="3.25"/>
    <n v="18362.5"/>
    <n v="1836.25"/>
    <n v="16526.25"/>
    <n v="0"/>
    <n v="5650"/>
    <x v="0"/>
  </r>
  <r>
    <s v="ACC-IND-10677"/>
    <x v="14"/>
    <d v="2024-06-28T00:00:00"/>
    <n v="6700"/>
    <n v="0.2"/>
    <n v="1340"/>
    <n v="134"/>
    <n v="1206"/>
    <n v="0"/>
    <n v="6700"/>
    <x v="0"/>
  </r>
  <r>
    <s v="ACC-IND-10678"/>
    <x v="4"/>
    <d v="2015-03-11T00:00:00"/>
    <n v="7850"/>
    <n v="3"/>
    <n v="23550"/>
    <n v="2355"/>
    <n v="21195"/>
    <n v="0"/>
    <n v="7850"/>
    <x v="0"/>
  </r>
  <r>
    <s v="ACC-IND-10679"/>
    <x v="33"/>
    <d v="2023-05-23T00:00:00"/>
    <n v="2400"/>
    <n v="1.1000000000000001"/>
    <n v="2640"/>
    <n v="264"/>
    <n v="2376"/>
    <n v="0"/>
    <n v="2400"/>
    <x v="0"/>
  </r>
  <r>
    <s v="ACC-IND-10680"/>
    <x v="29"/>
    <d v="2020-02-16T00:00:00"/>
    <n v="7950"/>
    <n v="2.5"/>
    <n v="19875"/>
    <n v="1987.5"/>
    <n v="17887.5"/>
    <n v="0"/>
    <n v="7950"/>
    <x v="0"/>
  </r>
  <r>
    <s v="ACC-IND-10681"/>
    <x v="25"/>
    <d v="2022-03-02T00:00:00"/>
    <n v="4550"/>
    <n v="1"/>
    <n v="4550"/>
    <n v="455"/>
    <n v="4095"/>
    <n v="0"/>
    <n v="4550"/>
    <x v="0"/>
  </r>
  <r>
    <s v="ACC-IND-10682"/>
    <x v="5"/>
    <d v="2018-07-17T00:00:00"/>
    <n v="5950"/>
    <n v="6.5"/>
    <n v="38675"/>
    <n v="3867.5"/>
    <n v="34807.5"/>
    <n v="0"/>
    <n v="5950"/>
    <x v="0"/>
  </r>
  <r>
    <s v="ACC-IND-10683"/>
    <x v="14"/>
    <d v="2016-05-20T00:00:00"/>
    <n v="3000"/>
    <n v="0.2"/>
    <n v="600"/>
    <n v="60"/>
    <n v="540"/>
    <n v="0"/>
    <n v="3000"/>
    <x v="0"/>
  </r>
  <r>
    <s v="ACC-IND-10684"/>
    <x v="0"/>
    <d v="2015-06-16T00:00:00"/>
    <n v="2800"/>
    <n v="1.5000000000000002"/>
    <n v="4200.0000000000009"/>
    <n v="420.00000000000011"/>
    <n v="3780.0000000000009"/>
    <n v="0"/>
    <n v="2800"/>
    <x v="0"/>
  </r>
  <r>
    <s v="ACC-IND-10685"/>
    <x v="14"/>
    <d v="2016-08-23T00:00:00"/>
    <n v="6550"/>
    <n v="0.2"/>
    <n v="1310"/>
    <n v="131"/>
    <n v="1179"/>
    <n v="0"/>
    <n v="6550"/>
    <x v="0"/>
  </r>
  <r>
    <s v="ACC-IND-10686"/>
    <x v="27"/>
    <d v="2024-02-02T00:00:00"/>
    <n v="4700"/>
    <n v="1.5"/>
    <n v="7050"/>
    <n v="705"/>
    <n v="6345"/>
    <n v="0"/>
    <n v="4700"/>
    <x v="0"/>
  </r>
  <r>
    <s v="ACC-IND-10687"/>
    <x v="14"/>
    <d v="2019-06-25T00:00:00"/>
    <n v="8450"/>
    <n v="0.2"/>
    <n v="1690"/>
    <n v="169"/>
    <n v="1521"/>
    <n v="0"/>
    <n v="8450"/>
    <x v="0"/>
  </r>
  <r>
    <s v="ACC-IND-10688"/>
    <x v="17"/>
    <d v="2024-01-10T00:00:00"/>
    <n v="9750"/>
    <n v="2.5"/>
    <n v="24375"/>
    <n v="2437.5"/>
    <n v="21937.5"/>
    <n v="0"/>
    <n v="9750"/>
    <x v="0"/>
  </r>
  <r>
    <s v="ACC-IND-10689"/>
    <x v="19"/>
    <d v="2024-05-20T00:00:00"/>
    <n v="4600"/>
    <n v="0"/>
    <n v="0"/>
    <n v="0"/>
    <n v="0"/>
    <n v="0"/>
    <n v="4600"/>
    <x v="1"/>
  </r>
  <r>
    <s v="ACC-IND-10690"/>
    <x v="17"/>
    <d v="2022-01-16T00:00:00"/>
    <n v="7150"/>
    <n v="2.5"/>
    <n v="17875"/>
    <n v="1787.5"/>
    <n v="16087.5"/>
    <n v="0"/>
    <n v="7150"/>
    <x v="0"/>
  </r>
  <r>
    <s v="ACC-IND-10691"/>
    <x v="10"/>
    <d v="2017-11-09T00:00:00"/>
    <n v="3650"/>
    <n v="1.35"/>
    <n v="4927.5"/>
    <n v="492.75"/>
    <n v="4434.75"/>
    <n v="0"/>
    <n v="3650"/>
    <x v="0"/>
  </r>
  <r>
    <s v="ACC-IND-10692"/>
    <x v="3"/>
    <d v="2021-07-12T00:00:00"/>
    <n v="9000"/>
    <n v="0"/>
    <n v="0"/>
    <n v="0"/>
    <n v="0"/>
    <n v="0"/>
    <n v="9000"/>
    <x v="1"/>
  </r>
  <r>
    <s v="ACC-IND-10693"/>
    <x v="9"/>
    <d v="2016-08-06T00:00:00"/>
    <n v="300"/>
    <n v="0"/>
    <n v="0"/>
    <n v="0"/>
    <n v="0"/>
    <n v="0"/>
    <n v="300"/>
    <x v="1"/>
  </r>
  <r>
    <s v="ACC-IND-10694"/>
    <x v="6"/>
    <d v="2016-10-05T00:00:00"/>
    <n v="4500"/>
    <n v="0"/>
    <n v="0"/>
    <n v="0"/>
    <n v="0"/>
    <n v="0"/>
    <n v="4500"/>
    <x v="1"/>
  </r>
  <r>
    <s v="ACC-IND-10695"/>
    <x v="25"/>
    <d v="2020-10-22T00:00:00"/>
    <n v="500"/>
    <n v="1"/>
    <n v="500"/>
    <n v="50"/>
    <n v="450"/>
    <n v="0"/>
    <n v="500"/>
    <x v="0"/>
  </r>
  <r>
    <s v="ACC-IND-10696"/>
    <x v="8"/>
    <d v="2017-06-13T00:00:00"/>
    <n v="6650"/>
    <n v="1.2"/>
    <n v="7980"/>
    <n v="798"/>
    <n v="7182"/>
    <n v="0"/>
    <n v="6650"/>
    <x v="0"/>
  </r>
  <r>
    <s v="ACC-IND-10697"/>
    <x v="30"/>
    <d v="2023-02-07T00:00:00"/>
    <n v="9650"/>
    <n v="8"/>
    <n v="77200"/>
    <n v="7720"/>
    <n v="69480"/>
    <n v="0"/>
    <n v="9650"/>
    <x v="0"/>
  </r>
  <r>
    <s v="ACC-IND-10634"/>
    <x v="7"/>
    <d v="2016-02-26T00:00:00"/>
    <n v="140"/>
    <n v="19"/>
    <n v="2660"/>
    <n v="266"/>
    <n v="2394"/>
    <n v="0"/>
    <n v="140"/>
    <x v="0"/>
  </r>
  <r>
    <s v="ACC-IND-10749"/>
    <x v="7"/>
    <d v="2015-10-23T00:00:00"/>
    <n v="140"/>
    <n v="19"/>
    <n v="2660"/>
    <n v="266"/>
    <n v="2394"/>
    <n v="0"/>
    <n v="140"/>
    <x v="0"/>
  </r>
  <r>
    <s v="ACC-IND-10700"/>
    <x v="26"/>
    <d v="2022-12-19T00:00:00"/>
    <n v="9450"/>
    <n v="0"/>
    <n v="0"/>
    <n v="0"/>
    <n v="0"/>
    <n v="0"/>
    <n v="9450"/>
    <x v="1"/>
  </r>
  <r>
    <s v="ACC-IND-10701"/>
    <x v="10"/>
    <d v="2017-01-23T00:00:00"/>
    <n v="8350"/>
    <n v="1.35"/>
    <n v="11272.5"/>
    <n v="1127.25"/>
    <n v="10145.25"/>
    <n v="0"/>
    <n v="8350"/>
    <x v="0"/>
  </r>
  <r>
    <s v="ACC-IND-10702"/>
    <x v="5"/>
    <d v="2022-10-07T00:00:00"/>
    <n v="550"/>
    <n v="6.5"/>
    <n v="3575"/>
    <n v="357.5"/>
    <n v="3217.5"/>
    <n v="0"/>
    <n v="550"/>
    <x v="0"/>
  </r>
  <r>
    <s v="ACC-IND-10255"/>
    <x v="7"/>
    <d v="2015-05-02T00:00:00"/>
    <n v="140"/>
    <n v="19"/>
    <n v="2660"/>
    <n v="266"/>
    <n v="2394"/>
    <n v="0"/>
    <n v="140"/>
    <x v="0"/>
  </r>
  <r>
    <s v="ACC-IND-10704"/>
    <x v="17"/>
    <d v="2022-02-15T00:00:00"/>
    <n v="10000"/>
    <n v="2.5"/>
    <n v="25000"/>
    <n v="2500"/>
    <n v="22500"/>
    <n v="0"/>
    <n v="10000"/>
    <x v="0"/>
  </r>
  <r>
    <s v="ACC-IND-10705"/>
    <x v="3"/>
    <d v="2023-05-11T00:00:00"/>
    <n v="6450"/>
    <n v="0"/>
    <n v="0"/>
    <n v="0"/>
    <n v="0"/>
    <n v="0"/>
    <n v="6450"/>
    <x v="1"/>
  </r>
  <r>
    <s v="ACC-IND-10625"/>
    <x v="7"/>
    <d v="2016-07-13T00:00:00"/>
    <n v="130"/>
    <n v="19"/>
    <n v="2470"/>
    <n v="247"/>
    <n v="2223"/>
    <n v="0"/>
    <n v="130"/>
    <x v="0"/>
  </r>
  <r>
    <s v="ACC-IND-10707"/>
    <x v="26"/>
    <d v="2021-08-02T00:00:00"/>
    <n v="750"/>
    <n v="0"/>
    <n v="0"/>
    <n v="0"/>
    <n v="0"/>
    <n v="0"/>
    <n v="750"/>
    <x v="1"/>
  </r>
  <r>
    <s v="ACC-IND-10708"/>
    <x v="10"/>
    <d v="2023-05-02T00:00:00"/>
    <n v="1700"/>
    <n v="1.35"/>
    <n v="2295"/>
    <n v="229.5"/>
    <n v="2065.5"/>
    <n v="0"/>
    <n v="1700"/>
    <x v="0"/>
  </r>
  <r>
    <s v="ACC-IND-10709"/>
    <x v="8"/>
    <d v="2023-06-14T00:00:00"/>
    <n v="3700"/>
    <n v="1.2"/>
    <n v="4440"/>
    <n v="444"/>
    <n v="3996"/>
    <n v="0"/>
    <n v="3700"/>
    <x v="0"/>
  </r>
  <r>
    <s v="ACC-IND-10710"/>
    <x v="0"/>
    <d v="2021-10-03T00:00:00"/>
    <n v="8500"/>
    <n v="1.5000000000000002"/>
    <n v="12750.000000000002"/>
    <n v="1275.0000000000002"/>
    <n v="11475.000000000002"/>
    <n v="0"/>
    <n v="8500"/>
    <x v="0"/>
  </r>
  <r>
    <s v="ACC-IND-10711"/>
    <x v="9"/>
    <d v="2017-01-05T00:00:00"/>
    <n v="9150"/>
    <n v="0"/>
    <n v="0"/>
    <n v="0"/>
    <n v="0"/>
    <n v="0"/>
    <n v="9150"/>
    <x v="1"/>
  </r>
  <r>
    <s v="ACC-IND-10712"/>
    <x v="5"/>
    <d v="2017-02-13T00:00:00"/>
    <n v="3700"/>
    <n v="6.5"/>
    <n v="24050"/>
    <n v="2405"/>
    <n v="21645"/>
    <n v="0"/>
    <n v="3700"/>
    <x v="0"/>
  </r>
  <r>
    <s v="ACC-IND-10713"/>
    <x v="0"/>
    <d v="2017-07-06T00:00:00"/>
    <n v="4200"/>
    <n v="1.5000000000000002"/>
    <n v="6300.0000000000009"/>
    <n v="630.00000000000011"/>
    <n v="5670.0000000000009"/>
    <n v="0"/>
    <n v="4200"/>
    <x v="0"/>
  </r>
  <r>
    <s v="ACC-IND-10714"/>
    <x v="23"/>
    <d v="2022-11-26T00:00:00"/>
    <n v="9350"/>
    <n v="7.0000000000000007E-2"/>
    <n v="654.50000000000011"/>
    <n v="65.450000000000017"/>
    <n v="589.05000000000007"/>
    <n v="0"/>
    <n v="9350"/>
    <x v="0"/>
  </r>
  <r>
    <s v="ACC-IND-10715"/>
    <x v="3"/>
    <d v="2024-12-05T00:00:00"/>
    <n v="9350"/>
    <n v="0"/>
    <n v="0"/>
    <n v="0"/>
    <n v="0"/>
    <n v="0"/>
    <n v="9350"/>
    <x v="1"/>
  </r>
  <r>
    <s v="ACC-IND-10540"/>
    <x v="7"/>
    <d v="2019-08-15T00:00:00"/>
    <n v="120"/>
    <n v="19"/>
    <n v="2280"/>
    <n v="228"/>
    <n v="2052"/>
    <n v="0"/>
    <n v="120"/>
    <x v="0"/>
  </r>
  <r>
    <s v="ACC-IND-10717"/>
    <x v="21"/>
    <d v="2021-12-14T00:00:00"/>
    <n v="1700"/>
    <n v="3.25"/>
    <n v="5525"/>
    <n v="552.5"/>
    <n v="4972.5"/>
    <n v="0"/>
    <n v="1700"/>
    <x v="0"/>
  </r>
  <r>
    <s v="ACC-IND-10718"/>
    <x v="32"/>
    <d v="2017-10-23T00:00:00"/>
    <n v="6600"/>
    <n v="0"/>
    <n v="0"/>
    <n v="0"/>
    <n v="0"/>
    <n v="0"/>
    <n v="6600"/>
    <x v="1"/>
  </r>
  <r>
    <s v="ACC-IND-10937"/>
    <x v="7"/>
    <d v="2022-10-26T00:00:00"/>
    <n v="100"/>
    <n v="19"/>
    <n v="1900"/>
    <n v="190"/>
    <n v="1710"/>
    <n v="0"/>
    <n v="100"/>
    <x v="0"/>
  </r>
  <r>
    <s v="ACC-IND-10720"/>
    <x v="18"/>
    <d v="2020-10-10T00:00:00"/>
    <n v="4050"/>
    <n v="0.1"/>
    <n v="405"/>
    <n v="40.5"/>
    <n v="364.5"/>
    <n v="0"/>
    <n v="4050"/>
    <x v="0"/>
  </r>
  <r>
    <s v="ACC-IND-10721"/>
    <x v="22"/>
    <d v="2016-02-26T00:00:00"/>
    <n v="4500"/>
    <n v="0"/>
    <n v="0"/>
    <n v="0"/>
    <n v="0"/>
    <n v="0"/>
    <n v="4500"/>
    <x v="1"/>
  </r>
  <r>
    <s v="ACC-IND-10722"/>
    <x v="1"/>
    <d v="2016-06-18T00:00:00"/>
    <n v="9550"/>
    <n v="0"/>
    <n v="0"/>
    <n v="0"/>
    <n v="0"/>
    <n v="0"/>
    <n v="9550"/>
    <x v="1"/>
  </r>
  <r>
    <s v="ACC-IND-10081"/>
    <x v="7"/>
    <d v="2022-08-12T00:00:00"/>
    <n v="100"/>
    <n v="19"/>
    <n v="1900"/>
    <n v="190"/>
    <n v="1710"/>
    <n v="0"/>
    <n v="100"/>
    <x v="0"/>
  </r>
  <r>
    <s v="ACC-IND-10724"/>
    <x v="3"/>
    <d v="2021-10-13T00:00:00"/>
    <n v="4650"/>
    <n v="0"/>
    <n v="0"/>
    <n v="0"/>
    <n v="0"/>
    <n v="0"/>
    <n v="4650"/>
    <x v="1"/>
  </r>
  <r>
    <s v="ACC-IND-10725"/>
    <x v="18"/>
    <d v="2020-09-04T00:00:00"/>
    <n v="300"/>
    <n v="0.1"/>
    <n v="30"/>
    <n v="3"/>
    <n v="27"/>
    <n v="0"/>
    <n v="300"/>
    <x v="0"/>
  </r>
  <r>
    <s v="ACC-IND-10726"/>
    <x v="27"/>
    <d v="2016-01-19T00:00:00"/>
    <n v="5650"/>
    <n v="1.5"/>
    <n v="8475"/>
    <n v="847.5"/>
    <n v="7627.5"/>
    <n v="0"/>
    <n v="5650"/>
    <x v="0"/>
  </r>
  <r>
    <s v="ACC-IND-10727"/>
    <x v="14"/>
    <d v="2016-06-20T00:00:00"/>
    <n v="6800"/>
    <n v="0.2"/>
    <n v="1360"/>
    <n v="136"/>
    <n v="1224"/>
    <n v="0"/>
    <n v="6800"/>
    <x v="0"/>
  </r>
  <r>
    <s v="ACC-IND-10728"/>
    <x v="22"/>
    <d v="2022-07-17T00:00:00"/>
    <n v="10000"/>
    <n v="0"/>
    <n v="0"/>
    <n v="0"/>
    <n v="0"/>
    <n v="0"/>
    <n v="10000"/>
    <x v="1"/>
  </r>
  <r>
    <s v="ACC-IND-10729"/>
    <x v="14"/>
    <d v="2018-01-04T00:00:00"/>
    <n v="1550"/>
    <n v="0.2"/>
    <n v="310"/>
    <n v="31"/>
    <n v="279"/>
    <n v="0"/>
    <n v="1550"/>
    <x v="0"/>
  </r>
  <r>
    <s v="ACC-IND-10730"/>
    <x v="10"/>
    <d v="2017-02-01T00:00:00"/>
    <n v="5750"/>
    <n v="1.35"/>
    <n v="7762.5000000000009"/>
    <n v="776.25000000000011"/>
    <n v="6986.2500000000009"/>
    <n v="0"/>
    <n v="5750"/>
    <x v="0"/>
  </r>
  <r>
    <s v="ACC-IND-10783"/>
    <x v="7"/>
    <d v="2015-01-07T00:00:00"/>
    <n v="100"/>
    <n v="19"/>
    <n v="1900"/>
    <n v="190"/>
    <n v="1710"/>
    <n v="0"/>
    <n v="100"/>
    <x v="0"/>
  </r>
  <r>
    <s v="ACC-IND-10344"/>
    <x v="7"/>
    <d v="2019-03-18T00:00:00"/>
    <n v="97"/>
    <n v="19"/>
    <n v="1843"/>
    <n v="184.3"/>
    <n v="1658.7"/>
    <n v="0"/>
    <n v="97"/>
    <x v="0"/>
  </r>
  <r>
    <s v="ACC-IND-10733"/>
    <x v="16"/>
    <d v="2022-01-03T00:00:00"/>
    <n v="10000"/>
    <n v="1.5"/>
    <n v="15000"/>
    <n v="1500"/>
    <n v="13500"/>
    <n v="0"/>
    <n v="10000"/>
    <x v="0"/>
  </r>
  <r>
    <s v="ACC-IND-10734"/>
    <x v="8"/>
    <d v="2016-12-08T00:00:00"/>
    <n v="8850"/>
    <n v="1.2"/>
    <n v="10620"/>
    <n v="1062"/>
    <n v="9558"/>
    <n v="0"/>
    <n v="8850"/>
    <x v="0"/>
  </r>
  <r>
    <s v="ACC-IND-10735"/>
    <x v="29"/>
    <d v="2016-06-27T00:00:00"/>
    <n v="1950"/>
    <n v="2.5"/>
    <n v="4875"/>
    <n v="487.5"/>
    <n v="4387.5"/>
    <n v="0"/>
    <n v="1950"/>
    <x v="0"/>
  </r>
  <r>
    <s v="ACC-IND-10736"/>
    <x v="29"/>
    <d v="2018-04-22T00:00:00"/>
    <n v="2850"/>
    <n v="2.5"/>
    <n v="7125"/>
    <n v="712.5"/>
    <n v="6412.5"/>
    <n v="0"/>
    <n v="2850"/>
    <x v="0"/>
  </r>
  <r>
    <s v="ACC-IND-10737"/>
    <x v="12"/>
    <d v="2018-04-17T00:00:00"/>
    <n v="2050"/>
    <n v="0"/>
    <n v="0"/>
    <n v="0"/>
    <n v="0"/>
    <n v="0"/>
    <n v="2050"/>
    <x v="1"/>
  </r>
  <r>
    <s v="ACC-IND-10253"/>
    <x v="7"/>
    <d v="2019-09-08T00:00:00"/>
    <n v="95"/>
    <n v="19"/>
    <n v="1805"/>
    <n v="180.5"/>
    <n v="1624.5"/>
    <n v="0"/>
    <n v="95"/>
    <x v="0"/>
  </r>
  <r>
    <s v="ACC-IND-10739"/>
    <x v="1"/>
    <d v="2023-11-28T00:00:00"/>
    <n v="250"/>
    <n v="0"/>
    <n v="0"/>
    <n v="0"/>
    <n v="0"/>
    <n v="0"/>
    <n v="250"/>
    <x v="1"/>
  </r>
  <r>
    <s v="ACC-IND-10740"/>
    <x v="2"/>
    <d v="2017-12-15T00:00:00"/>
    <n v="8850"/>
    <n v="3"/>
    <n v="26550"/>
    <n v="2655"/>
    <n v="23895"/>
    <n v="0"/>
    <n v="8850"/>
    <x v="0"/>
  </r>
  <r>
    <s v="ACC-IND-10741"/>
    <x v="22"/>
    <d v="2022-10-08T00:00:00"/>
    <n v="3650"/>
    <n v="0"/>
    <n v="0"/>
    <n v="0"/>
    <n v="0"/>
    <n v="0"/>
    <n v="3650"/>
    <x v="1"/>
  </r>
  <r>
    <s v="ACC-IND-10742"/>
    <x v="22"/>
    <d v="2018-04-11T00:00:00"/>
    <n v="2000"/>
    <n v="0"/>
    <n v="0"/>
    <n v="0"/>
    <n v="0"/>
    <n v="0"/>
    <n v="2000"/>
    <x v="1"/>
  </r>
  <r>
    <s v="ACC-IND-10769"/>
    <x v="7"/>
    <d v="2021-02-02T00:00:00"/>
    <n v="91"/>
    <n v="19"/>
    <n v="1729"/>
    <n v="172.9"/>
    <n v="1556.1"/>
    <n v="0"/>
    <n v="91"/>
    <x v="0"/>
  </r>
  <r>
    <s v="ACC-IND-10744"/>
    <x v="31"/>
    <d v="2024-01-22T00:00:00"/>
    <n v="6500"/>
    <n v="0"/>
    <n v="0"/>
    <n v="0"/>
    <n v="0"/>
    <n v="0"/>
    <n v="6500"/>
    <x v="1"/>
  </r>
  <r>
    <s v="ACC-IND-10745"/>
    <x v="36"/>
    <d v="2021-03-08T00:00:00"/>
    <n v="5200"/>
    <n v="0.8"/>
    <n v="4160"/>
    <n v="416"/>
    <n v="3744"/>
    <n v="0"/>
    <n v="5200"/>
    <x v="0"/>
  </r>
  <r>
    <s v="ACC-IND-10746"/>
    <x v="3"/>
    <d v="2020-04-22T00:00:00"/>
    <n v="6550"/>
    <n v="0"/>
    <n v="0"/>
    <n v="0"/>
    <n v="0"/>
    <n v="0"/>
    <n v="6550"/>
    <x v="1"/>
  </r>
  <r>
    <s v="ACC-IND-10747"/>
    <x v="5"/>
    <d v="2020-03-08T00:00:00"/>
    <n v="5000"/>
    <n v="6.5"/>
    <n v="32500"/>
    <n v="3250"/>
    <n v="29250"/>
    <n v="0"/>
    <n v="5000"/>
    <x v="0"/>
  </r>
  <r>
    <s v="ACC-IND-10929"/>
    <x v="7"/>
    <d v="2022-03-18T00:00:00"/>
    <n v="90"/>
    <n v="19"/>
    <n v="1710"/>
    <n v="171"/>
    <n v="1539"/>
    <n v="0"/>
    <n v="90"/>
    <x v="0"/>
  </r>
  <r>
    <s v="ACC-IND-10120"/>
    <x v="7"/>
    <d v="2019-05-07T00:00:00"/>
    <n v="90"/>
    <n v="19"/>
    <n v="1710"/>
    <n v="171"/>
    <n v="1539"/>
    <n v="0"/>
    <n v="90"/>
    <x v="0"/>
  </r>
  <r>
    <s v="ACC-IND-10750"/>
    <x v="40"/>
    <d v="2015-01-02T00:00:00"/>
    <n v="3250"/>
    <n v="0"/>
    <n v="0"/>
    <n v="0"/>
    <n v="0"/>
    <n v="0"/>
    <n v="3250"/>
    <x v="1"/>
  </r>
  <r>
    <s v="ACC-IND-10738"/>
    <x v="7"/>
    <d v="2026-08-01T00:00:00"/>
    <n v="70"/>
    <n v="0"/>
    <n v="0"/>
    <n v="0"/>
    <n v="0"/>
    <n v="0"/>
    <n v="70"/>
    <x v="2"/>
  </r>
  <r>
    <s v="ACC-IND-10752"/>
    <x v="5"/>
    <d v="2020-01-21T00:00:00"/>
    <n v="7350"/>
    <n v="6.5"/>
    <n v="47775"/>
    <n v="4777.5"/>
    <n v="42997.5"/>
    <n v="0"/>
    <n v="7350"/>
    <x v="0"/>
  </r>
  <r>
    <s v="ACC-IND-10753"/>
    <x v="24"/>
    <d v="2015-06-16T00:00:00"/>
    <n v="2600"/>
    <n v="0.02"/>
    <n v="52"/>
    <n v="5.2"/>
    <n v="46.8"/>
    <n v="0"/>
    <n v="2600"/>
    <x v="0"/>
  </r>
  <r>
    <s v="ACC-IND-10754"/>
    <x v="17"/>
    <d v="2018-10-07T00:00:00"/>
    <n v="7600"/>
    <n v="2.5"/>
    <n v="19000"/>
    <n v="1900"/>
    <n v="17100"/>
    <n v="0"/>
    <n v="7600"/>
    <x v="0"/>
  </r>
  <r>
    <s v="ACC-IND-10350"/>
    <x v="7"/>
    <d v="2026-08-01T00:00:00"/>
    <n v="70"/>
    <n v="0"/>
    <n v="0"/>
    <n v="0"/>
    <n v="0"/>
    <n v="0"/>
    <n v="70"/>
    <x v="2"/>
  </r>
  <r>
    <s v="ACC-IND-10756"/>
    <x v="17"/>
    <d v="2024-05-09T00:00:00"/>
    <n v="5200"/>
    <n v="2.5"/>
    <n v="13000"/>
    <n v="1300"/>
    <n v="11700"/>
    <n v="0"/>
    <n v="5200"/>
    <x v="0"/>
  </r>
  <r>
    <s v="ACC-IND-10080"/>
    <x v="7"/>
    <d v="2023-04-11T00:00:00"/>
    <n v="70"/>
    <n v="19"/>
    <n v="1330"/>
    <n v="133"/>
    <n v="1197"/>
    <n v="0"/>
    <n v="70"/>
    <x v="0"/>
  </r>
  <r>
    <s v="ACC-IND-10758"/>
    <x v="5"/>
    <d v="2024-05-18T00:00:00"/>
    <n v="3400"/>
    <n v="4.5"/>
    <n v="15300"/>
    <n v="1530"/>
    <n v="13770"/>
    <n v="0"/>
    <n v="3400"/>
    <x v="0"/>
  </r>
  <r>
    <s v="ACC-IND-10759"/>
    <x v="1"/>
    <d v="2023-08-27T00:00:00"/>
    <n v="2750"/>
    <n v="0"/>
    <n v="0"/>
    <n v="0"/>
    <n v="0"/>
    <n v="0"/>
    <n v="2750"/>
    <x v="1"/>
  </r>
  <r>
    <s v="ACC-IND-10760"/>
    <x v="19"/>
    <d v="2016-11-01T00:00:00"/>
    <n v="4200"/>
    <n v="0"/>
    <n v="0"/>
    <n v="0"/>
    <n v="0"/>
    <n v="0"/>
    <n v="4200"/>
    <x v="1"/>
  </r>
  <r>
    <s v="ACC-IND-10761"/>
    <x v="16"/>
    <d v="2021-09-25T00:00:00"/>
    <n v="8550"/>
    <n v="1.5"/>
    <n v="12825"/>
    <n v="1282.5"/>
    <n v="11542.5"/>
    <n v="0"/>
    <n v="8550"/>
    <x v="0"/>
  </r>
  <r>
    <s v="ACC-IND-10762"/>
    <x v="10"/>
    <d v="2017-03-17T00:00:00"/>
    <n v="7650"/>
    <n v="1.35"/>
    <n v="10327.5"/>
    <n v="1032.75"/>
    <n v="9294.75"/>
    <n v="0"/>
    <n v="7650"/>
    <x v="0"/>
  </r>
  <r>
    <s v="ACC-IND-10763"/>
    <x v="4"/>
    <d v="2021-10-01T00:00:00"/>
    <n v="1200"/>
    <n v="3"/>
    <n v="3600"/>
    <n v="360"/>
    <n v="3240"/>
    <n v="0"/>
    <n v="1200"/>
    <x v="0"/>
  </r>
  <r>
    <s v="ACC-IND-10060"/>
    <x v="7"/>
    <d v="2026-08-01T00:00:00"/>
    <n v="70"/>
    <n v="0"/>
    <n v="0"/>
    <n v="0"/>
    <n v="0"/>
    <n v="0"/>
    <n v="70"/>
    <x v="2"/>
  </r>
  <r>
    <s v="ACC-IND-10765"/>
    <x v="10"/>
    <d v="2015-11-26T00:00:00"/>
    <n v="5200"/>
    <n v="1.35"/>
    <n v="7020.0000000000009"/>
    <n v="702.00000000000011"/>
    <n v="6318.0000000000009"/>
    <n v="0"/>
    <n v="5200"/>
    <x v="0"/>
  </r>
  <r>
    <s v="ACC-IND-10766"/>
    <x v="4"/>
    <d v="2023-11-19T00:00:00"/>
    <n v="5700"/>
    <n v="3"/>
    <n v="17100"/>
    <n v="1710"/>
    <n v="15390"/>
    <n v="0"/>
    <n v="5700"/>
    <x v="0"/>
  </r>
  <r>
    <s v="ACC-IND-10767"/>
    <x v="10"/>
    <d v="2016-02-26T00:00:00"/>
    <n v="8350"/>
    <n v="1.35"/>
    <n v="11272.5"/>
    <n v="1127.25"/>
    <n v="10145.25"/>
    <n v="0"/>
    <n v="8350"/>
    <x v="0"/>
  </r>
  <r>
    <s v="ACC-IND-10768"/>
    <x v="26"/>
    <d v="2017-05-07T00:00:00"/>
    <n v="8450"/>
    <n v="0"/>
    <n v="0"/>
    <n v="0"/>
    <n v="0"/>
    <n v="0"/>
    <n v="8450"/>
    <x v="1"/>
  </r>
  <r>
    <s v="ACC-IND-10504"/>
    <x v="7"/>
    <d v="2022-10-02T00:00:00"/>
    <n v="70"/>
    <n v="19"/>
    <n v="1330"/>
    <n v="133"/>
    <n v="1197"/>
    <n v="0"/>
    <n v="70"/>
    <x v="0"/>
  </r>
  <r>
    <s v="ACC-IND-10770"/>
    <x v="23"/>
    <d v="2016-09-14T00:00:00"/>
    <n v="6100"/>
    <n v="7.0000000000000007E-2"/>
    <n v="427.00000000000006"/>
    <n v="42.70000000000001"/>
    <n v="384.30000000000007"/>
    <n v="0"/>
    <n v="6100"/>
    <x v="0"/>
  </r>
  <r>
    <s v="ACC-IND-10771"/>
    <x v="3"/>
    <d v="2020-07-26T00:00:00"/>
    <n v="9750"/>
    <n v="0"/>
    <n v="0"/>
    <n v="0"/>
    <n v="0"/>
    <n v="0"/>
    <n v="9750"/>
    <x v="1"/>
  </r>
  <r>
    <s v="ACC-IND-10772"/>
    <x v="29"/>
    <d v="2022-05-20T00:00:00"/>
    <n v="4650"/>
    <n v="2.5"/>
    <n v="11625"/>
    <n v="1162.5"/>
    <n v="10462.5"/>
    <n v="0"/>
    <n v="4650"/>
    <x v="0"/>
  </r>
  <r>
    <s v="ACC-IND-10773"/>
    <x v="26"/>
    <d v="2017-01-01T00:00:00"/>
    <n v="4000"/>
    <n v="0"/>
    <n v="0"/>
    <n v="0"/>
    <n v="0"/>
    <n v="0"/>
    <n v="4000"/>
    <x v="1"/>
  </r>
  <r>
    <s v="ACC-IND-10774"/>
    <x v="26"/>
    <d v="2023-04-28T00:00:00"/>
    <n v="5850"/>
    <n v="0"/>
    <n v="0"/>
    <n v="0"/>
    <n v="0"/>
    <n v="0"/>
    <n v="5850"/>
    <x v="1"/>
  </r>
  <r>
    <s v="ACC-IND-10775"/>
    <x v="24"/>
    <d v="2021-09-04T00:00:00"/>
    <n v="7950"/>
    <n v="0.02"/>
    <n v="159"/>
    <n v="15.9"/>
    <n v="143.1"/>
    <n v="0"/>
    <n v="7950"/>
    <x v="0"/>
  </r>
  <r>
    <s v="ACC-IND-10776"/>
    <x v="0"/>
    <d v="2019-06-08T00:00:00"/>
    <n v="3950"/>
    <n v="1.5000000000000002"/>
    <n v="5925.0000000000009"/>
    <n v="592.50000000000011"/>
    <n v="5332.5000000000009"/>
    <n v="0"/>
    <n v="3950"/>
    <x v="0"/>
  </r>
  <r>
    <s v="ACC-IND-10113"/>
    <x v="7"/>
    <d v="2022-09-20T00:00:00"/>
    <n v="70"/>
    <n v="19"/>
    <n v="1330"/>
    <n v="133"/>
    <n v="1197"/>
    <n v="0"/>
    <n v="70"/>
    <x v="0"/>
  </r>
  <r>
    <s v="ACC-IND-10778"/>
    <x v="19"/>
    <d v="2017-09-26T00:00:00"/>
    <n v="5000"/>
    <n v="0"/>
    <n v="0"/>
    <n v="0"/>
    <n v="0"/>
    <n v="0"/>
    <n v="5000"/>
    <x v="1"/>
  </r>
  <r>
    <s v="ACC-IND-10779"/>
    <x v="1"/>
    <d v="2021-01-24T00:00:00"/>
    <n v="7500"/>
    <n v="0"/>
    <n v="0"/>
    <n v="0"/>
    <n v="0"/>
    <n v="0"/>
    <n v="7500"/>
    <x v="1"/>
  </r>
  <r>
    <s v="ACC-IND-10757"/>
    <x v="7"/>
    <d v="2022-05-05T00:00:00"/>
    <n v="70"/>
    <n v="19"/>
    <n v="1330"/>
    <n v="133"/>
    <n v="1197"/>
    <n v="0"/>
    <n v="70"/>
    <x v="0"/>
  </r>
  <r>
    <s v="ACC-IND-10781"/>
    <x v="11"/>
    <d v="2015-10-17T00:00:00"/>
    <n v="8950"/>
    <n v="1"/>
    <n v="8950"/>
    <n v="895"/>
    <n v="8055"/>
    <n v="0"/>
    <n v="8950"/>
    <x v="0"/>
  </r>
  <r>
    <s v="ACC-IND-10835"/>
    <x v="7"/>
    <d v="2021-09-22T00:00:00"/>
    <n v="70"/>
    <n v="19"/>
    <n v="1330"/>
    <n v="133"/>
    <n v="1197"/>
    <n v="0"/>
    <n v="70"/>
    <x v="0"/>
  </r>
  <r>
    <s v="ACC-IND-10262"/>
    <x v="7"/>
    <d v="2021-05-27T00:00:00"/>
    <n v="70"/>
    <n v="19"/>
    <n v="1330"/>
    <n v="133"/>
    <n v="1197"/>
    <n v="0"/>
    <n v="70"/>
    <x v="0"/>
  </r>
  <r>
    <s v="ACC-IND-10784"/>
    <x v="22"/>
    <d v="2022-08-07T00:00:00"/>
    <n v="7050"/>
    <n v="0"/>
    <n v="0"/>
    <n v="0"/>
    <n v="0"/>
    <n v="0"/>
    <n v="7050"/>
    <x v="1"/>
  </r>
  <r>
    <s v="ACC-IND-10870"/>
    <x v="7"/>
    <d v="2021-02-06T00:00:00"/>
    <n v="70"/>
    <n v="19"/>
    <n v="1330"/>
    <n v="133"/>
    <n v="1197"/>
    <n v="0"/>
    <n v="70"/>
    <x v="0"/>
  </r>
  <r>
    <s v="ACC-IND-10786"/>
    <x v="8"/>
    <d v="2015-09-02T00:00:00"/>
    <n v="8850"/>
    <n v="1.2"/>
    <n v="10620"/>
    <n v="1062"/>
    <n v="9558"/>
    <n v="0"/>
    <n v="8850"/>
    <x v="0"/>
  </r>
  <r>
    <s v="ACC-IND-10787"/>
    <x v="20"/>
    <d v="2023-09-19T00:00:00"/>
    <n v="9300"/>
    <n v="0"/>
    <n v="0"/>
    <n v="0"/>
    <n v="0"/>
    <n v="0"/>
    <n v="9300"/>
    <x v="1"/>
  </r>
  <r>
    <s v="ACC-IND-10788"/>
    <x v="8"/>
    <d v="2016-03-21T00:00:00"/>
    <n v="8150"/>
    <n v="1.2"/>
    <n v="9780"/>
    <n v="978"/>
    <n v="8802"/>
    <n v="0"/>
    <n v="8150"/>
    <x v="0"/>
  </r>
  <r>
    <s v="ACC-IND-10789"/>
    <x v="14"/>
    <d v="2020-06-02T00:00:00"/>
    <n v="7950"/>
    <n v="0.2"/>
    <n v="1590"/>
    <n v="159"/>
    <n v="1431"/>
    <n v="0"/>
    <n v="7950"/>
    <x v="0"/>
  </r>
  <r>
    <s v="ACC-IND-10268"/>
    <x v="7"/>
    <d v="2020-01-25T00:00:00"/>
    <n v="70"/>
    <n v="19"/>
    <n v="1330"/>
    <n v="133"/>
    <n v="1197"/>
    <n v="0"/>
    <n v="70"/>
    <x v="0"/>
  </r>
  <r>
    <s v="ACC-IND-10098"/>
    <x v="7"/>
    <d v="2019-10-21T00:00:00"/>
    <n v="70"/>
    <n v="19"/>
    <n v="1330"/>
    <n v="133"/>
    <n v="1197"/>
    <n v="0"/>
    <n v="70"/>
    <x v="0"/>
  </r>
  <r>
    <s v="ACC-IND-10792"/>
    <x v="27"/>
    <d v="2017-03-15T00:00:00"/>
    <n v="6700"/>
    <n v="1.5"/>
    <n v="10050"/>
    <n v="1005"/>
    <n v="9045"/>
    <n v="0"/>
    <n v="6700"/>
    <x v="0"/>
  </r>
  <r>
    <s v="ACC-IND-10793"/>
    <x v="27"/>
    <d v="2019-10-05T00:00:00"/>
    <n v="8150"/>
    <n v="1.5"/>
    <n v="12225"/>
    <n v="1222.5"/>
    <n v="11002.5"/>
    <n v="0"/>
    <n v="8150"/>
    <x v="0"/>
  </r>
  <r>
    <s v="ACC-IND-10794"/>
    <x v="17"/>
    <d v="2016-07-08T00:00:00"/>
    <n v="4600"/>
    <n v="2.5"/>
    <n v="11500"/>
    <n v="1150"/>
    <n v="10350"/>
    <n v="0"/>
    <n v="4600"/>
    <x v="0"/>
  </r>
  <r>
    <s v="ACC-IND-10795"/>
    <x v="14"/>
    <d v="2018-02-14T00:00:00"/>
    <n v="2450"/>
    <n v="0.2"/>
    <n v="490"/>
    <n v="49"/>
    <n v="441"/>
    <n v="0"/>
    <n v="2450"/>
    <x v="0"/>
  </r>
  <r>
    <s v="ACC-IND-10796"/>
    <x v="22"/>
    <d v="2016-07-08T00:00:00"/>
    <n v="8250"/>
    <n v="0"/>
    <n v="0"/>
    <n v="0"/>
    <n v="0"/>
    <n v="0"/>
    <n v="8250"/>
    <x v="1"/>
  </r>
  <r>
    <s v="ACC-IND-10797"/>
    <x v="16"/>
    <d v="2022-04-02T00:00:00"/>
    <n v="1450"/>
    <n v="1.5"/>
    <n v="2175"/>
    <n v="217.5"/>
    <n v="1957.5"/>
    <n v="0"/>
    <n v="1450"/>
    <x v="0"/>
  </r>
  <r>
    <s v="ACC-IND-10798"/>
    <x v="29"/>
    <d v="2022-06-07T00:00:00"/>
    <n v="8500"/>
    <n v="2.5"/>
    <n v="21250"/>
    <n v="2125"/>
    <n v="19125"/>
    <n v="0"/>
    <n v="8500"/>
    <x v="0"/>
  </r>
  <r>
    <s v="ACC-IND-10799"/>
    <x v="28"/>
    <d v="2024-05-12T00:00:00"/>
    <n v="8800"/>
    <n v="0"/>
    <n v="0"/>
    <n v="0"/>
    <n v="0"/>
    <n v="11000"/>
    <n v="19800"/>
    <x v="0"/>
  </r>
  <r>
    <s v="ACC-IND-10800"/>
    <x v="10"/>
    <d v="2017-01-21T00:00:00"/>
    <n v="4200"/>
    <n v="1.35"/>
    <n v="5670"/>
    <n v="567"/>
    <n v="5103"/>
    <n v="0"/>
    <n v="4200"/>
    <x v="0"/>
  </r>
  <r>
    <s v="ACC-IND-10801"/>
    <x v="2"/>
    <d v="2019-08-15T00:00:00"/>
    <n v="6700"/>
    <n v="3"/>
    <n v="20100"/>
    <n v="2010"/>
    <n v="18090"/>
    <n v="0"/>
    <n v="6700"/>
    <x v="0"/>
  </r>
  <r>
    <s v="ACC-IND-10802"/>
    <x v="23"/>
    <d v="2021-06-10T00:00:00"/>
    <n v="1750"/>
    <n v="7.0000000000000007E-2"/>
    <n v="122.50000000000001"/>
    <n v="12.250000000000002"/>
    <n v="110.25000000000001"/>
    <n v="0"/>
    <n v="1750"/>
    <x v="0"/>
  </r>
  <r>
    <s v="ACC-IND-10803"/>
    <x v="18"/>
    <d v="2020-03-17T00:00:00"/>
    <n v="6700"/>
    <n v="0.1"/>
    <n v="670"/>
    <n v="67"/>
    <n v="603"/>
    <n v="0"/>
    <n v="6700"/>
    <x v="0"/>
  </r>
  <r>
    <s v="ACC-IND-10804"/>
    <x v="33"/>
    <d v="2016-03-10T00:00:00"/>
    <n v="6600"/>
    <n v="1.1000000000000001"/>
    <n v="7260.0000000000009"/>
    <n v="726.00000000000011"/>
    <n v="6534.0000000000009"/>
    <n v="0"/>
    <n v="6600"/>
    <x v="0"/>
  </r>
  <r>
    <s v="ACC-IND-10805"/>
    <x v="26"/>
    <d v="2016-01-14T00:00:00"/>
    <n v="2350"/>
    <n v="0"/>
    <n v="0"/>
    <n v="0"/>
    <n v="0"/>
    <n v="0"/>
    <n v="2350"/>
    <x v="1"/>
  </r>
  <r>
    <s v="ACC-IND-10806"/>
    <x v="38"/>
    <d v="2023-07-18T00:00:00"/>
    <n v="7550"/>
    <n v="0.30000000000000004"/>
    <n v="2265.0000000000005"/>
    <n v="226.50000000000006"/>
    <n v="2038.5000000000005"/>
    <n v="0"/>
    <n v="7550"/>
    <x v="0"/>
  </r>
  <r>
    <s v="ACC-IND-10807"/>
    <x v="14"/>
    <d v="2016-02-05T00:00:00"/>
    <n v="4950"/>
    <n v="0.2"/>
    <n v="990"/>
    <n v="99"/>
    <n v="891"/>
    <n v="0"/>
    <n v="4950"/>
    <x v="0"/>
  </r>
  <r>
    <s v="ACC-IND-10808"/>
    <x v="15"/>
    <d v="2020-04-20T00:00:00"/>
    <n v="3450"/>
    <n v="3.75"/>
    <n v="12937.5"/>
    <n v="1293.75"/>
    <n v="11643.75"/>
    <n v="0"/>
    <n v="3450"/>
    <x v="0"/>
  </r>
  <r>
    <s v="ACC-IND-10809"/>
    <x v="18"/>
    <d v="2016-09-10T00:00:00"/>
    <n v="1300"/>
    <n v="0.1"/>
    <n v="130"/>
    <n v="13"/>
    <n v="117"/>
    <n v="0"/>
    <n v="1300"/>
    <x v="0"/>
  </r>
  <r>
    <s v="ACC-IND-10810"/>
    <x v="12"/>
    <d v="2022-09-04T00:00:00"/>
    <n v="2300"/>
    <n v="0"/>
    <n v="0"/>
    <n v="0"/>
    <n v="0"/>
    <n v="0"/>
    <n v="2300"/>
    <x v="1"/>
  </r>
  <r>
    <s v="ACC-IND-10811"/>
    <x v="1"/>
    <d v="2024-02-18T00:00:00"/>
    <n v="4400"/>
    <n v="0"/>
    <n v="0"/>
    <n v="0"/>
    <n v="0"/>
    <n v="0"/>
    <n v="4400"/>
    <x v="1"/>
  </r>
  <r>
    <s v="ACC-IND-10812"/>
    <x v="16"/>
    <d v="2022-01-01T00:00:00"/>
    <n v="3300"/>
    <n v="1.5"/>
    <n v="4950"/>
    <n v="495"/>
    <n v="4455"/>
    <n v="0"/>
    <n v="3300"/>
    <x v="0"/>
  </r>
  <r>
    <s v="ACC-IND-10813"/>
    <x v="1"/>
    <d v="2019-10-15T00:00:00"/>
    <n v="6100"/>
    <n v="0"/>
    <n v="0"/>
    <n v="0"/>
    <n v="0"/>
    <n v="0"/>
    <n v="6100"/>
    <x v="1"/>
  </r>
  <r>
    <s v="ACC-IND-10814"/>
    <x v="2"/>
    <d v="2017-11-03T00:00:00"/>
    <n v="750"/>
    <n v="3"/>
    <n v="2250"/>
    <n v="225"/>
    <n v="2025"/>
    <n v="0"/>
    <n v="750"/>
    <x v="0"/>
  </r>
  <r>
    <s v="ACC-IND-10815"/>
    <x v="15"/>
    <d v="2022-03-06T00:00:00"/>
    <n v="2850"/>
    <n v="3.75"/>
    <n v="10687.5"/>
    <n v="1068.75"/>
    <n v="9618.75"/>
    <n v="0"/>
    <n v="2850"/>
    <x v="0"/>
  </r>
  <r>
    <s v="ACC-IND-10816"/>
    <x v="15"/>
    <d v="2024-03-18T00:00:00"/>
    <n v="750"/>
    <n v="3.75"/>
    <n v="2812.5"/>
    <n v="281.25"/>
    <n v="2531.25"/>
    <n v="0"/>
    <n v="750"/>
    <x v="0"/>
  </r>
  <r>
    <s v="ACC-IND-10817"/>
    <x v="21"/>
    <d v="2019-08-27T00:00:00"/>
    <n v="3650"/>
    <n v="3.25"/>
    <n v="11862.5"/>
    <n v="1186.25"/>
    <n v="10676.25"/>
    <n v="0"/>
    <n v="3650"/>
    <x v="0"/>
  </r>
  <r>
    <s v="ACC-IND-10818"/>
    <x v="2"/>
    <d v="2023-11-24T00:00:00"/>
    <n v="750"/>
    <n v="3"/>
    <n v="2250"/>
    <n v="225"/>
    <n v="2025"/>
    <n v="0"/>
    <n v="750"/>
    <x v="0"/>
  </r>
  <r>
    <s v="ACC-IND-10819"/>
    <x v="21"/>
    <d v="2019-03-11T00:00:00"/>
    <n v="300"/>
    <n v="3.25"/>
    <n v="975"/>
    <n v="97.5"/>
    <n v="877.5"/>
    <n v="0"/>
    <n v="300"/>
    <x v="0"/>
  </r>
  <r>
    <s v="ACC-IND-10820"/>
    <x v="0"/>
    <d v="2015-11-15T00:00:00"/>
    <n v="1000"/>
    <n v="1.5000000000000002"/>
    <n v="1500.0000000000002"/>
    <n v="150.00000000000003"/>
    <n v="1350.0000000000002"/>
    <n v="0"/>
    <n v="1000"/>
    <x v="0"/>
  </r>
  <r>
    <s v="ACC-IND-10821"/>
    <x v="6"/>
    <d v="2020-08-16T00:00:00"/>
    <n v="600"/>
    <n v="0"/>
    <n v="0"/>
    <n v="0"/>
    <n v="0"/>
    <n v="0"/>
    <n v="600"/>
    <x v="1"/>
  </r>
  <r>
    <s v="ACC-IND-10822"/>
    <x v="29"/>
    <d v="2020-09-26T00:00:00"/>
    <n v="8700"/>
    <n v="2.5"/>
    <n v="21750"/>
    <n v="2175"/>
    <n v="19575"/>
    <n v="0"/>
    <n v="8700"/>
    <x v="0"/>
  </r>
  <r>
    <s v="ACC-IND-10878"/>
    <x v="7"/>
    <d v="2019-10-05T00:00:00"/>
    <n v="70"/>
    <n v="19"/>
    <n v="1330"/>
    <n v="133"/>
    <n v="1197"/>
    <n v="0"/>
    <n v="70"/>
    <x v="0"/>
  </r>
  <r>
    <s v="ACC-IND-10824"/>
    <x v="16"/>
    <d v="2022-03-24T00:00:00"/>
    <n v="5050"/>
    <n v="1.5"/>
    <n v="7575"/>
    <n v="757.5"/>
    <n v="6817.5"/>
    <n v="0"/>
    <n v="5050"/>
    <x v="0"/>
  </r>
  <r>
    <s v="ACC-IND-10056"/>
    <x v="7"/>
    <d v="2019-03-26T00:00:00"/>
    <n v="70"/>
    <n v="19"/>
    <n v="1330"/>
    <n v="133"/>
    <n v="1197"/>
    <n v="0"/>
    <n v="70"/>
    <x v="0"/>
  </r>
  <r>
    <s v="ACC-IND-10826"/>
    <x v="19"/>
    <d v="2022-12-26T00:00:00"/>
    <n v="4100"/>
    <n v="0"/>
    <n v="0"/>
    <n v="0"/>
    <n v="0"/>
    <n v="0"/>
    <n v="4100"/>
    <x v="1"/>
  </r>
  <r>
    <s v="ACC-IND-10827"/>
    <x v="33"/>
    <d v="2017-02-28T00:00:00"/>
    <n v="1800"/>
    <n v="1.1000000000000001"/>
    <n v="1980.0000000000002"/>
    <n v="198.00000000000003"/>
    <n v="1782.0000000000002"/>
    <n v="0"/>
    <n v="1800"/>
    <x v="0"/>
  </r>
  <r>
    <s v="ACC-IND-10828"/>
    <x v="5"/>
    <d v="2017-11-10T00:00:00"/>
    <n v="4750"/>
    <n v="6.5"/>
    <n v="30875"/>
    <n v="3087.5"/>
    <n v="27787.5"/>
    <n v="0"/>
    <n v="4750"/>
    <x v="0"/>
  </r>
  <r>
    <s v="ACC-IND-10825"/>
    <x v="7"/>
    <d v="2019-03-23T00:00:00"/>
    <n v="70"/>
    <n v="19"/>
    <n v="1330"/>
    <n v="133"/>
    <n v="1197"/>
    <n v="0"/>
    <n v="70"/>
    <x v="0"/>
  </r>
  <r>
    <s v="ACC-IND-10830"/>
    <x v="10"/>
    <d v="2019-06-19T00:00:00"/>
    <n v="4800"/>
    <n v="1.35"/>
    <n v="6480"/>
    <n v="648"/>
    <n v="5832"/>
    <n v="0"/>
    <n v="4800"/>
    <x v="0"/>
  </r>
  <r>
    <s v="ACC-IND-10831"/>
    <x v="9"/>
    <d v="2018-10-07T00:00:00"/>
    <n v="750"/>
    <n v="0"/>
    <n v="0"/>
    <n v="0"/>
    <n v="0"/>
    <n v="0"/>
    <n v="750"/>
    <x v="1"/>
  </r>
  <r>
    <s v="ACC-IND-10832"/>
    <x v="16"/>
    <d v="2016-03-27T00:00:00"/>
    <n v="7700"/>
    <n v="1.5"/>
    <n v="11550"/>
    <n v="1155"/>
    <n v="10395"/>
    <n v="0"/>
    <n v="7700"/>
    <x v="0"/>
  </r>
  <r>
    <s v="ACC-IND-10833"/>
    <x v="17"/>
    <d v="2018-07-22T00:00:00"/>
    <n v="800"/>
    <n v="2.5"/>
    <n v="2000"/>
    <n v="200"/>
    <n v="1800"/>
    <n v="0"/>
    <n v="800"/>
    <x v="0"/>
  </r>
  <r>
    <s v="ACC-IND-10838"/>
    <x v="7"/>
    <d v="2017-12-04T00:00:00"/>
    <n v="70"/>
    <n v="19"/>
    <n v="1330"/>
    <n v="133"/>
    <n v="1197"/>
    <n v="0"/>
    <n v="70"/>
    <x v="0"/>
  </r>
  <r>
    <s v="ACC-IND-10082"/>
    <x v="7"/>
    <d v="2017-07-21T00:00:00"/>
    <n v="70"/>
    <n v="19"/>
    <n v="1330"/>
    <n v="133"/>
    <n v="1197"/>
    <n v="0"/>
    <n v="70"/>
    <x v="0"/>
  </r>
  <r>
    <s v="ACC-IND-10836"/>
    <x v="40"/>
    <d v="2015-05-06T00:00:00"/>
    <n v="2200"/>
    <n v="0"/>
    <n v="0"/>
    <n v="0"/>
    <n v="0"/>
    <n v="0"/>
    <n v="2200"/>
    <x v="1"/>
  </r>
  <r>
    <s v="ACC-IND-10837"/>
    <x v="9"/>
    <d v="2017-08-13T00:00:00"/>
    <n v="6100"/>
    <n v="0"/>
    <n v="0"/>
    <n v="0"/>
    <n v="0"/>
    <n v="0"/>
    <n v="6100"/>
    <x v="1"/>
  </r>
  <r>
    <s v="ACC-IND-10139"/>
    <x v="7"/>
    <d v="2016-08-21T00:00:00"/>
    <n v="70"/>
    <n v="19"/>
    <n v="1330"/>
    <n v="133"/>
    <n v="1197"/>
    <n v="0"/>
    <n v="70"/>
    <x v="0"/>
  </r>
  <r>
    <s v="ACC-IND-10839"/>
    <x v="19"/>
    <d v="2016-01-26T00:00:00"/>
    <n v="350"/>
    <n v="0"/>
    <n v="0"/>
    <n v="0"/>
    <n v="0"/>
    <n v="0"/>
    <n v="350"/>
    <x v="1"/>
  </r>
  <r>
    <s v="ACC-IND-10840"/>
    <x v="6"/>
    <d v="2024-04-24T00:00:00"/>
    <n v="2500"/>
    <n v="0"/>
    <n v="0"/>
    <n v="0"/>
    <n v="0"/>
    <n v="0"/>
    <n v="2500"/>
    <x v="1"/>
  </r>
  <r>
    <s v="ACC-IND-10841"/>
    <x v="20"/>
    <d v="2022-12-23T00:00:00"/>
    <n v="1450"/>
    <n v="0"/>
    <n v="0"/>
    <n v="0"/>
    <n v="0"/>
    <n v="0"/>
    <n v="1450"/>
    <x v="1"/>
  </r>
  <r>
    <s v="ACC-IND-10945"/>
    <x v="7"/>
    <d v="2016-05-13T00:00:00"/>
    <n v="70"/>
    <n v="19"/>
    <n v="1330"/>
    <n v="133"/>
    <n v="1197"/>
    <n v="0"/>
    <n v="70"/>
    <x v="0"/>
  </r>
  <r>
    <s v="ACC-IND-10843"/>
    <x v="9"/>
    <d v="2017-03-09T00:00:00"/>
    <n v="3100"/>
    <n v="0"/>
    <n v="0"/>
    <n v="0"/>
    <n v="0"/>
    <n v="0"/>
    <n v="3100"/>
    <x v="1"/>
  </r>
  <r>
    <s v="ACC-IND-10844"/>
    <x v="15"/>
    <d v="2015-03-04T00:00:00"/>
    <n v="3500"/>
    <n v="3.75"/>
    <n v="13125"/>
    <n v="1312.5"/>
    <n v="11812.5"/>
    <n v="0"/>
    <n v="3500"/>
    <x v="0"/>
  </r>
  <r>
    <s v="ACC-IND-10845"/>
    <x v="3"/>
    <d v="2024-06-11T00:00:00"/>
    <n v="5500"/>
    <n v="0"/>
    <n v="0"/>
    <n v="0"/>
    <n v="0"/>
    <n v="0"/>
    <n v="5500"/>
    <x v="1"/>
  </r>
  <r>
    <s v="ACC-IND-10846"/>
    <x v="17"/>
    <d v="2015-01-11T00:00:00"/>
    <n v="6550"/>
    <n v="2.5"/>
    <n v="16375"/>
    <n v="1637.5"/>
    <n v="14737.5"/>
    <n v="0"/>
    <n v="6550"/>
    <x v="0"/>
  </r>
  <r>
    <s v="ACC-IND-10847"/>
    <x v="0"/>
    <d v="2023-02-08T00:00:00"/>
    <n v="950"/>
    <n v="1.5000000000000002"/>
    <n v="1425.0000000000002"/>
    <n v="142.50000000000003"/>
    <n v="1282.5000000000002"/>
    <n v="0"/>
    <n v="950"/>
    <x v="0"/>
  </r>
  <r>
    <s v="ACC-IND-10073"/>
    <x v="7"/>
    <d v="2016-04-01T00:00:00"/>
    <n v="70"/>
    <n v="19"/>
    <n v="1330"/>
    <n v="133"/>
    <n v="1197"/>
    <n v="0"/>
    <n v="70"/>
    <x v="0"/>
  </r>
  <r>
    <s v="ACC-IND-10849"/>
    <x v="4"/>
    <d v="2019-12-07T00:00:00"/>
    <n v="1550"/>
    <n v="3"/>
    <n v="4650"/>
    <n v="465"/>
    <n v="4185"/>
    <n v="0"/>
    <n v="1550"/>
    <x v="0"/>
  </r>
  <r>
    <s v="ACC-IND-10850"/>
    <x v="12"/>
    <d v="2022-03-10T00:00:00"/>
    <n v="850"/>
    <n v="0"/>
    <n v="0"/>
    <n v="0"/>
    <n v="0"/>
    <n v="0"/>
    <n v="850"/>
    <x v="1"/>
  </r>
  <r>
    <s v="ACC-IND-10443"/>
    <x v="7"/>
    <d v="2015-09-02T00:00:00"/>
    <n v="70"/>
    <n v="19"/>
    <n v="1330"/>
    <n v="133"/>
    <n v="1197"/>
    <n v="0"/>
    <n v="70"/>
    <x v="0"/>
  </r>
  <r>
    <s v="ACC-IND-10852"/>
    <x v="16"/>
    <d v="2018-03-11T00:00:00"/>
    <n v="1200"/>
    <n v="1.5"/>
    <n v="1800"/>
    <n v="180"/>
    <n v="1620"/>
    <n v="0"/>
    <n v="1200"/>
    <x v="0"/>
  </r>
  <r>
    <s v="ACC-IND-10853"/>
    <x v="26"/>
    <d v="2021-09-12T00:00:00"/>
    <n v="2400"/>
    <n v="0"/>
    <n v="0"/>
    <n v="0"/>
    <n v="0"/>
    <n v="0"/>
    <n v="2400"/>
    <x v="1"/>
  </r>
  <r>
    <s v="ACC-IND-10854"/>
    <x v="8"/>
    <d v="2021-02-21T00:00:00"/>
    <n v="1300"/>
    <n v="1.2"/>
    <n v="1560"/>
    <n v="156"/>
    <n v="1404"/>
    <n v="0"/>
    <n v="1300"/>
    <x v="0"/>
  </r>
  <r>
    <s v="ACC-IND-10855"/>
    <x v="15"/>
    <d v="2018-01-07T00:00:00"/>
    <n v="3550"/>
    <n v="3.75"/>
    <n v="13312.5"/>
    <n v="1331.25"/>
    <n v="11981.25"/>
    <n v="0"/>
    <n v="3550"/>
    <x v="0"/>
  </r>
  <r>
    <s v="ACC-IND-10856"/>
    <x v="5"/>
    <d v="2018-09-20T00:00:00"/>
    <n v="6750"/>
    <n v="6.5"/>
    <n v="43875"/>
    <n v="4387.5"/>
    <n v="39487.5"/>
    <n v="0"/>
    <n v="6750"/>
    <x v="0"/>
  </r>
  <r>
    <s v="ACC-IND-10857"/>
    <x v="6"/>
    <d v="2019-07-16T00:00:00"/>
    <n v="5300"/>
    <n v="0"/>
    <n v="0"/>
    <n v="0"/>
    <n v="0"/>
    <n v="0"/>
    <n v="5300"/>
    <x v="1"/>
  </r>
  <r>
    <s v="ACC-IND-10858"/>
    <x v="6"/>
    <d v="2022-01-06T00:00:00"/>
    <n v="3650"/>
    <n v="0"/>
    <n v="0"/>
    <n v="0"/>
    <n v="0"/>
    <n v="0"/>
    <n v="3650"/>
    <x v="1"/>
  </r>
  <r>
    <s v="ACC-IND-10859"/>
    <x v="13"/>
    <d v="2024-07-09T00:00:00"/>
    <n v="6750"/>
    <n v="0"/>
    <n v="0"/>
    <n v="0"/>
    <n v="0"/>
    <n v="0"/>
    <n v="6750"/>
    <x v="1"/>
  </r>
  <r>
    <s v="ACC-IND-10860"/>
    <x v="9"/>
    <d v="2017-06-12T00:00:00"/>
    <n v="500"/>
    <n v="0"/>
    <n v="0"/>
    <n v="0"/>
    <n v="0"/>
    <n v="0"/>
    <n v="500"/>
    <x v="1"/>
  </r>
  <r>
    <s v="ACC-IND-10861"/>
    <x v="22"/>
    <d v="2021-10-06T00:00:00"/>
    <n v="7200"/>
    <n v="0"/>
    <n v="0"/>
    <n v="0"/>
    <n v="0"/>
    <n v="0"/>
    <n v="7200"/>
    <x v="1"/>
  </r>
  <r>
    <s v="ACC-IND-10862"/>
    <x v="29"/>
    <d v="2023-07-21T00:00:00"/>
    <n v="2050"/>
    <n v="2.5"/>
    <n v="5125"/>
    <n v="512.5"/>
    <n v="4612.5"/>
    <n v="0"/>
    <n v="2050"/>
    <x v="0"/>
  </r>
  <r>
    <s v="ACC-IND-10863"/>
    <x v="22"/>
    <d v="2015-03-02T00:00:00"/>
    <n v="1800"/>
    <n v="0"/>
    <n v="0"/>
    <n v="0"/>
    <n v="0"/>
    <n v="0"/>
    <n v="1800"/>
    <x v="1"/>
  </r>
  <r>
    <s v="ACC-IND-10864"/>
    <x v="11"/>
    <d v="2021-07-19T00:00:00"/>
    <n v="6350"/>
    <n v="1"/>
    <n v="6350"/>
    <n v="635"/>
    <n v="5715"/>
    <n v="0"/>
    <n v="6350"/>
    <x v="0"/>
  </r>
  <r>
    <s v="ACC-IND-10865"/>
    <x v="22"/>
    <d v="2017-07-15T00:00:00"/>
    <n v="9400"/>
    <n v="0"/>
    <n v="0"/>
    <n v="0"/>
    <n v="0"/>
    <n v="0"/>
    <n v="9400"/>
    <x v="1"/>
  </r>
  <r>
    <s v="ACC-IND-10866"/>
    <x v="23"/>
    <d v="2023-10-09T00:00:00"/>
    <n v="3800"/>
    <n v="7.0000000000000007E-2"/>
    <n v="266"/>
    <n v="26.6"/>
    <n v="239.4"/>
    <n v="0"/>
    <n v="3800"/>
    <x v="0"/>
  </r>
  <r>
    <s v="ACC-IND-10867"/>
    <x v="2"/>
    <d v="2019-11-06T00:00:00"/>
    <n v="3000"/>
    <n v="3"/>
    <n v="9000"/>
    <n v="900"/>
    <n v="8100"/>
    <n v="0"/>
    <n v="3000"/>
    <x v="0"/>
  </r>
  <r>
    <s v="ACC-IND-10185"/>
    <x v="7"/>
    <d v="2015-08-15T00:00:00"/>
    <n v="70"/>
    <n v="19"/>
    <n v="1330"/>
    <n v="133"/>
    <n v="1197"/>
    <n v="0"/>
    <n v="70"/>
    <x v="0"/>
  </r>
  <r>
    <s v="ACC-IND-10869"/>
    <x v="5"/>
    <d v="2017-05-19T00:00:00"/>
    <n v="2800"/>
    <n v="6.5"/>
    <n v="18200"/>
    <n v="1820"/>
    <n v="16380"/>
    <n v="0"/>
    <n v="2800"/>
    <x v="0"/>
  </r>
  <r>
    <s v="ACC-IND-10755"/>
    <x v="7"/>
    <d v="2019-08-17T00:00:00"/>
    <n v="64"/>
    <n v="19"/>
    <n v="1216"/>
    <n v="121.60000000000001"/>
    <n v="1094.4000000000001"/>
    <n v="0"/>
    <n v="64"/>
    <x v="0"/>
  </r>
  <r>
    <s v="ACC-IND-10871"/>
    <x v="29"/>
    <d v="2019-01-05T00:00:00"/>
    <n v="1650"/>
    <n v="2.5"/>
    <n v="4125"/>
    <n v="412.5"/>
    <n v="3712.5"/>
    <n v="0"/>
    <n v="1650"/>
    <x v="0"/>
  </r>
  <r>
    <s v="ACC-IND-10872"/>
    <x v="17"/>
    <d v="2018-01-11T00:00:00"/>
    <n v="8650"/>
    <n v="2.5"/>
    <n v="21625"/>
    <n v="2162.5"/>
    <n v="19462.5"/>
    <n v="0"/>
    <n v="8650"/>
    <x v="0"/>
  </r>
  <r>
    <s v="ACC-IND-10873"/>
    <x v="19"/>
    <d v="2016-07-07T00:00:00"/>
    <n v="2950"/>
    <n v="0"/>
    <n v="0"/>
    <n v="0"/>
    <n v="0"/>
    <n v="0"/>
    <n v="2950"/>
    <x v="1"/>
  </r>
  <r>
    <s v="ACC-IND-10874"/>
    <x v="28"/>
    <d v="2016-09-18T00:00:00"/>
    <n v="3300"/>
    <n v="0"/>
    <n v="0"/>
    <n v="0"/>
    <n v="0"/>
    <n v="4125"/>
    <n v="7425"/>
    <x v="0"/>
  </r>
  <r>
    <s v="ACC-IND-10875"/>
    <x v="16"/>
    <d v="2017-02-20T00:00:00"/>
    <n v="1150"/>
    <n v="1.5"/>
    <n v="1725"/>
    <n v="172.5"/>
    <n v="1552.5"/>
    <n v="0"/>
    <n v="1150"/>
    <x v="0"/>
  </r>
  <r>
    <s v="ACC-IND-10876"/>
    <x v="17"/>
    <d v="2016-01-05T00:00:00"/>
    <n v="6700"/>
    <n v="2.5"/>
    <n v="16750"/>
    <n v="1675"/>
    <n v="15075"/>
    <n v="0"/>
    <n v="6700"/>
    <x v="0"/>
  </r>
  <r>
    <s v="ACC-IND-10877"/>
    <x v="16"/>
    <d v="2017-07-26T00:00:00"/>
    <n v="4750"/>
    <n v="1.5"/>
    <n v="7125"/>
    <n v="712.5"/>
    <n v="6412.5"/>
    <n v="0"/>
    <n v="4750"/>
    <x v="0"/>
  </r>
  <r>
    <s v="ACC-IND-10913"/>
    <x v="7"/>
    <d v="2019-02-21T00:00:00"/>
    <n v="61"/>
    <n v="19"/>
    <n v="1159"/>
    <n v="115.9"/>
    <n v="1043.0999999999999"/>
    <n v="0"/>
    <n v="61"/>
    <x v="0"/>
  </r>
  <r>
    <s v="ACC-IND-10879"/>
    <x v="9"/>
    <d v="2016-04-08T00:00:00"/>
    <n v="1750"/>
    <n v="0"/>
    <n v="0"/>
    <n v="0"/>
    <n v="0"/>
    <n v="0"/>
    <n v="1750"/>
    <x v="1"/>
  </r>
  <r>
    <s v="ACC-IND-10880"/>
    <x v="0"/>
    <d v="2018-07-28T00:00:00"/>
    <n v="10000"/>
    <n v="1.5000000000000002"/>
    <n v="15000.000000000002"/>
    <n v="1500.0000000000002"/>
    <n v="13500.000000000002"/>
    <n v="0"/>
    <n v="10000"/>
    <x v="0"/>
  </r>
  <r>
    <s v="ACC-IND-10881"/>
    <x v="21"/>
    <d v="2016-11-26T00:00:00"/>
    <n v="7700"/>
    <n v="3.25"/>
    <n v="25025"/>
    <n v="2502.5"/>
    <n v="22522.5"/>
    <n v="0"/>
    <n v="7700"/>
    <x v="0"/>
  </r>
  <r>
    <s v="ACC-IND-10478"/>
    <x v="7"/>
    <d v="2021-06-21T00:00:00"/>
    <n v="60"/>
    <n v="19"/>
    <n v="1140"/>
    <n v="114"/>
    <n v="1026"/>
    <n v="0"/>
    <n v="60"/>
    <x v="0"/>
  </r>
  <r>
    <s v="ACC-IND-10883"/>
    <x v="15"/>
    <d v="2016-08-19T00:00:00"/>
    <n v="5950"/>
    <n v="3.75"/>
    <n v="22312.5"/>
    <n v="2231.25"/>
    <n v="20081.25"/>
    <n v="0"/>
    <n v="5950"/>
    <x v="0"/>
  </r>
  <r>
    <s v="ACC-IND-10884"/>
    <x v="4"/>
    <d v="2024-11-03T00:00:00"/>
    <n v="6350"/>
    <n v="2"/>
    <n v="12700"/>
    <n v="1270"/>
    <n v="11430"/>
    <n v="0"/>
    <n v="6350"/>
    <x v="0"/>
  </r>
  <r>
    <s v="ACC-IND-10885"/>
    <x v="16"/>
    <d v="2020-05-11T00:00:00"/>
    <n v="850"/>
    <n v="1.5"/>
    <n v="1275"/>
    <n v="127.5"/>
    <n v="1147.5"/>
    <n v="0"/>
    <n v="850"/>
    <x v="0"/>
  </r>
  <r>
    <s v="ACC-IND-10886"/>
    <x v="25"/>
    <d v="2023-09-28T00:00:00"/>
    <n v="500"/>
    <n v="1"/>
    <n v="500"/>
    <n v="50"/>
    <n v="450"/>
    <n v="0"/>
    <n v="500"/>
    <x v="0"/>
  </r>
  <r>
    <s v="ACC-IND-10430"/>
    <x v="7"/>
    <d v="2017-05-11T00:00:00"/>
    <n v="57"/>
    <n v="19"/>
    <n v="1083"/>
    <n v="108.30000000000001"/>
    <n v="974.7"/>
    <n v="0"/>
    <n v="57"/>
    <x v="0"/>
  </r>
  <r>
    <s v="ACC-IND-10888"/>
    <x v="12"/>
    <d v="2024-06-24T00:00:00"/>
    <n v="9250"/>
    <n v="0"/>
    <n v="0"/>
    <n v="0"/>
    <n v="0"/>
    <n v="0"/>
    <n v="9250"/>
    <x v="1"/>
  </r>
  <r>
    <s v="ACC-IND-10889"/>
    <x v="29"/>
    <d v="2017-07-03T00:00:00"/>
    <n v="7800"/>
    <n v="2.5"/>
    <n v="19500"/>
    <n v="1950"/>
    <n v="17550"/>
    <n v="0"/>
    <n v="7800"/>
    <x v="0"/>
  </r>
  <r>
    <s v="ACC-IND-10890"/>
    <x v="15"/>
    <d v="2023-10-25T00:00:00"/>
    <n v="750"/>
    <n v="3.75"/>
    <n v="2812.5"/>
    <n v="281.25"/>
    <n v="2531.25"/>
    <n v="0"/>
    <n v="750"/>
    <x v="0"/>
  </r>
  <r>
    <s v="ACC-IND-10891"/>
    <x v="22"/>
    <d v="2017-01-06T00:00:00"/>
    <n v="4750"/>
    <n v="0"/>
    <n v="0"/>
    <n v="0"/>
    <n v="0"/>
    <n v="0"/>
    <n v="4750"/>
    <x v="1"/>
  </r>
  <r>
    <s v="ACC-IND-10892"/>
    <x v="19"/>
    <d v="2024-03-09T00:00:00"/>
    <n v="3000"/>
    <n v="0"/>
    <n v="0"/>
    <n v="0"/>
    <n v="0"/>
    <n v="0"/>
    <n v="3000"/>
    <x v="1"/>
  </r>
  <r>
    <s v="ACC-IND-10893"/>
    <x v="21"/>
    <d v="2017-05-21T00:00:00"/>
    <n v="1650"/>
    <n v="3.25"/>
    <n v="5362.5"/>
    <n v="536.25"/>
    <n v="4826.25"/>
    <n v="0"/>
    <n v="1650"/>
    <x v="0"/>
  </r>
  <r>
    <s v="ACC-IND-10894"/>
    <x v="0"/>
    <d v="2020-07-06T00:00:00"/>
    <n v="7800"/>
    <n v="1.5000000000000002"/>
    <n v="11700.000000000002"/>
    <n v="1170.0000000000002"/>
    <n v="10530.000000000002"/>
    <n v="0"/>
    <n v="7800"/>
    <x v="0"/>
  </r>
  <r>
    <s v="ACC-IND-10895"/>
    <x v="21"/>
    <d v="2023-05-19T00:00:00"/>
    <n v="9350"/>
    <n v="3.25"/>
    <n v="30387.5"/>
    <n v="3038.75"/>
    <n v="27348.75"/>
    <n v="0"/>
    <n v="9350"/>
    <x v="0"/>
  </r>
  <r>
    <s v="ACC-IND-10896"/>
    <x v="8"/>
    <d v="2019-10-17T00:00:00"/>
    <n v="7750"/>
    <n v="1.2"/>
    <n v="9300"/>
    <n v="930"/>
    <n v="8370"/>
    <n v="0"/>
    <n v="7750"/>
    <x v="0"/>
  </r>
  <r>
    <s v="ACC-IND-10897"/>
    <x v="19"/>
    <d v="2022-07-16T00:00:00"/>
    <n v="9950"/>
    <n v="0"/>
    <n v="0"/>
    <n v="0"/>
    <n v="0"/>
    <n v="0"/>
    <n v="9950"/>
    <x v="1"/>
  </r>
  <r>
    <s v="ACC-IND-10898"/>
    <x v="0"/>
    <d v="2023-11-27T00:00:00"/>
    <n v="5250"/>
    <n v="1.5000000000000002"/>
    <n v="7875.0000000000009"/>
    <n v="787.50000000000011"/>
    <n v="7087.5000000000009"/>
    <n v="0"/>
    <n v="5250"/>
    <x v="0"/>
  </r>
  <r>
    <s v="ACC-IND-10899"/>
    <x v="4"/>
    <d v="2024-04-18T00:00:00"/>
    <n v="7350"/>
    <n v="3"/>
    <n v="22050"/>
    <n v="2205"/>
    <n v="19845"/>
    <n v="0"/>
    <n v="7350"/>
    <x v="0"/>
  </r>
  <r>
    <s v="ACC-IND-10900"/>
    <x v="14"/>
    <d v="2021-06-16T00:00:00"/>
    <n v="4300"/>
    <n v="0.2"/>
    <n v="860"/>
    <n v="86"/>
    <n v="774"/>
    <n v="0"/>
    <n v="4300"/>
    <x v="0"/>
  </r>
  <r>
    <s v="ACC-IND-10901"/>
    <x v="29"/>
    <d v="2024-03-24T00:00:00"/>
    <n v="9950"/>
    <n v="2.5"/>
    <n v="24875"/>
    <n v="2487.5"/>
    <n v="22387.5"/>
    <n v="0"/>
    <n v="9950"/>
    <x v="0"/>
  </r>
  <r>
    <s v="ACC-IND-10902"/>
    <x v="4"/>
    <d v="2023-11-17T00:00:00"/>
    <n v="4900"/>
    <n v="3"/>
    <n v="14700"/>
    <n v="1470"/>
    <n v="13230"/>
    <n v="0"/>
    <n v="4900"/>
    <x v="0"/>
  </r>
  <r>
    <s v="ACC-IND-10903"/>
    <x v="16"/>
    <d v="2022-01-18T00:00:00"/>
    <n v="6400"/>
    <n v="1.5"/>
    <n v="9600"/>
    <n v="960"/>
    <n v="8640"/>
    <n v="0"/>
    <n v="6400"/>
    <x v="0"/>
  </r>
  <r>
    <s v="ACC-IND-10904"/>
    <x v="21"/>
    <d v="2020-06-03T00:00:00"/>
    <n v="9400"/>
    <n v="3.25"/>
    <n v="30550"/>
    <n v="3055"/>
    <n v="27495"/>
    <n v="0"/>
    <n v="9400"/>
    <x v="0"/>
  </r>
  <r>
    <s v="ACC-IND-10905"/>
    <x v="15"/>
    <d v="2017-03-10T00:00:00"/>
    <n v="3350"/>
    <n v="3.75"/>
    <n v="12562.5"/>
    <n v="1256.25"/>
    <n v="11306.25"/>
    <n v="0"/>
    <n v="3350"/>
    <x v="0"/>
  </r>
  <r>
    <s v="ACC-IND-10906"/>
    <x v="10"/>
    <d v="2020-02-13T00:00:00"/>
    <n v="2000"/>
    <n v="1.35"/>
    <n v="2700"/>
    <n v="270"/>
    <n v="2430"/>
    <n v="0"/>
    <n v="2000"/>
    <x v="0"/>
  </r>
  <r>
    <s v="ACC-IND-10907"/>
    <x v="17"/>
    <d v="2023-06-15T00:00:00"/>
    <n v="6050"/>
    <n v="2.5"/>
    <n v="15125"/>
    <n v="1512.5"/>
    <n v="13612.5"/>
    <n v="0"/>
    <n v="6050"/>
    <x v="0"/>
  </r>
  <r>
    <s v="ACC-IND-10908"/>
    <x v="10"/>
    <d v="2022-04-24T00:00:00"/>
    <n v="400"/>
    <n v="1.35"/>
    <n v="540"/>
    <n v="54"/>
    <n v="486"/>
    <n v="0"/>
    <n v="400"/>
    <x v="0"/>
  </r>
  <r>
    <s v="ACC-IND-10909"/>
    <x v="31"/>
    <d v="2016-10-25T00:00:00"/>
    <n v="1300"/>
    <n v="0"/>
    <n v="0"/>
    <n v="0"/>
    <n v="0"/>
    <n v="0"/>
    <n v="1300"/>
    <x v="1"/>
  </r>
  <r>
    <s v="ACC-IND-10910"/>
    <x v="0"/>
    <d v="2015-09-07T00:00:00"/>
    <n v="10000"/>
    <n v="1.5000000000000002"/>
    <n v="15000.000000000002"/>
    <n v="1500.0000000000002"/>
    <n v="13500.000000000002"/>
    <n v="0"/>
    <n v="10000"/>
    <x v="0"/>
  </r>
  <r>
    <s v="ACC-IND-10911"/>
    <x v="18"/>
    <d v="2018-08-27T00:00:00"/>
    <n v="2900"/>
    <n v="0.1"/>
    <n v="290"/>
    <n v="29"/>
    <n v="261"/>
    <n v="0"/>
    <n v="2900"/>
    <x v="0"/>
  </r>
  <r>
    <s v="ACC-IND-10912"/>
    <x v="22"/>
    <d v="2015-09-13T00:00:00"/>
    <n v="550"/>
    <n v="0"/>
    <n v="0"/>
    <n v="0"/>
    <n v="0"/>
    <n v="0"/>
    <n v="550"/>
    <x v="1"/>
  </r>
  <r>
    <s v="ACC-IND-10111"/>
    <x v="7"/>
    <d v="2026-07-31T00:00:00"/>
    <n v="53"/>
    <n v="0"/>
    <n v="0"/>
    <n v="0"/>
    <n v="0"/>
    <n v="0"/>
    <n v="53"/>
    <x v="2"/>
  </r>
  <r>
    <s v="ACC-IND-10914"/>
    <x v="8"/>
    <d v="2018-02-16T00:00:00"/>
    <n v="5550"/>
    <n v="1.2"/>
    <n v="6660"/>
    <n v="666"/>
    <n v="5994"/>
    <n v="0"/>
    <n v="5550"/>
    <x v="0"/>
  </r>
  <r>
    <s v="ACC-IND-10915"/>
    <x v="9"/>
    <d v="2022-01-21T00:00:00"/>
    <n v="5600"/>
    <n v="0"/>
    <n v="0"/>
    <n v="0"/>
    <n v="0"/>
    <n v="0"/>
    <n v="5600"/>
    <x v="1"/>
  </r>
  <r>
    <s v="ACC-IND-10851"/>
    <x v="7"/>
    <d v="2026-08-01T00:00:00"/>
    <n v="50"/>
    <n v="0"/>
    <n v="0"/>
    <n v="0"/>
    <n v="0"/>
    <n v="0"/>
    <n v="50"/>
    <x v="2"/>
  </r>
  <r>
    <s v="ACC-IND-10917"/>
    <x v="31"/>
    <d v="2024-06-07T00:00:00"/>
    <n v="3550"/>
    <n v="0"/>
    <n v="0"/>
    <n v="0"/>
    <n v="0"/>
    <n v="0"/>
    <n v="3550"/>
    <x v="1"/>
  </r>
  <r>
    <s v="ACC-IND-10918"/>
    <x v="4"/>
    <d v="2021-04-13T00:00:00"/>
    <n v="3800"/>
    <n v="3"/>
    <n v="11400"/>
    <n v="1140"/>
    <n v="10260"/>
    <n v="0"/>
    <n v="3800"/>
    <x v="0"/>
  </r>
  <r>
    <s v="ACC-IND-10919"/>
    <x v="8"/>
    <d v="2024-03-17T00:00:00"/>
    <n v="9900"/>
    <n v="1.2"/>
    <n v="11880"/>
    <n v="1188"/>
    <n v="10692"/>
    <n v="0"/>
    <n v="9900"/>
    <x v="0"/>
  </r>
  <r>
    <s v="ACC-IND-10920"/>
    <x v="26"/>
    <d v="2017-03-02T00:00:00"/>
    <n v="100"/>
    <n v="0"/>
    <n v="0"/>
    <n v="0"/>
    <n v="0"/>
    <n v="0"/>
    <n v="100"/>
    <x v="1"/>
  </r>
  <r>
    <s v="ACC-IND-10921"/>
    <x v="12"/>
    <d v="2020-01-07T00:00:00"/>
    <n v="2950"/>
    <n v="0"/>
    <n v="0"/>
    <n v="0"/>
    <n v="0"/>
    <n v="0"/>
    <n v="2950"/>
    <x v="1"/>
  </r>
  <r>
    <s v="ACC-IND-10580"/>
    <x v="7"/>
    <d v="2024-07-09T00:00:00"/>
    <n v="50"/>
    <n v="19"/>
    <n v="950"/>
    <n v="95"/>
    <n v="855"/>
    <n v="0"/>
    <n v="50"/>
    <x v="0"/>
  </r>
  <r>
    <s v="ACC-IND-10923"/>
    <x v="4"/>
    <d v="2024-06-11T00:00:00"/>
    <n v="3400"/>
    <n v="3"/>
    <n v="10200"/>
    <n v="1020"/>
    <n v="9180"/>
    <n v="0"/>
    <n v="3400"/>
    <x v="0"/>
  </r>
  <r>
    <s v="ACC-IND-10924"/>
    <x v="3"/>
    <d v="2024-10-20T00:00:00"/>
    <n v="9800"/>
    <n v="0"/>
    <n v="0"/>
    <n v="0"/>
    <n v="0"/>
    <n v="0"/>
    <n v="9800"/>
    <x v="1"/>
  </r>
  <r>
    <s v="ACC-IND-10925"/>
    <x v="9"/>
    <d v="2019-07-16T00:00:00"/>
    <n v="7150"/>
    <n v="0"/>
    <n v="0"/>
    <n v="0"/>
    <n v="0"/>
    <n v="0"/>
    <n v="7150"/>
    <x v="1"/>
  </r>
  <r>
    <s v="ACC-IND-10926"/>
    <x v="3"/>
    <d v="2019-02-22T00:00:00"/>
    <n v="9550"/>
    <n v="0"/>
    <n v="0"/>
    <n v="0"/>
    <n v="0"/>
    <n v="0"/>
    <n v="9550"/>
    <x v="1"/>
  </r>
  <r>
    <s v="ACC-IND-10927"/>
    <x v="2"/>
    <d v="2020-01-23T00:00:00"/>
    <n v="900"/>
    <n v="3"/>
    <n v="2700"/>
    <n v="270"/>
    <n v="2430"/>
    <n v="0"/>
    <n v="900"/>
    <x v="0"/>
  </r>
  <r>
    <s v="ACC-IND-10928"/>
    <x v="0"/>
    <d v="2019-09-16T00:00:00"/>
    <n v="9350"/>
    <n v="1.5000000000000002"/>
    <n v="14025.000000000002"/>
    <n v="1402.5000000000002"/>
    <n v="12622.500000000002"/>
    <n v="0"/>
    <n v="9350"/>
    <x v="0"/>
  </r>
  <r>
    <s v="ACC-IND-10359"/>
    <x v="7"/>
    <d v="2024-06-22T00:00:00"/>
    <n v="40"/>
    <n v="19"/>
    <n v="760"/>
    <n v="76"/>
    <n v="684"/>
    <n v="0"/>
    <n v="40"/>
    <x v="0"/>
  </r>
  <r>
    <s v="ACC-IND-10930"/>
    <x v="16"/>
    <d v="2018-12-19T00:00:00"/>
    <n v="3550"/>
    <n v="1.5"/>
    <n v="5325"/>
    <n v="532.5"/>
    <n v="4792.5"/>
    <n v="0"/>
    <n v="3550"/>
    <x v="0"/>
  </r>
  <r>
    <s v="ACC-IND-10226"/>
    <x v="7"/>
    <d v="2021-04-02T00:00:00"/>
    <n v="30"/>
    <n v="19"/>
    <n v="570"/>
    <n v="57"/>
    <n v="513"/>
    <n v="0"/>
    <n v="30"/>
    <x v="0"/>
  </r>
  <r>
    <s v="ACC-IND-10932"/>
    <x v="2"/>
    <d v="2022-11-15T00:00:00"/>
    <n v="5850"/>
    <n v="3"/>
    <n v="17550"/>
    <n v="1755"/>
    <n v="15795"/>
    <n v="0"/>
    <n v="5850"/>
    <x v="0"/>
  </r>
  <r>
    <s v="ACC-IND-10933"/>
    <x v="27"/>
    <d v="2015-09-22T00:00:00"/>
    <n v="5050"/>
    <n v="1.5"/>
    <n v="7575"/>
    <n v="757.5"/>
    <n v="6817.5"/>
    <n v="0"/>
    <n v="5050"/>
    <x v="0"/>
  </r>
  <r>
    <s v="ACC-IND-10934"/>
    <x v="0"/>
    <d v="2021-11-01T00:00:00"/>
    <n v="3050"/>
    <n v="1.5000000000000002"/>
    <n v="4575.0000000000009"/>
    <n v="457.50000000000011"/>
    <n v="4117.5000000000009"/>
    <n v="0"/>
    <n v="3050"/>
    <x v="0"/>
  </r>
  <r>
    <s v="ACC-IND-10935"/>
    <x v="17"/>
    <d v="2022-09-02T00:00:00"/>
    <n v="2050"/>
    <n v="2.5"/>
    <n v="5125"/>
    <n v="512.5"/>
    <n v="4612.5"/>
    <n v="0"/>
    <n v="2050"/>
    <x v="0"/>
  </r>
  <r>
    <s v="ACC-IND-10077"/>
    <x v="7"/>
    <d v="2026-08-01T00:00:00"/>
    <n v="15"/>
    <n v="0"/>
    <n v="0"/>
    <n v="0"/>
    <n v="0"/>
    <n v="0"/>
    <n v="15"/>
    <x v="2"/>
  </r>
  <r>
    <s v="ACC-IND-10357"/>
    <x v="7"/>
    <d v="2024-05-19T00:00:00"/>
    <n v="15"/>
    <n v="19"/>
    <n v="285"/>
    <n v="28.5"/>
    <n v="256.5"/>
    <n v="0"/>
    <n v="15"/>
    <x v="0"/>
  </r>
  <r>
    <s v="ACC-IND-10931"/>
    <x v="7"/>
    <d v="2021-10-23T00:00:00"/>
    <n v="15"/>
    <n v="19"/>
    <n v="285"/>
    <n v="28.5"/>
    <n v="256.5"/>
    <n v="0"/>
    <n v="15"/>
    <x v="0"/>
  </r>
  <r>
    <s v="ACC-IND-10939"/>
    <x v="5"/>
    <d v="2020-02-15T00:00:00"/>
    <n v="5300"/>
    <n v="6.5"/>
    <n v="34450"/>
    <n v="3445"/>
    <n v="31005"/>
    <n v="0"/>
    <n v="5300"/>
    <x v="0"/>
  </r>
  <r>
    <s v="ACC-IND-10940"/>
    <x v="30"/>
    <d v="2021-10-25T00:00:00"/>
    <n v="2150"/>
    <n v="8"/>
    <n v="17200"/>
    <n v="1720"/>
    <n v="15480"/>
    <n v="0"/>
    <n v="2150"/>
    <x v="0"/>
  </r>
  <r>
    <s v="ACC-IND-10941"/>
    <x v="8"/>
    <d v="2019-01-01T00:00:00"/>
    <n v="2650"/>
    <n v="1.2"/>
    <n v="3180"/>
    <n v="318"/>
    <n v="2862"/>
    <n v="0"/>
    <n v="2650"/>
    <x v="0"/>
  </r>
  <r>
    <s v="ACC-IND-10015"/>
    <x v="7"/>
    <d v="2020-09-26T00:00:00"/>
    <n v="15"/>
    <n v="19"/>
    <n v="285"/>
    <n v="28.5"/>
    <n v="256.5"/>
    <n v="0"/>
    <n v="15"/>
    <x v="0"/>
  </r>
  <r>
    <s v="ACC-IND-10943"/>
    <x v="28"/>
    <d v="2018-10-01T00:00:00"/>
    <n v="1800"/>
    <n v="0"/>
    <n v="0"/>
    <n v="0"/>
    <n v="0"/>
    <n v="2250"/>
    <n v="4050"/>
    <x v="0"/>
  </r>
  <r>
    <s v="ACC-IND-10944"/>
    <x v="2"/>
    <d v="2022-01-23T00:00:00"/>
    <n v="5050"/>
    <n v="3"/>
    <n v="15150"/>
    <n v="1515"/>
    <n v="13635"/>
    <n v="0"/>
    <n v="5050"/>
    <x v="0"/>
  </r>
  <r>
    <s v="ACC-IND-10399"/>
    <x v="7"/>
    <d v="2020-02-08T00:00:00"/>
    <n v="15"/>
    <n v="19"/>
    <n v="285"/>
    <n v="28.5"/>
    <n v="256.5"/>
    <n v="0"/>
    <n v="15"/>
    <x v="0"/>
  </r>
  <r>
    <s v="ACC-IND-10946"/>
    <x v="0"/>
    <d v="2020-03-22T00:00:00"/>
    <n v="5200"/>
    <n v="1.5000000000000002"/>
    <n v="7800.0000000000009"/>
    <n v="780.00000000000011"/>
    <n v="7020.0000000000009"/>
    <n v="0"/>
    <n v="5200"/>
    <x v="0"/>
  </r>
  <r>
    <s v="ACC-IND-10947"/>
    <x v="15"/>
    <d v="2020-11-13T00:00:00"/>
    <n v="6500"/>
    <n v="3.75"/>
    <n v="24375"/>
    <n v="2437.5"/>
    <n v="21937.5"/>
    <n v="0"/>
    <n v="6500"/>
    <x v="0"/>
  </r>
  <r>
    <s v="ACC-IND-10948"/>
    <x v="27"/>
    <d v="2022-06-01T00:00:00"/>
    <n v="1250"/>
    <n v="1.5"/>
    <n v="1875"/>
    <n v="187.5"/>
    <n v="1687.5"/>
    <n v="0"/>
    <n v="1250"/>
    <x v="0"/>
  </r>
  <r>
    <s v="ACC-IND-10949"/>
    <x v="21"/>
    <d v="2021-08-19T00:00:00"/>
    <n v="7900"/>
    <n v="3.25"/>
    <n v="25675"/>
    <n v="2567.5"/>
    <n v="23107.5"/>
    <n v="0"/>
    <n v="7900"/>
    <x v="0"/>
  </r>
  <r>
    <s v="ACC-IND-10950"/>
    <x v="0"/>
    <d v="2023-07-24T00:00:00"/>
    <n v="8700"/>
    <n v="1.5000000000000002"/>
    <n v="13050.000000000002"/>
    <n v="1305.0000000000002"/>
    <n v="11745.000000000002"/>
    <n v="0"/>
    <n v="8700"/>
    <x v="0"/>
  </r>
  <r>
    <s v="ACC-IND-10780"/>
    <x v="7"/>
    <d v="2019-11-02T00:00:00"/>
    <n v="15"/>
    <n v="19"/>
    <n v="285"/>
    <n v="28.5"/>
    <n v="256.5"/>
    <n v="0"/>
    <n v="15"/>
    <x v="0"/>
  </r>
  <r>
    <s v="ACC-IND-10952"/>
    <x v="15"/>
    <d v="2024-09-03T00:00:00"/>
    <n v="6750"/>
    <n v="2.5"/>
    <n v="16875"/>
    <n v="1687.5"/>
    <n v="15187.5"/>
    <n v="0"/>
    <n v="6750"/>
    <x v="0"/>
  </r>
  <r>
    <s v="ACC-IND-10953"/>
    <x v="4"/>
    <d v="2016-10-20T00:00:00"/>
    <n v="8200"/>
    <n v="3"/>
    <n v="24600"/>
    <n v="2460"/>
    <n v="22140"/>
    <n v="0"/>
    <n v="8200"/>
    <x v="0"/>
  </r>
  <r>
    <s v="ACC-IND-10954"/>
    <x v="9"/>
    <d v="2021-09-15T00:00:00"/>
    <n v="7650"/>
    <n v="0"/>
    <n v="0"/>
    <n v="0"/>
    <n v="0"/>
    <n v="0"/>
    <n v="7650"/>
    <x v="1"/>
  </r>
  <r>
    <s v="ACC-IND-10955"/>
    <x v="26"/>
    <d v="2022-07-19T00:00:00"/>
    <n v="150"/>
    <n v="0"/>
    <n v="0"/>
    <n v="0"/>
    <n v="0"/>
    <n v="0"/>
    <n v="150"/>
    <x v="1"/>
  </r>
  <r>
    <s v="ACC-IND-10956"/>
    <x v="0"/>
    <d v="2016-11-11T00:00:00"/>
    <n v="8350"/>
    <n v="1.5000000000000002"/>
    <n v="12525.000000000002"/>
    <n v="1252.5000000000002"/>
    <n v="11272.500000000002"/>
    <n v="0"/>
    <n v="8350"/>
    <x v="0"/>
  </r>
  <r>
    <s v="ACC-IND-10957"/>
    <x v="17"/>
    <d v="2022-01-13T00:00:00"/>
    <n v="1250"/>
    <n v="2.5"/>
    <n v="3125"/>
    <n v="312.5"/>
    <n v="2812.5"/>
    <n v="0"/>
    <n v="1250"/>
    <x v="0"/>
  </r>
  <r>
    <s v="ACC-IND-10958"/>
    <x v="15"/>
    <d v="2017-02-07T00:00:00"/>
    <n v="4800"/>
    <n v="3.75"/>
    <n v="18000"/>
    <n v="1800"/>
    <n v="16200"/>
    <n v="0"/>
    <n v="4800"/>
    <x v="0"/>
  </r>
  <r>
    <s v="ACC-IND-10959"/>
    <x v="33"/>
    <d v="2022-12-07T00:00:00"/>
    <n v="4000"/>
    <n v="1.1000000000000001"/>
    <n v="4400"/>
    <n v="440"/>
    <n v="3960"/>
    <n v="0"/>
    <n v="4000"/>
    <x v="0"/>
  </r>
  <r>
    <s v="ACC-IND-10960"/>
    <x v="31"/>
    <d v="2017-01-07T00:00:00"/>
    <n v="8650"/>
    <n v="0"/>
    <n v="0"/>
    <n v="0"/>
    <n v="0"/>
    <n v="0"/>
    <n v="8650"/>
    <x v="1"/>
  </r>
  <r>
    <s v="ACC-IND-10961"/>
    <x v="4"/>
    <d v="2015-03-12T00:00:00"/>
    <n v="7150"/>
    <n v="3"/>
    <n v="21450"/>
    <n v="2145"/>
    <n v="19305"/>
    <n v="0"/>
    <n v="7150"/>
    <x v="0"/>
  </r>
  <r>
    <s v="ACC-IND-10962"/>
    <x v="35"/>
    <d v="2023-10-08T00:00:00"/>
    <n v="6350"/>
    <n v="0"/>
    <n v="0"/>
    <n v="0"/>
    <n v="0"/>
    <n v="8466.6666666666661"/>
    <n v="14816.666666666666"/>
    <x v="0"/>
  </r>
  <r>
    <s v="ACC-IND-10963"/>
    <x v="21"/>
    <d v="2019-03-14T00:00:00"/>
    <n v="6000"/>
    <n v="3.25"/>
    <n v="19500"/>
    <n v="1950"/>
    <n v="17550"/>
    <n v="0"/>
    <n v="6000"/>
    <x v="0"/>
  </r>
  <r>
    <s v="ACC-IND-10427"/>
    <x v="7"/>
    <d v="2018-12-27T00:00:00"/>
    <n v="15"/>
    <n v="19"/>
    <n v="285"/>
    <n v="28.5"/>
    <n v="256.5"/>
    <n v="0"/>
    <n v="15"/>
    <x v="0"/>
  </r>
  <r>
    <s v="ACC-IND-10965"/>
    <x v="8"/>
    <d v="2017-10-05T00:00:00"/>
    <n v="5600"/>
    <n v="1.2"/>
    <n v="6720"/>
    <n v="672"/>
    <n v="6048"/>
    <n v="0"/>
    <n v="5600"/>
    <x v="0"/>
  </r>
  <r>
    <s v="ACC-IND-10311"/>
    <x v="7"/>
    <d v="2018-11-24T00:00:00"/>
    <n v="15"/>
    <n v="19"/>
    <n v="285"/>
    <n v="28.5"/>
    <n v="256.5"/>
    <n v="0"/>
    <n v="15"/>
    <x v="0"/>
  </r>
  <r>
    <s v="ACC-IND-10967"/>
    <x v="17"/>
    <d v="2018-10-06T00:00:00"/>
    <n v="6100"/>
    <n v="2.5"/>
    <n v="15250"/>
    <n v="1525"/>
    <n v="13725"/>
    <n v="0"/>
    <n v="6100"/>
    <x v="0"/>
  </r>
  <r>
    <s v="ACC-IND-10968"/>
    <x v="2"/>
    <d v="2018-01-03T00:00:00"/>
    <n v="4600"/>
    <n v="3"/>
    <n v="13800"/>
    <n v="1380"/>
    <n v="12420"/>
    <n v="0"/>
    <n v="4600"/>
    <x v="0"/>
  </r>
  <r>
    <s v="ACC-IND-10969"/>
    <x v="35"/>
    <d v="2018-11-20T00:00:00"/>
    <n v="750"/>
    <n v="0"/>
    <n v="0"/>
    <n v="0"/>
    <n v="0"/>
    <n v="1000"/>
    <n v="1750"/>
    <x v="0"/>
  </r>
  <r>
    <s v="ACC-IND-10970"/>
    <x v="29"/>
    <d v="2018-10-27T00:00:00"/>
    <n v="3300"/>
    <n v="2.5"/>
    <n v="8250"/>
    <n v="825"/>
    <n v="7425"/>
    <n v="0"/>
    <n v="3300"/>
    <x v="0"/>
  </r>
  <r>
    <s v="ACC-IND-10971"/>
    <x v="26"/>
    <d v="2018-11-14T00:00:00"/>
    <n v="6400"/>
    <n v="0"/>
    <n v="0"/>
    <n v="0"/>
    <n v="0"/>
    <n v="0"/>
    <n v="6400"/>
    <x v="1"/>
  </r>
  <r>
    <s v="ACC-IND-10972"/>
    <x v="20"/>
    <d v="2020-04-03T00:00:00"/>
    <n v="9350"/>
    <n v="0"/>
    <n v="0"/>
    <n v="0"/>
    <n v="0"/>
    <n v="0"/>
    <n v="9350"/>
    <x v="1"/>
  </r>
  <r>
    <s v="ACC-IND-10282"/>
    <x v="7"/>
    <d v="2026-07-31T00:00:00"/>
    <n v="15"/>
    <n v="0"/>
    <n v="0"/>
    <n v="0"/>
    <n v="0"/>
    <n v="0"/>
    <n v="15"/>
    <x v="2"/>
  </r>
  <r>
    <s v="ACC-IND-10974"/>
    <x v="14"/>
    <d v="2024-04-03T00:00:00"/>
    <n v="2350"/>
    <n v="0.2"/>
    <n v="470"/>
    <n v="47"/>
    <n v="423"/>
    <n v="0"/>
    <n v="2350"/>
    <x v="0"/>
  </r>
  <r>
    <s v="ACC-IND-10975"/>
    <x v="25"/>
    <d v="2022-08-07T00:00:00"/>
    <n v="6000"/>
    <n v="1"/>
    <n v="6000"/>
    <n v="600"/>
    <n v="5400"/>
    <n v="0"/>
    <n v="6000"/>
    <x v="0"/>
  </r>
  <r>
    <s v="ACC-IND-10976"/>
    <x v="10"/>
    <d v="2016-01-22T00:00:00"/>
    <n v="1000"/>
    <n v="1.35"/>
    <n v="1350"/>
    <n v="135"/>
    <n v="1215"/>
    <n v="0"/>
    <n v="1000"/>
    <x v="0"/>
  </r>
  <r>
    <s v="ACC-IND-10977"/>
    <x v="1"/>
    <d v="2023-05-23T00:00:00"/>
    <n v="650"/>
    <n v="0"/>
    <n v="0"/>
    <n v="0"/>
    <n v="0"/>
    <n v="0"/>
    <n v="650"/>
    <x v="1"/>
  </r>
  <r>
    <s v="ACC-IND-10978"/>
    <x v="8"/>
    <d v="2022-06-20T00:00:00"/>
    <n v="2950"/>
    <n v="1.2"/>
    <n v="3540"/>
    <n v="354"/>
    <n v="3186"/>
    <n v="0"/>
    <n v="2950"/>
    <x v="0"/>
  </r>
  <r>
    <s v="ACC-IND-10706"/>
    <x v="7"/>
    <d v="2026-07-31T00:00:00"/>
    <n v="15"/>
    <n v="0"/>
    <n v="0"/>
    <n v="0"/>
    <n v="0"/>
    <n v="0"/>
    <n v="15"/>
    <x v="2"/>
  </r>
  <r>
    <s v="ACC-IND-10447"/>
    <x v="7"/>
    <d v="2026-07-31T00:00:00"/>
    <n v="15"/>
    <n v="0"/>
    <n v="0"/>
    <n v="0"/>
    <n v="0"/>
    <n v="0"/>
    <n v="15"/>
    <x v="2"/>
  </r>
  <r>
    <s v="ACC-IND-10981"/>
    <x v="9"/>
    <d v="2018-10-14T00:00:00"/>
    <n v="1450"/>
    <n v="0"/>
    <n v="0"/>
    <n v="0"/>
    <n v="0"/>
    <n v="0"/>
    <n v="1450"/>
    <x v="1"/>
  </r>
  <r>
    <s v="ACC-IND-10982"/>
    <x v="17"/>
    <d v="2017-03-26T00:00:00"/>
    <n v="2700"/>
    <n v="2.5"/>
    <n v="6750"/>
    <n v="675"/>
    <n v="6075"/>
    <n v="0"/>
    <n v="2700"/>
    <x v="0"/>
  </r>
  <r>
    <s v="ACC-IND-10983"/>
    <x v="6"/>
    <d v="2015-07-10T00:00:00"/>
    <n v="4850"/>
    <n v="0"/>
    <n v="0"/>
    <n v="0"/>
    <n v="0"/>
    <n v="0"/>
    <n v="4850"/>
    <x v="1"/>
  </r>
  <r>
    <s v="ACC-IND-10868"/>
    <x v="7"/>
    <d v="2017-07-01T00:00:00"/>
    <n v="15"/>
    <n v="19"/>
    <n v="285"/>
    <n v="28.5"/>
    <n v="256.5"/>
    <n v="0"/>
    <n v="15"/>
    <x v="0"/>
  </r>
  <r>
    <s v="ACC-IND-10985"/>
    <x v="11"/>
    <d v="2022-07-07T00:00:00"/>
    <n v="1100"/>
    <n v="1"/>
    <n v="1100"/>
    <n v="110"/>
    <n v="990"/>
    <n v="0"/>
    <n v="1100"/>
    <x v="0"/>
  </r>
  <r>
    <s v="ACC-IND-10986"/>
    <x v="10"/>
    <d v="2022-06-28T00:00:00"/>
    <n v="2400"/>
    <n v="1.35"/>
    <n v="3240"/>
    <n v="324"/>
    <n v="2916"/>
    <n v="0"/>
    <n v="2400"/>
    <x v="0"/>
  </r>
  <r>
    <s v="ACC-IND-10987"/>
    <x v="25"/>
    <d v="2019-01-21T00:00:00"/>
    <n v="2450"/>
    <n v="1"/>
    <n v="2450"/>
    <n v="245"/>
    <n v="2205"/>
    <n v="0"/>
    <n v="2450"/>
    <x v="0"/>
  </r>
  <r>
    <s v="ACC-IND-10988"/>
    <x v="16"/>
    <d v="2017-04-02T00:00:00"/>
    <n v="6150"/>
    <n v="1.5"/>
    <n v="9225"/>
    <n v="922.5"/>
    <n v="8302.5"/>
    <n v="0"/>
    <n v="6150"/>
    <x v="0"/>
  </r>
  <r>
    <s v="ACC-IND-10989"/>
    <x v="14"/>
    <d v="2015-07-03T00:00:00"/>
    <n v="1400"/>
    <n v="0.2"/>
    <n v="280"/>
    <n v="28"/>
    <n v="252"/>
    <n v="0"/>
    <n v="1400"/>
    <x v="0"/>
  </r>
  <r>
    <s v="ACC-IND-10990"/>
    <x v="29"/>
    <d v="2020-03-10T00:00:00"/>
    <n v="1050"/>
    <n v="2.5"/>
    <n v="2625"/>
    <n v="262.5"/>
    <n v="2362.5"/>
    <n v="0"/>
    <n v="1050"/>
    <x v="0"/>
  </r>
  <r>
    <s v="ACC-IND-10441"/>
    <x v="7"/>
    <d v="2016-09-24T00:00:00"/>
    <n v="15"/>
    <n v="19"/>
    <n v="285"/>
    <n v="28.5"/>
    <n v="256.5"/>
    <n v="0"/>
    <n v="15"/>
    <x v="0"/>
  </r>
  <r>
    <s v="ACC-IND-10173"/>
    <x v="7"/>
    <d v="2016-08-17T00:00:00"/>
    <n v="15"/>
    <n v="19"/>
    <n v="285"/>
    <n v="28.5"/>
    <n v="256.5"/>
    <n v="0"/>
    <n v="15"/>
    <x v="0"/>
  </r>
  <r>
    <s v="ACC-IND-10993"/>
    <x v="22"/>
    <d v="2016-06-22T00:00:00"/>
    <n v="8750"/>
    <n v="0"/>
    <n v="0"/>
    <n v="0"/>
    <n v="0"/>
    <n v="0"/>
    <n v="8750"/>
    <x v="1"/>
  </r>
  <r>
    <s v="ACC-IND-10994"/>
    <x v="19"/>
    <d v="2016-01-14T00:00:00"/>
    <n v="1000"/>
    <n v="0"/>
    <n v="0"/>
    <n v="0"/>
    <n v="0"/>
    <n v="0"/>
    <n v="1000"/>
    <x v="1"/>
  </r>
  <r>
    <s v="ACC-IND-10995"/>
    <x v="34"/>
    <d v="2015-02-12T00:00:00"/>
    <n v="5250"/>
    <n v="0"/>
    <n v="0"/>
    <n v="0"/>
    <n v="0"/>
    <n v="0"/>
    <n v="5250"/>
    <x v="1"/>
  </r>
  <r>
    <s v="ACC-IND-10996"/>
    <x v="1"/>
    <d v="2020-04-26T00:00:00"/>
    <n v="7300"/>
    <n v="0"/>
    <n v="0"/>
    <n v="0"/>
    <n v="0"/>
    <n v="0"/>
    <n v="7300"/>
    <x v="1"/>
  </r>
  <r>
    <s v="ACC-IND-10997"/>
    <x v="0"/>
    <d v="2019-02-23T00:00:00"/>
    <n v="9050"/>
    <n v="1.5000000000000002"/>
    <n v="13575.000000000002"/>
    <n v="1357.5000000000002"/>
    <n v="12217.500000000002"/>
    <n v="0"/>
    <n v="9050"/>
    <x v="0"/>
  </r>
  <r>
    <s v="ACC-IND-10998"/>
    <x v="21"/>
    <d v="2024-12-05T00:00:00"/>
    <n v="3000"/>
    <n v="2.25"/>
    <n v="6750"/>
    <n v="675"/>
    <n v="6075"/>
    <n v="0"/>
    <n v="3000"/>
    <x v="0"/>
  </r>
  <r>
    <s v="ACC-IND-10999"/>
    <x v="20"/>
    <d v="2017-01-23T00:00:00"/>
    <n v="6050"/>
    <n v="0"/>
    <n v="0"/>
    <n v="0"/>
    <n v="0"/>
    <n v="0"/>
    <n v="6050"/>
    <x v="1"/>
  </r>
  <r>
    <s v="ACC-IND-11000"/>
    <x v="30"/>
    <d v="2019-10-24T00:00:00"/>
    <n v="4100"/>
    <n v="8"/>
    <n v="32800"/>
    <n v="3280"/>
    <n v="29520"/>
    <n v="0"/>
    <n v="4100"/>
    <x v="0"/>
  </r>
  <r>
    <s v="ACC-IND-10638"/>
    <x v="7"/>
    <d v="2016-03-09T00:00:00"/>
    <n v="15"/>
    <n v="19"/>
    <n v="285"/>
    <n v="28.5"/>
    <n v="256.5"/>
    <n v="0"/>
    <n v="1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AF4827-DBCF-465F-8ECF-2A4419E5481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3" firstHeaderRow="1" firstDataRow="1" firstDataCol="1"/>
  <pivotFields count="11">
    <pivotField dataField="1" showAll="0"/>
    <pivotField showAll="0">
      <items count="42">
        <item h="1" x="20"/>
        <item h="1" x="8"/>
        <item h="1" x="17"/>
        <item h="1" x="18"/>
        <item h="1" x="19"/>
        <item h="1" x="24"/>
        <item h="1" x="11"/>
        <item h="1" x="7"/>
        <item h="1" x="40"/>
        <item h="1" x="6"/>
        <item h="1" x="4"/>
        <item h="1" x="15"/>
        <item h="1" x="25"/>
        <item x="33"/>
        <item h="1" x="3"/>
        <item h="1" x="21"/>
        <item h="1" x="9"/>
        <item h="1" x="32"/>
        <item h="1" x="1"/>
        <item h="1" x="39"/>
        <item h="1" x="13"/>
        <item h="1" x="31"/>
        <item h="1" x="10"/>
        <item h="1" x="16"/>
        <item h="1" x="27"/>
        <item h="1" x="28"/>
        <item h="1" x="37"/>
        <item h="1" x="29"/>
        <item h="1" x="5"/>
        <item h="1" x="35"/>
        <item h="1" x="34"/>
        <item h="1" x="23"/>
        <item h="1" x="12"/>
        <item h="1" x="36"/>
        <item h="1" x="38"/>
        <item h="1" x="2"/>
        <item h="1" x="26"/>
        <item h="1" x="0"/>
        <item h="1" x="30"/>
        <item h="1" x="14"/>
        <item h="1" x="22"/>
        <item t="default"/>
      </items>
    </pivotField>
    <pivotField numFmtId="165" showAll="0"/>
    <pivotField numFmtId="3" showAll="0"/>
    <pivotField numFmtId="164" showAll="0"/>
    <pivotField numFmtId="164" showAll="0"/>
    <pivotField numFmtId="164" showAll="0"/>
    <pivotField numFmtId="164" showAll="0"/>
    <pivotField numFmtId="3" showAll="0"/>
    <pivotField numFmtId="3" showAll="0"/>
    <pivotField axis="axisRow" showAll="0">
      <items count="4">
        <item x="2"/>
        <item x="1"/>
        <item x="0"/>
        <item t="default"/>
      </items>
    </pivotField>
  </pivotFields>
  <rowFields count="1">
    <field x="10"/>
  </rowFields>
  <rowItems count="2">
    <i>
      <x v="2"/>
    </i>
    <i t="grand">
      <x/>
    </i>
  </rowItems>
  <colItems count="1">
    <i/>
  </colItems>
  <dataFields count="1">
    <dataField name="Count of Client ID" fld="0"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 chart="2" format="7">
      <pivotArea type="data" outline="0" fieldPosition="0">
        <references count="2">
          <reference field="4294967294" count="1" selected="0">
            <x v="0"/>
          </reference>
          <reference field="10" count="1" selected="0">
            <x v="1"/>
          </reference>
        </references>
      </pivotArea>
    </chartFormat>
    <chartFormat chart="2"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0476B1-F92C-457B-B0BC-0DE08B4D810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1:K2" firstHeaderRow="0" firstDataRow="1" firstDataCol="0"/>
  <pivotFields count="11">
    <pivotField showAll="0"/>
    <pivotField showAll="0">
      <items count="42">
        <item h="1" x="20"/>
        <item h="1" x="8"/>
        <item h="1" x="17"/>
        <item h="1" x="18"/>
        <item h="1" x="19"/>
        <item h="1" x="24"/>
        <item h="1" x="11"/>
        <item h="1" x="7"/>
        <item h="1" x="40"/>
        <item h="1" x="6"/>
        <item h="1" x="4"/>
        <item h="1" x="15"/>
        <item h="1" x="25"/>
        <item x="33"/>
        <item h="1" x="3"/>
        <item h="1" x="21"/>
        <item h="1" x="9"/>
        <item h="1" x="32"/>
        <item h="1" x="1"/>
        <item h="1" x="39"/>
        <item h="1" x="13"/>
        <item h="1" x="31"/>
        <item h="1" x="10"/>
        <item h="1" x="16"/>
        <item h="1" x="27"/>
        <item h="1" x="28"/>
        <item h="1" x="37"/>
        <item h="1" x="29"/>
        <item h="1" x="5"/>
        <item h="1" x="35"/>
        <item h="1" x="34"/>
        <item h="1" x="23"/>
        <item h="1" x="12"/>
        <item h="1" x="36"/>
        <item h="1" x="38"/>
        <item h="1" x="2"/>
        <item h="1" x="26"/>
        <item h="1" x="0"/>
        <item h="1" x="30"/>
        <item h="1" x="14"/>
        <item h="1" x="22"/>
        <item t="default"/>
      </items>
    </pivotField>
    <pivotField numFmtId="165" showAll="0"/>
    <pivotField numFmtId="3" showAll="0"/>
    <pivotField numFmtId="164" showAll="0"/>
    <pivotField numFmtId="164" showAll="0"/>
    <pivotField dataField="1" numFmtId="164" showAll="0"/>
    <pivotField dataField="1" numFmtId="164" showAll="0"/>
    <pivotField dataField="1" numFmtId="3" showAll="0"/>
    <pivotField numFmtId="3" showAll="0"/>
    <pivotField showAll="0">
      <items count="4">
        <item x="2"/>
        <item x="1"/>
        <item x="0"/>
        <item t="default"/>
      </items>
    </pivotField>
  </pivotFields>
  <rowItems count="1">
    <i/>
  </rowItems>
  <colFields count="1">
    <field x="-2"/>
  </colFields>
  <colItems count="3">
    <i>
      <x/>
    </i>
    <i i="1">
      <x v="1"/>
    </i>
    <i i="2">
      <x v="2"/>
    </i>
  </colItems>
  <dataFields count="3">
    <dataField name="Sum of Net Payout" fld="7" baseField="0" baseItem="0" numFmtId="164"/>
    <dataField name="Sum of TDS Withheld (10%)" fld="6" baseField="0" baseItem="0" numFmtId="164"/>
    <dataField name="Sum of Bonus Shares Receive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CB59C6-1830-4A02-805A-6DF082F4ACE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1:F3" firstHeaderRow="1" firstDataRow="1" firstDataCol="1"/>
  <pivotFields count="11">
    <pivotField showAll="0"/>
    <pivotField axis="axisRow" showAll="0">
      <items count="42">
        <item h="1" x="20"/>
        <item h="1" x="8"/>
        <item h="1" x="17"/>
        <item h="1" x="18"/>
        <item h="1" x="19"/>
        <item h="1" x="24"/>
        <item h="1" x="11"/>
        <item h="1" x="7"/>
        <item h="1" x="40"/>
        <item h="1" x="6"/>
        <item h="1" x="4"/>
        <item h="1" x="15"/>
        <item h="1" x="25"/>
        <item x="33"/>
        <item h="1" x="3"/>
        <item h="1" x="21"/>
        <item h="1" x="9"/>
        <item h="1" x="32"/>
        <item h="1" x="1"/>
        <item h="1" x="39"/>
        <item h="1" x="13"/>
        <item h="1" x="31"/>
        <item h="1" x="10"/>
        <item h="1" x="16"/>
        <item h="1" x="27"/>
        <item h="1" x="28"/>
        <item h="1" x="37"/>
        <item h="1" x="29"/>
        <item h="1" x="5"/>
        <item h="1" x="35"/>
        <item h="1" x="34"/>
        <item h="1" x="23"/>
        <item h="1" x="12"/>
        <item h="1" x="36"/>
        <item h="1" x="38"/>
        <item h="1" x="2"/>
        <item h="1" x="26"/>
        <item h="1" x="0"/>
        <item h="1" x="30"/>
        <item h="1" x="14"/>
        <item h="1" x="22"/>
        <item t="default"/>
      </items>
    </pivotField>
    <pivotField numFmtId="165" showAll="0"/>
    <pivotField numFmtId="3" showAll="0"/>
    <pivotField numFmtId="164" showAll="0"/>
    <pivotField numFmtId="164" showAll="0"/>
    <pivotField numFmtId="164" showAll="0"/>
    <pivotField dataField="1" numFmtId="164" showAll="0"/>
    <pivotField numFmtId="3" showAll="0"/>
    <pivotField numFmtId="3" showAll="0"/>
    <pivotField showAll="0">
      <items count="4">
        <item x="2"/>
        <item x="1"/>
        <item x="0"/>
        <item t="default"/>
      </items>
    </pivotField>
  </pivotFields>
  <rowFields count="1">
    <field x="1"/>
  </rowFields>
  <rowItems count="2">
    <i>
      <x v="13"/>
    </i>
    <i t="grand">
      <x/>
    </i>
  </rowItems>
  <colItems count="1">
    <i/>
  </colItems>
  <dataFields count="1">
    <dataField name="Sum of Net Payout" fld="7" baseField="0" baseItem="0" numFmtId="164"/>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urity_Name" xr10:uid="{2D8BE30A-93CD-4998-A0F9-4DF2FA29128B}" sourceName="Security Name">
  <pivotTables>
    <pivotTable tabId="4" name="PivotTable5"/>
    <pivotTable tabId="4" name="PivotTable3"/>
    <pivotTable tabId="4" name="PivotTable2"/>
  </pivotTables>
  <data>
    <tabular pivotCacheId="508298577">
      <items count="41">
        <i x="20"/>
        <i x="8"/>
        <i x="17"/>
        <i x="18"/>
        <i x="19"/>
        <i x="24"/>
        <i x="11"/>
        <i x="7"/>
        <i x="40"/>
        <i x="6"/>
        <i x="4"/>
        <i x="15"/>
        <i x="25"/>
        <i x="33" s="1"/>
        <i x="3"/>
        <i x="21"/>
        <i x="9"/>
        <i x="32"/>
        <i x="1"/>
        <i x="39"/>
        <i x="13"/>
        <i x="31"/>
        <i x="10"/>
        <i x="16"/>
        <i x="27"/>
        <i x="28"/>
        <i x="37"/>
        <i x="29"/>
        <i x="5"/>
        <i x="35"/>
        <i x="34"/>
        <i x="23"/>
        <i x="12"/>
        <i x="36"/>
        <i x="38"/>
        <i x="2"/>
        <i x="26"/>
        <i x="0"/>
        <i x="30"/>
        <i x="14"/>
        <i x="2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cessing_Status" xr10:uid="{02B0F073-E254-4191-A9BD-5B78B2155694}" sourceName="Processing Status">
  <pivotTables>
    <pivotTable tabId="4" name="PivotTable5"/>
    <pivotTable tabId="4" name="PivotTable3"/>
    <pivotTable tabId="4" name="PivotTable2"/>
  </pivotTables>
  <data>
    <tabular pivotCacheId="508298577">
      <items count="3">
        <i x="0" s="1"/>
        <i x="2" s="1" nd="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urity Name" xr10:uid="{10EC4CD0-527B-40F9-A552-5830991EB2D2}" cache="Slicer_Security_Name" caption="Security Name" startItem="10" rowHeight="247650"/>
  <slicer name="Processing Status" xr10:uid="{EDDFF4FE-AC10-400E-A826-F3EEA474095B}" cache="Slicer_Processing_Status" caption="Processing Status"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1BD68-64F9-4B93-ADEF-A6874BEC5DDF}">
  <sheetPr codeName="Sheet3"/>
  <dimension ref="A2:W6"/>
  <sheetViews>
    <sheetView showGridLines="0" workbookViewId="0">
      <selection activeCell="C3" sqref="C3"/>
    </sheetView>
  </sheetViews>
  <sheetFormatPr defaultRowHeight="14.4" x14ac:dyDescent="0.3"/>
  <cols>
    <col min="1" max="1" width="8.88671875" style="11"/>
    <col min="2" max="2" width="9.44140625" style="11" customWidth="1"/>
    <col min="3" max="3" width="7.6640625" style="11" customWidth="1"/>
    <col min="4" max="4" width="13.33203125" style="11" customWidth="1"/>
    <col min="5" max="5" width="27.88671875" style="11" customWidth="1"/>
    <col min="6" max="6" width="8.88671875" style="11"/>
    <col min="7" max="7" width="12.21875" style="11" customWidth="1"/>
    <col min="8" max="8" width="29" style="11" customWidth="1"/>
    <col min="9" max="9" width="9.88671875" style="11" customWidth="1"/>
    <col min="10" max="10" width="11" style="11" customWidth="1"/>
    <col min="11" max="11" width="10.88671875" style="11" customWidth="1"/>
    <col min="12" max="12" width="31" style="11" customWidth="1"/>
    <col min="13" max="16384" width="8.88671875" style="11"/>
  </cols>
  <sheetData>
    <row r="2" spans="1:23" s="10" customFormat="1" ht="30" x14ac:dyDescent="0.3">
      <c r="A2" s="20" t="s">
        <v>843</v>
      </c>
      <c r="B2" s="20"/>
      <c r="C2" s="20"/>
      <c r="D2" s="20"/>
      <c r="E2" s="20"/>
      <c r="F2" s="20"/>
      <c r="G2" s="20"/>
      <c r="H2" s="20"/>
      <c r="I2" s="20"/>
      <c r="J2" s="20"/>
      <c r="K2" s="20"/>
      <c r="L2" s="20"/>
      <c r="M2" s="20"/>
      <c r="N2" s="20"/>
      <c r="O2" s="20"/>
      <c r="P2" s="13"/>
      <c r="Q2" s="13"/>
      <c r="R2" s="13"/>
      <c r="S2" s="13"/>
      <c r="T2" s="13"/>
      <c r="U2" s="13"/>
      <c r="V2" s="13"/>
      <c r="W2" s="13"/>
    </row>
    <row r="3" spans="1:23" s="10" customFormat="1" ht="19.8" customHeight="1" x14ac:dyDescent="0.3">
      <c r="A3" s="14"/>
      <c r="B3" s="14"/>
      <c r="C3" s="14"/>
      <c r="D3" s="14"/>
      <c r="E3" s="14"/>
      <c r="F3" s="14"/>
      <c r="G3" s="14"/>
      <c r="H3" s="14"/>
      <c r="I3" s="14"/>
      <c r="J3" s="14"/>
      <c r="K3" s="14"/>
      <c r="L3" s="14"/>
      <c r="M3" s="14"/>
      <c r="N3" s="14"/>
      <c r="O3" s="14"/>
      <c r="P3" s="13"/>
      <c r="Q3" s="13"/>
      <c r="R3" s="13"/>
      <c r="S3" s="13"/>
      <c r="T3" s="13"/>
      <c r="U3" s="13"/>
      <c r="V3" s="13"/>
      <c r="W3" s="13"/>
    </row>
    <row r="4" spans="1:23" ht="25.8" x14ac:dyDescent="0.3">
      <c r="E4" s="12" t="str">
        <f>Pivot_Data!I1</f>
        <v>Sum of Net Payout</v>
      </c>
      <c r="G4" s="15"/>
      <c r="H4" s="21" t="s">
        <v>848</v>
      </c>
      <c r="I4" s="22"/>
      <c r="L4" s="12" t="s">
        <v>849</v>
      </c>
    </row>
    <row r="5" spans="1:23" ht="25.8" x14ac:dyDescent="0.3">
      <c r="E5" s="12">
        <f>Pivot_Data!I2</f>
        <v>36135</v>
      </c>
      <c r="H5" s="23">
        <f>Pivot_Data!J2</f>
        <v>4015</v>
      </c>
      <c r="I5" s="24"/>
      <c r="J5" s="17"/>
      <c r="L5" s="19">
        <f>Pivot_Data!K2</f>
        <v>0</v>
      </c>
    </row>
    <row r="6" spans="1:23" x14ac:dyDescent="0.3">
      <c r="H6" s="16"/>
      <c r="I6" s="16"/>
    </row>
  </sheetData>
  <mergeCells count="3">
    <mergeCell ref="A2:O2"/>
    <mergeCell ref="H4:I4"/>
    <mergeCell ref="H5:I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2948D-9C31-46E3-BD5F-29F661271725}">
  <sheetPr codeName="Sheet2"/>
  <dimension ref="A1:O765"/>
  <sheetViews>
    <sheetView tabSelected="1" topLeftCell="F1" workbookViewId="0">
      <selection activeCell="G12" sqref="G12"/>
    </sheetView>
  </sheetViews>
  <sheetFormatPr defaultRowHeight="14.4" x14ac:dyDescent="0.3"/>
  <cols>
    <col min="1" max="1" width="14" bestFit="1" customWidth="1"/>
    <col min="2" max="2" width="15.5546875" bestFit="1" customWidth="1"/>
    <col min="3" max="3" width="12.109375" bestFit="1" customWidth="1"/>
    <col min="4" max="4" width="15.44140625" style="2" bestFit="1" customWidth="1"/>
    <col min="5" max="5" width="14.77734375" style="3" bestFit="1" customWidth="1"/>
    <col min="6" max="6" width="18.21875" style="3" bestFit="1" customWidth="1"/>
    <col min="7" max="7" width="19.77734375" style="3" bestFit="1" customWidth="1"/>
    <col min="8" max="8" width="12.33203125" style="3" bestFit="1" customWidth="1"/>
    <col min="9" max="9" width="12.33203125" style="3" customWidth="1"/>
    <col min="10" max="13" width="22.44140625" style="2" customWidth="1"/>
    <col min="14" max="14" width="17.44140625" style="2" bestFit="1" customWidth="1"/>
    <col min="15" max="15" width="19.88671875" bestFit="1" customWidth="1"/>
  </cols>
  <sheetData>
    <row r="1" spans="1:15" x14ac:dyDescent="0.3">
      <c r="A1" s="4" t="s">
        <v>68</v>
      </c>
      <c r="B1" s="4" t="s">
        <v>1</v>
      </c>
      <c r="C1" s="4" t="s">
        <v>69</v>
      </c>
      <c r="D1" s="6" t="s">
        <v>70</v>
      </c>
      <c r="E1" s="7" t="s">
        <v>71</v>
      </c>
      <c r="F1" s="7" t="s">
        <v>72</v>
      </c>
      <c r="G1" s="7" t="s">
        <v>73</v>
      </c>
      <c r="H1" s="7" t="s">
        <v>74</v>
      </c>
      <c r="I1" s="6" t="s">
        <v>75</v>
      </c>
      <c r="J1" t="s">
        <v>858</v>
      </c>
      <c r="K1" t="s">
        <v>859</v>
      </c>
      <c r="L1" t="s">
        <v>860</v>
      </c>
      <c r="M1" t="s">
        <v>861</v>
      </c>
      <c r="N1" s="6" t="s">
        <v>76</v>
      </c>
      <c r="O1" s="4" t="s">
        <v>77</v>
      </c>
    </row>
    <row r="2" spans="1:15" x14ac:dyDescent="0.3">
      <c r="A2" t="s">
        <v>78</v>
      </c>
      <c r="B2" t="s">
        <v>23</v>
      </c>
      <c r="C2" s="5">
        <v>43930</v>
      </c>
      <c r="D2" s="2">
        <v>7800</v>
      </c>
      <c r="E2">
        <f>SUMIFS(CA_Feed!F:F, CA_Feed!B:B, B2, CA_Feed!E:E, "*DIVIDEND*", CA_Feed!D:D, "&gt;="&amp;C2)</f>
        <v>1.5000000000000002</v>
      </c>
      <c r="F2">
        <f>D2 * E2</f>
        <v>11700.000000000002</v>
      </c>
      <c r="G2">
        <f>F2 * 0.1</f>
        <v>1170.0000000000002</v>
      </c>
      <c r="H2">
        <f>F2 - G2</f>
        <v>10530.000000000002</v>
      </c>
      <c r="I2">
        <f>D2 * SUMIFS(CA_Feed!G:G, CA_Feed!B:B, B2, CA_Feed!E:E, "*BONUS*", CA_Feed!D:D, "&gt;="&amp;C2)</f>
        <v>0</v>
      </c>
      <c r="J2">
        <f>INT(I2)</f>
        <v>0</v>
      </c>
      <c r="K2">
        <f>I2-J2</f>
        <v>0</v>
      </c>
      <c r="L2">
        <f>IF(K2&gt;0, K2 * VLOOKUP(B2, CA_Feed!B:N, 13, FALSE), 0)</f>
        <v>0</v>
      </c>
      <c r="M2">
        <f t="shared" ref="M2:M51" si="0">H2 + L2</f>
        <v>10530.000000000002</v>
      </c>
      <c r="N2" s="2">
        <f>IF(J2&gt;0,D2 +J2,0)</f>
        <v>0</v>
      </c>
      <c r="O2" t="str">
        <f>IF(COUNTIFS(CA_Feed!B:B, B2)=0, "No Action Announced", IF(COUNTIFS(CA_Feed!B:B, B2, CA_Feed!D:D, "&gt;="&amp;C2)&gt;0, "Processed (Eligible)", "Ineligible (Post Ex-Date)"))</f>
        <v>Processed (Eligible)</v>
      </c>
    </row>
    <row r="3" spans="1:15" x14ac:dyDescent="0.3">
      <c r="A3" t="s">
        <v>79</v>
      </c>
      <c r="B3" t="s">
        <v>23</v>
      </c>
      <c r="C3" s="5">
        <v>43459</v>
      </c>
      <c r="D3" s="2">
        <v>650</v>
      </c>
      <c r="E3">
        <f>SUMIFS(CA_Feed!F:F, CA_Feed!B:B, B3, CA_Feed!E:E, "*DIVIDEND*", CA_Feed!D:D, "&gt;="&amp;C3)</f>
        <v>1.5000000000000002</v>
      </c>
      <c r="F3">
        <f t="shared" ref="F3:F52" si="1">D3 * E3</f>
        <v>975.00000000000011</v>
      </c>
      <c r="G3">
        <f t="shared" ref="G3:G52" si="2">F3 * 0.1</f>
        <v>97.500000000000014</v>
      </c>
      <c r="H3">
        <f t="shared" ref="H3:H52" si="3">F3 - G3</f>
        <v>877.50000000000011</v>
      </c>
      <c r="I3">
        <f>D3 * SUMIFS(CA_Feed!G:G, CA_Feed!B:B, B3, CA_Feed!E:E, "*BONUS*", CA_Feed!D:D, "&gt;="&amp;C3)</f>
        <v>0</v>
      </c>
      <c r="J3">
        <f t="shared" ref="J3:J52" si="4">INT(I3)</f>
        <v>0</v>
      </c>
      <c r="K3">
        <f t="shared" ref="K3:K52" si="5">I3-J3</f>
        <v>0</v>
      </c>
      <c r="L3">
        <f>IF(K3&gt;0, K3 * VLOOKUP(B3, CA_Feed!B:N, 13, FALSE), 0)</f>
        <v>0</v>
      </c>
      <c r="M3">
        <f t="shared" si="0"/>
        <v>877.50000000000011</v>
      </c>
      <c r="N3" s="2">
        <f t="shared" ref="N3:N66" si="6">IF(J3&gt;0,D3 +J3,0)</f>
        <v>0</v>
      </c>
      <c r="O3" t="str">
        <f>IF(COUNTIFS(CA_Feed!B:B, B3)=0, "No Action Announced", IF(COUNTIFS(CA_Feed!B:B, B3, CA_Feed!D:D, "&gt;="&amp;C3)&gt;0, "Processed (Eligible)", "Ineligible (Post Ex-Date)"))</f>
        <v>Processed (Eligible)</v>
      </c>
    </row>
    <row r="4" spans="1:15" x14ac:dyDescent="0.3">
      <c r="A4" t="s">
        <v>80</v>
      </c>
      <c r="B4" t="s">
        <v>29</v>
      </c>
      <c r="C4" s="5">
        <v>44106</v>
      </c>
      <c r="D4" s="2">
        <v>6000</v>
      </c>
      <c r="E4">
        <f>SUMIFS(CA_Feed!F:F, CA_Feed!B:B, B4, CA_Feed!E:E, "*DIVIDEND*", CA_Feed!D:D, "&gt;="&amp;C4)</f>
        <v>3</v>
      </c>
      <c r="F4">
        <f t="shared" si="1"/>
        <v>18000</v>
      </c>
      <c r="G4">
        <f t="shared" si="2"/>
        <v>1800</v>
      </c>
      <c r="H4">
        <f t="shared" si="3"/>
        <v>16200</v>
      </c>
      <c r="I4">
        <f>D4 * SUMIFS(CA_Feed!G:G, CA_Feed!B:B, B4, CA_Feed!E:E, "*BONUS*", CA_Feed!D:D, "&gt;="&amp;C4)</f>
        <v>0</v>
      </c>
      <c r="J4">
        <f t="shared" si="4"/>
        <v>0</v>
      </c>
      <c r="K4">
        <f t="shared" si="5"/>
        <v>0</v>
      </c>
      <c r="L4">
        <f>IF(K4&gt;0, K4 * VLOOKUP(B4, CA_Feed!B:N, 13, FALSE), 0)</f>
        <v>0</v>
      </c>
      <c r="M4">
        <f t="shared" si="0"/>
        <v>16200</v>
      </c>
      <c r="N4" s="2">
        <f t="shared" si="6"/>
        <v>0</v>
      </c>
      <c r="O4" t="str">
        <f>IF(COUNTIFS(CA_Feed!B:B, B4)=0, "No Action Announced", IF(COUNTIFS(CA_Feed!B:B, B4, CA_Feed!D:D, "&gt;="&amp;C4)&gt;0, "Processed (Eligible)", "Ineligible (Post Ex-Date)"))</f>
        <v>Processed (Eligible)</v>
      </c>
    </row>
    <row r="5" spans="1:15" x14ac:dyDescent="0.3">
      <c r="A5" t="s">
        <v>81</v>
      </c>
      <c r="B5" t="s">
        <v>31</v>
      </c>
      <c r="C5" s="5">
        <v>44191</v>
      </c>
      <c r="D5" s="2">
        <v>2350</v>
      </c>
      <c r="E5">
        <f>SUMIFS(CA_Feed!F:F, CA_Feed!B:B, B5, CA_Feed!E:E, "*DIVIDEND*", CA_Feed!D:D, "&gt;="&amp;C5)</f>
        <v>3</v>
      </c>
      <c r="F5">
        <f t="shared" si="1"/>
        <v>7050</v>
      </c>
      <c r="G5">
        <f t="shared" si="2"/>
        <v>705</v>
      </c>
      <c r="H5">
        <f t="shared" si="3"/>
        <v>6345</v>
      </c>
      <c r="I5">
        <f>D5 * SUMIFS(CA_Feed!G:G, CA_Feed!B:B, B5, CA_Feed!E:E, "*BONUS*", CA_Feed!D:D, "&gt;="&amp;C5)</f>
        <v>0</v>
      </c>
      <c r="J5">
        <f t="shared" si="4"/>
        <v>0</v>
      </c>
      <c r="K5">
        <f t="shared" si="5"/>
        <v>0</v>
      </c>
      <c r="L5">
        <f>IF(K5&gt;0, K5 * VLOOKUP(B5, CA_Feed!B:N, 13, FALSE), 0)</f>
        <v>0</v>
      </c>
      <c r="M5">
        <f t="shared" si="0"/>
        <v>6345</v>
      </c>
      <c r="N5" s="2">
        <f t="shared" si="6"/>
        <v>0</v>
      </c>
      <c r="O5" t="str">
        <f>IF(COUNTIFS(CA_Feed!B:B, B5)=0, "No Action Announced", IF(COUNTIFS(CA_Feed!B:B, B5, CA_Feed!D:D, "&gt;="&amp;C5)&gt;0, "Processed (Eligible)", "Ineligible (Post Ex-Date)"))</f>
        <v>Processed (Eligible)</v>
      </c>
    </row>
    <row r="6" spans="1:15" x14ac:dyDescent="0.3">
      <c r="A6" t="s">
        <v>82</v>
      </c>
      <c r="B6" t="s">
        <v>37</v>
      </c>
      <c r="C6" s="5">
        <v>42919</v>
      </c>
      <c r="D6" s="2">
        <v>10050</v>
      </c>
      <c r="E6">
        <f>SUMIFS(CA_Feed!F:F, CA_Feed!B:B, B6, CA_Feed!E:E, "*DIVIDEND*", CA_Feed!D:D, "&gt;="&amp;C6)</f>
        <v>6.5</v>
      </c>
      <c r="F6">
        <f t="shared" si="1"/>
        <v>65325</v>
      </c>
      <c r="G6">
        <f t="shared" si="2"/>
        <v>6532.5</v>
      </c>
      <c r="H6">
        <f t="shared" si="3"/>
        <v>58792.5</v>
      </c>
      <c r="I6">
        <f>D6 * SUMIFS(CA_Feed!G:G, CA_Feed!B:B, B6, CA_Feed!E:E, "*BONUS*", CA_Feed!D:D, "&gt;="&amp;C6)</f>
        <v>0</v>
      </c>
      <c r="J6">
        <f t="shared" si="4"/>
        <v>0</v>
      </c>
      <c r="K6">
        <f t="shared" si="5"/>
        <v>0</v>
      </c>
      <c r="L6">
        <f>IF(K6&gt;0, K6 * VLOOKUP(B6, CA_Feed!B:N, 13, FALSE), 0)</f>
        <v>0</v>
      </c>
      <c r="M6">
        <f t="shared" si="0"/>
        <v>58792.5</v>
      </c>
      <c r="N6" s="2">
        <f t="shared" si="6"/>
        <v>0</v>
      </c>
      <c r="O6" t="str">
        <f>IF(COUNTIFS(CA_Feed!B:B, B6)=0, "No Action Announced", IF(COUNTIFS(CA_Feed!B:B, B6, CA_Feed!D:D, "&gt;="&amp;C6)&gt;0, "Processed (Eligible)", "Ineligible (Post Ex-Date)"))</f>
        <v>Processed (Eligible)</v>
      </c>
    </row>
    <row r="7" spans="1:15" x14ac:dyDescent="0.3">
      <c r="A7" t="s">
        <v>83</v>
      </c>
      <c r="B7" t="s">
        <v>23</v>
      </c>
      <c r="C7" s="5">
        <v>42864</v>
      </c>
      <c r="D7" s="2">
        <v>9550</v>
      </c>
      <c r="E7">
        <f>SUMIFS(CA_Feed!F:F, CA_Feed!B:B, B7, CA_Feed!E:E, "*DIVIDEND*", CA_Feed!D:D, "&gt;="&amp;C7)</f>
        <v>1.5000000000000002</v>
      </c>
      <c r="F7">
        <f t="shared" si="1"/>
        <v>14325.000000000002</v>
      </c>
      <c r="G7">
        <f t="shared" si="2"/>
        <v>1432.5000000000002</v>
      </c>
      <c r="H7">
        <f t="shared" si="3"/>
        <v>12892.500000000002</v>
      </c>
      <c r="I7">
        <f>D7 * SUMIFS(CA_Feed!G:G, CA_Feed!B:B, B7, CA_Feed!E:E, "*BONUS*", CA_Feed!D:D, "&gt;="&amp;C7)</f>
        <v>0</v>
      </c>
      <c r="J7">
        <f t="shared" si="4"/>
        <v>0</v>
      </c>
      <c r="K7">
        <f t="shared" si="5"/>
        <v>0</v>
      </c>
      <c r="L7">
        <f>IF(K7&gt;0, K7 * VLOOKUP(B7, CA_Feed!B:N, 13, FALSE), 0)</f>
        <v>0</v>
      </c>
      <c r="M7">
        <f t="shared" si="0"/>
        <v>12892.500000000002</v>
      </c>
      <c r="N7" s="2">
        <f t="shared" si="6"/>
        <v>0</v>
      </c>
      <c r="O7" t="str">
        <f>IF(COUNTIFS(CA_Feed!B:B, B7)=0, "No Action Announced", IF(COUNTIFS(CA_Feed!B:B, B7, CA_Feed!D:D, "&gt;="&amp;C7)&gt;0, "Processed (Eligible)", "Ineligible (Post Ex-Date)"))</f>
        <v>Processed (Eligible)</v>
      </c>
    </row>
    <row r="8" spans="1:15" x14ac:dyDescent="0.3">
      <c r="A8" t="s">
        <v>471</v>
      </c>
      <c r="B8" t="s">
        <v>12</v>
      </c>
      <c r="C8" s="5">
        <v>44252</v>
      </c>
      <c r="D8" s="2">
        <v>80</v>
      </c>
      <c r="E8">
        <f>SUMIFS(CA_Feed!F:F, CA_Feed!B:B, B8, CA_Feed!E:E, "*DIVIDEND*", CA_Feed!D:D, "&gt;="&amp;C8)</f>
        <v>19</v>
      </c>
      <c r="F8">
        <f t="shared" si="1"/>
        <v>1520</v>
      </c>
      <c r="G8">
        <f t="shared" si="2"/>
        <v>152</v>
      </c>
      <c r="H8">
        <f t="shared" si="3"/>
        <v>1368</v>
      </c>
      <c r="I8">
        <f>D8 * SUMIFS(CA_Feed!G:G, CA_Feed!B:B, B8, CA_Feed!E:E, "*BONUS*", CA_Feed!D:D, "&gt;="&amp;C8)</f>
        <v>0</v>
      </c>
      <c r="J8">
        <f t="shared" si="4"/>
        <v>0</v>
      </c>
      <c r="K8">
        <f t="shared" si="5"/>
        <v>0</v>
      </c>
      <c r="L8">
        <f>IF(K8&gt;0, K8 * VLOOKUP(B8, CA_Feed!B:N, 13, FALSE), 0)</f>
        <v>0</v>
      </c>
      <c r="M8">
        <f t="shared" si="0"/>
        <v>1368</v>
      </c>
      <c r="N8" s="2">
        <f t="shared" si="6"/>
        <v>0</v>
      </c>
      <c r="O8" t="str">
        <f>IF(COUNTIFS(CA_Feed!B:B, B8)=0, "No Action Announced", IF(COUNTIFS(CA_Feed!B:B, B8, CA_Feed!D:D, "&gt;="&amp;C8)&gt;0, "Processed (Eligible)", "Ineligible (Post Ex-Date)"))</f>
        <v>Processed (Eligible)</v>
      </c>
    </row>
    <row r="9" spans="1:15" x14ac:dyDescent="0.3">
      <c r="A9" t="s">
        <v>85</v>
      </c>
      <c r="B9" t="s">
        <v>29</v>
      </c>
      <c r="C9" s="5">
        <v>44669</v>
      </c>
      <c r="D9" s="2">
        <v>2150</v>
      </c>
      <c r="E9">
        <f>SUMIFS(CA_Feed!F:F, CA_Feed!B:B, B9, CA_Feed!E:E, "*DIVIDEND*", CA_Feed!D:D, "&gt;="&amp;C9)</f>
        <v>3</v>
      </c>
      <c r="F9">
        <f t="shared" si="1"/>
        <v>6450</v>
      </c>
      <c r="G9">
        <f t="shared" si="2"/>
        <v>645</v>
      </c>
      <c r="H9">
        <f t="shared" si="3"/>
        <v>5805</v>
      </c>
      <c r="I9">
        <f>D9 * SUMIFS(CA_Feed!G:G, CA_Feed!B:B, B9, CA_Feed!E:E, "*BONUS*", CA_Feed!D:D, "&gt;="&amp;C9)</f>
        <v>0</v>
      </c>
      <c r="J9">
        <f t="shared" si="4"/>
        <v>0</v>
      </c>
      <c r="K9">
        <f t="shared" si="5"/>
        <v>0</v>
      </c>
      <c r="L9">
        <f>IF(K9&gt;0, K9 * VLOOKUP(B9, CA_Feed!B:N, 13, FALSE), 0)</f>
        <v>0</v>
      </c>
      <c r="M9">
        <f t="shared" si="0"/>
        <v>5805</v>
      </c>
      <c r="N9" s="2">
        <f t="shared" si="6"/>
        <v>0</v>
      </c>
      <c r="O9" t="str">
        <f>IF(COUNTIFS(CA_Feed!B:B, B9)=0, "No Action Announced", IF(COUNTIFS(CA_Feed!B:B, B9, CA_Feed!D:D, "&gt;="&amp;C9)&gt;0, "Processed (Eligible)", "Ineligible (Post Ex-Date)"))</f>
        <v>Processed (Eligible)</v>
      </c>
    </row>
    <row r="10" spans="1:15" x14ac:dyDescent="0.3">
      <c r="A10" t="s">
        <v>86</v>
      </c>
      <c r="B10" t="s">
        <v>39</v>
      </c>
      <c r="C10" s="5">
        <v>42181</v>
      </c>
      <c r="D10" s="2">
        <v>2700</v>
      </c>
      <c r="E10">
        <f>SUMIFS(CA_Feed!F:F, CA_Feed!B:B, B10, CA_Feed!E:E, "*DIVIDEND*", CA_Feed!D:D, "&gt;="&amp;C10)</f>
        <v>1.2</v>
      </c>
      <c r="F10">
        <f t="shared" si="1"/>
        <v>3240</v>
      </c>
      <c r="G10">
        <f t="shared" si="2"/>
        <v>324</v>
      </c>
      <c r="H10">
        <f t="shared" si="3"/>
        <v>2916</v>
      </c>
      <c r="I10">
        <f>D10 * SUMIFS(CA_Feed!G:G, CA_Feed!B:B, B10, CA_Feed!E:E, "*BONUS*", CA_Feed!D:D, "&gt;="&amp;C10)</f>
        <v>0</v>
      </c>
      <c r="J10">
        <f t="shared" si="4"/>
        <v>0</v>
      </c>
      <c r="K10">
        <f t="shared" si="5"/>
        <v>0</v>
      </c>
      <c r="L10">
        <f>IF(K10&gt;0, K10 * VLOOKUP(B10, CA_Feed!B:N, 13, FALSE), 0)</f>
        <v>0</v>
      </c>
      <c r="M10">
        <f t="shared" si="0"/>
        <v>2916</v>
      </c>
      <c r="N10" s="2">
        <f t="shared" si="6"/>
        <v>0</v>
      </c>
      <c r="O10" t="str">
        <f>IF(COUNTIFS(CA_Feed!B:B, B10)=0, "No Action Announced", IF(COUNTIFS(CA_Feed!B:B, B10, CA_Feed!D:D, "&gt;="&amp;C10)&gt;0, "Processed (Eligible)", "Ineligible (Post Ex-Date)"))</f>
        <v>Processed (Eligible)</v>
      </c>
    </row>
    <row r="11" spans="1:15" x14ac:dyDescent="0.3">
      <c r="A11" t="s">
        <v>87</v>
      </c>
      <c r="B11" t="s">
        <v>39</v>
      </c>
      <c r="C11" s="5">
        <v>43087</v>
      </c>
      <c r="D11" s="2">
        <v>6350</v>
      </c>
      <c r="E11">
        <f>SUMIFS(CA_Feed!F:F, CA_Feed!B:B, B11, CA_Feed!E:E, "*DIVIDEND*", CA_Feed!D:D, "&gt;="&amp;C11)</f>
        <v>1.2</v>
      </c>
      <c r="F11">
        <f t="shared" si="1"/>
        <v>7620</v>
      </c>
      <c r="G11">
        <f t="shared" si="2"/>
        <v>762</v>
      </c>
      <c r="H11">
        <f t="shared" si="3"/>
        <v>6858</v>
      </c>
      <c r="I11">
        <f>D11 * SUMIFS(CA_Feed!G:G, CA_Feed!B:B, B11, CA_Feed!E:E, "*BONUS*", CA_Feed!D:D, "&gt;="&amp;C11)</f>
        <v>0</v>
      </c>
      <c r="J11">
        <f t="shared" si="4"/>
        <v>0</v>
      </c>
      <c r="K11">
        <f t="shared" si="5"/>
        <v>0</v>
      </c>
      <c r="L11">
        <f>IF(K11&gt;0, K11 * VLOOKUP(B11, CA_Feed!B:N, 13, FALSE), 0)</f>
        <v>0</v>
      </c>
      <c r="M11">
        <f t="shared" si="0"/>
        <v>6858</v>
      </c>
      <c r="N11" s="2">
        <f t="shared" si="6"/>
        <v>0</v>
      </c>
      <c r="O11" t="str">
        <f>IF(COUNTIFS(CA_Feed!B:B, B11)=0, "No Action Announced", IF(COUNTIFS(CA_Feed!B:B, B11, CA_Feed!D:D, "&gt;="&amp;C11)&gt;0, "Processed (Eligible)", "Ineligible (Post Ex-Date)"))</f>
        <v>Processed (Eligible)</v>
      </c>
    </row>
    <row r="12" spans="1:15" x14ac:dyDescent="0.3">
      <c r="A12" t="s">
        <v>149</v>
      </c>
      <c r="B12" t="s">
        <v>12</v>
      </c>
      <c r="C12" s="5">
        <v>43947</v>
      </c>
      <c r="D12" s="2">
        <v>80</v>
      </c>
      <c r="E12">
        <f>SUMIFS(CA_Feed!F:F, CA_Feed!B:B, B12, CA_Feed!E:E, "*DIVIDEND*", CA_Feed!D:D, "&gt;="&amp;C12)</f>
        <v>19</v>
      </c>
      <c r="F12">
        <f t="shared" si="1"/>
        <v>1520</v>
      </c>
      <c r="G12">
        <f t="shared" si="2"/>
        <v>152</v>
      </c>
      <c r="H12">
        <f t="shared" si="3"/>
        <v>1368</v>
      </c>
      <c r="I12">
        <f>D12 * SUMIFS(CA_Feed!G:G, CA_Feed!B:B, B12, CA_Feed!E:E, "*BONUS*", CA_Feed!D:D, "&gt;="&amp;C12)</f>
        <v>0</v>
      </c>
      <c r="J12">
        <f t="shared" si="4"/>
        <v>0</v>
      </c>
      <c r="K12">
        <f t="shared" si="5"/>
        <v>0</v>
      </c>
      <c r="L12">
        <f>IF(K12&gt;0, K12 * VLOOKUP(B12, CA_Feed!B:N, 13, FALSE), 0)</f>
        <v>0</v>
      </c>
      <c r="M12">
        <f t="shared" si="0"/>
        <v>1368</v>
      </c>
      <c r="N12" s="2">
        <f t="shared" si="6"/>
        <v>0</v>
      </c>
      <c r="O12" t="str">
        <f>IF(COUNTIFS(CA_Feed!B:B, B12)=0, "No Action Announced", IF(COUNTIFS(CA_Feed!B:B, B12, CA_Feed!D:D, "&gt;="&amp;C12)&gt;0, "Processed (Eligible)", "Ineligible (Post Ex-Date)"))</f>
        <v>Processed (Eligible)</v>
      </c>
    </row>
    <row r="13" spans="1:15" x14ac:dyDescent="0.3">
      <c r="A13" t="s">
        <v>89</v>
      </c>
      <c r="B13" t="s">
        <v>37</v>
      </c>
      <c r="C13" s="5">
        <v>42135</v>
      </c>
      <c r="D13" s="2">
        <v>4950</v>
      </c>
      <c r="E13">
        <f>SUMIFS(CA_Feed!F:F, CA_Feed!B:B, B13, CA_Feed!E:E, "*DIVIDEND*", CA_Feed!D:D, "&gt;="&amp;C13)</f>
        <v>6.5</v>
      </c>
      <c r="F13">
        <f t="shared" si="1"/>
        <v>32175</v>
      </c>
      <c r="G13">
        <f t="shared" si="2"/>
        <v>3217.5</v>
      </c>
      <c r="H13">
        <f t="shared" si="3"/>
        <v>28957.5</v>
      </c>
      <c r="I13">
        <f>D13 * SUMIFS(CA_Feed!G:G, CA_Feed!B:B, B13, CA_Feed!E:E, "*BONUS*", CA_Feed!D:D, "&gt;="&amp;C13)</f>
        <v>0</v>
      </c>
      <c r="J13">
        <f t="shared" si="4"/>
        <v>0</v>
      </c>
      <c r="K13">
        <f t="shared" si="5"/>
        <v>0</v>
      </c>
      <c r="L13">
        <f>IF(K13&gt;0, K13 * VLOOKUP(B13, CA_Feed!B:N, 13, FALSE), 0)</f>
        <v>0</v>
      </c>
      <c r="M13">
        <f t="shared" si="0"/>
        <v>28957.5</v>
      </c>
      <c r="N13" s="2">
        <f t="shared" si="6"/>
        <v>0</v>
      </c>
      <c r="O13" t="str">
        <f>IF(COUNTIFS(CA_Feed!B:B, B13)=0, "No Action Announced", IF(COUNTIFS(CA_Feed!B:B, B13, CA_Feed!D:D, "&gt;="&amp;C13)&gt;0, "Processed (Eligible)", "Ineligible (Post Ex-Date)"))</f>
        <v>Processed (Eligible)</v>
      </c>
    </row>
    <row r="14" spans="1:15" x14ac:dyDescent="0.3">
      <c r="A14" t="s">
        <v>102</v>
      </c>
      <c r="B14" t="s">
        <v>12</v>
      </c>
      <c r="C14" s="5">
        <v>45218</v>
      </c>
      <c r="D14" s="2">
        <v>80</v>
      </c>
      <c r="E14">
        <f>SUMIFS(CA_Feed!F:F, CA_Feed!B:B, B14, CA_Feed!E:E, "*DIVIDEND*", CA_Feed!D:D, "&gt;="&amp;C14)</f>
        <v>19</v>
      </c>
      <c r="F14">
        <f t="shared" si="1"/>
        <v>1520</v>
      </c>
      <c r="G14">
        <f t="shared" si="2"/>
        <v>152</v>
      </c>
      <c r="H14">
        <f t="shared" si="3"/>
        <v>1368</v>
      </c>
      <c r="I14">
        <f>D14 * SUMIFS(CA_Feed!G:G, CA_Feed!B:B, B14, CA_Feed!E:E, "*BONUS*", CA_Feed!D:D, "&gt;="&amp;C14)</f>
        <v>0</v>
      </c>
      <c r="J14">
        <f t="shared" si="4"/>
        <v>0</v>
      </c>
      <c r="K14">
        <f t="shared" si="5"/>
        <v>0</v>
      </c>
      <c r="L14">
        <f>IF(K14&gt;0, K14 * VLOOKUP(B14, CA_Feed!B:N, 13, FALSE), 0)</f>
        <v>0</v>
      </c>
      <c r="M14">
        <f t="shared" si="0"/>
        <v>1368</v>
      </c>
      <c r="N14" s="2">
        <f t="shared" si="6"/>
        <v>0</v>
      </c>
      <c r="O14" t="str">
        <f>IF(COUNTIFS(CA_Feed!B:B, B14)=0, "No Action Announced", IF(COUNTIFS(CA_Feed!B:B, B14, CA_Feed!D:D, "&gt;="&amp;C14)&gt;0, "Processed (Eligible)", "Ineligible (Post Ex-Date)"))</f>
        <v>Processed (Eligible)</v>
      </c>
    </row>
    <row r="15" spans="1:15" x14ac:dyDescent="0.3">
      <c r="A15" t="s">
        <v>91</v>
      </c>
      <c r="B15" t="s">
        <v>43</v>
      </c>
      <c r="C15" s="5">
        <v>43955</v>
      </c>
      <c r="D15" s="2">
        <v>7900</v>
      </c>
      <c r="E15">
        <f>SUMIFS(CA_Feed!F:F, CA_Feed!B:B, B15, CA_Feed!E:E, "*DIVIDEND*", CA_Feed!D:D, "&gt;="&amp;C15)</f>
        <v>1.35</v>
      </c>
      <c r="F15">
        <f t="shared" si="1"/>
        <v>10665</v>
      </c>
      <c r="G15">
        <f t="shared" si="2"/>
        <v>1066.5</v>
      </c>
      <c r="H15">
        <f t="shared" si="3"/>
        <v>9598.5</v>
      </c>
      <c r="I15">
        <f>D15 * SUMIFS(CA_Feed!G:G, CA_Feed!B:B, B15, CA_Feed!E:E, "*BONUS*", CA_Feed!D:D, "&gt;="&amp;C15)</f>
        <v>0</v>
      </c>
      <c r="J15">
        <f t="shared" si="4"/>
        <v>0</v>
      </c>
      <c r="K15">
        <f t="shared" si="5"/>
        <v>0</v>
      </c>
      <c r="L15">
        <f>IF(K15&gt;0, K15 * VLOOKUP(B15, CA_Feed!B:N, 13, FALSE), 0)</f>
        <v>0</v>
      </c>
      <c r="M15">
        <f t="shared" si="0"/>
        <v>9598.5</v>
      </c>
      <c r="N15" s="2">
        <f t="shared" si="6"/>
        <v>0</v>
      </c>
      <c r="O15" t="str">
        <f>IF(COUNTIFS(CA_Feed!B:B, B15)=0, "No Action Announced", IF(COUNTIFS(CA_Feed!B:B, B15, CA_Feed!D:D, "&gt;="&amp;C15)&gt;0, "Processed (Eligible)", "Ineligible (Post Ex-Date)"))</f>
        <v>Processed (Eligible)</v>
      </c>
    </row>
    <row r="16" spans="1:15" x14ac:dyDescent="0.3">
      <c r="A16" t="s">
        <v>92</v>
      </c>
      <c r="B16" t="s">
        <v>35</v>
      </c>
      <c r="C16" s="5">
        <v>44105</v>
      </c>
      <c r="D16" s="2">
        <v>2200</v>
      </c>
      <c r="E16">
        <f>SUMIFS(CA_Feed!F:F, CA_Feed!B:B, B16, CA_Feed!E:E, "*DIVIDEND*", CA_Feed!D:D, "&gt;="&amp;C16)</f>
        <v>1</v>
      </c>
      <c r="F16">
        <f t="shared" si="1"/>
        <v>2200</v>
      </c>
      <c r="G16">
        <f t="shared" si="2"/>
        <v>220</v>
      </c>
      <c r="H16">
        <f t="shared" si="3"/>
        <v>1980</v>
      </c>
      <c r="I16">
        <f>D16 * SUMIFS(CA_Feed!G:G, CA_Feed!B:B, B16, CA_Feed!E:E, "*BONUS*", CA_Feed!D:D, "&gt;="&amp;C16)</f>
        <v>0</v>
      </c>
      <c r="J16">
        <f t="shared" si="4"/>
        <v>0</v>
      </c>
      <c r="K16">
        <f t="shared" si="5"/>
        <v>0</v>
      </c>
      <c r="L16">
        <f>IF(K16&gt;0, K16 * VLOOKUP(B16, CA_Feed!B:N, 13, FALSE), 0)</f>
        <v>0</v>
      </c>
      <c r="M16">
        <f t="shared" si="0"/>
        <v>1980</v>
      </c>
      <c r="N16" s="2">
        <f t="shared" si="6"/>
        <v>0</v>
      </c>
      <c r="O16" t="str">
        <f>IF(COUNTIFS(CA_Feed!B:B, B16)=0, "No Action Announced", IF(COUNTIFS(CA_Feed!B:B, B16, CA_Feed!D:D, "&gt;="&amp;C16)&gt;0, "Processed (Eligible)", "Ineligible (Post Ex-Date)"))</f>
        <v>Processed (Eligible)</v>
      </c>
    </row>
    <row r="17" spans="1:15" x14ac:dyDescent="0.3">
      <c r="A17" t="s">
        <v>93</v>
      </c>
      <c r="B17" t="s">
        <v>31</v>
      </c>
      <c r="C17" s="5">
        <v>44932</v>
      </c>
      <c r="D17" s="2">
        <v>6850</v>
      </c>
      <c r="E17">
        <f>SUMIFS(CA_Feed!F:F, CA_Feed!B:B, B17, CA_Feed!E:E, "*DIVIDEND*", CA_Feed!D:D, "&gt;="&amp;C17)</f>
        <v>3</v>
      </c>
      <c r="F17">
        <f t="shared" si="1"/>
        <v>20550</v>
      </c>
      <c r="G17">
        <f t="shared" si="2"/>
        <v>2055</v>
      </c>
      <c r="H17">
        <f t="shared" si="3"/>
        <v>18495</v>
      </c>
      <c r="I17">
        <f>D17 * SUMIFS(CA_Feed!G:G, CA_Feed!B:B, B17, CA_Feed!E:E, "*BONUS*", CA_Feed!D:D, "&gt;="&amp;C17)</f>
        <v>0</v>
      </c>
      <c r="J17">
        <f t="shared" si="4"/>
        <v>0</v>
      </c>
      <c r="K17">
        <f t="shared" si="5"/>
        <v>0</v>
      </c>
      <c r="L17">
        <f>IF(K17&gt;0, K17 * VLOOKUP(B17, CA_Feed!B:N, 13, FALSE), 0)</f>
        <v>0</v>
      </c>
      <c r="M17">
        <f t="shared" si="0"/>
        <v>18495</v>
      </c>
      <c r="N17" s="2">
        <f t="shared" si="6"/>
        <v>0</v>
      </c>
      <c r="O17" t="str">
        <f>IF(COUNTIFS(CA_Feed!B:B, B17)=0, "No Action Announced", IF(COUNTIFS(CA_Feed!B:B, B17, CA_Feed!D:D, "&gt;="&amp;C17)&gt;0, "Processed (Eligible)", "Ineligible (Post Ex-Date)"))</f>
        <v>Processed (Eligible)</v>
      </c>
    </row>
    <row r="18" spans="1:15" x14ac:dyDescent="0.3">
      <c r="A18" t="s">
        <v>94</v>
      </c>
      <c r="B18" t="s">
        <v>41</v>
      </c>
      <c r="C18" s="5">
        <v>43916</v>
      </c>
      <c r="D18" s="2">
        <v>1050</v>
      </c>
      <c r="E18">
        <f>SUMIFS(CA_Feed!F:F, CA_Feed!B:B, B18, CA_Feed!E:E, "*DIVIDEND*", CA_Feed!D:D, "&gt;="&amp;C18)</f>
        <v>0.2</v>
      </c>
      <c r="F18">
        <f t="shared" si="1"/>
        <v>210</v>
      </c>
      <c r="G18">
        <f t="shared" si="2"/>
        <v>21</v>
      </c>
      <c r="H18">
        <f t="shared" si="3"/>
        <v>189</v>
      </c>
      <c r="I18">
        <f>D18 * SUMIFS(CA_Feed!G:G, CA_Feed!B:B, B18, CA_Feed!E:E, "*BONUS*", CA_Feed!D:D, "&gt;="&amp;C18)</f>
        <v>0</v>
      </c>
      <c r="J18">
        <f t="shared" si="4"/>
        <v>0</v>
      </c>
      <c r="K18">
        <f t="shared" si="5"/>
        <v>0</v>
      </c>
      <c r="L18">
        <f>IF(K18&gt;0, K18 * VLOOKUP(B18, CA_Feed!B:N, 13, FALSE), 0)</f>
        <v>0</v>
      </c>
      <c r="M18">
        <f t="shared" si="0"/>
        <v>189</v>
      </c>
      <c r="N18" s="2">
        <f t="shared" si="6"/>
        <v>0</v>
      </c>
      <c r="O18" t="str">
        <f>IF(COUNTIFS(CA_Feed!B:B, B18)=0, "No Action Announced", IF(COUNTIFS(CA_Feed!B:B, B18, CA_Feed!D:D, "&gt;="&amp;C18)&gt;0, "Processed (Eligible)", "Ineligible (Post Ex-Date)"))</f>
        <v>Processed (Eligible)</v>
      </c>
    </row>
    <row r="19" spans="1:15" x14ac:dyDescent="0.3">
      <c r="A19" t="s">
        <v>95</v>
      </c>
      <c r="B19" t="s">
        <v>39</v>
      </c>
      <c r="C19" s="5">
        <v>45207</v>
      </c>
      <c r="D19" s="2">
        <v>6800</v>
      </c>
      <c r="E19">
        <f>SUMIFS(CA_Feed!F:F, CA_Feed!B:B, B19, CA_Feed!E:E, "*DIVIDEND*", CA_Feed!D:D, "&gt;="&amp;C19)</f>
        <v>1.2</v>
      </c>
      <c r="F19">
        <f t="shared" si="1"/>
        <v>8160</v>
      </c>
      <c r="G19">
        <f t="shared" si="2"/>
        <v>816</v>
      </c>
      <c r="H19">
        <f t="shared" si="3"/>
        <v>7344</v>
      </c>
      <c r="I19">
        <f>D19 * SUMIFS(CA_Feed!G:G, CA_Feed!B:B, B19, CA_Feed!E:E, "*BONUS*", CA_Feed!D:D, "&gt;="&amp;C19)</f>
        <v>0</v>
      </c>
      <c r="J19">
        <f t="shared" si="4"/>
        <v>0</v>
      </c>
      <c r="K19">
        <f t="shared" si="5"/>
        <v>0</v>
      </c>
      <c r="L19">
        <f>IF(K19&gt;0, K19 * VLOOKUP(B19, CA_Feed!B:N, 13, FALSE), 0)</f>
        <v>0</v>
      </c>
      <c r="M19">
        <f t="shared" si="0"/>
        <v>7344</v>
      </c>
      <c r="N19" s="2">
        <f t="shared" si="6"/>
        <v>0</v>
      </c>
      <c r="O19" t="str">
        <f>IF(COUNTIFS(CA_Feed!B:B, B19)=0, "No Action Announced", IF(COUNTIFS(CA_Feed!B:B, B19, CA_Feed!D:D, "&gt;="&amp;C19)&gt;0, "Processed (Eligible)", "Ineligible (Post Ex-Date)"))</f>
        <v>Processed (Eligible)</v>
      </c>
    </row>
    <row r="20" spans="1:15" x14ac:dyDescent="0.3">
      <c r="A20" t="s">
        <v>96</v>
      </c>
      <c r="B20" t="s">
        <v>39</v>
      </c>
      <c r="C20" s="5">
        <v>42117</v>
      </c>
      <c r="D20" s="2">
        <v>3050</v>
      </c>
      <c r="E20">
        <f>SUMIFS(CA_Feed!F:F, CA_Feed!B:B, B20, CA_Feed!E:E, "*DIVIDEND*", CA_Feed!D:D, "&gt;="&amp;C20)</f>
        <v>1.2</v>
      </c>
      <c r="F20">
        <f t="shared" si="1"/>
        <v>3660</v>
      </c>
      <c r="G20">
        <f t="shared" si="2"/>
        <v>366</v>
      </c>
      <c r="H20">
        <f t="shared" si="3"/>
        <v>3294</v>
      </c>
      <c r="I20">
        <f>D20 * SUMIFS(CA_Feed!G:G, CA_Feed!B:B, B20, CA_Feed!E:E, "*BONUS*", CA_Feed!D:D, "&gt;="&amp;C20)</f>
        <v>0</v>
      </c>
      <c r="J20">
        <f t="shared" si="4"/>
        <v>0</v>
      </c>
      <c r="K20">
        <f t="shared" si="5"/>
        <v>0</v>
      </c>
      <c r="L20">
        <f>IF(K20&gt;0, K20 * VLOOKUP(B20, CA_Feed!B:N, 13, FALSE), 0)</f>
        <v>0</v>
      </c>
      <c r="M20">
        <f t="shared" si="0"/>
        <v>3294</v>
      </c>
      <c r="N20" s="2">
        <f t="shared" si="6"/>
        <v>0</v>
      </c>
      <c r="O20" t="str">
        <f>IF(COUNTIFS(CA_Feed!B:B, B20)=0, "No Action Announced", IF(COUNTIFS(CA_Feed!B:B, B20, CA_Feed!D:D, "&gt;="&amp;C20)&gt;0, "Processed (Eligible)", "Ineligible (Post Ex-Date)"))</f>
        <v>Processed (Eligible)</v>
      </c>
    </row>
    <row r="21" spans="1:15" x14ac:dyDescent="0.3">
      <c r="A21" t="s">
        <v>97</v>
      </c>
      <c r="B21" t="s">
        <v>16</v>
      </c>
      <c r="C21" s="5">
        <v>42857</v>
      </c>
      <c r="D21" s="2">
        <v>4900</v>
      </c>
      <c r="E21">
        <f>SUMIFS(CA_Feed!F:F, CA_Feed!B:B, B21, CA_Feed!E:E, "*DIVIDEND*", CA_Feed!D:D, "&gt;="&amp;C21)</f>
        <v>3.75</v>
      </c>
      <c r="F21">
        <f t="shared" si="1"/>
        <v>18375</v>
      </c>
      <c r="G21">
        <f t="shared" si="2"/>
        <v>1837.5</v>
      </c>
      <c r="H21">
        <f t="shared" si="3"/>
        <v>16537.5</v>
      </c>
      <c r="I21">
        <f>D21 * SUMIFS(CA_Feed!G:G, CA_Feed!B:B, B21, CA_Feed!E:E, "*BONUS*", CA_Feed!D:D, "&gt;="&amp;C21)</f>
        <v>0</v>
      </c>
      <c r="J21">
        <f t="shared" si="4"/>
        <v>0</v>
      </c>
      <c r="K21">
        <f t="shared" si="5"/>
        <v>0</v>
      </c>
      <c r="L21">
        <f>IF(K21&gt;0, K21 * VLOOKUP(B21, CA_Feed!B:N, 13, FALSE), 0)</f>
        <v>0</v>
      </c>
      <c r="M21">
        <f t="shared" si="0"/>
        <v>16537.5</v>
      </c>
      <c r="N21" s="2">
        <f t="shared" si="6"/>
        <v>0</v>
      </c>
      <c r="O21" t="str">
        <f>IF(COUNTIFS(CA_Feed!B:B, B21)=0, "No Action Announced", IF(COUNTIFS(CA_Feed!B:B, B21, CA_Feed!D:D, "&gt;="&amp;C21)&gt;0, "Processed (Eligible)", "Ineligible (Post Ex-Date)"))</f>
        <v>Processed (Eligible)</v>
      </c>
    </row>
    <row r="22" spans="1:15" x14ac:dyDescent="0.3">
      <c r="A22" t="s">
        <v>98</v>
      </c>
      <c r="B22" t="s">
        <v>19</v>
      </c>
      <c r="C22" s="5">
        <v>44130</v>
      </c>
      <c r="D22" s="2">
        <v>3400</v>
      </c>
      <c r="E22">
        <f>SUMIFS(CA_Feed!F:F, CA_Feed!B:B, B22, CA_Feed!E:E, "*DIVIDEND*", CA_Feed!D:D, "&gt;="&amp;C22)</f>
        <v>1.5</v>
      </c>
      <c r="F22">
        <f t="shared" si="1"/>
        <v>5100</v>
      </c>
      <c r="G22">
        <f t="shared" si="2"/>
        <v>510</v>
      </c>
      <c r="H22">
        <f t="shared" si="3"/>
        <v>4590</v>
      </c>
      <c r="I22">
        <f>D22 * SUMIFS(CA_Feed!G:G, CA_Feed!B:B, B22, CA_Feed!E:E, "*BONUS*", CA_Feed!D:D, "&gt;="&amp;C22)</f>
        <v>0</v>
      </c>
      <c r="J22">
        <f t="shared" si="4"/>
        <v>0</v>
      </c>
      <c r="K22">
        <f t="shared" si="5"/>
        <v>0</v>
      </c>
      <c r="L22">
        <f>IF(K22&gt;0, K22 * VLOOKUP(B22, CA_Feed!B:N, 13, FALSE), 0)</f>
        <v>0</v>
      </c>
      <c r="M22">
        <f t="shared" si="0"/>
        <v>4590</v>
      </c>
      <c r="N22" s="2">
        <f t="shared" si="6"/>
        <v>0</v>
      </c>
      <c r="O22" t="str">
        <f>IF(COUNTIFS(CA_Feed!B:B, B22)=0, "No Action Announced", IF(COUNTIFS(CA_Feed!B:B, B22, CA_Feed!D:D, "&gt;="&amp;C22)&gt;0, "Processed (Eligible)", "Ineligible (Post Ex-Date)"))</f>
        <v>Processed (Eligible)</v>
      </c>
    </row>
    <row r="23" spans="1:15" x14ac:dyDescent="0.3">
      <c r="A23" t="s">
        <v>99</v>
      </c>
      <c r="B23" t="s">
        <v>35</v>
      </c>
      <c r="C23" s="5">
        <v>44343</v>
      </c>
      <c r="D23" s="2">
        <v>1200</v>
      </c>
      <c r="E23">
        <f>SUMIFS(CA_Feed!F:F, CA_Feed!B:B, B23, CA_Feed!E:E, "*DIVIDEND*", CA_Feed!D:D, "&gt;="&amp;C23)</f>
        <v>1</v>
      </c>
      <c r="F23">
        <f t="shared" si="1"/>
        <v>1200</v>
      </c>
      <c r="G23">
        <f t="shared" si="2"/>
        <v>120</v>
      </c>
      <c r="H23">
        <f t="shared" si="3"/>
        <v>1080</v>
      </c>
      <c r="I23">
        <f>D23 * SUMIFS(CA_Feed!G:G, CA_Feed!B:B, B23, CA_Feed!E:E, "*BONUS*", CA_Feed!D:D, "&gt;="&amp;C23)</f>
        <v>0</v>
      </c>
      <c r="J23">
        <f t="shared" si="4"/>
        <v>0</v>
      </c>
      <c r="K23">
        <f t="shared" si="5"/>
        <v>0</v>
      </c>
      <c r="L23">
        <f>IF(K23&gt;0, K23 * VLOOKUP(B23, CA_Feed!B:N, 13, FALSE), 0)</f>
        <v>0</v>
      </c>
      <c r="M23">
        <f t="shared" si="0"/>
        <v>1080</v>
      </c>
      <c r="N23" s="2">
        <f t="shared" si="6"/>
        <v>0</v>
      </c>
      <c r="O23" t="str">
        <f>IF(COUNTIFS(CA_Feed!B:B, B23)=0, "No Action Announced", IF(COUNTIFS(CA_Feed!B:B, B23, CA_Feed!D:D, "&gt;="&amp;C23)&gt;0, "Processed (Eligible)", "Ineligible (Post Ex-Date)"))</f>
        <v>Processed (Eligible)</v>
      </c>
    </row>
    <row r="24" spans="1:15" x14ac:dyDescent="0.3">
      <c r="A24" t="s">
        <v>100</v>
      </c>
      <c r="B24" t="s">
        <v>25</v>
      </c>
      <c r="C24" s="5">
        <v>43145</v>
      </c>
      <c r="D24" s="2">
        <v>2250</v>
      </c>
      <c r="E24">
        <f>SUMIFS(CA_Feed!F:F, CA_Feed!B:B, B24, CA_Feed!E:E, "*DIVIDEND*", CA_Feed!D:D, "&gt;="&amp;C24)</f>
        <v>2.5</v>
      </c>
      <c r="F24">
        <f t="shared" si="1"/>
        <v>5625</v>
      </c>
      <c r="G24">
        <f t="shared" si="2"/>
        <v>562.5</v>
      </c>
      <c r="H24">
        <f t="shared" si="3"/>
        <v>5062.5</v>
      </c>
      <c r="I24">
        <f>D24 * SUMIFS(CA_Feed!G:G, CA_Feed!B:B, B24, CA_Feed!E:E, "*BONUS*", CA_Feed!D:D, "&gt;="&amp;C24)</f>
        <v>0</v>
      </c>
      <c r="J24">
        <f t="shared" si="4"/>
        <v>0</v>
      </c>
      <c r="K24">
        <f t="shared" si="5"/>
        <v>0</v>
      </c>
      <c r="L24">
        <f>IF(K24&gt;0, K24 * VLOOKUP(B24, CA_Feed!B:N, 13, FALSE), 0)</f>
        <v>0</v>
      </c>
      <c r="M24">
        <f t="shared" si="0"/>
        <v>5062.5</v>
      </c>
      <c r="N24" s="2">
        <f t="shared" si="6"/>
        <v>0</v>
      </c>
      <c r="O24" t="str">
        <f>IF(COUNTIFS(CA_Feed!B:B, B24)=0, "No Action Announced", IF(COUNTIFS(CA_Feed!B:B, B24, CA_Feed!D:D, "&gt;="&amp;C24)&gt;0, "Processed (Eligible)", "Ineligible (Post Ex-Date)"))</f>
        <v>Processed (Eligible)</v>
      </c>
    </row>
    <row r="25" spans="1:15" x14ac:dyDescent="0.3">
      <c r="A25" t="s">
        <v>101</v>
      </c>
      <c r="B25" t="s">
        <v>25</v>
      </c>
      <c r="C25" s="5">
        <v>42140</v>
      </c>
      <c r="D25" s="2">
        <v>9300</v>
      </c>
      <c r="E25">
        <f>SUMIFS(CA_Feed!F:F, CA_Feed!B:B, B25, CA_Feed!E:E, "*DIVIDEND*", CA_Feed!D:D, "&gt;="&amp;C25)</f>
        <v>2.5</v>
      </c>
      <c r="F25">
        <f t="shared" si="1"/>
        <v>23250</v>
      </c>
      <c r="G25">
        <f t="shared" si="2"/>
        <v>2325</v>
      </c>
      <c r="H25">
        <f t="shared" si="3"/>
        <v>20925</v>
      </c>
      <c r="I25">
        <f>D25 * SUMIFS(CA_Feed!G:G, CA_Feed!B:B, B25, CA_Feed!E:E, "*BONUS*", CA_Feed!D:D, "&gt;="&amp;C25)</f>
        <v>0</v>
      </c>
      <c r="J25">
        <f t="shared" si="4"/>
        <v>0</v>
      </c>
      <c r="K25">
        <f t="shared" si="5"/>
        <v>0</v>
      </c>
      <c r="L25">
        <f>IF(K25&gt;0, K25 * VLOOKUP(B25, CA_Feed!B:N, 13, FALSE), 0)</f>
        <v>0</v>
      </c>
      <c r="M25">
        <f t="shared" si="0"/>
        <v>20925</v>
      </c>
      <c r="N25" s="2">
        <f t="shared" si="6"/>
        <v>0</v>
      </c>
      <c r="O25" t="str">
        <f>IF(COUNTIFS(CA_Feed!B:B, B25)=0, "No Action Announced", IF(COUNTIFS(CA_Feed!B:B, B25, CA_Feed!D:D, "&gt;="&amp;C25)&gt;0, "Processed (Eligible)", "Ineligible (Post Ex-Date)"))</f>
        <v>Processed (Eligible)</v>
      </c>
    </row>
    <row r="26" spans="1:15" x14ac:dyDescent="0.3">
      <c r="A26" t="s">
        <v>329</v>
      </c>
      <c r="B26" t="s">
        <v>12</v>
      </c>
      <c r="C26" s="5">
        <v>45140</v>
      </c>
      <c r="D26" s="2">
        <v>80</v>
      </c>
      <c r="E26">
        <f>SUMIFS(CA_Feed!F:F, CA_Feed!B:B, B26, CA_Feed!E:E, "*DIVIDEND*", CA_Feed!D:D, "&gt;="&amp;C26)</f>
        <v>19</v>
      </c>
      <c r="F26">
        <f t="shared" si="1"/>
        <v>1520</v>
      </c>
      <c r="G26">
        <f t="shared" si="2"/>
        <v>152</v>
      </c>
      <c r="H26">
        <f t="shared" si="3"/>
        <v>1368</v>
      </c>
      <c r="I26">
        <f>D26 * SUMIFS(CA_Feed!G:G, CA_Feed!B:B, B26, CA_Feed!E:E, "*BONUS*", CA_Feed!D:D, "&gt;="&amp;C26)</f>
        <v>0</v>
      </c>
      <c r="J26">
        <f t="shared" si="4"/>
        <v>0</v>
      </c>
      <c r="K26">
        <f t="shared" si="5"/>
        <v>0</v>
      </c>
      <c r="L26">
        <f>IF(K26&gt;0, K26 * VLOOKUP(B26, CA_Feed!B:N, 13, FALSE), 0)</f>
        <v>0</v>
      </c>
      <c r="M26">
        <f t="shared" si="0"/>
        <v>1368</v>
      </c>
      <c r="N26" s="2">
        <f t="shared" si="6"/>
        <v>0</v>
      </c>
      <c r="O26" t="str">
        <f>IF(COUNTIFS(CA_Feed!B:B, B26)=0, "No Action Announced", IF(COUNTIFS(CA_Feed!B:B, B26, CA_Feed!D:D, "&gt;="&amp;C26)&gt;0, "Processed (Eligible)", "Ineligible (Post Ex-Date)"))</f>
        <v>Processed (Eligible)</v>
      </c>
    </row>
    <row r="27" spans="1:15" x14ac:dyDescent="0.3">
      <c r="A27" t="s">
        <v>103</v>
      </c>
      <c r="B27" t="s">
        <v>16</v>
      </c>
      <c r="C27" s="5">
        <v>43605</v>
      </c>
      <c r="D27" s="2">
        <v>1850</v>
      </c>
      <c r="E27">
        <f>SUMIFS(CA_Feed!F:F, CA_Feed!B:B, B27, CA_Feed!E:E, "*DIVIDEND*", CA_Feed!D:D, "&gt;="&amp;C27)</f>
        <v>3.75</v>
      </c>
      <c r="F27">
        <f t="shared" si="1"/>
        <v>6937.5</v>
      </c>
      <c r="G27">
        <f t="shared" si="2"/>
        <v>693.75</v>
      </c>
      <c r="H27">
        <f t="shared" si="3"/>
        <v>6243.75</v>
      </c>
      <c r="I27">
        <f>D27 * SUMIFS(CA_Feed!G:G, CA_Feed!B:B, B27, CA_Feed!E:E, "*BONUS*", CA_Feed!D:D, "&gt;="&amp;C27)</f>
        <v>0</v>
      </c>
      <c r="J27">
        <f t="shared" si="4"/>
        <v>0</v>
      </c>
      <c r="K27">
        <f t="shared" si="5"/>
        <v>0</v>
      </c>
      <c r="L27">
        <f>IF(K27&gt;0, K27 * VLOOKUP(B27, CA_Feed!B:N, 13, FALSE), 0)</f>
        <v>0</v>
      </c>
      <c r="M27">
        <f t="shared" si="0"/>
        <v>6243.75</v>
      </c>
      <c r="N27" s="2">
        <f t="shared" si="6"/>
        <v>0</v>
      </c>
      <c r="O27" t="str">
        <f>IF(COUNTIFS(CA_Feed!B:B, B27)=0, "No Action Announced", IF(COUNTIFS(CA_Feed!B:B, B27, CA_Feed!D:D, "&gt;="&amp;C27)&gt;0, "Processed (Eligible)", "Ineligible (Post Ex-Date)"))</f>
        <v>Processed (Eligible)</v>
      </c>
    </row>
    <row r="28" spans="1:15" x14ac:dyDescent="0.3">
      <c r="A28" t="s">
        <v>104</v>
      </c>
      <c r="B28" t="s">
        <v>25</v>
      </c>
      <c r="C28" s="5">
        <v>45119</v>
      </c>
      <c r="D28" s="2">
        <v>5150</v>
      </c>
      <c r="E28">
        <f>SUMIFS(CA_Feed!F:F, CA_Feed!B:B, B28, CA_Feed!E:E, "*DIVIDEND*", CA_Feed!D:D, "&gt;="&amp;C28)</f>
        <v>2.5</v>
      </c>
      <c r="F28">
        <f t="shared" si="1"/>
        <v>12875</v>
      </c>
      <c r="G28">
        <f t="shared" si="2"/>
        <v>1287.5</v>
      </c>
      <c r="H28">
        <f t="shared" si="3"/>
        <v>11587.5</v>
      </c>
      <c r="I28">
        <f>D28 * SUMIFS(CA_Feed!G:G, CA_Feed!B:B, B28, CA_Feed!E:E, "*BONUS*", CA_Feed!D:D, "&gt;="&amp;C28)</f>
        <v>0</v>
      </c>
      <c r="J28">
        <f t="shared" si="4"/>
        <v>0</v>
      </c>
      <c r="K28">
        <f t="shared" si="5"/>
        <v>0</v>
      </c>
      <c r="L28">
        <f>IF(K28&gt;0, K28 * VLOOKUP(B28, CA_Feed!B:N, 13, FALSE), 0)</f>
        <v>0</v>
      </c>
      <c r="M28">
        <f t="shared" si="0"/>
        <v>11587.5</v>
      </c>
      <c r="N28" s="2">
        <f t="shared" si="6"/>
        <v>0</v>
      </c>
      <c r="O28" t="str">
        <f>IF(COUNTIFS(CA_Feed!B:B, B28)=0, "No Action Announced", IF(COUNTIFS(CA_Feed!B:B, B28, CA_Feed!D:D, "&gt;="&amp;C28)&gt;0, "Processed (Eligible)", "Ineligible (Post Ex-Date)"))</f>
        <v>Processed (Eligible)</v>
      </c>
    </row>
    <row r="29" spans="1:15" x14ac:dyDescent="0.3">
      <c r="A29" t="s">
        <v>105</v>
      </c>
      <c r="B29" t="s">
        <v>25</v>
      </c>
      <c r="C29" s="5">
        <v>43733</v>
      </c>
      <c r="D29" s="2">
        <v>3800</v>
      </c>
      <c r="E29">
        <f>SUMIFS(CA_Feed!F:F, CA_Feed!B:B, B29, CA_Feed!E:E, "*DIVIDEND*", CA_Feed!D:D, "&gt;="&amp;C29)</f>
        <v>2.5</v>
      </c>
      <c r="F29">
        <f t="shared" si="1"/>
        <v>9500</v>
      </c>
      <c r="G29">
        <f t="shared" si="2"/>
        <v>950</v>
      </c>
      <c r="H29">
        <f t="shared" si="3"/>
        <v>8550</v>
      </c>
      <c r="I29">
        <f>D29 * SUMIFS(CA_Feed!G:G, CA_Feed!B:B, B29, CA_Feed!E:E, "*BONUS*", CA_Feed!D:D, "&gt;="&amp;C29)</f>
        <v>0</v>
      </c>
      <c r="J29">
        <f t="shared" si="4"/>
        <v>0</v>
      </c>
      <c r="K29">
        <f t="shared" si="5"/>
        <v>0</v>
      </c>
      <c r="L29">
        <f>IF(K29&gt;0, K29 * VLOOKUP(B29, CA_Feed!B:N, 13, FALSE), 0)</f>
        <v>0</v>
      </c>
      <c r="M29">
        <f t="shared" si="0"/>
        <v>8550</v>
      </c>
      <c r="N29" s="2">
        <f t="shared" si="6"/>
        <v>0</v>
      </c>
      <c r="O29" t="str">
        <f>IF(COUNTIFS(CA_Feed!B:B, B29)=0, "No Action Announced", IF(COUNTIFS(CA_Feed!B:B, B29, CA_Feed!D:D, "&gt;="&amp;C29)&gt;0, "Processed (Eligible)", "Ineligible (Post Ex-Date)"))</f>
        <v>Processed (Eligible)</v>
      </c>
    </row>
    <row r="30" spans="1:15" x14ac:dyDescent="0.3">
      <c r="A30" t="s">
        <v>210</v>
      </c>
      <c r="B30" t="s">
        <v>12</v>
      </c>
      <c r="C30" s="5">
        <v>44979</v>
      </c>
      <c r="D30" s="2">
        <v>80</v>
      </c>
      <c r="E30">
        <f>SUMIFS(CA_Feed!F:F, CA_Feed!B:B, B30, CA_Feed!E:E, "*DIVIDEND*", CA_Feed!D:D, "&gt;="&amp;C30)</f>
        <v>19</v>
      </c>
      <c r="F30">
        <f t="shared" si="1"/>
        <v>1520</v>
      </c>
      <c r="G30">
        <f t="shared" si="2"/>
        <v>152</v>
      </c>
      <c r="H30">
        <f t="shared" si="3"/>
        <v>1368</v>
      </c>
      <c r="I30">
        <f>D30 * SUMIFS(CA_Feed!G:G, CA_Feed!B:B, B30, CA_Feed!E:E, "*BONUS*", CA_Feed!D:D, "&gt;="&amp;C30)</f>
        <v>0</v>
      </c>
      <c r="J30">
        <f t="shared" si="4"/>
        <v>0</v>
      </c>
      <c r="K30">
        <f t="shared" si="5"/>
        <v>0</v>
      </c>
      <c r="L30">
        <f>IF(K30&gt;0, K30 * VLOOKUP(B30, CA_Feed!B:N, 13, FALSE), 0)</f>
        <v>0</v>
      </c>
      <c r="M30">
        <f t="shared" si="0"/>
        <v>1368</v>
      </c>
      <c r="N30" s="2">
        <f t="shared" si="6"/>
        <v>0</v>
      </c>
      <c r="O30" t="str">
        <f>IF(COUNTIFS(CA_Feed!B:B, B30)=0, "No Action Announced", IF(COUNTIFS(CA_Feed!B:B, B30, CA_Feed!D:D, "&gt;="&amp;C30)&gt;0, "Processed (Eligible)", "Ineligible (Post Ex-Date)"))</f>
        <v>Processed (Eligible)</v>
      </c>
    </row>
    <row r="31" spans="1:15" x14ac:dyDescent="0.3">
      <c r="A31" t="s">
        <v>107</v>
      </c>
      <c r="B31" t="s">
        <v>35</v>
      </c>
      <c r="C31" s="5">
        <v>43544</v>
      </c>
      <c r="D31" s="2">
        <v>7550</v>
      </c>
      <c r="E31">
        <f>SUMIFS(CA_Feed!F:F, CA_Feed!B:B, B31, CA_Feed!E:E, "*DIVIDEND*", CA_Feed!D:D, "&gt;="&amp;C31)</f>
        <v>1</v>
      </c>
      <c r="F31">
        <f t="shared" si="1"/>
        <v>7550</v>
      </c>
      <c r="G31">
        <f t="shared" si="2"/>
        <v>755</v>
      </c>
      <c r="H31">
        <f t="shared" si="3"/>
        <v>6795</v>
      </c>
      <c r="I31">
        <f>D31 * SUMIFS(CA_Feed!G:G, CA_Feed!B:B, B31, CA_Feed!E:E, "*BONUS*", CA_Feed!D:D, "&gt;="&amp;C31)</f>
        <v>0</v>
      </c>
      <c r="J31">
        <f t="shared" si="4"/>
        <v>0</v>
      </c>
      <c r="K31">
        <f t="shared" si="5"/>
        <v>0</v>
      </c>
      <c r="L31">
        <f>IF(K31&gt;0, K31 * VLOOKUP(B31, CA_Feed!B:N, 13, FALSE), 0)</f>
        <v>0</v>
      </c>
      <c r="M31">
        <f t="shared" si="0"/>
        <v>6795</v>
      </c>
      <c r="N31" s="2">
        <f t="shared" si="6"/>
        <v>0</v>
      </c>
      <c r="O31" t="str">
        <f>IF(COUNTIFS(CA_Feed!B:B, B31)=0, "No Action Announced", IF(COUNTIFS(CA_Feed!B:B, B31, CA_Feed!D:D, "&gt;="&amp;C31)&gt;0, "Processed (Eligible)", "Ineligible (Post Ex-Date)"))</f>
        <v>Processed (Eligible)</v>
      </c>
    </row>
    <row r="32" spans="1:15" x14ac:dyDescent="0.3">
      <c r="A32" t="s">
        <v>108</v>
      </c>
      <c r="B32" t="s">
        <v>47</v>
      </c>
      <c r="C32" s="5">
        <v>42649</v>
      </c>
      <c r="D32" s="2">
        <v>9650</v>
      </c>
      <c r="E32">
        <f>SUMIFS(CA_Feed!F:F, CA_Feed!B:B, B32, CA_Feed!E:E, "*DIVIDEND*", CA_Feed!D:D, "&gt;="&amp;C32)</f>
        <v>0.1</v>
      </c>
      <c r="F32">
        <f t="shared" si="1"/>
        <v>965</v>
      </c>
      <c r="G32">
        <f t="shared" si="2"/>
        <v>96.5</v>
      </c>
      <c r="H32">
        <f t="shared" si="3"/>
        <v>868.5</v>
      </c>
      <c r="I32">
        <f>D32 * SUMIFS(CA_Feed!G:G, CA_Feed!B:B, B32, CA_Feed!E:E, "*BONUS*", CA_Feed!D:D, "&gt;="&amp;C32)</f>
        <v>0</v>
      </c>
      <c r="J32">
        <f t="shared" si="4"/>
        <v>0</v>
      </c>
      <c r="K32">
        <f t="shared" si="5"/>
        <v>0</v>
      </c>
      <c r="L32">
        <f>IF(K32&gt;0, K32 * VLOOKUP(B32, CA_Feed!B:N, 13, FALSE), 0)</f>
        <v>0</v>
      </c>
      <c r="M32">
        <f t="shared" si="0"/>
        <v>868.5</v>
      </c>
      <c r="N32" s="2">
        <f t="shared" si="6"/>
        <v>0</v>
      </c>
      <c r="O32" t="str">
        <f>IF(COUNTIFS(CA_Feed!B:B, B32)=0, "No Action Announced", IF(COUNTIFS(CA_Feed!B:B, B32, CA_Feed!D:D, "&gt;="&amp;C32)&gt;0, "Processed (Eligible)", "Ineligible (Post Ex-Date)"))</f>
        <v>Processed (Eligible)</v>
      </c>
    </row>
    <row r="33" spans="1:15" x14ac:dyDescent="0.3">
      <c r="A33" t="s">
        <v>109</v>
      </c>
      <c r="B33" t="s">
        <v>25</v>
      </c>
      <c r="C33" s="5">
        <v>44846</v>
      </c>
      <c r="D33" s="2">
        <v>9100</v>
      </c>
      <c r="E33">
        <f>SUMIFS(CA_Feed!F:F, CA_Feed!B:B, B33, CA_Feed!E:E, "*DIVIDEND*", CA_Feed!D:D, "&gt;="&amp;C33)</f>
        <v>2.5</v>
      </c>
      <c r="F33">
        <f t="shared" si="1"/>
        <v>22750</v>
      </c>
      <c r="G33">
        <f t="shared" si="2"/>
        <v>2275</v>
      </c>
      <c r="H33">
        <f t="shared" si="3"/>
        <v>20475</v>
      </c>
      <c r="I33">
        <f>D33 * SUMIFS(CA_Feed!G:G, CA_Feed!B:B, B33, CA_Feed!E:E, "*BONUS*", CA_Feed!D:D, "&gt;="&amp;C33)</f>
        <v>0</v>
      </c>
      <c r="J33">
        <f t="shared" si="4"/>
        <v>0</v>
      </c>
      <c r="K33">
        <f t="shared" si="5"/>
        <v>0</v>
      </c>
      <c r="L33">
        <f>IF(K33&gt;0, K33 * VLOOKUP(B33, CA_Feed!B:N, 13, FALSE), 0)</f>
        <v>0</v>
      </c>
      <c r="M33">
        <f t="shared" si="0"/>
        <v>20475</v>
      </c>
      <c r="N33" s="2">
        <f t="shared" si="6"/>
        <v>0</v>
      </c>
      <c r="O33" t="str">
        <f>IF(COUNTIFS(CA_Feed!B:B, B33)=0, "No Action Announced", IF(COUNTIFS(CA_Feed!B:B, B33, CA_Feed!D:D, "&gt;="&amp;C33)&gt;0, "Processed (Eligible)", "Ineligible (Post Ex-Date)"))</f>
        <v>Processed (Eligible)</v>
      </c>
    </row>
    <row r="34" spans="1:15" x14ac:dyDescent="0.3">
      <c r="A34" t="s">
        <v>110</v>
      </c>
      <c r="B34" t="s">
        <v>39</v>
      </c>
      <c r="C34" s="5">
        <v>44440</v>
      </c>
      <c r="D34" s="2">
        <v>4400</v>
      </c>
      <c r="E34">
        <f>SUMIFS(CA_Feed!F:F, CA_Feed!B:B, B34, CA_Feed!E:E, "*DIVIDEND*", CA_Feed!D:D, "&gt;="&amp;C34)</f>
        <v>1.2</v>
      </c>
      <c r="F34">
        <f t="shared" si="1"/>
        <v>5280</v>
      </c>
      <c r="G34">
        <f t="shared" si="2"/>
        <v>528</v>
      </c>
      <c r="H34">
        <f t="shared" si="3"/>
        <v>4752</v>
      </c>
      <c r="I34">
        <f>D34 * SUMIFS(CA_Feed!G:G, CA_Feed!B:B, B34, CA_Feed!E:E, "*BONUS*", CA_Feed!D:D, "&gt;="&amp;C34)</f>
        <v>0</v>
      </c>
      <c r="J34">
        <f t="shared" si="4"/>
        <v>0</v>
      </c>
      <c r="K34">
        <f t="shared" si="5"/>
        <v>0</v>
      </c>
      <c r="L34">
        <f>IF(K34&gt;0, K34 * VLOOKUP(B34, CA_Feed!B:N, 13, FALSE), 0)</f>
        <v>0</v>
      </c>
      <c r="M34">
        <f t="shared" si="0"/>
        <v>4752</v>
      </c>
      <c r="N34" s="2">
        <f t="shared" si="6"/>
        <v>0</v>
      </c>
      <c r="O34" t="str">
        <f>IF(COUNTIFS(CA_Feed!B:B, B34)=0, "No Action Announced", IF(COUNTIFS(CA_Feed!B:B, B34, CA_Feed!D:D, "&gt;="&amp;C34)&gt;0, "Processed (Eligible)", "Ineligible (Post Ex-Date)"))</f>
        <v>Processed (Eligible)</v>
      </c>
    </row>
    <row r="35" spans="1:15" x14ac:dyDescent="0.3">
      <c r="A35" t="s">
        <v>111</v>
      </c>
      <c r="B35" t="s">
        <v>39</v>
      </c>
      <c r="C35" s="5">
        <v>45585</v>
      </c>
      <c r="D35" s="2">
        <v>4250</v>
      </c>
      <c r="E35">
        <f>SUMIFS(CA_Feed!F:F, CA_Feed!B:B, B35, CA_Feed!E:E, "*DIVIDEND*", CA_Feed!D:D, "&gt;="&amp;C35)</f>
        <v>0.6</v>
      </c>
      <c r="F35">
        <f t="shared" si="1"/>
        <v>2550</v>
      </c>
      <c r="G35">
        <f t="shared" si="2"/>
        <v>255</v>
      </c>
      <c r="H35">
        <f t="shared" si="3"/>
        <v>2295</v>
      </c>
      <c r="I35">
        <f>D35 * SUMIFS(CA_Feed!G:G, CA_Feed!B:B, B35, CA_Feed!E:E, "*BONUS*", CA_Feed!D:D, "&gt;="&amp;C35)</f>
        <v>0</v>
      </c>
      <c r="J35">
        <f t="shared" si="4"/>
        <v>0</v>
      </c>
      <c r="K35">
        <f t="shared" si="5"/>
        <v>0</v>
      </c>
      <c r="L35">
        <f>IF(K35&gt;0, K35 * VLOOKUP(B35, CA_Feed!B:N, 13, FALSE), 0)</f>
        <v>0</v>
      </c>
      <c r="M35">
        <f t="shared" si="0"/>
        <v>2295</v>
      </c>
      <c r="N35" s="2">
        <f t="shared" si="6"/>
        <v>0</v>
      </c>
      <c r="O35" t="str">
        <f>IF(COUNTIFS(CA_Feed!B:B, B35)=0, "No Action Announced", IF(COUNTIFS(CA_Feed!B:B, B35, CA_Feed!D:D, "&gt;="&amp;C35)&gt;0, "Processed (Eligible)", "Ineligible (Post Ex-Date)"))</f>
        <v>Processed (Eligible)</v>
      </c>
    </row>
    <row r="36" spans="1:15" x14ac:dyDescent="0.3">
      <c r="A36" t="s">
        <v>112</v>
      </c>
      <c r="B36" t="s">
        <v>39</v>
      </c>
      <c r="C36" s="5">
        <v>43278</v>
      </c>
      <c r="D36" s="2">
        <v>1300</v>
      </c>
      <c r="E36">
        <f>SUMIFS(CA_Feed!F:F, CA_Feed!B:B, B36, CA_Feed!E:E, "*DIVIDEND*", CA_Feed!D:D, "&gt;="&amp;C36)</f>
        <v>1.2</v>
      </c>
      <c r="F36">
        <f t="shared" si="1"/>
        <v>1560</v>
      </c>
      <c r="G36">
        <f t="shared" si="2"/>
        <v>156</v>
      </c>
      <c r="H36">
        <f t="shared" si="3"/>
        <v>1404</v>
      </c>
      <c r="I36">
        <f>D36 * SUMIFS(CA_Feed!G:G, CA_Feed!B:B, B36, CA_Feed!E:E, "*BONUS*", CA_Feed!D:D, "&gt;="&amp;C36)</f>
        <v>0</v>
      </c>
      <c r="J36">
        <f t="shared" si="4"/>
        <v>0</v>
      </c>
      <c r="K36">
        <f t="shared" si="5"/>
        <v>0</v>
      </c>
      <c r="L36">
        <f>IF(K36&gt;0, K36 * VLOOKUP(B36, CA_Feed!B:N, 13, FALSE), 0)</f>
        <v>0</v>
      </c>
      <c r="M36">
        <f t="shared" si="0"/>
        <v>1404</v>
      </c>
      <c r="N36" s="2">
        <f t="shared" si="6"/>
        <v>0</v>
      </c>
      <c r="O36" t="str">
        <f>IF(COUNTIFS(CA_Feed!B:B, B36)=0, "No Action Announced", IF(COUNTIFS(CA_Feed!B:B, B36, CA_Feed!D:D, "&gt;="&amp;C36)&gt;0, "Processed (Eligible)", "Ineligible (Post Ex-Date)"))</f>
        <v>Processed (Eligible)</v>
      </c>
    </row>
    <row r="37" spans="1:15" x14ac:dyDescent="0.3">
      <c r="A37" t="s">
        <v>113</v>
      </c>
      <c r="B37" t="s">
        <v>25</v>
      </c>
      <c r="C37" s="5">
        <v>43806</v>
      </c>
      <c r="D37" s="2">
        <v>3850</v>
      </c>
      <c r="E37">
        <f>SUMIFS(CA_Feed!F:F, CA_Feed!B:B, B37, CA_Feed!E:E, "*DIVIDEND*", CA_Feed!D:D, "&gt;="&amp;C37)</f>
        <v>2.5</v>
      </c>
      <c r="F37">
        <f t="shared" si="1"/>
        <v>9625</v>
      </c>
      <c r="G37">
        <f t="shared" si="2"/>
        <v>962.5</v>
      </c>
      <c r="H37">
        <f t="shared" si="3"/>
        <v>8662.5</v>
      </c>
      <c r="I37">
        <f>D37 * SUMIFS(CA_Feed!G:G, CA_Feed!B:B, B37, CA_Feed!E:E, "*BONUS*", CA_Feed!D:D, "&gt;="&amp;C37)</f>
        <v>0</v>
      </c>
      <c r="J37">
        <f t="shared" si="4"/>
        <v>0</v>
      </c>
      <c r="K37">
        <f t="shared" si="5"/>
        <v>0</v>
      </c>
      <c r="L37">
        <f>IF(K37&gt;0, K37 * VLOOKUP(B37, CA_Feed!B:N, 13, FALSE), 0)</f>
        <v>0</v>
      </c>
      <c r="M37">
        <f t="shared" si="0"/>
        <v>8662.5</v>
      </c>
      <c r="N37" s="2">
        <f t="shared" si="6"/>
        <v>0</v>
      </c>
      <c r="O37" t="str">
        <f>IF(COUNTIFS(CA_Feed!B:B, B37)=0, "No Action Announced", IF(COUNTIFS(CA_Feed!B:B, B37, CA_Feed!D:D, "&gt;="&amp;C37)&gt;0, "Processed (Eligible)", "Ineligible (Post Ex-Date)"))</f>
        <v>Processed (Eligible)</v>
      </c>
    </row>
    <row r="38" spans="1:15" x14ac:dyDescent="0.3">
      <c r="A38" t="s">
        <v>114</v>
      </c>
      <c r="B38" t="s">
        <v>27</v>
      </c>
      <c r="C38" s="5">
        <v>44367</v>
      </c>
      <c r="D38" s="2">
        <v>700</v>
      </c>
      <c r="E38">
        <f>SUMIFS(CA_Feed!F:F, CA_Feed!B:B, B38, CA_Feed!E:E, "*DIVIDEND*", CA_Feed!D:D, "&gt;="&amp;C38)</f>
        <v>3.25</v>
      </c>
      <c r="F38">
        <f t="shared" si="1"/>
        <v>2275</v>
      </c>
      <c r="G38">
        <f t="shared" si="2"/>
        <v>227.5</v>
      </c>
      <c r="H38">
        <f t="shared" si="3"/>
        <v>2047.5</v>
      </c>
      <c r="I38">
        <f>D38 * SUMIFS(CA_Feed!G:G, CA_Feed!B:B, B38, CA_Feed!E:E, "*BONUS*", CA_Feed!D:D, "&gt;="&amp;C38)</f>
        <v>0</v>
      </c>
      <c r="J38">
        <f t="shared" si="4"/>
        <v>0</v>
      </c>
      <c r="K38">
        <f t="shared" si="5"/>
        <v>0</v>
      </c>
      <c r="L38">
        <f>IF(K38&gt;0, K38 * VLOOKUP(B38, CA_Feed!B:N, 13, FALSE), 0)</f>
        <v>0</v>
      </c>
      <c r="M38">
        <f t="shared" si="0"/>
        <v>2047.5</v>
      </c>
      <c r="N38" s="2">
        <f t="shared" si="6"/>
        <v>0</v>
      </c>
      <c r="O38" t="str">
        <f>IF(COUNTIFS(CA_Feed!B:B, B38)=0, "No Action Announced", IF(COUNTIFS(CA_Feed!B:B, B38, CA_Feed!D:D, "&gt;="&amp;C38)&gt;0, "Processed (Eligible)", "Ineligible (Post Ex-Date)"))</f>
        <v>Processed (Eligible)</v>
      </c>
    </row>
    <row r="39" spans="1:15" x14ac:dyDescent="0.3">
      <c r="A39" t="s">
        <v>829</v>
      </c>
      <c r="B39" t="s">
        <v>12</v>
      </c>
      <c r="C39" s="5">
        <v>44792</v>
      </c>
      <c r="D39" s="2">
        <v>80</v>
      </c>
      <c r="E39">
        <f>SUMIFS(CA_Feed!F:F, CA_Feed!B:B, B39, CA_Feed!E:E, "*DIVIDEND*", CA_Feed!D:D, "&gt;="&amp;C39)</f>
        <v>19</v>
      </c>
      <c r="F39">
        <f t="shared" si="1"/>
        <v>1520</v>
      </c>
      <c r="G39">
        <f t="shared" si="2"/>
        <v>152</v>
      </c>
      <c r="H39">
        <f t="shared" si="3"/>
        <v>1368</v>
      </c>
      <c r="I39">
        <f>D39 * SUMIFS(CA_Feed!G:G, CA_Feed!B:B, B39, CA_Feed!E:E, "*BONUS*", CA_Feed!D:D, "&gt;="&amp;C39)</f>
        <v>0</v>
      </c>
      <c r="J39">
        <f t="shared" si="4"/>
        <v>0</v>
      </c>
      <c r="K39">
        <f t="shared" si="5"/>
        <v>0</v>
      </c>
      <c r="L39">
        <f>IF(K39&gt;0, K39 * VLOOKUP(B39, CA_Feed!B:N, 13, FALSE), 0)</f>
        <v>0</v>
      </c>
      <c r="M39">
        <f t="shared" si="0"/>
        <v>1368</v>
      </c>
      <c r="N39" s="2">
        <f t="shared" si="6"/>
        <v>0</v>
      </c>
      <c r="O39" t="str">
        <f>IF(COUNTIFS(CA_Feed!B:B, B39)=0, "No Action Announced", IF(COUNTIFS(CA_Feed!B:B, B39, CA_Feed!D:D, "&gt;="&amp;C39)&gt;0, "Processed (Eligible)", "Ineligible (Post Ex-Date)"))</f>
        <v>Processed (Eligible)</v>
      </c>
    </row>
    <row r="40" spans="1:15" x14ac:dyDescent="0.3">
      <c r="A40" t="s">
        <v>116</v>
      </c>
      <c r="B40" t="s">
        <v>25</v>
      </c>
      <c r="C40" s="5">
        <v>44127</v>
      </c>
      <c r="D40" s="2">
        <v>3350</v>
      </c>
      <c r="E40">
        <f>SUMIFS(CA_Feed!F:F, CA_Feed!B:B, B40, CA_Feed!E:E, "*DIVIDEND*", CA_Feed!D:D, "&gt;="&amp;C40)</f>
        <v>2.5</v>
      </c>
      <c r="F40">
        <f t="shared" si="1"/>
        <v>8375</v>
      </c>
      <c r="G40">
        <f t="shared" si="2"/>
        <v>837.5</v>
      </c>
      <c r="H40">
        <f t="shared" si="3"/>
        <v>7537.5</v>
      </c>
      <c r="I40">
        <f>D40 * SUMIFS(CA_Feed!G:G, CA_Feed!B:B, B40, CA_Feed!E:E, "*BONUS*", CA_Feed!D:D, "&gt;="&amp;C40)</f>
        <v>0</v>
      </c>
      <c r="J40">
        <f t="shared" si="4"/>
        <v>0</v>
      </c>
      <c r="K40">
        <f t="shared" si="5"/>
        <v>0</v>
      </c>
      <c r="L40">
        <f>IF(K40&gt;0, K40 * VLOOKUP(B40, CA_Feed!B:N, 13, FALSE), 0)</f>
        <v>0</v>
      </c>
      <c r="M40">
        <f t="shared" si="0"/>
        <v>7537.5</v>
      </c>
      <c r="N40" s="2">
        <f t="shared" si="6"/>
        <v>0</v>
      </c>
      <c r="O40" t="str">
        <f>IF(COUNTIFS(CA_Feed!B:B, B40)=0, "No Action Announced", IF(COUNTIFS(CA_Feed!B:B, B40, CA_Feed!D:D, "&gt;="&amp;C40)&gt;0, "Processed (Eligible)", "Ineligible (Post Ex-Date)"))</f>
        <v>Processed (Eligible)</v>
      </c>
    </row>
    <row r="41" spans="1:15" x14ac:dyDescent="0.3">
      <c r="A41" t="s">
        <v>446</v>
      </c>
      <c r="B41" t="s">
        <v>12</v>
      </c>
      <c r="C41" s="5">
        <v>44653</v>
      </c>
      <c r="D41" s="2">
        <v>80</v>
      </c>
      <c r="E41">
        <f>SUMIFS(CA_Feed!F:F, CA_Feed!B:B, B41, CA_Feed!E:E, "*DIVIDEND*", CA_Feed!D:D, "&gt;="&amp;C41)</f>
        <v>19</v>
      </c>
      <c r="F41">
        <f t="shared" si="1"/>
        <v>1520</v>
      </c>
      <c r="G41">
        <f t="shared" si="2"/>
        <v>152</v>
      </c>
      <c r="H41">
        <f t="shared" si="3"/>
        <v>1368</v>
      </c>
      <c r="I41">
        <f>D41 * SUMIFS(CA_Feed!G:G, CA_Feed!B:B, B41, CA_Feed!E:E, "*BONUS*", CA_Feed!D:D, "&gt;="&amp;C41)</f>
        <v>0</v>
      </c>
      <c r="J41">
        <f t="shared" si="4"/>
        <v>0</v>
      </c>
      <c r="K41">
        <f t="shared" si="5"/>
        <v>0</v>
      </c>
      <c r="L41">
        <f>IF(K41&gt;0, K41 * VLOOKUP(B41, CA_Feed!B:N, 13, FALSE), 0)</f>
        <v>0</v>
      </c>
      <c r="M41">
        <f t="shared" si="0"/>
        <v>1368</v>
      </c>
      <c r="N41" s="2">
        <f t="shared" si="6"/>
        <v>0</v>
      </c>
      <c r="O41" t="str">
        <f>IF(COUNTIFS(CA_Feed!B:B, B41)=0, "No Action Announced", IF(COUNTIFS(CA_Feed!B:B, B41, CA_Feed!D:D, "&gt;="&amp;C41)&gt;0, "Processed (Eligible)", "Ineligible (Post Ex-Date)"))</f>
        <v>Processed (Eligible)</v>
      </c>
    </row>
    <row r="42" spans="1:15" x14ac:dyDescent="0.3">
      <c r="A42" t="s">
        <v>301</v>
      </c>
      <c r="B42" t="s">
        <v>12</v>
      </c>
      <c r="C42" s="5">
        <v>44388</v>
      </c>
      <c r="D42" s="2">
        <v>80</v>
      </c>
      <c r="E42">
        <f>SUMIFS(CA_Feed!F:F, CA_Feed!B:B, B42, CA_Feed!E:E, "*DIVIDEND*", CA_Feed!D:D, "&gt;="&amp;C42)</f>
        <v>19</v>
      </c>
      <c r="F42">
        <f t="shared" si="1"/>
        <v>1520</v>
      </c>
      <c r="G42">
        <f t="shared" si="2"/>
        <v>152</v>
      </c>
      <c r="H42">
        <f t="shared" si="3"/>
        <v>1368</v>
      </c>
      <c r="I42">
        <f>D42 * SUMIFS(CA_Feed!G:G, CA_Feed!B:B, B42, CA_Feed!E:E, "*BONUS*", CA_Feed!D:D, "&gt;="&amp;C42)</f>
        <v>0</v>
      </c>
      <c r="J42">
        <f t="shared" si="4"/>
        <v>0</v>
      </c>
      <c r="K42">
        <f t="shared" si="5"/>
        <v>0</v>
      </c>
      <c r="L42">
        <f>IF(K42&gt;0, K42 * VLOOKUP(B42, CA_Feed!B:N, 13, FALSE), 0)</f>
        <v>0</v>
      </c>
      <c r="M42">
        <f t="shared" si="0"/>
        <v>1368</v>
      </c>
      <c r="N42" s="2">
        <f t="shared" si="6"/>
        <v>0</v>
      </c>
      <c r="O42" t="str">
        <f>IF(COUNTIFS(CA_Feed!B:B, B42)=0, "No Action Announced", IF(COUNTIFS(CA_Feed!B:B, B42, CA_Feed!D:D, "&gt;="&amp;C42)&gt;0, "Processed (Eligible)", "Ineligible (Post Ex-Date)"))</f>
        <v>Processed (Eligible)</v>
      </c>
    </row>
    <row r="43" spans="1:15" x14ac:dyDescent="0.3">
      <c r="A43" t="s">
        <v>119</v>
      </c>
      <c r="B43" t="s">
        <v>53</v>
      </c>
      <c r="C43" s="5">
        <v>42893</v>
      </c>
      <c r="D43" s="2">
        <v>8850</v>
      </c>
      <c r="E43">
        <f>SUMIFS(CA_Feed!F:F, CA_Feed!B:B, B43, CA_Feed!E:E, "*DIVIDEND*", CA_Feed!D:D, "&gt;="&amp;C43)</f>
        <v>7.0000000000000007E-2</v>
      </c>
      <c r="F43">
        <f t="shared" si="1"/>
        <v>619.50000000000011</v>
      </c>
      <c r="G43">
        <f t="shared" si="2"/>
        <v>61.950000000000017</v>
      </c>
      <c r="H43">
        <f t="shared" si="3"/>
        <v>557.55000000000007</v>
      </c>
      <c r="I43">
        <f>D43 * SUMIFS(CA_Feed!G:G, CA_Feed!B:B, B43, CA_Feed!E:E, "*BONUS*", CA_Feed!D:D, "&gt;="&amp;C43)</f>
        <v>0</v>
      </c>
      <c r="J43">
        <f t="shared" si="4"/>
        <v>0</v>
      </c>
      <c r="K43">
        <f t="shared" si="5"/>
        <v>0</v>
      </c>
      <c r="L43">
        <f>IF(K43&gt;0, K43 * VLOOKUP(B43, CA_Feed!B:N, 13, FALSE), 0)</f>
        <v>0</v>
      </c>
      <c r="M43">
        <f t="shared" si="0"/>
        <v>557.55000000000007</v>
      </c>
      <c r="N43" s="2">
        <f t="shared" si="6"/>
        <v>0</v>
      </c>
      <c r="O43" t="str">
        <f>IF(COUNTIFS(CA_Feed!B:B, B43)=0, "No Action Announced", IF(COUNTIFS(CA_Feed!B:B, B43, CA_Feed!D:D, "&gt;="&amp;C43)&gt;0, "Processed (Eligible)", "Ineligible (Post Ex-Date)"))</f>
        <v>Processed (Eligible)</v>
      </c>
    </row>
    <row r="44" spans="1:15" x14ac:dyDescent="0.3">
      <c r="A44" t="s">
        <v>120</v>
      </c>
      <c r="B44" t="s">
        <v>39</v>
      </c>
      <c r="C44" s="5">
        <v>43421</v>
      </c>
      <c r="D44" s="2">
        <v>9400</v>
      </c>
      <c r="E44">
        <f>SUMIFS(CA_Feed!F:F, CA_Feed!B:B, B44, CA_Feed!E:E, "*DIVIDEND*", CA_Feed!D:D, "&gt;="&amp;C44)</f>
        <v>1.2</v>
      </c>
      <c r="F44">
        <f t="shared" si="1"/>
        <v>11280</v>
      </c>
      <c r="G44">
        <f t="shared" si="2"/>
        <v>1128</v>
      </c>
      <c r="H44">
        <f t="shared" si="3"/>
        <v>10152</v>
      </c>
      <c r="I44">
        <f>D44 * SUMIFS(CA_Feed!G:G, CA_Feed!B:B, B44, CA_Feed!E:E, "*BONUS*", CA_Feed!D:D, "&gt;="&amp;C44)</f>
        <v>0</v>
      </c>
      <c r="J44">
        <f t="shared" si="4"/>
        <v>0</v>
      </c>
      <c r="K44">
        <f t="shared" si="5"/>
        <v>0</v>
      </c>
      <c r="L44">
        <f>IF(K44&gt;0, K44 * VLOOKUP(B44, CA_Feed!B:N, 13, FALSE), 0)</f>
        <v>0</v>
      </c>
      <c r="M44">
        <f t="shared" si="0"/>
        <v>10152</v>
      </c>
      <c r="N44" s="2">
        <f t="shared" si="6"/>
        <v>0</v>
      </c>
      <c r="O44" t="str">
        <f>IF(COUNTIFS(CA_Feed!B:B, B44)=0, "No Action Announced", IF(COUNTIFS(CA_Feed!B:B, B44, CA_Feed!D:D, "&gt;="&amp;C44)&gt;0, "Processed (Eligible)", "Ineligible (Post Ex-Date)"))</f>
        <v>Processed (Eligible)</v>
      </c>
    </row>
    <row r="45" spans="1:15" x14ac:dyDescent="0.3">
      <c r="A45" t="s">
        <v>129</v>
      </c>
      <c r="B45" t="s">
        <v>12</v>
      </c>
      <c r="C45" s="5">
        <v>43093</v>
      </c>
      <c r="D45" s="2">
        <v>80</v>
      </c>
      <c r="E45">
        <f>SUMIFS(CA_Feed!F:F, CA_Feed!B:B, B45, CA_Feed!E:E, "*DIVIDEND*", CA_Feed!D:D, "&gt;="&amp;C45)</f>
        <v>19</v>
      </c>
      <c r="F45">
        <f t="shared" si="1"/>
        <v>1520</v>
      </c>
      <c r="G45">
        <f t="shared" si="2"/>
        <v>152</v>
      </c>
      <c r="H45">
        <f t="shared" si="3"/>
        <v>1368</v>
      </c>
      <c r="I45">
        <f>D45 * SUMIFS(CA_Feed!G:G, CA_Feed!B:B, B45, CA_Feed!E:E, "*BONUS*", CA_Feed!D:D, "&gt;="&amp;C45)</f>
        <v>0</v>
      </c>
      <c r="J45">
        <f t="shared" si="4"/>
        <v>0</v>
      </c>
      <c r="K45">
        <f t="shared" si="5"/>
        <v>0</v>
      </c>
      <c r="L45">
        <f>IF(K45&gt;0, K45 * VLOOKUP(B45, CA_Feed!B:N, 13, FALSE), 0)</f>
        <v>0</v>
      </c>
      <c r="M45">
        <f t="shared" si="0"/>
        <v>1368</v>
      </c>
      <c r="N45" s="2">
        <f t="shared" si="6"/>
        <v>0</v>
      </c>
      <c r="O45" t="str">
        <f>IF(COUNTIFS(CA_Feed!B:B, B45)=0, "No Action Announced", IF(COUNTIFS(CA_Feed!B:B, B45, CA_Feed!D:D, "&gt;="&amp;C45)&gt;0, "Processed (Eligible)", "Ineligible (Post Ex-Date)"))</f>
        <v>Processed (Eligible)</v>
      </c>
    </row>
    <row r="46" spans="1:15" x14ac:dyDescent="0.3">
      <c r="A46" t="s">
        <v>515</v>
      </c>
      <c r="B46" t="s">
        <v>12</v>
      </c>
      <c r="C46" s="5">
        <v>43926</v>
      </c>
      <c r="D46" s="2">
        <v>80</v>
      </c>
      <c r="E46">
        <f>SUMIFS(CA_Feed!F:F, CA_Feed!B:B, B46, CA_Feed!E:E, "*DIVIDEND*", CA_Feed!D:D, "&gt;="&amp;C46)</f>
        <v>19</v>
      </c>
      <c r="F46">
        <f t="shared" si="1"/>
        <v>1520</v>
      </c>
      <c r="G46">
        <f t="shared" si="2"/>
        <v>152</v>
      </c>
      <c r="H46">
        <f t="shared" si="3"/>
        <v>1368</v>
      </c>
      <c r="I46">
        <f>D46 * SUMIFS(CA_Feed!G:G, CA_Feed!B:B, B46, CA_Feed!E:E, "*BONUS*", CA_Feed!D:D, "&gt;="&amp;C46)</f>
        <v>0</v>
      </c>
      <c r="J46">
        <f t="shared" si="4"/>
        <v>0</v>
      </c>
      <c r="K46">
        <f t="shared" si="5"/>
        <v>0</v>
      </c>
      <c r="L46">
        <f>IF(K46&gt;0, K46 * VLOOKUP(B46, CA_Feed!B:N, 13, FALSE), 0)</f>
        <v>0</v>
      </c>
      <c r="M46">
        <f t="shared" si="0"/>
        <v>1368</v>
      </c>
      <c r="N46" s="2">
        <f t="shared" si="6"/>
        <v>0</v>
      </c>
      <c r="O46" t="str">
        <f>IF(COUNTIFS(CA_Feed!B:B, B46)=0, "No Action Announced", IF(COUNTIFS(CA_Feed!B:B, B46, CA_Feed!D:D, "&gt;="&amp;C46)&gt;0, "Processed (Eligible)", "Ineligible (Post Ex-Date)"))</f>
        <v>Processed (Eligible)</v>
      </c>
    </row>
    <row r="47" spans="1:15" x14ac:dyDescent="0.3">
      <c r="A47" t="s">
        <v>123</v>
      </c>
      <c r="B47" t="s">
        <v>57</v>
      </c>
      <c r="C47" s="5">
        <v>44715</v>
      </c>
      <c r="D47" s="2">
        <v>4200</v>
      </c>
      <c r="E47">
        <f>SUMIFS(CA_Feed!F:F, CA_Feed!B:B, B47, CA_Feed!E:E, "*DIVIDEND*", CA_Feed!D:D, "&gt;="&amp;C47)</f>
        <v>0.02</v>
      </c>
      <c r="F47">
        <f t="shared" si="1"/>
        <v>84</v>
      </c>
      <c r="G47">
        <f t="shared" si="2"/>
        <v>8.4</v>
      </c>
      <c r="H47">
        <f t="shared" si="3"/>
        <v>75.599999999999994</v>
      </c>
      <c r="I47">
        <f>D47 * SUMIFS(CA_Feed!G:G, CA_Feed!B:B, B47, CA_Feed!E:E, "*BONUS*", CA_Feed!D:D, "&gt;="&amp;C47)</f>
        <v>0</v>
      </c>
      <c r="J47">
        <f t="shared" si="4"/>
        <v>0</v>
      </c>
      <c r="K47">
        <f t="shared" si="5"/>
        <v>0</v>
      </c>
      <c r="L47">
        <f>IF(K47&gt;0, K47 * VLOOKUP(B47, CA_Feed!B:N, 13, FALSE), 0)</f>
        <v>0</v>
      </c>
      <c r="M47">
        <f t="shared" si="0"/>
        <v>75.599999999999994</v>
      </c>
      <c r="N47" s="2">
        <f t="shared" si="6"/>
        <v>0</v>
      </c>
      <c r="O47" t="str">
        <f>IF(COUNTIFS(CA_Feed!B:B, B47)=0, "No Action Announced", IF(COUNTIFS(CA_Feed!B:B, B47, CA_Feed!D:D, "&gt;="&amp;C47)&gt;0, "Processed (Eligible)", "Ineligible (Post Ex-Date)"))</f>
        <v>Processed (Eligible)</v>
      </c>
    </row>
    <row r="48" spans="1:15" x14ac:dyDescent="0.3">
      <c r="A48" t="s">
        <v>124</v>
      </c>
      <c r="B48" t="s">
        <v>25</v>
      </c>
      <c r="C48" s="5">
        <v>43378</v>
      </c>
      <c r="D48" s="2">
        <v>6000</v>
      </c>
      <c r="E48">
        <f>SUMIFS(CA_Feed!F:F, CA_Feed!B:B, B48, CA_Feed!E:E, "*DIVIDEND*", CA_Feed!D:D, "&gt;="&amp;C48)</f>
        <v>2.5</v>
      </c>
      <c r="F48">
        <f t="shared" si="1"/>
        <v>15000</v>
      </c>
      <c r="G48">
        <f t="shared" si="2"/>
        <v>1500</v>
      </c>
      <c r="H48">
        <f t="shared" si="3"/>
        <v>13500</v>
      </c>
      <c r="I48">
        <f>D48 * SUMIFS(CA_Feed!G:G, CA_Feed!B:B, B48, CA_Feed!E:E, "*BONUS*", CA_Feed!D:D, "&gt;="&amp;C48)</f>
        <v>0</v>
      </c>
      <c r="J48">
        <f t="shared" si="4"/>
        <v>0</v>
      </c>
      <c r="K48">
        <f t="shared" si="5"/>
        <v>0</v>
      </c>
      <c r="L48">
        <f>IF(K48&gt;0, K48 * VLOOKUP(B48, CA_Feed!B:N, 13, FALSE), 0)</f>
        <v>0</v>
      </c>
      <c r="M48">
        <f t="shared" si="0"/>
        <v>13500</v>
      </c>
      <c r="N48" s="2">
        <f t="shared" si="6"/>
        <v>0</v>
      </c>
      <c r="O48" t="str">
        <f>IF(COUNTIFS(CA_Feed!B:B, B48)=0, "No Action Announced", IF(COUNTIFS(CA_Feed!B:B, B48, CA_Feed!D:D, "&gt;="&amp;C48)&gt;0, "Processed (Eligible)", "Ineligible (Post Ex-Date)"))</f>
        <v>Processed (Eligible)</v>
      </c>
    </row>
    <row r="49" spans="1:15" x14ac:dyDescent="0.3">
      <c r="A49" t="s">
        <v>125</v>
      </c>
      <c r="B49" t="s">
        <v>43</v>
      </c>
      <c r="C49" s="5">
        <v>45350</v>
      </c>
      <c r="D49" s="2">
        <v>6400</v>
      </c>
      <c r="E49">
        <f>SUMIFS(CA_Feed!F:F, CA_Feed!B:B, B49, CA_Feed!E:E, "*DIVIDEND*", CA_Feed!D:D, "&gt;="&amp;C49)</f>
        <v>1.35</v>
      </c>
      <c r="F49">
        <f t="shared" si="1"/>
        <v>8640</v>
      </c>
      <c r="G49">
        <f t="shared" si="2"/>
        <v>864</v>
      </c>
      <c r="H49">
        <f t="shared" si="3"/>
        <v>7776</v>
      </c>
      <c r="I49">
        <f>D49 * SUMIFS(CA_Feed!G:G, CA_Feed!B:B, B49, CA_Feed!E:E, "*BONUS*", CA_Feed!D:D, "&gt;="&amp;C49)</f>
        <v>0</v>
      </c>
      <c r="J49">
        <f t="shared" si="4"/>
        <v>0</v>
      </c>
      <c r="K49">
        <f t="shared" si="5"/>
        <v>0</v>
      </c>
      <c r="L49">
        <f>IF(K49&gt;0, K49 * VLOOKUP(B49, CA_Feed!B:N, 13, FALSE), 0)</f>
        <v>0</v>
      </c>
      <c r="M49">
        <f t="shared" si="0"/>
        <v>7776</v>
      </c>
      <c r="N49" s="2">
        <f t="shared" si="6"/>
        <v>0</v>
      </c>
      <c r="O49" t="str">
        <f>IF(COUNTIFS(CA_Feed!B:B, B49)=0, "No Action Announced", IF(COUNTIFS(CA_Feed!B:B, B49, CA_Feed!D:D, "&gt;="&amp;C49)&gt;0, "Processed (Eligible)", "Ineligible (Post Ex-Date)"))</f>
        <v>Processed (Eligible)</v>
      </c>
    </row>
    <row r="50" spans="1:15" x14ac:dyDescent="0.3">
      <c r="A50" t="s">
        <v>117</v>
      </c>
      <c r="B50" t="s">
        <v>12</v>
      </c>
      <c r="C50" s="5">
        <v>44525</v>
      </c>
      <c r="D50" s="2">
        <v>80</v>
      </c>
      <c r="E50">
        <f>SUMIFS(CA_Feed!F:F, CA_Feed!B:B, B50, CA_Feed!E:E, "*DIVIDEND*", CA_Feed!D:D, "&gt;="&amp;C50)</f>
        <v>19</v>
      </c>
      <c r="F50">
        <f t="shared" si="1"/>
        <v>1520</v>
      </c>
      <c r="G50">
        <f t="shared" si="2"/>
        <v>152</v>
      </c>
      <c r="H50">
        <f t="shared" si="3"/>
        <v>1368</v>
      </c>
      <c r="I50">
        <f>D50 * SUMIFS(CA_Feed!G:G, CA_Feed!B:B, B50, CA_Feed!E:E, "*BONUS*", CA_Feed!D:D, "&gt;="&amp;C50)</f>
        <v>0</v>
      </c>
      <c r="J50">
        <f t="shared" si="4"/>
        <v>0</v>
      </c>
      <c r="K50">
        <f t="shared" si="5"/>
        <v>0</v>
      </c>
      <c r="L50">
        <f>IF(K50&gt;0, K50 * VLOOKUP(B50, CA_Feed!B:N, 13, FALSE), 0)</f>
        <v>0</v>
      </c>
      <c r="M50">
        <f t="shared" si="0"/>
        <v>1368</v>
      </c>
      <c r="N50" s="2">
        <f t="shared" si="6"/>
        <v>0</v>
      </c>
      <c r="O50" t="str">
        <f>IF(COUNTIFS(CA_Feed!B:B, B50)=0, "No Action Announced", IF(COUNTIFS(CA_Feed!B:B, B50, CA_Feed!D:D, "&gt;="&amp;C50)&gt;0, "Processed (Eligible)", "Ineligible (Post Ex-Date)"))</f>
        <v>Processed (Eligible)</v>
      </c>
    </row>
    <row r="51" spans="1:15" x14ac:dyDescent="0.3">
      <c r="A51" t="s">
        <v>127</v>
      </c>
      <c r="B51" t="s">
        <v>43</v>
      </c>
      <c r="C51" s="5">
        <v>42867</v>
      </c>
      <c r="D51" s="2">
        <v>5350</v>
      </c>
      <c r="E51">
        <f>SUMIFS(CA_Feed!F:F, CA_Feed!B:B, B51, CA_Feed!E:E, "*DIVIDEND*", CA_Feed!D:D, "&gt;="&amp;C51)</f>
        <v>1.35</v>
      </c>
      <c r="F51">
        <f t="shared" si="1"/>
        <v>7222.5000000000009</v>
      </c>
      <c r="G51">
        <f t="shared" si="2"/>
        <v>722.25000000000011</v>
      </c>
      <c r="H51">
        <f t="shared" si="3"/>
        <v>6500.2500000000009</v>
      </c>
      <c r="I51">
        <f>D51 * SUMIFS(CA_Feed!G:G, CA_Feed!B:B, B51, CA_Feed!E:E, "*BONUS*", CA_Feed!D:D, "&gt;="&amp;C51)</f>
        <v>0</v>
      </c>
      <c r="J51">
        <f t="shared" si="4"/>
        <v>0</v>
      </c>
      <c r="K51">
        <f t="shared" si="5"/>
        <v>0</v>
      </c>
      <c r="L51">
        <f>IF(K51&gt;0, K51 * VLOOKUP(B51, CA_Feed!B:N, 13, FALSE), 0)</f>
        <v>0</v>
      </c>
      <c r="M51">
        <f t="shared" si="0"/>
        <v>6500.2500000000009</v>
      </c>
      <c r="N51" s="2">
        <f t="shared" si="6"/>
        <v>0</v>
      </c>
      <c r="O51" t="str">
        <f>IF(COUNTIFS(CA_Feed!B:B, B51)=0, "No Action Announced", IF(COUNTIFS(CA_Feed!B:B, B51, CA_Feed!D:D, "&gt;="&amp;C51)&gt;0, "Processed (Eligible)", "Ineligible (Post Ex-Date)"))</f>
        <v>Processed (Eligible)</v>
      </c>
    </row>
    <row r="52" spans="1:15" x14ac:dyDescent="0.3">
      <c r="A52" t="s">
        <v>128</v>
      </c>
      <c r="B52" t="s">
        <v>39</v>
      </c>
      <c r="C52" s="5">
        <v>42761</v>
      </c>
      <c r="D52" s="2">
        <v>1200</v>
      </c>
      <c r="E52">
        <f>SUMIFS(CA_Feed!F:F, CA_Feed!B:B, B52, CA_Feed!E:E, "*DIVIDEND*", CA_Feed!D:D, "&gt;="&amp;C52)</f>
        <v>1.2</v>
      </c>
      <c r="F52">
        <f t="shared" si="1"/>
        <v>1440</v>
      </c>
      <c r="G52">
        <f t="shared" si="2"/>
        <v>144</v>
      </c>
      <c r="H52">
        <f t="shared" si="3"/>
        <v>1296</v>
      </c>
      <c r="I52">
        <f>D52 * SUMIFS(CA_Feed!G:G, CA_Feed!B:B, B52, CA_Feed!E:E, "*BONUS*", CA_Feed!D:D, "&gt;="&amp;C52)</f>
        <v>0</v>
      </c>
      <c r="J52">
        <f t="shared" si="4"/>
        <v>0</v>
      </c>
      <c r="K52">
        <f t="shared" si="5"/>
        <v>0</v>
      </c>
      <c r="L52">
        <f>IF(K52&gt;0, K52 * VLOOKUP(B52, CA_Feed!B:N, 13, FALSE), 0)</f>
        <v>0</v>
      </c>
      <c r="M52">
        <f t="shared" ref="M52:M104" si="7">H52 + L52</f>
        <v>1296</v>
      </c>
      <c r="N52" s="2">
        <f t="shared" si="6"/>
        <v>0</v>
      </c>
      <c r="O52" t="str">
        <f>IF(COUNTIFS(CA_Feed!B:B, B52)=0, "No Action Announced", IF(COUNTIFS(CA_Feed!B:B, B52, CA_Feed!D:D, "&gt;="&amp;C52)&gt;0, "Processed (Eligible)", "Ineligible (Post Ex-Date)"))</f>
        <v>Processed (Eligible)</v>
      </c>
    </row>
    <row r="53" spans="1:15" x14ac:dyDescent="0.3">
      <c r="A53" t="s">
        <v>169</v>
      </c>
      <c r="B53" t="s">
        <v>12</v>
      </c>
      <c r="C53" s="5">
        <v>44020</v>
      </c>
      <c r="D53" s="2">
        <v>80</v>
      </c>
      <c r="E53">
        <f>SUMIFS(CA_Feed!F:F, CA_Feed!B:B, B53, CA_Feed!E:E, "*DIVIDEND*", CA_Feed!D:D, "&gt;="&amp;C53)</f>
        <v>19</v>
      </c>
      <c r="F53">
        <f t="shared" ref="F53:F105" si="8">D53 * E53</f>
        <v>1520</v>
      </c>
      <c r="G53">
        <f t="shared" ref="G53:G105" si="9">F53 * 0.1</f>
        <v>152</v>
      </c>
      <c r="H53">
        <f t="shared" ref="H53:H105" si="10">F53 - G53</f>
        <v>1368</v>
      </c>
      <c r="I53">
        <f>D53 * SUMIFS(CA_Feed!G:G, CA_Feed!B:B, B53, CA_Feed!E:E, "*BONUS*", CA_Feed!D:D, "&gt;="&amp;C53)</f>
        <v>0</v>
      </c>
      <c r="J53">
        <f t="shared" ref="J53:J105" si="11">INT(I53)</f>
        <v>0</v>
      </c>
      <c r="K53">
        <f t="shared" ref="K53:K105" si="12">I53-J53</f>
        <v>0</v>
      </c>
      <c r="L53">
        <f>IF(K53&gt;0, K53 * VLOOKUP(B53, CA_Feed!B:N, 13, FALSE), 0)</f>
        <v>0</v>
      </c>
      <c r="M53">
        <f t="shared" si="7"/>
        <v>1368</v>
      </c>
      <c r="N53" s="2">
        <f t="shared" si="6"/>
        <v>0</v>
      </c>
      <c r="O53" t="str">
        <f>IF(COUNTIFS(CA_Feed!B:B, B53)=0, "No Action Announced", IF(COUNTIFS(CA_Feed!B:B, B53, CA_Feed!D:D, "&gt;="&amp;C53)&gt;0, "Processed (Eligible)", "Ineligible (Post Ex-Date)"))</f>
        <v>Processed (Eligible)</v>
      </c>
    </row>
    <row r="54" spans="1:15" x14ac:dyDescent="0.3">
      <c r="A54" t="s">
        <v>130</v>
      </c>
      <c r="B54" t="s">
        <v>53</v>
      </c>
      <c r="C54" s="5">
        <v>45052</v>
      </c>
      <c r="D54" s="2">
        <v>3350</v>
      </c>
      <c r="E54">
        <f>SUMIFS(CA_Feed!F:F, CA_Feed!B:B, B54, CA_Feed!E:E, "*DIVIDEND*", CA_Feed!D:D, "&gt;="&amp;C54)</f>
        <v>7.0000000000000007E-2</v>
      </c>
      <c r="F54">
        <f t="shared" si="8"/>
        <v>234.50000000000003</v>
      </c>
      <c r="G54">
        <f t="shared" si="9"/>
        <v>23.450000000000003</v>
      </c>
      <c r="H54">
        <f t="shared" si="10"/>
        <v>211.05</v>
      </c>
      <c r="I54">
        <f>D54 * SUMIFS(CA_Feed!G:G, CA_Feed!B:B, B54, CA_Feed!E:E, "*BONUS*", CA_Feed!D:D, "&gt;="&amp;C54)</f>
        <v>0</v>
      </c>
      <c r="J54">
        <f t="shared" si="11"/>
        <v>0</v>
      </c>
      <c r="K54">
        <f t="shared" si="12"/>
        <v>0</v>
      </c>
      <c r="L54">
        <f>IF(K54&gt;0, K54 * VLOOKUP(B54, CA_Feed!B:N, 13, FALSE), 0)</f>
        <v>0</v>
      </c>
      <c r="M54">
        <f t="shared" si="7"/>
        <v>211.05</v>
      </c>
      <c r="N54" s="2">
        <f t="shared" si="6"/>
        <v>0</v>
      </c>
      <c r="O54" t="str">
        <f>IF(COUNTIFS(CA_Feed!B:B, B54)=0, "No Action Announced", IF(COUNTIFS(CA_Feed!B:B, B54, CA_Feed!D:D, "&gt;="&amp;C54)&gt;0, "Processed (Eligible)", "Ineligible (Post Ex-Date)"))</f>
        <v>Processed (Eligible)</v>
      </c>
    </row>
    <row r="55" spans="1:15" x14ac:dyDescent="0.3">
      <c r="A55" t="s">
        <v>131</v>
      </c>
      <c r="B55" t="s">
        <v>16</v>
      </c>
      <c r="C55" s="5">
        <v>44233</v>
      </c>
      <c r="D55" s="2">
        <v>7000</v>
      </c>
      <c r="E55">
        <f>SUMIFS(CA_Feed!F:F, CA_Feed!B:B, B55, CA_Feed!E:E, "*DIVIDEND*", CA_Feed!D:D, "&gt;="&amp;C55)</f>
        <v>3.75</v>
      </c>
      <c r="F55">
        <f t="shared" si="8"/>
        <v>26250</v>
      </c>
      <c r="G55">
        <f t="shared" si="9"/>
        <v>2625</v>
      </c>
      <c r="H55">
        <f t="shared" si="10"/>
        <v>23625</v>
      </c>
      <c r="I55">
        <f>D55 * SUMIFS(CA_Feed!G:G, CA_Feed!B:B, B55, CA_Feed!E:E, "*BONUS*", CA_Feed!D:D, "&gt;="&amp;C55)</f>
        <v>0</v>
      </c>
      <c r="J55">
        <f t="shared" si="11"/>
        <v>0</v>
      </c>
      <c r="K55">
        <f t="shared" si="12"/>
        <v>0</v>
      </c>
      <c r="L55">
        <f>IF(K55&gt;0, K55 * VLOOKUP(B55, CA_Feed!B:N, 13, FALSE), 0)</f>
        <v>0</v>
      </c>
      <c r="M55">
        <f t="shared" si="7"/>
        <v>23625</v>
      </c>
      <c r="N55" s="2">
        <f t="shared" si="6"/>
        <v>0</v>
      </c>
      <c r="O55" t="str">
        <f>IF(COUNTIFS(CA_Feed!B:B, B55)=0, "No Action Announced", IF(COUNTIFS(CA_Feed!B:B, B55, CA_Feed!D:D, "&gt;="&amp;C55)&gt;0, "Processed (Eligible)", "Ineligible (Post Ex-Date)"))</f>
        <v>Processed (Eligible)</v>
      </c>
    </row>
    <row r="56" spans="1:15" x14ac:dyDescent="0.3">
      <c r="A56" t="s">
        <v>132</v>
      </c>
      <c r="B56" t="s">
        <v>19</v>
      </c>
      <c r="C56" s="5">
        <v>45444</v>
      </c>
      <c r="D56" s="2">
        <v>4350</v>
      </c>
      <c r="E56">
        <f>SUMIFS(CA_Feed!F:F, CA_Feed!B:B, B56, CA_Feed!E:E, "*DIVIDEND*", CA_Feed!D:D, "&gt;="&amp;C56)</f>
        <v>1.5</v>
      </c>
      <c r="F56">
        <f t="shared" si="8"/>
        <v>6525</v>
      </c>
      <c r="G56">
        <f t="shared" si="9"/>
        <v>652.5</v>
      </c>
      <c r="H56">
        <f t="shared" si="10"/>
        <v>5872.5</v>
      </c>
      <c r="I56">
        <f>D56 * SUMIFS(CA_Feed!G:G, CA_Feed!B:B, B56, CA_Feed!E:E, "*BONUS*", CA_Feed!D:D, "&gt;="&amp;C56)</f>
        <v>0</v>
      </c>
      <c r="J56">
        <f t="shared" si="11"/>
        <v>0</v>
      </c>
      <c r="K56">
        <f t="shared" si="12"/>
        <v>0</v>
      </c>
      <c r="L56">
        <f>IF(K56&gt;0, K56 * VLOOKUP(B56, CA_Feed!B:N, 13, FALSE), 0)</f>
        <v>0</v>
      </c>
      <c r="M56">
        <f t="shared" si="7"/>
        <v>5872.5</v>
      </c>
      <c r="N56" s="2">
        <f t="shared" si="6"/>
        <v>0</v>
      </c>
      <c r="O56" t="str">
        <f>IF(COUNTIFS(CA_Feed!B:B, B56)=0, "No Action Announced", IF(COUNTIFS(CA_Feed!B:B, B56, CA_Feed!D:D, "&gt;="&amp;C56)&gt;0, "Processed (Eligible)", "Ineligible (Post Ex-Date)"))</f>
        <v>Processed (Eligible)</v>
      </c>
    </row>
    <row r="57" spans="1:15" x14ac:dyDescent="0.3">
      <c r="A57" t="s">
        <v>133</v>
      </c>
      <c r="B57" t="s">
        <v>19</v>
      </c>
      <c r="C57" s="5">
        <v>45204</v>
      </c>
      <c r="D57" s="2">
        <v>1150</v>
      </c>
      <c r="E57">
        <f>SUMIFS(CA_Feed!F:F, CA_Feed!B:B, B57, CA_Feed!E:E, "*DIVIDEND*", CA_Feed!D:D, "&gt;="&amp;C57)</f>
        <v>1.5</v>
      </c>
      <c r="F57">
        <f t="shared" si="8"/>
        <v>1725</v>
      </c>
      <c r="G57">
        <f t="shared" si="9"/>
        <v>172.5</v>
      </c>
      <c r="H57">
        <f t="shared" si="10"/>
        <v>1552.5</v>
      </c>
      <c r="I57">
        <f>D57 * SUMIFS(CA_Feed!G:G, CA_Feed!B:B, B57, CA_Feed!E:E, "*BONUS*", CA_Feed!D:D, "&gt;="&amp;C57)</f>
        <v>0</v>
      </c>
      <c r="J57">
        <f t="shared" si="11"/>
        <v>0</v>
      </c>
      <c r="K57">
        <f t="shared" si="12"/>
        <v>0</v>
      </c>
      <c r="L57">
        <f>IF(K57&gt;0, K57 * VLOOKUP(B57, CA_Feed!B:N, 13, FALSE), 0)</f>
        <v>0</v>
      </c>
      <c r="M57">
        <f t="shared" si="7"/>
        <v>1552.5</v>
      </c>
      <c r="N57" s="2">
        <f t="shared" si="6"/>
        <v>0</v>
      </c>
      <c r="O57" t="str">
        <f>IF(COUNTIFS(CA_Feed!B:B, B57)=0, "No Action Announced", IF(COUNTIFS(CA_Feed!B:B, B57, CA_Feed!D:D, "&gt;="&amp;C57)&gt;0, "Processed (Eligible)", "Ineligible (Post Ex-Date)"))</f>
        <v>Processed (Eligible)</v>
      </c>
    </row>
    <row r="58" spans="1:15" x14ac:dyDescent="0.3">
      <c r="A58" t="s">
        <v>291</v>
      </c>
      <c r="B58" t="s">
        <v>12</v>
      </c>
      <c r="C58" s="5">
        <v>45217</v>
      </c>
      <c r="D58" s="2">
        <v>80</v>
      </c>
      <c r="E58">
        <f>SUMIFS(CA_Feed!F:F, CA_Feed!B:B, B58, CA_Feed!E:E, "*DIVIDEND*", CA_Feed!D:D, "&gt;="&amp;C58)</f>
        <v>19</v>
      </c>
      <c r="F58">
        <f t="shared" si="8"/>
        <v>1520</v>
      </c>
      <c r="G58">
        <f t="shared" si="9"/>
        <v>152</v>
      </c>
      <c r="H58">
        <f t="shared" si="10"/>
        <v>1368</v>
      </c>
      <c r="I58">
        <f>D58 * SUMIFS(CA_Feed!G:G, CA_Feed!B:B, B58, CA_Feed!E:E, "*BONUS*", CA_Feed!D:D, "&gt;="&amp;C58)</f>
        <v>0</v>
      </c>
      <c r="J58">
        <f t="shared" si="11"/>
        <v>0</v>
      </c>
      <c r="K58">
        <f t="shared" si="12"/>
        <v>0</v>
      </c>
      <c r="L58">
        <f>IF(K58&gt;0, K58 * VLOOKUP(B58, CA_Feed!B:N, 13, FALSE), 0)</f>
        <v>0</v>
      </c>
      <c r="M58">
        <f t="shared" si="7"/>
        <v>1368</v>
      </c>
      <c r="N58" s="2">
        <f t="shared" si="6"/>
        <v>0</v>
      </c>
      <c r="O58" t="str">
        <f>IF(COUNTIFS(CA_Feed!B:B, B58)=0, "No Action Announced", IF(COUNTIFS(CA_Feed!B:B, B58, CA_Feed!D:D, "&gt;="&amp;C58)&gt;0, "Processed (Eligible)", "Ineligible (Post Ex-Date)"))</f>
        <v>Processed (Eligible)</v>
      </c>
    </row>
    <row r="59" spans="1:15" x14ac:dyDescent="0.3">
      <c r="A59" t="s">
        <v>135</v>
      </c>
      <c r="B59" t="s">
        <v>23</v>
      </c>
      <c r="C59" s="5">
        <v>43267</v>
      </c>
      <c r="D59" s="2">
        <v>8100</v>
      </c>
      <c r="E59">
        <f>SUMIFS(CA_Feed!F:F, CA_Feed!B:B, B59, CA_Feed!E:E, "*DIVIDEND*", CA_Feed!D:D, "&gt;="&amp;C59)</f>
        <v>1.5000000000000002</v>
      </c>
      <c r="F59">
        <f t="shared" si="8"/>
        <v>12150.000000000002</v>
      </c>
      <c r="G59">
        <f t="shared" si="9"/>
        <v>1215.0000000000002</v>
      </c>
      <c r="H59">
        <f t="shared" si="10"/>
        <v>10935.000000000002</v>
      </c>
      <c r="I59">
        <f>D59 * SUMIFS(CA_Feed!G:G, CA_Feed!B:B, B59, CA_Feed!E:E, "*BONUS*", CA_Feed!D:D, "&gt;="&amp;C59)</f>
        <v>0</v>
      </c>
      <c r="J59">
        <f t="shared" si="11"/>
        <v>0</v>
      </c>
      <c r="K59">
        <f t="shared" si="12"/>
        <v>0</v>
      </c>
      <c r="L59">
        <f>IF(K59&gt;0, K59 * VLOOKUP(B59, CA_Feed!B:N, 13, FALSE), 0)</f>
        <v>0</v>
      </c>
      <c r="M59">
        <f t="shared" si="7"/>
        <v>10935.000000000002</v>
      </c>
      <c r="N59" s="2">
        <f t="shared" si="6"/>
        <v>0</v>
      </c>
      <c r="O59" t="str">
        <f>IF(COUNTIFS(CA_Feed!B:B, B59)=0, "No Action Announced", IF(COUNTIFS(CA_Feed!B:B, B59, CA_Feed!D:D, "&gt;="&amp;C59)&gt;0, "Processed (Eligible)", "Ineligible (Post Ex-Date)"))</f>
        <v>Processed (Eligible)</v>
      </c>
    </row>
    <row r="60" spans="1:15" x14ac:dyDescent="0.3">
      <c r="A60" t="s">
        <v>529</v>
      </c>
      <c r="B60" t="s">
        <v>12</v>
      </c>
      <c r="C60" s="5">
        <v>43745</v>
      </c>
      <c r="D60" s="2">
        <v>80</v>
      </c>
      <c r="E60">
        <f>SUMIFS(CA_Feed!F:F, CA_Feed!B:B, B60, CA_Feed!E:E, "*DIVIDEND*", CA_Feed!D:D, "&gt;="&amp;C60)</f>
        <v>19</v>
      </c>
      <c r="F60">
        <f t="shared" si="8"/>
        <v>1520</v>
      </c>
      <c r="G60">
        <f t="shared" si="9"/>
        <v>152</v>
      </c>
      <c r="H60">
        <f t="shared" si="10"/>
        <v>1368</v>
      </c>
      <c r="I60">
        <f>D60 * SUMIFS(CA_Feed!G:G, CA_Feed!B:B, B60, CA_Feed!E:E, "*BONUS*", CA_Feed!D:D, "&gt;="&amp;C60)</f>
        <v>0</v>
      </c>
      <c r="J60">
        <f t="shared" si="11"/>
        <v>0</v>
      </c>
      <c r="K60">
        <f t="shared" si="12"/>
        <v>0</v>
      </c>
      <c r="L60">
        <f>IF(K60&gt;0, K60 * VLOOKUP(B60, CA_Feed!B:N, 13, FALSE), 0)</f>
        <v>0</v>
      </c>
      <c r="M60">
        <f t="shared" si="7"/>
        <v>1368</v>
      </c>
      <c r="N60" s="2">
        <f t="shared" si="6"/>
        <v>0</v>
      </c>
      <c r="O60" t="str">
        <f>IF(COUNTIFS(CA_Feed!B:B, B60)=0, "No Action Announced", IF(COUNTIFS(CA_Feed!B:B, B60, CA_Feed!D:D, "&gt;="&amp;C60)&gt;0, "Processed (Eligible)", "Ineligible (Post Ex-Date)"))</f>
        <v>Processed (Eligible)</v>
      </c>
    </row>
    <row r="61" spans="1:15" x14ac:dyDescent="0.3">
      <c r="A61" t="s">
        <v>137</v>
      </c>
      <c r="B61" t="s">
        <v>37</v>
      </c>
      <c r="C61" s="5">
        <v>43846</v>
      </c>
      <c r="D61" s="2">
        <v>2150</v>
      </c>
      <c r="E61">
        <f>SUMIFS(CA_Feed!F:F, CA_Feed!B:B, B61, CA_Feed!E:E, "*DIVIDEND*", CA_Feed!D:D, "&gt;="&amp;C61)</f>
        <v>6.5</v>
      </c>
      <c r="F61">
        <f t="shared" si="8"/>
        <v>13975</v>
      </c>
      <c r="G61">
        <f t="shared" si="9"/>
        <v>1397.5</v>
      </c>
      <c r="H61">
        <f t="shared" si="10"/>
        <v>12577.5</v>
      </c>
      <c r="I61">
        <f>D61 * SUMIFS(CA_Feed!G:G, CA_Feed!B:B, B61, CA_Feed!E:E, "*BONUS*", CA_Feed!D:D, "&gt;="&amp;C61)</f>
        <v>0</v>
      </c>
      <c r="J61">
        <f t="shared" si="11"/>
        <v>0</v>
      </c>
      <c r="K61">
        <f t="shared" si="12"/>
        <v>0</v>
      </c>
      <c r="L61">
        <f>IF(K61&gt;0, K61 * VLOOKUP(B61, CA_Feed!B:N, 13, FALSE), 0)</f>
        <v>0</v>
      </c>
      <c r="M61">
        <f t="shared" si="7"/>
        <v>12577.5</v>
      </c>
      <c r="N61" s="2">
        <f t="shared" si="6"/>
        <v>0</v>
      </c>
      <c r="O61" t="str">
        <f>IF(COUNTIFS(CA_Feed!B:B, B61)=0, "No Action Announced", IF(COUNTIFS(CA_Feed!B:B, B61, CA_Feed!D:D, "&gt;="&amp;C61)&gt;0, "Processed (Eligible)", "Ineligible (Post Ex-Date)"))</f>
        <v>Processed (Eligible)</v>
      </c>
    </row>
    <row r="62" spans="1:15" x14ac:dyDescent="0.3">
      <c r="A62" t="s">
        <v>196</v>
      </c>
      <c r="B62" t="s">
        <v>12</v>
      </c>
      <c r="C62" s="5">
        <v>42990</v>
      </c>
      <c r="D62" s="2">
        <v>80</v>
      </c>
      <c r="E62">
        <f>SUMIFS(CA_Feed!F:F, CA_Feed!B:B, B62, CA_Feed!E:E, "*DIVIDEND*", CA_Feed!D:D, "&gt;="&amp;C62)</f>
        <v>19</v>
      </c>
      <c r="F62">
        <f t="shared" si="8"/>
        <v>1520</v>
      </c>
      <c r="G62">
        <f t="shared" si="9"/>
        <v>152</v>
      </c>
      <c r="H62">
        <f t="shared" si="10"/>
        <v>1368</v>
      </c>
      <c r="I62">
        <f>D62 * SUMIFS(CA_Feed!G:G, CA_Feed!B:B, B62, CA_Feed!E:E, "*BONUS*", CA_Feed!D:D, "&gt;="&amp;C62)</f>
        <v>0</v>
      </c>
      <c r="J62">
        <f t="shared" si="11"/>
        <v>0</v>
      </c>
      <c r="K62">
        <f t="shared" si="12"/>
        <v>0</v>
      </c>
      <c r="L62">
        <f>IF(K62&gt;0, K62 * VLOOKUP(B62, CA_Feed!B:N, 13, FALSE), 0)</f>
        <v>0</v>
      </c>
      <c r="M62">
        <f t="shared" si="7"/>
        <v>1368</v>
      </c>
      <c r="N62" s="2">
        <f t="shared" si="6"/>
        <v>0</v>
      </c>
      <c r="O62" t="str">
        <f>IF(COUNTIFS(CA_Feed!B:B, B62)=0, "No Action Announced", IF(COUNTIFS(CA_Feed!B:B, B62, CA_Feed!D:D, "&gt;="&amp;C62)&gt;0, "Processed (Eligible)", "Ineligible (Post Ex-Date)"))</f>
        <v>Processed (Eligible)</v>
      </c>
    </row>
    <row r="63" spans="1:15" x14ac:dyDescent="0.3">
      <c r="A63" t="s">
        <v>139</v>
      </c>
      <c r="B63" t="s">
        <v>29</v>
      </c>
      <c r="C63" s="5">
        <v>42614</v>
      </c>
      <c r="D63" s="2">
        <v>3450</v>
      </c>
      <c r="E63">
        <f>SUMIFS(CA_Feed!F:F, CA_Feed!B:B, B63, CA_Feed!E:E, "*DIVIDEND*", CA_Feed!D:D, "&gt;="&amp;C63)</f>
        <v>3</v>
      </c>
      <c r="F63">
        <f t="shared" si="8"/>
        <v>10350</v>
      </c>
      <c r="G63">
        <f t="shared" si="9"/>
        <v>1035</v>
      </c>
      <c r="H63">
        <f t="shared" si="10"/>
        <v>9315</v>
      </c>
      <c r="I63">
        <f>D63 * SUMIFS(CA_Feed!G:G, CA_Feed!B:B, B63, CA_Feed!E:E, "*BONUS*", CA_Feed!D:D, "&gt;="&amp;C63)</f>
        <v>0</v>
      </c>
      <c r="J63">
        <f t="shared" si="11"/>
        <v>0</v>
      </c>
      <c r="K63">
        <f t="shared" si="12"/>
        <v>0</v>
      </c>
      <c r="L63">
        <f>IF(K63&gt;0, K63 * VLOOKUP(B63, CA_Feed!B:N, 13, FALSE), 0)</f>
        <v>0</v>
      </c>
      <c r="M63">
        <f t="shared" si="7"/>
        <v>9315</v>
      </c>
      <c r="N63" s="2">
        <f t="shared" si="6"/>
        <v>0</v>
      </c>
      <c r="O63" t="str">
        <f>IF(COUNTIFS(CA_Feed!B:B, B63)=0, "No Action Announced", IF(COUNTIFS(CA_Feed!B:B, B63, CA_Feed!D:D, "&gt;="&amp;C63)&gt;0, "Processed (Eligible)", "Ineligible (Post Ex-Date)"))</f>
        <v>Processed (Eligible)</v>
      </c>
    </row>
    <row r="64" spans="1:15" x14ac:dyDescent="0.3">
      <c r="A64" t="s">
        <v>140</v>
      </c>
      <c r="B64" t="s">
        <v>21</v>
      </c>
      <c r="C64" s="5">
        <v>42472</v>
      </c>
      <c r="D64" s="2">
        <v>5650</v>
      </c>
      <c r="E64">
        <f>SUMIFS(CA_Feed!F:F, CA_Feed!B:B, B64, CA_Feed!E:E, "*DIVIDEND*", CA_Feed!D:D, "&gt;="&amp;C64)</f>
        <v>1</v>
      </c>
      <c r="F64">
        <f t="shared" si="8"/>
        <v>5650</v>
      </c>
      <c r="G64">
        <f t="shared" si="9"/>
        <v>565</v>
      </c>
      <c r="H64">
        <f t="shared" si="10"/>
        <v>5085</v>
      </c>
      <c r="I64">
        <f>D64 * SUMIFS(CA_Feed!G:G, CA_Feed!B:B, B64, CA_Feed!E:E, "*BONUS*", CA_Feed!D:D, "&gt;="&amp;C64)</f>
        <v>0</v>
      </c>
      <c r="J64">
        <f t="shared" si="11"/>
        <v>0</v>
      </c>
      <c r="K64">
        <f t="shared" si="12"/>
        <v>0</v>
      </c>
      <c r="L64">
        <f>IF(K64&gt;0, K64 * VLOOKUP(B64, CA_Feed!B:N, 13, FALSE), 0)</f>
        <v>0</v>
      </c>
      <c r="M64">
        <f t="shared" si="7"/>
        <v>5085</v>
      </c>
      <c r="N64" s="2">
        <f t="shared" si="6"/>
        <v>0</v>
      </c>
      <c r="O64" t="str">
        <f>IF(COUNTIFS(CA_Feed!B:B, B64)=0, "No Action Announced", IF(COUNTIFS(CA_Feed!B:B, B64, CA_Feed!D:D, "&gt;="&amp;C64)&gt;0, "Processed (Eligible)", "Ineligible (Post Ex-Date)"))</f>
        <v>Processed (Eligible)</v>
      </c>
    </row>
    <row r="65" spans="1:15" x14ac:dyDescent="0.3">
      <c r="A65" t="s">
        <v>547</v>
      </c>
      <c r="B65" t="s">
        <v>12</v>
      </c>
      <c r="C65" s="5">
        <v>44330</v>
      </c>
      <c r="D65" s="2">
        <v>80</v>
      </c>
      <c r="E65">
        <f>SUMIFS(CA_Feed!F:F, CA_Feed!B:B, B65, CA_Feed!E:E, "*DIVIDEND*", CA_Feed!D:D, "&gt;="&amp;C65)</f>
        <v>19</v>
      </c>
      <c r="F65">
        <f t="shared" si="8"/>
        <v>1520</v>
      </c>
      <c r="G65">
        <f t="shared" si="9"/>
        <v>152</v>
      </c>
      <c r="H65">
        <f t="shared" si="10"/>
        <v>1368</v>
      </c>
      <c r="I65">
        <f>D65 * SUMIFS(CA_Feed!G:G, CA_Feed!B:B, B65, CA_Feed!E:E, "*BONUS*", CA_Feed!D:D, "&gt;="&amp;C65)</f>
        <v>0</v>
      </c>
      <c r="J65">
        <f t="shared" si="11"/>
        <v>0</v>
      </c>
      <c r="K65">
        <f t="shared" si="12"/>
        <v>0</v>
      </c>
      <c r="L65">
        <f>IF(K65&gt;0, K65 * VLOOKUP(B65, CA_Feed!B:N, 13, FALSE), 0)</f>
        <v>0</v>
      </c>
      <c r="M65">
        <f t="shared" si="7"/>
        <v>1368</v>
      </c>
      <c r="N65" s="2">
        <f t="shared" si="6"/>
        <v>0</v>
      </c>
      <c r="O65" t="str">
        <f>IF(COUNTIFS(CA_Feed!B:B, B65)=0, "No Action Announced", IF(COUNTIFS(CA_Feed!B:B, B65, CA_Feed!D:D, "&gt;="&amp;C65)&gt;0, "Processed (Eligible)", "Ineligible (Post Ex-Date)"))</f>
        <v>Processed (Eligible)</v>
      </c>
    </row>
    <row r="66" spans="1:15" x14ac:dyDescent="0.3">
      <c r="A66" t="s">
        <v>775</v>
      </c>
      <c r="B66" t="s">
        <v>12</v>
      </c>
      <c r="C66" s="5">
        <v>43719</v>
      </c>
      <c r="D66" s="2">
        <v>80</v>
      </c>
      <c r="E66">
        <f>SUMIFS(CA_Feed!F:F, CA_Feed!B:B, B66, CA_Feed!E:E, "*DIVIDEND*", CA_Feed!D:D, "&gt;="&amp;C66)</f>
        <v>19</v>
      </c>
      <c r="F66">
        <f t="shared" si="8"/>
        <v>1520</v>
      </c>
      <c r="G66">
        <f t="shared" si="9"/>
        <v>152</v>
      </c>
      <c r="H66">
        <f t="shared" si="10"/>
        <v>1368</v>
      </c>
      <c r="I66">
        <f>D66 * SUMIFS(CA_Feed!G:G, CA_Feed!B:B, B66, CA_Feed!E:E, "*BONUS*", CA_Feed!D:D, "&gt;="&amp;C66)</f>
        <v>0</v>
      </c>
      <c r="J66">
        <f t="shared" si="11"/>
        <v>0</v>
      </c>
      <c r="K66">
        <f t="shared" si="12"/>
        <v>0</v>
      </c>
      <c r="L66">
        <f>IF(K66&gt;0, K66 * VLOOKUP(B66, CA_Feed!B:N, 13, FALSE), 0)</f>
        <v>0</v>
      </c>
      <c r="M66">
        <f t="shared" si="7"/>
        <v>1368</v>
      </c>
      <c r="N66" s="2">
        <f t="shared" si="6"/>
        <v>0</v>
      </c>
      <c r="O66" t="str">
        <f>IF(COUNTIFS(CA_Feed!B:B, B66)=0, "No Action Announced", IF(COUNTIFS(CA_Feed!B:B, B66, CA_Feed!D:D, "&gt;="&amp;C66)&gt;0, "Processed (Eligible)", "Ineligible (Post Ex-Date)"))</f>
        <v>Processed (Eligible)</v>
      </c>
    </row>
    <row r="67" spans="1:15" x14ac:dyDescent="0.3">
      <c r="A67" t="s">
        <v>598</v>
      </c>
      <c r="B67" t="s">
        <v>12</v>
      </c>
      <c r="C67" s="5">
        <v>43081</v>
      </c>
      <c r="D67" s="2">
        <v>80</v>
      </c>
      <c r="E67">
        <f>SUMIFS(CA_Feed!F:F, CA_Feed!B:B, B67, CA_Feed!E:E, "*DIVIDEND*", CA_Feed!D:D, "&gt;="&amp;C67)</f>
        <v>19</v>
      </c>
      <c r="F67">
        <f t="shared" si="8"/>
        <v>1520</v>
      </c>
      <c r="G67">
        <f t="shared" si="9"/>
        <v>152</v>
      </c>
      <c r="H67">
        <f t="shared" si="10"/>
        <v>1368</v>
      </c>
      <c r="I67">
        <f>D67 * SUMIFS(CA_Feed!G:G, CA_Feed!B:B, B67, CA_Feed!E:E, "*BONUS*", CA_Feed!D:D, "&gt;="&amp;C67)</f>
        <v>0</v>
      </c>
      <c r="J67">
        <f t="shared" si="11"/>
        <v>0</v>
      </c>
      <c r="K67">
        <f t="shared" si="12"/>
        <v>0</v>
      </c>
      <c r="L67">
        <f>IF(K67&gt;0, K67 * VLOOKUP(B67, CA_Feed!B:N, 13, FALSE), 0)</f>
        <v>0</v>
      </c>
      <c r="M67">
        <f t="shared" si="7"/>
        <v>1368</v>
      </c>
      <c r="N67" s="2">
        <f t="shared" ref="N67:N130" si="13">IF(J67&gt;0,D67 +J67,0)</f>
        <v>0</v>
      </c>
      <c r="O67" t="str">
        <f>IF(COUNTIFS(CA_Feed!B:B, B67)=0, "No Action Announced", IF(COUNTIFS(CA_Feed!B:B, B67, CA_Feed!D:D, "&gt;="&amp;C67)&gt;0, "Processed (Eligible)", "Ineligible (Post Ex-Date)"))</f>
        <v>Processed (Eligible)</v>
      </c>
    </row>
    <row r="68" spans="1:15" x14ac:dyDescent="0.3">
      <c r="A68" t="s">
        <v>144</v>
      </c>
      <c r="B68" t="s">
        <v>41</v>
      </c>
      <c r="C68" s="5">
        <v>44868</v>
      </c>
      <c r="D68" s="2">
        <v>5500</v>
      </c>
      <c r="E68">
        <f>SUMIFS(CA_Feed!F:F, CA_Feed!B:B, B68, CA_Feed!E:E, "*DIVIDEND*", CA_Feed!D:D, "&gt;="&amp;C68)</f>
        <v>0.2</v>
      </c>
      <c r="F68">
        <f t="shared" si="8"/>
        <v>1100</v>
      </c>
      <c r="G68">
        <f t="shared" si="9"/>
        <v>110</v>
      </c>
      <c r="H68">
        <f t="shared" si="10"/>
        <v>990</v>
      </c>
      <c r="I68">
        <f>D68 * SUMIFS(CA_Feed!G:G, CA_Feed!B:B, B68, CA_Feed!E:E, "*BONUS*", CA_Feed!D:D, "&gt;="&amp;C68)</f>
        <v>0</v>
      </c>
      <c r="J68">
        <f t="shared" si="11"/>
        <v>0</v>
      </c>
      <c r="K68">
        <f t="shared" si="12"/>
        <v>0</v>
      </c>
      <c r="L68">
        <f>IF(K68&gt;0, K68 * VLOOKUP(B68, CA_Feed!B:N, 13, FALSE), 0)</f>
        <v>0</v>
      </c>
      <c r="M68">
        <f t="shared" si="7"/>
        <v>990</v>
      </c>
      <c r="N68" s="2">
        <f t="shared" si="13"/>
        <v>0</v>
      </c>
      <c r="O68" t="str">
        <f>IF(COUNTIFS(CA_Feed!B:B, B68)=0, "No Action Announced", IF(COUNTIFS(CA_Feed!B:B, B68, CA_Feed!D:D, "&gt;="&amp;C68)&gt;0, "Processed (Eligible)", "Ineligible (Post Ex-Date)"))</f>
        <v>Processed (Eligible)</v>
      </c>
    </row>
    <row r="69" spans="1:15" x14ac:dyDescent="0.3">
      <c r="A69" t="s">
        <v>145</v>
      </c>
      <c r="B69" t="s">
        <v>33</v>
      </c>
      <c r="C69" s="5">
        <v>43722</v>
      </c>
      <c r="D69" s="2">
        <v>4150</v>
      </c>
      <c r="E69">
        <f>SUMIFS(CA_Feed!F:F, CA_Feed!B:B, B69, CA_Feed!E:E, "*DIVIDEND*", CA_Feed!D:D, "&gt;="&amp;C69)</f>
        <v>1.5</v>
      </c>
      <c r="F69">
        <f t="shared" si="8"/>
        <v>6225</v>
      </c>
      <c r="G69">
        <f t="shared" si="9"/>
        <v>622.5</v>
      </c>
      <c r="H69">
        <f t="shared" si="10"/>
        <v>5602.5</v>
      </c>
      <c r="I69">
        <f>D69 * SUMIFS(CA_Feed!G:G, CA_Feed!B:B, B69, CA_Feed!E:E, "*BONUS*", CA_Feed!D:D, "&gt;="&amp;C69)</f>
        <v>0</v>
      </c>
      <c r="J69">
        <f t="shared" si="11"/>
        <v>0</v>
      </c>
      <c r="K69">
        <f t="shared" si="12"/>
        <v>0</v>
      </c>
      <c r="L69">
        <f>IF(K69&gt;0, K69 * VLOOKUP(B69, CA_Feed!B:N, 13, FALSE), 0)</f>
        <v>0</v>
      </c>
      <c r="M69">
        <f t="shared" si="7"/>
        <v>5602.5</v>
      </c>
      <c r="N69" s="2">
        <f t="shared" si="13"/>
        <v>0</v>
      </c>
      <c r="O69" t="str">
        <f>IF(COUNTIFS(CA_Feed!B:B, B69)=0, "No Action Announced", IF(COUNTIFS(CA_Feed!B:B, B69, CA_Feed!D:D, "&gt;="&amp;C69)&gt;0, "Processed (Eligible)", "Ineligible (Post Ex-Date)"))</f>
        <v>Processed (Eligible)</v>
      </c>
    </row>
    <row r="70" spans="1:15" x14ac:dyDescent="0.3">
      <c r="A70" t="s">
        <v>146</v>
      </c>
      <c r="B70" t="s">
        <v>63</v>
      </c>
      <c r="C70" s="5">
        <v>44030</v>
      </c>
      <c r="D70" s="2">
        <v>950</v>
      </c>
      <c r="E70">
        <f>SUMIFS(CA_Feed!F:F, CA_Feed!B:B, B70, CA_Feed!E:E, "*DIVIDEND*", CA_Feed!D:D, "&gt;="&amp;C70)</f>
        <v>0</v>
      </c>
      <c r="F70">
        <f t="shared" si="8"/>
        <v>0</v>
      </c>
      <c r="G70">
        <f t="shared" si="9"/>
        <v>0</v>
      </c>
      <c r="H70">
        <f t="shared" si="10"/>
        <v>0</v>
      </c>
      <c r="I70">
        <f>D70 * SUMIFS(CA_Feed!G:G, CA_Feed!B:B, B70, CA_Feed!E:E, "*BONUS*", CA_Feed!D:D, "&gt;="&amp;C70)</f>
        <v>158.33333333333331</v>
      </c>
      <c r="J70">
        <f t="shared" si="11"/>
        <v>158</v>
      </c>
      <c r="K70">
        <f t="shared" si="12"/>
        <v>0.33333333333331439</v>
      </c>
      <c r="L70">
        <f>IF(K70&gt;0, K70 * VLOOKUP(B70, CA_Feed!B:N, 13, FALSE), 0)</f>
        <v>83.333333333328596</v>
      </c>
      <c r="M70">
        <f t="shared" si="7"/>
        <v>83.333333333328596</v>
      </c>
      <c r="N70" s="2">
        <f t="shared" si="13"/>
        <v>1108</v>
      </c>
      <c r="O70" t="str">
        <f>IF(COUNTIFS(CA_Feed!B:B, B70)=0, "No Action Announced", IF(COUNTIFS(CA_Feed!B:B, B70, CA_Feed!D:D, "&gt;="&amp;C70)&gt;0, "Processed (Eligible)", "Ineligible (Post Ex-Date)"))</f>
        <v>Processed (Eligible)</v>
      </c>
    </row>
    <row r="71" spans="1:15" x14ac:dyDescent="0.3">
      <c r="A71" t="s">
        <v>147</v>
      </c>
      <c r="B71" t="s">
        <v>41</v>
      </c>
      <c r="C71" s="5">
        <v>42047</v>
      </c>
      <c r="D71" s="2">
        <v>5550</v>
      </c>
      <c r="E71">
        <f>SUMIFS(CA_Feed!F:F, CA_Feed!B:B, B71, CA_Feed!E:E, "*DIVIDEND*", CA_Feed!D:D, "&gt;="&amp;C71)</f>
        <v>0.2</v>
      </c>
      <c r="F71">
        <f t="shared" si="8"/>
        <v>1110</v>
      </c>
      <c r="G71">
        <f t="shared" si="9"/>
        <v>111</v>
      </c>
      <c r="H71">
        <f t="shared" si="10"/>
        <v>999</v>
      </c>
      <c r="I71">
        <f>D71 * SUMIFS(CA_Feed!G:G, CA_Feed!B:B, B71, CA_Feed!E:E, "*BONUS*", CA_Feed!D:D, "&gt;="&amp;C71)</f>
        <v>0</v>
      </c>
      <c r="J71">
        <f t="shared" si="11"/>
        <v>0</v>
      </c>
      <c r="K71">
        <f t="shared" si="12"/>
        <v>0</v>
      </c>
      <c r="L71">
        <f>IF(K71&gt;0, K71 * VLOOKUP(B71, CA_Feed!B:N, 13, FALSE), 0)</f>
        <v>0</v>
      </c>
      <c r="M71">
        <f t="shared" si="7"/>
        <v>999</v>
      </c>
      <c r="N71" s="2">
        <f t="shared" si="13"/>
        <v>0</v>
      </c>
      <c r="O71" t="str">
        <f>IF(COUNTIFS(CA_Feed!B:B, B71)=0, "No Action Announced", IF(COUNTIFS(CA_Feed!B:B, B71, CA_Feed!D:D, "&gt;="&amp;C71)&gt;0, "Processed (Eligible)", "Ineligible (Post Ex-Date)"))</f>
        <v>Processed (Eligible)</v>
      </c>
    </row>
    <row r="72" spans="1:15" x14ac:dyDescent="0.3">
      <c r="A72" t="s">
        <v>148</v>
      </c>
      <c r="B72" t="s">
        <v>47</v>
      </c>
      <c r="C72" s="5">
        <v>42126</v>
      </c>
      <c r="D72" s="2">
        <v>3200</v>
      </c>
      <c r="E72">
        <f>SUMIFS(CA_Feed!F:F, CA_Feed!B:B, B72, CA_Feed!E:E, "*DIVIDEND*", CA_Feed!D:D, "&gt;="&amp;C72)</f>
        <v>0.1</v>
      </c>
      <c r="F72">
        <f t="shared" si="8"/>
        <v>320</v>
      </c>
      <c r="G72">
        <f t="shared" si="9"/>
        <v>32</v>
      </c>
      <c r="H72">
        <f t="shared" si="10"/>
        <v>288</v>
      </c>
      <c r="I72">
        <f>D72 * SUMIFS(CA_Feed!G:G, CA_Feed!B:B, B72, CA_Feed!E:E, "*BONUS*", CA_Feed!D:D, "&gt;="&amp;C72)</f>
        <v>0</v>
      </c>
      <c r="J72">
        <f t="shared" si="11"/>
        <v>0</v>
      </c>
      <c r="K72">
        <f t="shared" si="12"/>
        <v>0</v>
      </c>
      <c r="L72">
        <f>IF(K72&gt;0, K72 * VLOOKUP(B72, CA_Feed!B:N, 13, FALSE), 0)</f>
        <v>0</v>
      </c>
      <c r="M72">
        <f t="shared" si="7"/>
        <v>288</v>
      </c>
      <c r="N72" s="2">
        <f t="shared" si="13"/>
        <v>0</v>
      </c>
      <c r="O72" t="str">
        <f>IF(COUNTIFS(CA_Feed!B:B, B72)=0, "No Action Announced", IF(COUNTIFS(CA_Feed!B:B, B72, CA_Feed!D:D, "&gt;="&amp;C72)&gt;0, "Processed (Eligible)", "Ineligible (Post Ex-Date)"))</f>
        <v>Processed (Eligible)</v>
      </c>
    </row>
    <row r="73" spans="1:15" x14ac:dyDescent="0.3">
      <c r="A73" t="s">
        <v>709</v>
      </c>
      <c r="B73" t="s">
        <v>12</v>
      </c>
      <c r="C73" s="5">
        <v>44818</v>
      </c>
      <c r="D73" s="2">
        <v>80</v>
      </c>
      <c r="E73">
        <f>SUMIFS(CA_Feed!F:F, CA_Feed!B:B, B73, CA_Feed!E:E, "*DIVIDEND*", CA_Feed!D:D, "&gt;="&amp;C73)</f>
        <v>19</v>
      </c>
      <c r="F73">
        <f t="shared" si="8"/>
        <v>1520</v>
      </c>
      <c r="G73">
        <f t="shared" si="9"/>
        <v>152</v>
      </c>
      <c r="H73">
        <f t="shared" si="10"/>
        <v>1368</v>
      </c>
      <c r="I73">
        <f>D73 * SUMIFS(CA_Feed!G:G, CA_Feed!B:B, B73, CA_Feed!E:E, "*BONUS*", CA_Feed!D:D, "&gt;="&amp;C73)</f>
        <v>0</v>
      </c>
      <c r="J73">
        <f t="shared" si="11"/>
        <v>0</v>
      </c>
      <c r="K73">
        <f t="shared" si="12"/>
        <v>0</v>
      </c>
      <c r="L73">
        <f>IF(K73&gt;0, K73 * VLOOKUP(B73, CA_Feed!B:N, 13, FALSE), 0)</f>
        <v>0</v>
      </c>
      <c r="M73">
        <f t="shared" si="7"/>
        <v>1368</v>
      </c>
      <c r="N73" s="2">
        <f t="shared" si="13"/>
        <v>0</v>
      </c>
      <c r="O73" t="str">
        <f>IF(COUNTIFS(CA_Feed!B:B, B73)=0, "No Action Announced", IF(COUNTIFS(CA_Feed!B:B, B73, CA_Feed!D:D, "&gt;="&amp;C73)&gt;0, "Processed (Eligible)", "Ineligible (Post Ex-Date)"))</f>
        <v>Processed (Eligible)</v>
      </c>
    </row>
    <row r="74" spans="1:15" x14ac:dyDescent="0.3">
      <c r="A74" t="s">
        <v>150</v>
      </c>
      <c r="B74" t="s">
        <v>19</v>
      </c>
      <c r="C74" s="5">
        <v>44594</v>
      </c>
      <c r="D74" s="2">
        <v>2500</v>
      </c>
      <c r="E74">
        <f>SUMIFS(CA_Feed!F:F, CA_Feed!B:B, B74, CA_Feed!E:E, "*DIVIDEND*", CA_Feed!D:D, "&gt;="&amp;C74)</f>
        <v>1.5</v>
      </c>
      <c r="F74">
        <f t="shared" si="8"/>
        <v>3750</v>
      </c>
      <c r="G74">
        <f t="shared" si="9"/>
        <v>375</v>
      </c>
      <c r="H74">
        <f t="shared" si="10"/>
        <v>3375</v>
      </c>
      <c r="I74">
        <f>D74 * SUMIFS(CA_Feed!G:G, CA_Feed!B:B, B74, CA_Feed!E:E, "*BONUS*", CA_Feed!D:D, "&gt;="&amp;C74)</f>
        <v>0</v>
      </c>
      <c r="J74">
        <f t="shared" si="11"/>
        <v>0</v>
      </c>
      <c r="K74">
        <f t="shared" si="12"/>
        <v>0</v>
      </c>
      <c r="L74">
        <f>IF(K74&gt;0, K74 * VLOOKUP(B74, CA_Feed!B:N, 13, FALSE), 0)</f>
        <v>0</v>
      </c>
      <c r="M74">
        <f t="shared" si="7"/>
        <v>3375</v>
      </c>
      <c r="N74" s="2">
        <f t="shared" si="13"/>
        <v>0</v>
      </c>
      <c r="O74" t="str">
        <f>IF(COUNTIFS(CA_Feed!B:B, B74)=0, "No Action Announced", IF(COUNTIFS(CA_Feed!B:B, B74, CA_Feed!D:D, "&gt;="&amp;C74)&gt;0, "Processed (Eligible)", "Ineligible (Post Ex-Date)"))</f>
        <v>Processed (Eligible)</v>
      </c>
    </row>
    <row r="75" spans="1:15" x14ac:dyDescent="0.3">
      <c r="A75" t="s">
        <v>151</v>
      </c>
      <c r="B75" t="s">
        <v>33</v>
      </c>
      <c r="C75" s="5">
        <v>43366</v>
      </c>
      <c r="D75" s="2">
        <v>450</v>
      </c>
      <c r="E75">
        <f>SUMIFS(CA_Feed!F:F, CA_Feed!B:B, B75, CA_Feed!E:E, "*DIVIDEND*", CA_Feed!D:D, "&gt;="&amp;C75)</f>
        <v>1.5</v>
      </c>
      <c r="F75">
        <f t="shared" si="8"/>
        <v>675</v>
      </c>
      <c r="G75">
        <f t="shared" si="9"/>
        <v>67.5</v>
      </c>
      <c r="H75">
        <f t="shared" si="10"/>
        <v>607.5</v>
      </c>
      <c r="I75">
        <f>D75 * SUMIFS(CA_Feed!G:G, CA_Feed!B:B, B75, CA_Feed!E:E, "*BONUS*", CA_Feed!D:D, "&gt;="&amp;C75)</f>
        <v>0</v>
      </c>
      <c r="J75">
        <f t="shared" si="11"/>
        <v>0</v>
      </c>
      <c r="K75">
        <f t="shared" si="12"/>
        <v>0</v>
      </c>
      <c r="L75">
        <f>IF(K75&gt;0, K75 * VLOOKUP(B75, CA_Feed!B:N, 13, FALSE), 0)</f>
        <v>0</v>
      </c>
      <c r="M75">
        <f t="shared" si="7"/>
        <v>607.5</v>
      </c>
      <c r="N75" s="2">
        <f t="shared" si="13"/>
        <v>0</v>
      </c>
      <c r="O75" t="str">
        <f>IF(COUNTIFS(CA_Feed!B:B, B75)=0, "No Action Announced", IF(COUNTIFS(CA_Feed!B:B, B75, CA_Feed!D:D, "&gt;="&amp;C75)&gt;0, "Processed (Eligible)", "Ineligible (Post Ex-Date)"))</f>
        <v>Processed (Eligible)</v>
      </c>
    </row>
    <row r="76" spans="1:15" x14ac:dyDescent="0.3">
      <c r="A76" t="s">
        <v>152</v>
      </c>
      <c r="B76" t="s">
        <v>16</v>
      </c>
      <c r="C76" s="5">
        <v>42973</v>
      </c>
      <c r="D76" s="2">
        <v>9550</v>
      </c>
      <c r="E76">
        <f>SUMIFS(CA_Feed!F:F, CA_Feed!B:B, B76, CA_Feed!E:E, "*DIVIDEND*", CA_Feed!D:D, "&gt;="&amp;C76)</f>
        <v>3.75</v>
      </c>
      <c r="F76">
        <f t="shared" si="8"/>
        <v>35812.5</v>
      </c>
      <c r="G76">
        <f t="shared" si="9"/>
        <v>3581.25</v>
      </c>
      <c r="H76">
        <f t="shared" si="10"/>
        <v>32231.25</v>
      </c>
      <c r="I76">
        <f>D76 * SUMIFS(CA_Feed!G:G, CA_Feed!B:B, B76, CA_Feed!E:E, "*BONUS*", CA_Feed!D:D, "&gt;="&amp;C76)</f>
        <v>0</v>
      </c>
      <c r="J76">
        <f t="shared" si="11"/>
        <v>0</v>
      </c>
      <c r="K76">
        <f t="shared" si="12"/>
        <v>0</v>
      </c>
      <c r="L76">
        <f>IF(K76&gt;0, K76 * VLOOKUP(B76, CA_Feed!B:N, 13, FALSE), 0)</f>
        <v>0</v>
      </c>
      <c r="M76">
        <f t="shared" si="7"/>
        <v>32231.25</v>
      </c>
      <c r="N76" s="2">
        <f t="shared" si="13"/>
        <v>0</v>
      </c>
      <c r="O76" t="str">
        <f>IF(COUNTIFS(CA_Feed!B:B, B76)=0, "No Action Announced", IF(COUNTIFS(CA_Feed!B:B, B76, CA_Feed!D:D, "&gt;="&amp;C76)&gt;0, "Processed (Eligible)", "Ineligible (Post Ex-Date)"))</f>
        <v>Processed (Eligible)</v>
      </c>
    </row>
    <row r="77" spans="1:15" x14ac:dyDescent="0.3">
      <c r="A77" t="s">
        <v>153</v>
      </c>
      <c r="B77" t="s">
        <v>37</v>
      </c>
      <c r="C77" s="5">
        <v>43667</v>
      </c>
      <c r="D77" s="2">
        <v>4600</v>
      </c>
      <c r="E77">
        <f>SUMIFS(CA_Feed!F:F, CA_Feed!B:B, B77, CA_Feed!E:E, "*DIVIDEND*", CA_Feed!D:D, "&gt;="&amp;C77)</f>
        <v>6.5</v>
      </c>
      <c r="F77">
        <f t="shared" si="8"/>
        <v>29900</v>
      </c>
      <c r="G77">
        <f t="shared" si="9"/>
        <v>2990</v>
      </c>
      <c r="H77">
        <f t="shared" si="10"/>
        <v>26910</v>
      </c>
      <c r="I77">
        <f>D77 * SUMIFS(CA_Feed!G:G, CA_Feed!B:B, B77, CA_Feed!E:E, "*BONUS*", CA_Feed!D:D, "&gt;="&amp;C77)</f>
        <v>0</v>
      </c>
      <c r="J77">
        <f t="shared" si="11"/>
        <v>0</v>
      </c>
      <c r="K77">
        <f t="shared" si="12"/>
        <v>0</v>
      </c>
      <c r="L77">
        <f>IF(K77&gt;0, K77 * VLOOKUP(B77, CA_Feed!B:N, 13, FALSE), 0)</f>
        <v>0</v>
      </c>
      <c r="M77">
        <f t="shared" si="7"/>
        <v>26910</v>
      </c>
      <c r="N77" s="2">
        <f t="shared" si="13"/>
        <v>0</v>
      </c>
      <c r="O77" t="str">
        <f>IF(COUNTIFS(CA_Feed!B:B, B77)=0, "No Action Announced", IF(COUNTIFS(CA_Feed!B:B, B77, CA_Feed!D:D, "&gt;="&amp;C77)&gt;0, "Processed (Eligible)", "Ineligible (Post Ex-Date)"))</f>
        <v>Processed (Eligible)</v>
      </c>
    </row>
    <row r="78" spans="1:15" x14ac:dyDescent="0.3">
      <c r="A78" t="s">
        <v>154</v>
      </c>
      <c r="B78" t="s">
        <v>33</v>
      </c>
      <c r="C78" s="5">
        <v>43668</v>
      </c>
      <c r="D78" s="2">
        <v>5900</v>
      </c>
      <c r="E78">
        <f>SUMIFS(CA_Feed!F:F, CA_Feed!B:B, B78, CA_Feed!E:E, "*DIVIDEND*", CA_Feed!D:D, "&gt;="&amp;C78)</f>
        <v>1.5</v>
      </c>
      <c r="F78">
        <f t="shared" si="8"/>
        <v>8850</v>
      </c>
      <c r="G78">
        <f t="shared" si="9"/>
        <v>885</v>
      </c>
      <c r="H78">
        <f t="shared" si="10"/>
        <v>7965</v>
      </c>
      <c r="I78">
        <f>D78 * SUMIFS(CA_Feed!G:G, CA_Feed!B:B, B78, CA_Feed!E:E, "*BONUS*", CA_Feed!D:D, "&gt;="&amp;C78)</f>
        <v>0</v>
      </c>
      <c r="J78">
        <f t="shared" si="11"/>
        <v>0</v>
      </c>
      <c r="K78">
        <f t="shared" si="12"/>
        <v>0</v>
      </c>
      <c r="L78">
        <f>IF(K78&gt;0, K78 * VLOOKUP(B78, CA_Feed!B:N, 13, FALSE), 0)</f>
        <v>0</v>
      </c>
      <c r="M78">
        <f t="shared" si="7"/>
        <v>7965</v>
      </c>
      <c r="N78" s="2">
        <f t="shared" si="13"/>
        <v>0</v>
      </c>
      <c r="O78" t="str">
        <f>IF(COUNTIFS(CA_Feed!B:B, B78)=0, "No Action Announced", IF(COUNTIFS(CA_Feed!B:B, B78, CA_Feed!D:D, "&gt;="&amp;C78)&gt;0, "Processed (Eligible)", "Ineligible (Post Ex-Date)"))</f>
        <v>Processed (Eligible)</v>
      </c>
    </row>
    <row r="79" spans="1:15" x14ac:dyDescent="0.3">
      <c r="A79" t="s">
        <v>664</v>
      </c>
      <c r="B79" t="s">
        <v>12</v>
      </c>
      <c r="C79" s="5">
        <v>43021</v>
      </c>
      <c r="D79" s="2">
        <v>80</v>
      </c>
      <c r="E79">
        <f>SUMIFS(CA_Feed!F:F, CA_Feed!B:B, B79, CA_Feed!E:E, "*DIVIDEND*", CA_Feed!D:D, "&gt;="&amp;C79)</f>
        <v>19</v>
      </c>
      <c r="F79">
        <f t="shared" si="8"/>
        <v>1520</v>
      </c>
      <c r="G79">
        <f t="shared" si="9"/>
        <v>152</v>
      </c>
      <c r="H79">
        <f t="shared" si="10"/>
        <v>1368</v>
      </c>
      <c r="I79">
        <f>D79 * SUMIFS(CA_Feed!G:G, CA_Feed!B:B, B79, CA_Feed!E:E, "*BONUS*", CA_Feed!D:D, "&gt;="&amp;C79)</f>
        <v>0</v>
      </c>
      <c r="J79">
        <f t="shared" si="11"/>
        <v>0</v>
      </c>
      <c r="K79">
        <f t="shared" si="12"/>
        <v>0</v>
      </c>
      <c r="L79">
        <f>IF(K79&gt;0, K79 * VLOOKUP(B79, CA_Feed!B:N, 13, FALSE), 0)</f>
        <v>0</v>
      </c>
      <c r="M79">
        <f t="shared" si="7"/>
        <v>1368</v>
      </c>
      <c r="N79" s="2">
        <f t="shared" si="13"/>
        <v>0</v>
      </c>
      <c r="O79" t="str">
        <f>IF(COUNTIFS(CA_Feed!B:B, B79)=0, "No Action Announced", IF(COUNTIFS(CA_Feed!B:B, B79, CA_Feed!D:D, "&gt;="&amp;C79)&gt;0, "Processed (Eligible)", "Ineligible (Post Ex-Date)"))</f>
        <v>Processed (Eligible)</v>
      </c>
    </row>
    <row r="80" spans="1:15" x14ac:dyDescent="0.3">
      <c r="A80" t="s">
        <v>156</v>
      </c>
      <c r="B80" t="s">
        <v>41</v>
      </c>
      <c r="C80" s="5">
        <v>44568</v>
      </c>
      <c r="D80" s="2">
        <v>9600</v>
      </c>
      <c r="E80">
        <f>SUMIFS(CA_Feed!F:F, CA_Feed!B:B, B80, CA_Feed!E:E, "*DIVIDEND*", CA_Feed!D:D, "&gt;="&amp;C80)</f>
        <v>0.2</v>
      </c>
      <c r="F80">
        <f t="shared" si="8"/>
        <v>1920</v>
      </c>
      <c r="G80">
        <f t="shared" si="9"/>
        <v>192</v>
      </c>
      <c r="H80">
        <f t="shared" si="10"/>
        <v>1728</v>
      </c>
      <c r="I80">
        <f>D80 * SUMIFS(CA_Feed!G:G, CA_Feed!B:B, B80, CA_Feed!E:E, "*BONUS*", CA_Feed!D:D, "&gt;="&amp;C80)</f>
        <v>0</v>
      </c>
      <c r="J80">
        <f t="shared" si="11"/>
        <v>0</v>
      </c>
      <c r="K80">
        <f t="shared" si="12"/>
        <v>0</v>
      </c>
      <c r="L80">
        <f>IF(K80&gt;0, K80 * VLOOKUP(B80, CA_Feed!B:N, 13, FALSE), 0)</f>
        <v>0</v>
      </c>
      <c r="M80">
        <f t="shared" si="7"/>
        <v>1728</v>
      </c>
      <c r="N80" s="2">
        <f t="shared" si="13"/>
        <v>0</v>
      </c>
      <c r="O80" t="str">
        <f>IF(COUNTIFS(CA_Feed!B:B, B80)=0, "No Action Announced", IF(COUNTIFS(CA_Feed!B:B, B80, CA_Feed!D:D, "&gt;="&amp;C80)&gt;0, "Processed (Eligible)", "Ineligible (Post Ex-Date)"))</f>
        <v>Processed (Eligible)</v>
      </c>
    </row>
    <row r="81" spans="1:15" x14ac:dyDescent="0.3">
      <c r="A81" t="s">
        <v>157</v>
      </c>
      <c r="B81" t="s">
        <v>23</v>
      </c>
      <c r="C81" s="5">
        <v>42455</v>
      </c>
      <c r="D81" s="2">
        <v>2650</v>
      </c>
      <c r="E81">
        <f>SUMIFS(CA_Feed!F:F, CA_Feed!B:B, B81, CA_Feed!E:E, "*DIVIDEND*", CA_Feed!D:D, "&gt;="&amp;C81)</f>
        <v>1.5000000000000002</v>
      </c>
      <c r="F81">
        <f t="shared" si="8"/>
        <v>3975.0000000000005</v>
      </c>
      <c r="G81">
        <f t="shared" si="9"/>
        <v>397.50000000000006</v>
      </c>
      <c r="H81">
        <f t="shared" si="10"/>
        <v>3577.5000000000005</v>
      </c>
      <c r="I81">
        <f>D81 * SUMIFS(CA_Feed!G:G, CA_Feed!B:B, B81, CA_Feed!E:E, "*BONUS*", CA_Feed!D:D, "&gt;="&amp;C81)</f>
        <v>0</v>
      </c>
      <c r="J81">
        <f t="shared" si="11"/>
        <v>0</v>
      </c>
      <c r="K81">
        <f t="shared" si="12"/>
        <v>0</v>
      </c>
      <c r="L81">
        <f>IF(K81&gt;0, K81 * VLOOKUP(B81, CA_Feed!B:N, 13, FALSE), 0)</f>
        <v>0</v>
      </c>
      <c r="M81">
        <f t="shared" si="7"/>
        <v>3577.5000000000005</v>
      </c>
      <c r="N81" s="2">
        <f t="shared" si="13"/>
        <v>0</v>
      </c>
      <c r="O81" t="str">
        <f>IF(COUNTIFS(CA_Feed!B:B, B81)=0, "No Action Announced", IF(COUNTIFS(CA_Feed!B:B, B81, CA_Feed!D:D, "&gt;="&amp;C81)&gt;0, "Processed (Eligible)", "Ineligible (Post Ex-Date)"))</f>
        <v>Processed (Eligible)</v>
      </c>
    </row>
    <row r="82" spans="1:15" x14ac:dyDescent="0.3">
      <c r="A82" t="s">
        <v>158</v>
      </c>
      <c r="B82" t="s">
        <v>45</v>
      </c>
      <c r="C82" s="5">
        <v>44491</v>
      </c>
      <c r="D82" s="2">
        <v>3150</v>
      </c>
      <c r="E82">
        <f>SUMIFS(CA_Feed!F:F, CA_Feed!B:B, B82, CA_Feed!E:E, "*DIVIDEND*", CA_Feed!D:D, "&gt;="&amp;C82)</f>
        <v>2.5</v>
      </c>
      <c r="F82">
        <f t="shared" si="8"/>
        <v>7875</v>
      </c>
      <c r="G82">
        <f t="shared" si="9"/>
        <v>787.5</v>
      </c>
      <c r="H82">
        <f t="shared" si="10"/>
        <v>7087.5</v>
      </c>
      <c r="I82">
        <f>D82 * SUMIFS(CA_Feed!G:G, CA_Feed!B:B, B82, CA_Feed!E:E, "*BONUS*", CA_Feed!D:D, "&gt;="&amp;C82)</f>
        <v>0</v>
      </c>
      <c r="J82">
        <f t="shared" si="11"/>
        <v>0</v>
      </c>
      <c r="K82">
        <f t="shared" si="12"/>
        <v>0</v>
      </c>
      <c r="L82">
        <f>IF(K82&gt;0, K82 * VLOOKUP(B82, CA_Feed!B:N, 13, FALSE), 0)</f>
        <v>0</v>
      </c>
      <c r="M82">
        <f t="shared" si="7"/>
        <v>7087.5</v>
      </c>
      <c r="N82" s="2">
        <f t="shared" si="13"/>
        <v>0</v>
      </c>
      <c r="O82" t="str">
        <f>IF(COUNTIFS(CA_Feed!B:B, B82)=0, "No Action Announced", IF(COUNTIFS(CA_Feed!B:B, B82, CA_Feed!D:D, "&gt;="&amp;C82)&gt;0, "Processed (Eligible)", "Ineligible (Post Ex-Date)"))</f>
        <v>Processed (Eligible)</v>
      </c>
    </row>
    <row r="83" spans="1:15" x14ac:dyDescent="0.3">
      <c r="A83" t="s">
        <v>159</v>
      </c>
      <c r="B83" t="s">
        <v>21</v>
      </c>
      <c r="C83" s="5">
        <v>44995</v>
      </c>
      <c r="D83" s="2">
        <v>5600</v>
      </c>
      <c r="E83">
        <f>SUMIFS(CA_Feed!F:F, CA_Feed!B:B, B83, CA_Feed!E:E, "*DIVIDEND*", CA_Feed!D:D, "&gt;="&amp;C83)</f>
        <v>1</v>
      </c>
      <c r="F83">
        <f t="shared" si="8"/>
        <v>5600</v>
      </c>
      <c r="G83">
        <f t="shared" si="9"/>
        <v>560</v>
      </c>
      <c r="H83">
        <f t="shared" si="10"/>
        <v>5040</v>
      </c>
      <c r="I83">
        <f>D83 * SUMIFS(CA_Feed!G:G, CA_Feed!B:B, B83, CA_Feed!E:E, "*BONUS*", CA_Feed!D:D, "&gt;="&amp;C83)</f>
        <v>0</v>
      </c>
      <c r="J83">
        <f t="shared" si="11"/>
        <v>0</v>
      </c>
      <c r="K83">
        <f t="shared" si="12"/>
        <v>0</v>
      </c>
      <c r="L83">
        <f>IF(K83&gt;0, K83 * VLOOKUP(B83, CA_Feed!B:N, 13, FALSE), 0)</f>
        <v>0</v>
      </c>
      <c r="M83">
        <f t="shared" si="7"/>
        <v>5040</v>
      </c>
      <c r="N83" s="2">
        <f t="shared" si="13"/>
        <v>0</v>
      </c>
      <c r="O83" t="str">
        <f>IF(COUNTIFS(CA_Feed!B:B, B83)=0, "No Action Announced", IF(COUNTIFS(CA_Feed!B:B, B83, CA_Feed!D:D, "&gt;="&amp;C83)&gt;0, "Processed (Eligible)", "Ineligible (Post Ex-Date)"))</f>
        <v>Processed (Eligible)</v>
      </c>
    </row>
    <row r="84" spans="1:15" x14ac:dyDescent="0.3">
      <c r="A84" t="s">
        <v>634</v>
      </c>
      <c r="B84" t="s">
        <v>12</v>
      </c>
      <c r="C84" s="5">
        <v>43932</v>
      </c>
      <c r="D84" s="2">
        <v>80</v>
      </c>
      <c r="E84">
        <f>SUMIFS(CA_Feed!F:F, CA_Feed!B:B, B84, CA_Feed!E:E, "*DIVIDEND*", CA_Feed!D:D, "&gt;="&amp;C84)</f>
        <v>19</v>
      </c>
      <c r="F84">
        <f t="shared" si="8"/>
        <v>1520</v>
      </c>
      <c r="G84">
        <f t="shared" si="9"/>
        <v>152</v>
      </c>
      <c r="H84">
        <f t="shared" si="10"/>
        <v>1368</v>
      </c>
      <c r="I84">
        <f>D84 * SUMIFS(CA_Feed!G:G, CA_Feed!B:B, B84, CA_Feed!E:E, "*BONUS*", CA_Feed!D:D, "&gt;="&amp;C84)</f>
        <v>0</v>
      </c>
      <c r="J84">
        <f t="shared" si="11"/>
        <v>0</v>
      </c>
      <c r="K84">
        <f t="shared" si="12"/>
        <v>0</v>
      </c>
      <c r="L84">
        <f>IF(K84&gt;0, K84 * VLOOKUP(B84, CA_Feed!B:N, 13, FALSE), 0)</f>
        <v>0</v>
      </c>
      <c r="M84">
        <f t="shared" si="7"/>
        <v>1368</v>
      </c>
      <c r="N84" s="2">
        <f t="shared" si="13"/>
        <v>0</v>
      </c>
      <c r="O84" t="str">
        <f>IF(COUNTIFS(CA_Feed!B:B, B84)=0, "No Action Announced", IF(COUNTIFS(CA_Feed!B:B, B84, CA_Feed!D:D, "&gt;="&amp;C84)&gt;0, "Processed (Eligible)", "Ineligible (Post Ex-Date)"))</f>
        <v>Processed (Eligible)</v>
      </c>
    </row>
    <row r="85" spans="1:15" x14ac:dyDescent="0.3">
      <c r="A85" t="s">
        <v>161</v>
      </c>
      <c r="B85" t="s">
        <v>39</v>
      </c>
      <c r="C85" s="5">
        <v>44353</v>
      </c>
      <c r="D85" s="2">
        <v>5050</v>
      </c>
      <c r="E85">
        <f>SUMIFS(CA_Feed!F:F, CA_Feed!B:B, B85, CA_Feed!E:E, "*DIVIDEND*", CA_Feed!D:D, "&gt;="&amp;C85)</f>
        <v>1.2</v>
      </c>
      <c r="F85">
        <f t="shared" si="8"/>
        <v>6060</v>
      </c>
      <c r="G85">
        <f t="shared" si="9"/>
        <v>606</v>
      </c>
      <c r="H85">
        <f t="shared" si="10"/>
        <v>5454</v>
      </c>
      <c r="I85">
        <f>D85 * SUMIFS(CA_Feed!G:G, CA_Feed!B:B, B85, CA_Feed!E:E, "*BONUS*", CA_Feed!D:D, "&gt;="&amp;C85)</f>
        <v>0</v>
      </c>
      <c r="J85">
        <f t="shared" si="11"/>
        <v>0</v>
      </c>
      <c r="K85">
        <f t="shared" si="12"/>
        <v>0</v>
      </c>
      <c r="L85">
        <f>IF(K85&gt;0, K85 * VLOOKUP(B85, CA_Feed!B:N, 13, FALSE), 0)</f>
        <v>0</v>
      </c>
      <c r="M85">
        <f t="shared" si="7"/>
        <v>5454</v>
      </c>
      <c r="N85" s="2">
        <f t="shared" si="13"/>
        <v>0</v>
      </c>
      <c r="O85" t="str">
        <f>IF(COUNTIFS(CA_Feed!B:B, B85)=0, "No Action Announced", IF(COUNTIFS(CA_Feed!B:B, B85, CA_Feed!D:D, "&gt;="&amp;C85)&gt;0, "Processed (Eligible)", "Ineligible (Post Ex-Date)"))</f>
        <v>Processed (Eligible)</v>
      </c>
    </row>
    <row r="86" spans="1:15" x14ac:dyDescent="0.3">
      <c r="A86" t="s">
        <v>162</v>
      </c>
      <c r="B86" t="s">
        <v>53</v>
      </c>
      <c r="C86" s="5">
        <v>43267</v>
      </c>
      <c r="D86" s="2">
        <v>6800</v>
      </c>
      <c r="E86">
        <f>SUMIFS(CA_Feed!F:F, CA_Feed!B:B, B86, CA_Feed!E:E, "*DIVIDEND*", CA_Feed!D:D, "&gt;="&amp;C86)</f>
        <v>7.0000000000000007E-2</v>
      </c>
      <c r="F86">
        <f t="shared" si="8"/>
        <v>476.00000000000006</v>
      </c>
      <c r="G86">
        <f t="shared" si="9"/>
        <v>47.600000000000009</v>
      </c>
      <c r="H86">
        <f t="shared" si="10"/>
        <v>428.40000000000003</v>
      </c>
      <c r="I86">
        <f>D86 * SUMIFS(CA_Feed!G:G, CA_Feed!B:B, B86, CA_Feed!E:E, "*BONUS*", CA_Feed!D:D, "&gt;="&amp;C86)</f>
        <v>0</v>
      </c>
      <c r="J86">
        <f t="shared" si="11"/>
        <v>0</v>
      </c>
      <c r="K86">
        <f t="shared" si="12"/>
        <v>0</v>
      </c>
      <c r="L86">
        <f>IF(K86&gt;0, K86 * VLOOKUP(B86, CA_Feed!B:N, 13, FALSE), 0)</f>
        <v>0</v>
      </c>
      <c r="M86">
        <f t="shared" si="7"/>
        <v>428.40000000000003</v>
      </c>
      <c r="N86" s="2">
        <f t="shared" si="13"/>
        <v>0</v>
      </c>
      <c r="O86" t="str">
        <f>IF(COUNTIFS(CA_Feed!B:B, B86)=0, "No Action Announced", IF(COUNTIFS(CA_Feed!B:B, B86, CA_Feed!D:D, "&gt;="&amp;C86)&gt;0, "Processed (Eligible)", "Ineligible (Post Ex-Date)"))</f>
        <v>Processed (Eligible)</v>
      </c>
    </row>
    <row r="87" spans="1:15" x14ac:dyDescent="0.3">
      <c r="A87" t="s">
        <v>163</v>
      </c>
      <c r="B87" t="s">
        <v>33</v>
      </c>
      <c r="C87" s="5">
        <v>42794</v>
      </c>
      <c r="D87" s="2">
        <v>2900</v>
      </c>
      <c r="E87">
        <f>SUMIFS(CA_Feed!F:F, CA_Feed!B:B, B87, CA_Feed!E:E, "*DIVIDEND*", CA_Feed!D:D, "&gt;="&amp;C87)</f>
        <v>1.5</v>
      </c>
      <c r="F87">
        <f t="shared" si="8"/>
        <v>4350</v>
      </c>
      <c r="G87">
        <f t="shared" si="9"/>
        <v>435</v>
      </c>
      <c r="H87">
        <f t="shared" si="10"/>
        <v>3915</v>
      </c>
      <c r="I87">
        <f>D87 * SUMIFS(CA_Feed!G:G, CA_Feed!B:B, B87, CA_Feed!E:E, "*BONUS*", CA_Feed!D:D, "&gt;="&amp;C87)</f>
        <v>0</v>
      </c>
      <c r="J87">
        <f t="shared" si="11"/>
        <v>0</v>
      </c>
      <c r="K87">
        <f t="shared" si="12"/>
        <v>0</v>
      </c>
      <c r="L87">
        <f>IF(K87&gt;0, K87 * VLOOKUP(B87, CA_Feed!B:N, 13, FALSE), 0)</f>
        <v>0</v>
      </c>
      <c r="M87">
        <f t="shared" si="7"/>
        <v>3915</v>
      </c>
      <c r="N87" s="2">
        <f t="shared" si="13"/>
        <v>0</v>
      </c>
      <c r="O87" t="str">
        <f>IF(COUNTIFS(CA_Feed!B:B, B87)=0, "No Action Announced", IF(COUNTIFS(CA_Feed!B:B, B87, CA_Feed!D:D, "&gt;="&amp;C87)&gt;0, "Processed (Eligible)", "Ineligible (Post Ex-Date)"))</f>
        <v>Processed (Eligible)</v>
      </c>
    </row>
    <row r="88" spans="1:15" x14ac:dyDescent="0.3">
      <c r="A88" t="s">
        <v>136</v>
      </c>
      <c r="B88" t="s">
        <v>12</v>
      </c>
      <c r="C88" s="5">
        <v>42872</v>
      </c>
      <c r="D88" s="2">
        <v>80</v>
      </c>
      <c r="E88">
        <f>SUMIFS(CA_Feed!F:F, CA_Feed!B:B, B88, CA_Feed!E:E, "*DIVIDEND*", CA_Feed!D:D, "&gt;="&amp;C88)</f>
        <v>19</v>
      </c>
      <c r="F88">
        <f t="shared" si="8"/>
        <v>1520</v>
      </c>
      <c r="G88">
        <f t="shared" si="9"/>
        <v>152</v>
      </c>
      <c r="H88">
        <f t="shared" si="10"/>
        <v>1368</v>
      </c>
      <c r="I88">
        <f>D88 * SUMIFS(CA_Feed!G:G, CA_Feed!B:B, B88, CA_Feed!E:E, "*BONUS*", CA_Feed!D:D, "&gt;="&amp;C88)</f>
        <v>0</v>
      </c>
      <c r="J88">
        <f t="shared" si="11"/>
        <v>0</v>
      </c>
      <c r="K88">
        <f t="shared" si="12"/>
        <v>0</v>
      </c>
      <c r="L88">
        <f>IF(K88&gt;0, K88 * VLOOKUP(B88, CA_Feed!B:N, 13, FALSE), 0)</f>
        <v>0</v>
      </c>
      <c r="M88">
        <f t="shared" si="7"/>
        <v>1368</v>
      </c>
      <c r="N88" s="2">
        <f t="shared" si="13"/>
        <v>0</v>
      </c>
      <c r="O88" t="str">
        <f>IF(COUNTIFS(CA_Feed!B:B, B88)=0, "No Action Announced", IF(COUNTIFS(CA_Feed!B:B, B88, CA_Feed!D:D, "&gt;="&amp;C88)&gt;0, "Processed (Eligible)", "Ineligible (Post Ex-Date)"))</f>
        <v>Processed (Eligible)</v>
      </c>
    </row>
    <row r="89" spans="1:15" x14ac:dyDescent="0.3">
      <c r="A89" t="s">
        <v>165</v>
      </c>
      <c r="B89" t="s">
        <v>31</v>
      </c>
      <c r="C89" s="5">
        <v>43633</v>
      </c>
      <c r="D89" s="2">
        <v>400</v>
      </c>
      <c r="E89">
        <f>SUMIFS(CA_Feed!F:F, CA_Feed!B:B, B89, CA_Feed!E:E, "*DIVIDEND*", CA_Feed!D:D, "&gt;="&amp;C89)</f>
        <v>3</v>
      </c>
      <c r="F89">
        <f t="shared" si="8"/>
        <v>1200</v>
      </c>
      <c r="G89">
        <f t="shared" si="9"/>
        <v>120</v>
      </c>
      <c r="H89">
        <f t="shared" si="10"/>
        <v>1080</v>
      </c>
      <c r="I89">
        <f>D89 * SUMIFS(CA_Feed!G:G, CA_Feed!B:B, B89, CA_Feed!E:E, "*BONUS*", CA_Feed!D:D, "&gt;="&amp;C89)</f>
        <v>0</v>
      </c>
      <c r="J89">
        <f t="shared" si="11"/>
        <v>0</v>
      </c>
      <c r="K89">
        <f t="shared" si="12"/>
        <v>0</v>
      </c>
      <c r="L89">
        <f>IF(K89&gt;0, K89 * VLOOKUP(B89, CA_Feed!B:N, 13, FALSE), 0)</f>
        <v>0</v>
      </c>
      <c r="M89">
        <f t="shared" si="7"/>
        <v>1080</v>
      </c>
      <c r="N89" s="2">
        <f t="shared" si="13"/>
        <v>0</v>
      </c>
      <c r="O89" t="str">
        <f>IF(COUNTIFS(CA_Feed!B:B, B89)=0, "No Action Announced", IF(COUNTIFS(CA_Feed!B:B, B89, CA_Feed!D:D, "&gt;="&amp;C89)&gt;0, "Processed (Eligible)", "Ineligible (Post Ex-Date)"))</f>
        <v>Processed (Eligible)</v>
      </c>
    </row>
    <row r="90" spans="1:15" x14ac:dyDescent="0.3">
      <c r="A90" t="s">
        <v>535</v>
      </c>
      <c r="B90" t="s">
        <v>12</v>
      </c>
      <c r="C90" s="5">
        <v>42745</v>
      </c>
      <c r="D90" s="2">
        <v>80</v>
      </c>
      <c r="E90">
        <f>SUMIFS(CA_Feed!F:F, CA_Feed!B:B, B90, CA_Feed!E:E, "*DIVIDEND*", CA_Feed!D:D, "&gt;="&amp;C90)</f>
        <v>19</v>
      </c>
      <c r="F90">
        <f t="shared" si="8"/>
        <v>1520</v>
      </c>
      <c r="G90">
        <f t="shared" si="9"/>
        <v>152</v>
      </c>
      <c r="H90">
        <f t="shared" si="10"/>
        <v>1368</v>
      </c>
      <c r="I90">
        <f>D90 * SUMIFS(CA_Feed!G:G, CA_Feed!B:B, B90, CA_Feed!E:E, "*BONUS*", CA_Feed!D:D, "&gt;="&amp;C90)</f>
        <v>0</v>
      </c>
      <c r="J90">
        <f t="shared" si="11"/>
        <v>0</v>
      </c>
      <c r="K90">
        <f t="shared" si="12"/>
        <v>0</v>
      </c>
      <c r="L90">
        <f>IF(K90&gt;0, K90 * VLOOKUP(B90, CA_Feed!B:N, 13, FALSE), 0)</f>
        <v>0</v>
      </c>
      <c r="M90">
        <f t="shared" si="7"/>
        <v>1368</v>
      </c>
      <c r="N90" s="2">
        <f t="shared" si="13"/>
        <v>0</v>
      </c>
      <c r="O90" t="str">
        <f>IF(COUNTIFS(CA_Feed!B:B, B90)=0, "No Action Announced", IF(COUNTIFS(CA_Feed!B:B, B90, CA_Feed!D:D, "&gt;="&amp;C90)&gt;0, "Processed (Eligible)", "Ineligible (Post Ex-Date)"))</f>
        <v>Processed (Eligible)</v>
      </c>
    </row>
    <row r="91" spans="1:15" x14ac:dyDescent="0.3">
      <c r="A91" t="s">
        <v>167</v>
      </c>
      <c r="B91" t="s">
        <v>16</v>
      </c>
      <c r="C91" s="5">
        <v>44281</v>
      </c>
      <c r="D91" s="2">
        <v>3250</v>
      </c>
      <c r="E91">
        <f>SUMIFS(CA_Feed!F:F, CA_Feed!B:B, B91, CA_Feed!E:E, "*DIVIDEND*", CA_Feed!D:D, "&gt;="&amp;C91)</f>
        <v>3.75</v>
      </c>
      <c r="F91">
        <f t="shared" si="8"/>
        <v>12187.5</v>
      </c>
      <c r="G91">
        <f t="shared" si="9"/>
        <v>1218.75</v>
      </c>
      <c r="H91">
        <f t="shared" si="10"/>
        <v>10968.75</v>
      </c>
      <c r="I91">
        <f>D91 * SUMIFS(CA_Feed!G:G, CA_Feed!B:B, B91, CA_Feed!E:E, "*BONUS*", CA_Feed!D:D, "&gt;="&amp;C91)</f>
        <v>0</v>
      </c>
      <c r="J91">
        <f t="shared" si="11"/>
        <v>0</v>
      </c>
      <c r="K91">
        <f t="shared" si="12"/>
        <v>0</v>
      </c>
      <c r="L91">
        <f>IF(K91&gt;0, K91 * VLOOKUP(B91, CA_Feed!B:N, 13, FALSE), 0)</f>
        <v>0</v>
      </c>
      <c r="M91">
        <f t="shared" si="7"/>
        <v>10968.75</v>
      </c>
      <c r="N91" s="2">
        <f t="shared" si="13"/>
        <v>0</v>
      </c>
      <c r="O91" t="str">
        <f>IF(COUNTIFS(CA_Feed!B:B, B91)=0, "No Action Announced", IF(COUNTIFS(CA_Feed!B:B, B91, CA_Feed!D:D, "&gt;="&amp;C91)&gt;0, "Processed (Eligible)", "Ineligible (Post Ex-Date)"))</f>
        <v>Processed (Eligible)</v>
      </c>
    </row>
    <row r="92" spans="1:15" x14ac:dyDescent="0.3">
      <c r="A92" t="s">
        <v>115</v>
      </c>
      <c r="B92" t="s">
        <v>12</v>
      </c>
      <c r="C92" s="5">
        <v>46241</v>
      </c>
      <c r="D92" s="2">
        <v>3350</v>
      </c>
      <c r="E92">
        <f>SUMIFS(CA_Feed!F:F, CA_Feed!B:B, B92, CA_Feed!E:E, "*DIVIDEND*", CA_Feed!D:D, "&gt;="&amp;C92)</f>
        <v>0</v>
      </c>
      <c r="F92">
        <f t="shared" si="8"/>
        <v>0</v>
      </c>
      <c r="G92">
        <f t="shared" si="9"/>
        <v>0</v>
      </c>
      <c r="H92">
        <f t="shared" si="10"/>
        <v>0</v>
      </c>
      <c r="I92">
        <f>D92 * SUMIFS(CA_Feed!G:G, CA_Feed!B:B, B92, CA_Feed!E:E, "*BONUS*", CA_Feed!D:D, "&gt;="&amp;C92)</f>
        <v>0</v>
      </c>
      <c r="J92">
        <f t="shared" si="11"/>
        <v>0</v>
      </c>
      <c r="K92">
        <f t="shared" si="12"/>
        <v>0</v>
      </c>
      <c r="L92">
        <f>IF(K92&gt;0, K92 * VLOOKUP(B92, CA_Feed!B:N, 13, FALSE), 0)</f>
        <v>0</v>
      </c>
      <c r="M92">
        <f t="shared" si="7"/>
        <v>0</v>
      </c>
      <c r="N92" s="2">
        <f t="shared" si="13"/>
        <v>0</v>
      </c>
      <c r="O92" t="str">
        <f>IF(COUNTIFS(CA_Feed!B:B, B92)=0, "No Action Announced", IF(COUNTIFS(CA_Feed!B:B, B92, CA_Feed!D:D, "&gt;="&amp;C92)&gt;0, "Processed (Eligible)", "Ineligible (Post Ex-Date)"))</f>
        <v>Ineligible (Post Ex-Date)</v>
      </c>
    </row>
    <row r="93" spans="1:15" x14ac:dyDescent="0.3">
      <c r="A93" t="s">
        <v>593</v>
      </c>
      <c r="B93" t="s">
        <v>12</v>
      </c>
      <c r="C93" s="5">
        <v>46241</v>
      </c>
      <c r="D93" s="2">
        <v>3200</v>
      </c>
      <c r="E93">
        <f>SUMIFS(CA_Feed!F:F, CA_Feed!B:B, B93, CA_Feed!E:E, "*DIVIDEND*", CA_Feed!D:D, "&gt;="&amp;C93)</f>
        <v>0</v>
      </c>
      <c r="F93">
        <f t="shared" si="8"/>
        <v>0</v>
      </c>
      <c r="G93">
        <f t="shared" si="9"/>
        <v>0</v>
      </c>
      <c r="H93">
        <f t="shared" si="10"/>
        <v>0</v>
      </c>
      <c r="I93">
        <f>D93 * SUMIFS(CA_Feed!G:G, CA_Feed!B:B, B93, CA_Feed!E:E, "*BONUS*", CA_Feed!D:D, "&gt;="&amp;C93)</f>
        <v>0</v>
      </c>
      <c r="J93">
        <f t="shared" si="11"/>
        <v>0</v>
      </c>
      <c r="K93">
        <f t="shared" si="12"/>
        <v>0</v>
      </c>
      <c r="L93">
        <f>IF(K93&gt;0, K93 * VLOOKUP(B93, CA_Feed!B:N, 13, FALSE), 0)</f>
        <v>0</v>
      </c>
      <c r="M93">
        <f t="shared" si="7"/>
        <v>0</v>
      </c>
      <c r="N93" s="2">
        <f t="shared" si="13"/>
        <v>0</v>
      </c>
      <c r="O93" t="str">
        <f>IF(COUNTIFS(CA_Feed!B:B, B93)=0, "No Action Announced", IF(COUNTIFS(CA_Feed!B:B, B93, CA_Feed!D:D, "&gt;="&amp;C93)&gt;0, "Processed (Eligible)", "Ineligible (Post Ex-Date)"))</f>
        <v>Ineligible (Post Ex-Date)</v>
      </c>
    </row>
    <row r="94" spans="1:15" x14ac:dyDescent="0.3">
      <c r="A94" t="s">
        <v>170</v>
      </c>
      <c r="B94" t="s">
        <v>27</v>
      </c>
      <c r="C94" s="5">
        <v>44026</v>
      </c>
      <c r="D94" s="2">
        <v>400</v>
      </c>
      <c r="E94">
        <f>SUMIFS(CA_Feed!F:F, CA_Feed!B:B, B94, CA_Feed!E:E, "*DIVIDEND*", CA_Feed!D:D, "&gt;="&amp;C94)</f>
        <v>3.25</v>
      </c>
      <c r="F94">
        <f t="shared" si="8"/>
        <v>1300</v>
      </c>
      <c r="G94">
        <f t="shared" si="9"/>
        <v>130</v>
      </c>
      <c r="H94">
        <f t="shared" si="10"/>
        <v>1170</v>
      </c>
      <c r="I94">
        <f>D94 * SUMIFS(CA_Feed!G:G, CA_Feed!B:B, B94, CA_Feed!E:E, "*BONUS*", CA_Feed!D:D, "&gt;="&amp;C94)</f>
        <v>0</v>
      </c>
      <c r="J94">
        <f t="shared" si="11"/>
        <v>0</v>
      </c>
      <c r="K94">
        <f t="shared" si="12"/>
        <v>0</v>
      </c>
      <c r="L94">
        <f>IF(K94&gt;0, K94 * VLOOKUP(B94, CA_Feed!B:N, 13, FALSE), 0)</f>
        <v>0</v>
      </c>
      <c r="M94">
        <f t="shared" si="7"/>
        <v>1170</v>
      </c>
      <c r="N94" s="2">
        <f t="shared" si="13"/>
        <v>0</v>
      </c>
      <c r="O94" t="str">
        <f>IF(COUNTIFS(CA_Feed!B:B, B94)=0, "No Action Announced", IF(COUNTIFS(CA_Feed!B:B, B94, CA_Feed!D:D, "&gt;="&amp;C94)&gt;0, "Processed (Eligible)", "Ineligible (Post Ex-Date)"))</f>
        <v>Processed (Eligible)</v>
      </c>
    </row>
    <row r="95" spans="1:15" x14ac:dyDescent="0.3">
      <c r="A95" t="s">
        <v>171</v>
      </c>
      <c r="B95" t="s">
        <v>23</v>
      </c>
      <c r="C95" s="5">
        <v>44233</v>
      </c>
      <c r="D95" s="2">
        <v>3850</v>
      </c>
      <c r="E95">
        <f>SUMIFS(CA_Feed!F:F, CA_Feed!B:B, B95, CA_Feed!E:E, "*DIVIDEND*", CA_Feed!D:D, "&gt;="&amp;C95)</f>
        <v>1.5000000000000002</v>
      </c>
      <c r="F95">
        <f t="shared" si="8"/>
        <v>5775.0000000000009</v>
      </c>
      <c r="G95">
        <f t="shared" si="9"/>
        <v>577.50000000000011</v>
      </c>
      <c r="H95">
        <f t="shared" si="10"/>
        <v>5197.5000000000009</v>
      </c>
      <c r="I95">
        <f>D95 * SUMIFS(CA_Feed!G:G, CA_Feed!B:B, B95, CA_Feed!E:E, "*BONUS*", CA_Feed!D:D, "&gt;="&amp;C95)</f>
        <v>0</v>
      </c>
      <c r="J95">
        <f t="shared" si="11"/>
        <v>0</v>
      </c>
      <c r="K95">
        <f t="shared" si="12"/>
        <v>0</v>
      </c>
      <c r="L95">
        <f>IF(K95&gt;0, K95 * VLOOKUP(B95, CA_Feed!B:N, 13, FALSE), 0)</f>
        <v>0</v>
      </c>
      <c r="M95">
        <f t="shared" si="7"/>
        <v>5197.5000000000009</v>
      </c>
      <c r="N95" s="2">
        <f t="shared" si="13"/>
        <v>0</v>
      </c>
      <c r="O95" t="str">
        <f>IF(COUNTIFS(CA_Feed!B:B, B95)=0, "No Action Announced", IF(COUNTIFS(CA_Feed!B:B, B95, CA_Feed!D:D, "&gt;="&amp;C95)&gt;0, "Processed (Eligible)", "Ineligible (Post Ex-Date)"))</f>
        <v>Processed (Eligible)</v>
      </c>
    </row>
    <row r="96" spans="1:15" x14ac:dyDescent="0.3">
      <c r="A96" t="s">
        <v>172</v>
      </c>
      <c r="B96" t="s">
        <v>35</v>
      </c>
      <c r="C96" s="5">
        <v>44999</v>
      </c>
      <c r="D96" s="2">
        <v>8750</v>
      </c>
      <c r="E96">
        <f>SUMIFS(CA_Feed!F:F, CA_Feed!B:B, B96, CA_Feed!E:E, "*DIVIDEND*", CA_Feed!D:D, "&gt;="&amp;C96)</f>
        <v>1</v>
      </c>
      <c r="F96">
        <f t="shared" si="8"/>
        <v>8750</v>
      </c>
      <c r="G96">
        <f t="shared" si="9"/>
        <v>875</v>
      </c>
      <c r="H96">
        <f t="shared" si="10"/>
        <v>7875</v>
      </c>
      <c r="I96">
        <f>D96 * SUMIFS(CA_Feed!G:G, CA_Feed!B:B, B96, CA_Feed!E:E, "*BONUS*", CA_Feed!D:D, "&gt;="&amp;C96)</f>
        <v>0</v>
      </c>
      <c r="J96">
        <f t="shared" si="11"/>
        <v>0</v>
      </c>
      <c r="K96">
        <f t="shared" si="12"/>
        <v>0</v>
      </c>
      <c r="L96">
        <f>IF(K96&gt;0, K96 * VLOOKUP(B96, CA_Feed!B:N, 13, FALSE), 0)</f>
        <v>0</v>
      </c>
      <c r="M96">
        <f t="shared" si="7"/>
        <v>7875</v>
      </c>
      <c r="N96" s="2">
        <f t="shared" si="13"/>
        <v>0</v>
      </c>
      <c r="O96" t="str">
        <f>IF(COUNTIFS(CA_Feed!B:B, B96)=0, "No Action Announced", IF(COUNTIFS(CA_Feed!B:B, B96, CA_Feed!D:D, "&gt;="&amp;C96)&gt;0, "Processed (Eligible)", "Ineligible (Post Ex-Date)"))</f>
        <v>Processed (Eligible)</v>
      </c>
    </row>
    <row r="97" spans="1:15" x14ac:dyDescent="0.3">
      <c r="A97" t="s">
        <v>486</v>
      </c>
      <c r="B97" t="s">
        <v>12</v>
      </c>
      <c r="C97" s="5">
        <v>46241</v>
      </c>
      <c r="D97" s="2">
        <v>3200</v>
      </c>
      <c r="E97">
        <f>SUMIFS(CA_Feed!F:F, CA_Feed!B:B, B97, CA_Feed!E:E, "*DIVIDEND*", CA_Feed!D:D, "&gt;="&amp;C97)</f>
        <v>0</v>
      </c>
      <c r="F97">
        <f t="shared" si="8"/>
        <v>0</v>
      </c>
      <c r="G97">
        <f t="shared" si="9"/>
        <v>0</v>
      </c>
      <c r="H97">
        <f t="shared" si="10"/>
        <v>0</v>
      </c>
      <c r="I97">
        <f>D97 * SUMIFS(CA_Feed!G:G, CA_Feed!B:B, B97, CA_Feed!E:E, "*BONUS*", CA_Feed!D:D, "&gt;="&amp;C97)</f>
        <v>0</v>
      </c>
      <c r="J97">
        <f t="shared" si="11"/>
        <v>0</v>
      </c>
      <c r="K97">
        <f t="shared" si="12"/>
        <v>0</v>
      </c>
      <c r="L97">
        <f>IF(K97&gt;0, K97 * VLOOKUP(B97, CA_Feed!B:N, 13, FALSE), 0)</f>
        <v>0</v>
      </c>
      <c r="M97">
        <f t="shared" si="7"/>
        <v>0</v>
      </c>
      <c r="N97" s="2">
        <f t="shared" si="13"/>
        <v>0</v>
      </c>
      <c r="O97" t="str">
        <f>IF(COUNTIFS(CA_Feed!B:B, B97)=0, "No Action Announced", IF(COUNTIFS(CA_Feed!B:B, B97, CA_Feed!D:D, "&gt;="&amp;C97)&gt;0, "Processed (Eligible)", "Ineligible (Post Ex-Date)"))</f>
        <v>Ineligible (Post Ex-Date)</v>
      </c>
    </row>
    <row r="98" spans="1:15" x14ac:dyDescent="0.3">
      <c r="A98" t="s">
        <v>174</v>
      </c>
      <c r="B98" t="s">
        <v>25</v>
      </c>
      <c r="C98" s="5">
        <v>42806</v>
      </c>
      <c r="D98" s="2">
        <v>6250</v>
      </c>
      <c r="E98">
        <f>SUMIFS(CA_Feed!F:F, CA_Feed!B:B, B98, CA_Feed!E:E, "*DIVIDEND*", CA_Feed!D:D, "&gt;="&amp;C98)</f>
        <v>2.5</v>
      </c>
      <c r="F98">
        <f t="shared" si="8"/>
        <v>15625</v>
      </c>
      <c r="G98">
        <f t="shared" si="9"/>
        <v>1562.5</v>
      </c>
      <c r="H98">
        <f t="shared" si="10"/>
        <v>14062.5</v>
      </c>
      <c r="I98">
        <f>D98 * SUMIFS(CA_Feed!G:G, CA_Feed!B:B, B98, CA_Feed!E:E, "*BONUS*", CA_Feed!D:D, "&gt;="&amp;C98)</f>
        <v>0</v>
      </c>
      <c r="J98">
        <f t="shared" si="11"/>
        <v>0</v>
      </c>
      <c r="K98">
        <f t="shared" si="12"/>
        <v>0</v>
      </c>
      <c r="L98">
        <f>IF(K98&gt;0, K98 * VLOOKUP(B98, CA_Feed!B:N, 13, FALSE), 0)</f>
        <v>0</v>
      </c>
      <c r="M98">
        <f t="shared" si="7"/>
        <v>14062.5</v>
      </c>
      <c r="N98" s="2">
        <f t="shared" si="13"/>
        <v>0</v>
      </c>
      <c r="O98" t="str">
        <f>IF(COUNTIFS(CA_Feed!B:B, B98)=0, "No Action Announced", IF(COUNTIFS(CA_Feed!B:B, B98, CA_Feed!D:D, "&gt;="&amp;C98)&gt;0, "Processed (Eligible)", "Ineligible (Post Ex-Date)"))</f>
        <v>Processed (Eligible)</v>
      </c>
    </row>
    <row r="99" spans="1:15" x14ac:dyDescent="0.3">
      <c r="A99" t="s">
        <v>837</v>
      </c>
      <c r="B99" t="s">
        <v>12</v>
      </c>
      <c r="C99" s="5">
        <v>46241</v>
      </c>
      <c r="D99" s="2">
        <v>3150</v>
      </c>
      <c r="E99">
        <f>SUMIFS(CA_Feed!F:F, CA_Feed!B:B, B99, CA_Feed!E:E, "*DIVIDEND*", CA_Feed!D:D, "&gt;="&amp;C99)</f>
        <v>0</v>
      </c>
      <c r="F99">
        <f t="shared" si="8"/>
        <v>0</v>
      </c>
      <c r="G99">
        <f t="shared" si="9"/>
        <v>0</v>
      </c>
      <c r="H99">
        <f t="shared" si="10"/>
        <v>0</v>
      </c>
      <c r="I99">
        <f>D99 * SUMIFS(CA_Feed!G:G, CA_Feed!B:B, B99, CA_Feed!E:E, "*BONUS*", CA_Feed!D:D, "&gt;="&amp;C99)</f>
        <v>0</v>
      </c>
      <c r="J99">
        <f t="shared" si="11"/>
        <v>0</v>
      </c>
      <c r="K99">
        <f t="shared" si="12"/>
        <v>0</v>
      </c>
      <c r="L99">
        <f>IF(K99&gt;0, K99 * VLOOKUP(B99, CA_Feed!B:N, 13, FALSE), 0)</f>
        <v>0</v>
      </c>
      <c r="M99">
        <f t="shared" si="7"/>
        <v>0</v>
      </c>
      <c r="N99" s="2">
        <f t="shared" si="13"/>
        <v>0</v>
      </c>
      <c r="O99" t="str">
        <f>IF(COUNTIFS(CA_Feed!B:B, B99)=0, "No Action Announced", IF(COUNTIFS(CA_Feed!B:B, B99, CA_Feed!D:D, "&gt;="&amp;C99)&gt;0, "Processed (Eligible)", "Ineligible (Post Ex-Date)"))</f>
        <v>Ineligible (Post Ex-Date)</v>
      </c>
    </row>
    <row r="100" spans="1:15" x14ac:dyDescent="0.3">
      <c r="A100" t="s">
        <v>176</v>
      </c>
      <c r="B100" t="s">
        <v>43</v>
      </c>
      <c r="C100" s="5">
        <v>43321</v>
      </c>
      <c r="D100" s="2">
        <v>8450</v>
      </c>
      <c r="E100">
        <f>SUMIFS(CA_Feed!F:F, CA_Feed!B:B, B100, CA_Feed!E:E, "*DIVIDEND*", CA_Feed!D:D, "&gt;="&amp;C100)</f>
        <v>1.35</v>
      </c>
      <c r="F100">
        <f t="shared" si="8"/>
        <v>11407.5</v>
      </c>
      <c r="G100">
        <f t="shared" si="9"/>
        <v>1140.75</v>
      </c>
      <c r="H100">
        <f t="shared" si="10"/>
        <v>10266.75</v>
      </c>
      <c r="I100">
        <f>D100 * SUMIFS(CA_Feed!G:G, CA_Feed!B:B, B100, CA_Feed!E:E, "*BONUS*", CA_Feed!D:D, "&gt;="&amp;C100)</f>
        <v>0</v>
      </c>
      <c r="J100">
        <f t="shared" si="11"/>
        <v>0</v>
      </c>
      <c r="K100">
        <f t="shared" si="12"/>
        <v>0</v>
      </c>
      <c r="L100">
        <f>IF(K100&gt;0, K100 * VLOOKUP(B100, CA_Feed!B:N, 13, FALSE), 0)</f>
        <v>0</v>
      </c>
      <c r="M100">
        <f t="shared" si="7"/>
        <v>10266.75</v>
      </c>
      <c r="N100" s="2">
        <f t="shared" si="13"/>
        <v>0</v>
      </c>
      <c r="O100" t="str">
        <f>IF(COUNTIFS(CA_Feed!B:B, B100)=0, "No Action Announced", IF(COUNTIFS(CA_Feed!B:B, B100, CA_Feed!D:D, "&gt;="&amp;C100)&gt;0, "Processed (Eligible)", "Ineligible (Post Ex-Date)"))</f>
        <v>Processed (Eligible)</v>
      </c>
    </row>
    <row r="101" spans="1:15" x14ac:dyDescent="0.3">
      <c r="A101" t="s">
        <v>753</v>
      </c>
      <c r="B101" t="s">
        <v>12</v>
      </c>
      <c r="C101" s="5">
        <v>46241</v>
      </c>
      <c r="D101" s="2">
        <v>3150</v>
      </c>
      <c r="E101">
        <f>SUMIFS(CA_Feed!F:F, CA_Feed!B:B, B101, CA_Feed!E:E, "*DIVIDEND*", CA_Feed!D:D, "&gt;="&amp;C101)</f>
        <v>0</v>
      </c>
      <c r="F101">
        <f t="shared" si="8"/>
        <v>0</v>
      </c>
      <c r="G101">
        <f t="shared" si="9"/>
        <v>0</v>
      </c>
      <c r="H101">
        <f t="shared" si="10"/>
        <v>0</v>
      </c>
      <c r="I101">
        <f>D101 * SUMIFS(CA_Feed!G:G, CA_Feed!B:B, B101, CA_Feed!E:E, "*BONUS*", CA_Feed!D:D, "&gt;="&amp;C101)</f>
        <v>0</v>
      </c>
      <c r="J101">
        <f t="shared" si="11"/>
        <v>0</v>
      </c>
      <c r="K101">
        <f t="shared" si="12"/>
        <v>0</v>
      </c>
      <c r="L101">
        <f>IF(K101&gt;0, K101 * VLOOKUP(B101, CA_Feed!B:N, 13, FALSE), 0)</f>
        <v>0</v>
      </c>
      <c r="M101">
        <f t="shared" si="7"/>
        <v>0</v>
      </c>
      <c r="N101" s="2">
        <f t="shared" si="13"/>
        <v>0</v>
      </c>
      <c r="O101" t="str">
        <f>IF(COUNTIFS(CA_Feed!B:B, B101)=0, "No Action Announced", IF(COUNTIFS(CA_Feed!B:B, B101, CA_Feed!D:D, "&gt;="&amp;C101)&gt;0, "Processed (Eligible)", "Ineligible (Post Ex-Date)"))</f>
        <v>Ineligible (Post Ex-Date)</v>
      </c>
    </row>
    <row r="102" spans="1:15" x14ac:dyDescent="0.3">
      <c r="A102" t="s">
        <v>178</v>
      </c>
      <c r="B102" t="s">
        <v>37</v>
      </c>
      <c r="C102" s="5">
        <v>43184</v>
      </c>
      <c r="D102" s="2">
        <v>1350</v>
      </c>
      <c r="E102">
        <f>SUMIFS(CA_Feed!F:F, CA_Feed!B:B, B102, CA_Feed!E:E, "*DIVIDEND*", CA_Feed!D:D, "&gt;="&amp;C102)</f>
        <v>6.5</v>
      </c>
      <c r="F102">
        <f t="shared" si="8"/>
        <v>8775</v>
      </c>
      <c r="G102">
        <f t="shared" si="9"/>
        <v>877.5</v>
      </c>
      <c r="H102">
        <f t="shared" si="10"/>
        <v>7897.5</v>
      </c>
      <c r="I102">
        <f>D102 * SUMIFS(CA_Feed!G:G, CA_Feed!B:B, B102, CA_Feed!E:E, "*BONUS*", CA_Feed!D:D, "&gt;="&amp;C102)</f>
        <v>0</v>
      </c>
      <c r="J102">
        <f t="shared" si="11"/>
        <v>0</v>
      </c>
      <c r="K102">
        <f t="shared" si="12"/>
        <v>0</v>
      </c>
      <c r="L102">
        <f>IF(K102&gt;0, K102 * VLOOKUP(B102, CA_Feed!B:N, 13, FALSE), 0)</f>
        <v>0</v>
      </c>
      <c r="M102">
        <f t="shared" si="7"/>
        <v>7897.5</v>
      </c>
      <c r="N102" s="2">
        <f t="shared" si="13"/>
        <v>0</v>
      </c>
      <c r="O102" t="str">
        <f>IF(COUNTIFS(CA_Feed!B:B, B102)=0, "No Action Announced", IF(COUNTIFS(CA_Feed!B:B, B102, CA_Feed!D:D, "&gt;="&amp;C102)&gt;0, "Processed (Eligible)", "Ineligible (Post Ex-Date)"))</f>
        <v>Processed (Eligible)</v>
      </c>
    </row>
    <row r="103" spans="1:15" x14ac:dyDescent="0.3">
      <c r="A103" t="s">
        <v>179</v>
      </c>
      <c r="B103" t="s">
        <v>45</v>
      </c>
      <c r="C103" s="5">
        <v>44463</v>
      </c>
      <c r="D103" s="2">
        <v>1050</v>
      </c>
      <c r="E103">
        <f>SUMIFS(CA_Feed!F:F, CA_Feed!B:B, B103, CA_Feed!E:E, "*DIVIDEND*", CA_Feed!D:D, "&gt;="&amp;C103)</f>
        <v>2.5</v>
      </c>
      <c r="F103">
        <f t="shared" si="8"/>
        <v>2625</v>
      </c>
      <c r="G103">
        <f t="shared" si="9"/>
        <v>262.5</v>
      </c>
      <c r="H103">
        <f t="shared" si="10"/>
        <v>2362.5</v>
      </c>
      <c r="I103">
        <f>D103 * SUMIFS(CA_Feed!G:G, CA_Feed!B:B, B103, CA_Feed!E:E, "*BONUS*", CA_Feed!D:D, "&gt;="&amp;C103)</f>
        <v>0</v>
      </c>
      <c r="J103">
        <f t="shared" si="11"/>
        <v>0</v>
      </c>
      <c r="K103">
        <f t="shared" si="12"/>
        <v>0</v>
      </c>
      <c r="L103">
        <f>IF(K103&gt;0, K103 * VLOOKUP(B103, CA_Feed!B:N, 13, FALSE), 0)</f>
        <v>0</v>
      </c>
      <c r="M103">
        <f t="shared" si="7"/>
        <v>2362.5</v>
      </c>
      <c r="N103" s="2">
        <f t="shared" si="13"/>
        <v>0</v>
      </c>
      <c r="O103" t="str">
        <f>IF(COUNTIFS(CA_Feed!B:B, B103)=0, "No Action Announced", IF(COUNTIFS(CA_Feed!B:B, B103, CA_Feed!D:D, "&gt;="&amp;C103)&gt;0, "Processed (Eligible)", "Ineligible (Post Ex-Date)"))</f>
        <v>Processed (Eligible)</v>
      </c>
    </row>
    <row r="104" spans="1:15" x14ac:dyDescent="0.3">
      <c r="A104" t="s">
        <v>180</v>
      </c>
      <c r="B104" t="s">
        <v>31</v>
      </c>
      <c r="C104" s="5">
        <v>42990</v>
      </c>
      <c r="D104" s="2">
        <v>8400</v>
      </c>
      <c r="E104">
        <f>SUMIFS(CA_Feed!F:F, CA_Feed!B:B, B104, CA_Feed!E:E, "*DIVIDEND*", CA_Feed!D:D, "&gt;="&amp;C104)</f>
        <v>3</v>
      </c>
      <c r="F104">
        <f t="shared" si="8"/>
        <v>25200</v>
      </c>
      <c r="G104">
        <f t="shared" si="9"/>
        <v>2520</v>
      </c>
      <c r="H104">
        <f t="shared" si="10"/>
        <v>22680</v>
      </c>
      <c r="I104">
        <f>D104 * SUMIFS(CA_Feed!G:G, CA_Feed!B:B, B104, CA_Feed!E:E, "*BONUS*", CA_Feed!D:D, "&gt;="&amp;C104)</f>
        <v>0</v>
      </c>
      <c r="J104">
        <f t="shared" si="11"/>
        <v>0</v>
      </c>
      <c r="K104">
        <f t="shared" si="12"/>
        <v>0</v>
      </c>
      <c r="L104">
        <f>IF(K104&gt;0, K104 * VLOOKUP(B104, CA_Feed!B:N, 13, FALSE), 0)</f>
        <v>0</v>
      </c>
      <c r="M104">
        <f t="shared" si="7"/>
        <v>22680</v>
      </c>
      <c r="N104" s="2">
        <f t="shared" si="13"/>
        <v>0</v>
      </c>
      <c r="O104" t="str">
        <f>IF(COUNTIFS(CA_Feed!B:B, B104)=0, "No Action Announced", IF(COUNTIFS(CA_Feed!B:B, B104, CA_Feed!D:D, "&gt;="&amp;C104)&gt;0, "Processed (Eligible)", "Ineligible (Post Ex-Date)"))</f>
        <v>Processed (Eligible)</v>
      </c>
    </row>
    <row r="105" spans="1:15" x14ac:dyDescent="0.3">
      <c r="A105" t="s">
        <v>181</v>
      </c>
      <c r="B105" t="s">
        <v>39</v>
      </c>
      <c r="C105" s="5">
        <v>43004</v>
      </c>
      <c r="D105" s="2">
        <v>2250</v>
      </c>
      <c r="E105">
        <f>SUMIFS(CA_Feed!F:F, CA_Feed!B:B, B105, CA_Feed!E:E, "*DIVIDEND*", CA_Feed!D:D, "&gt;="&amp;C105)</f>
        <v>1.2</v>
      </c>
      <c r="F105">
        <f t="shared" si="8"/>
        <v>2700</v>
      </c>
      <c r="G105">
        <f t="shared" si="9"/>
        <v>270</v>
      </c>
      <c r="H105">
        <f t="shared" si="10"/>
        <v>2430</v>
      </c>
      <c r="I105">
        <f>D105 * SUMIFS(CA_Feed!G:G, CA_Feed!B:B, B105, CA_Feed!E:E, "*BONUS*", CA_Feed!D:D, "&gt;="&amp;C105)</f>
        <v>0</v>
      </c>
      <c r="J105">
        <f t="shared" si="11"/>
        <v>0</v>
      </c>
      <c r="K105">
        <f t="shared" si="12"/>
        <v>0</v>
      </c>
      <c r="L105">
        <f>IF(K105&gt;0, K105 * VLOOKUP(B105, CA_Feed!B:N, 13, FALSE), 0)</f>
        <v>0</v>
      </c>
      <c r="M105">
        <f t="shared" ref="M105:M153" si="14">H105 + L105</f>
        <v>2430</v>
      </c>
      <c r="N105" s="2">
        <f t="shared" si="13"/>
        <v>0</v>
      </c>
      <c r="O105" t="str">
        <f>IF(COUNTIFS(CA_Feed!B:B, B105)=0, "No Action Announced", IF(COUNTIFS(CA_Feed!B:B, B105, CA_Feed!D:D, "&gt;="&amp;C105)&gt;0, "Processed (Eligible)", "Ineligible (Post Ex-Date)"))</f>
        <v>Processed (Eligible)</v>
      </c>
    </row>
    <row r="106" spans="1:15" x14ac:dyDescent="0.3">
      <c r="A106" t="s">
        <v>182</v>
      </c>
      <c r="B106" t="s">
        <v>29</v>
      </c>
      <c r="C106" s="5">
        <v>45126</v>
      </c>
      <c r="D106" s="2">
        <v>4650</v>
      </c>
      <c r="E106">
        <f>SUMIFS(CA_Feed!F:F, CA_Feed!B:B, B106, CA_Feed!E:E, "*DIVIDEND*", CA_Feed!D:D, "&gt;="&amp;C106)</f>
        <v>3</v>
      </c>
      <c r="F106">
        <f t="shared" ref="F106:F153" si="15">D106 * E106</f>
        <v>13950</v>
      </c>
      <c r="G106">
        <f t="shared" ref="G106:G153" si="16">F106 * 0.1</f>
        <v>1395</v>
      </c>
      <c r="H106">
        <f t="shared" ref="H106:H153" si="17">F106 - G106</f>
        <v>12555</v>
      </c>
      <c r="I106">
        <f>D106 * SUMIFS(CA_Feed!G:G, CA_Feed!B:B, B106, CA_Feed!E:E, "*BONUS*", CA_Feed!D:D, "&gt;="&amp;C106)</f>
        <v>0</v>
      </c>
      <c r="J106">
        <f t="shared" ref="J106:J153" si="18">INT(I106)</f>
        <v>0</v>
      </c>
      <c r="K106">
        <f t="shared" ref="K106:K153" si="19">I106-J106</f>
        <v>0</v>
      </c>
      <c r="L106">
        <f>IF(K106&gt;0, K106 * VLOOKUP(B106, CA_Feed!B:N, 13, FALSE), 0)</f>
        <v>0</v>
      </c>
      <c r="M106">
        <f t="shared" si="14"/>
        <v>12555</v>
      </c>
      <c r="N106" s="2">
        <f t="shared" si="13"/>
        <v>0</v>
      </c>
      <c r="O106" t="str">
        <f>IF(COUNTIFS(CA_Feed!B:B, B106)=0, "No Action Announced", IF(COUNTIFS(CA_Feed!B:B, B106, CA_Feed!D:D, "&gt;="&amp;C106)&gt;0, "Processed (Eligible)", "Ineligible (Post Ex-Date)"))</f>
        <v>Processed (Eligible)</v>
      </c>
    </row>
    <row r="107" spans="1:15" x14ac:dyDescent="0.3">
      <c r="A107" t="s">
        <v>183</v>
      </c>
      <c r="B107" t="s">
        <v>27</v>
      </c>
      <c r="C107" s="5">
        <v>44511</v>
      </c>
      <c r="D107" s="2">
        <v>600</v>
      </c>
      <c r="E107">
        <f>SUMIFS(CA_Feed!F:F, CA_Feed!B:B, B107, CA_Feed!E:E, "*DIVIDEND*", CA_Feed!D:D, "&gt;="&amp;C107)</f>
        <v>3.25</v>
      </c>
      <c r="F107">
        <f t="shared" si="15"/>
        <v>1950</v>
      </c>
      <c r="G107">
        <f t="shared" si="16"/>
        <v>195</v>
      </c>
      <c r="H107">
        <f t="shared" si="17"/>
        <v>1755</v>
      </c>
      <c r="I107">
        <f>D107 * SUMIFS(CA_Feed!G:G, CA_Feed!B:B, B107, CA_Feed!E:E, "*BONUS*", CA_Feed!D:D, "&gt;="&amp;C107)</f>
        <v>0</v>
      </c>
      <c r="J107">
        <f t="shared" si="18"/>
        <v>0</v>
      </c>
      <c r="K107">
        <f t="shared" si="19"/>
        <v>0</v>
      </c>
      <c r="L107">
        <f>IF(K107&gt;0, K107 * VLOOKUP(B107, CA_Feed!B:N, 13, FALSE), 0)</f>
        <v>0</v>
      </c>
      <c r="M107">
        <f t="shared" si="14"/>
        <v>1755</v>
      </c>
      <c r="N107" s="2">
        <f t="shared" si="13"/>
        <v>0</v>
      </c>
      <c r="O107" t="str">
        <f>IF(COUNTIFS(CA_Feed!B:B, B107)=0, "No Action Announced", IF(COUNTIFS(CA_Feed!B:B, B107, CA_Feed!D:D, "&gt;="&amp;C107)&gt;0, "Processed (Eligible)", "Ineligible (Post Ex-Date)"))</f>
        <v>Processed (Eligible)</v>
      </c>
    </row>
    <row r="108" spans="1:15" x14ac:dyDescent="0.3">
      <c r="A108" t="s">
        <v>184</v>
      </c>
      <c r="B108" t="s">
        <v>25</v>
      </c>
      <c r="C108" s="5">
        <v>43260</v>
      </c>
      <c r="D108" s="2">
        <v>9750</v>
      </c>
      <c r="E108">
        <f>SUMIFS(CA_Feed!F:F, CA_Feed!B:B, B108, CA_Feed!E:E, "*DIVIDEND*", CA_Feed!D:D, "&gt;="&amp;C108)</f>
        <v>2.5</v>
      </c>
      <c r="F108">
        <f t="shared" si="15"/>
        <v>24375</v>
      </c>
      <c r="G108">
        <f t="shared" si="16"/>
        <v>2437.5</v>
      </c>
      <c r="H108">
        <f t="shared" si="17"/>
        <v>21937.5</v>
      </c>
      <c r="I108">
        <f>D108 * SUMIFS(CA_Feed!G:G, CA_Feed!B:B, B108, CA_Feed!E:E, "*BONUS*", CA_Feed!D:D, "&gt;="&amp;C108)</f>
        <v>0</v>
      </c>
      <c r="J108">
        <f t="shared" si="18"/>
        <v>0</v>
      </c>
      <c r="K108">
        <f t="shared" si="19"/>
        <v>0</v>
      </c>
      <c r="L108">
        <f>IF(K108&gt;0, K108 * VLOOKUP(B108, CA_Feed!B:N, 13, FALSE), 0)</f>
        <v>0</v>
      </c>
      <c r="M108">
        <f t="shared" si="14"/>
        <v>21937.5</v>
      </c>
      <c r="N108" s="2">
        <f t="shared" si="13"/>
        <v>0</v>
      </c>
      <c r="O108" t="str">
        <f>IF(COUNTIFS(CA_Feed!B:B, B108)=0, "No Action Announced", IF(COUNTIFS(CA_Feed!B:B, B108, CA_Feed!D:D, "&gt;="&amp;C108)&gt;0, "Processed (Eligible)", "Ineligible (Post Ex-Date)"))</f>
        <v>Processed (Eligible)</v>
      </c>
    </row>
    <row r="109" spans="1:15" x14ac:dyDescent="0.3">
      <c r="A109" t="s">
        <v>185</v>
      </c>
      <c r="B109" t="s">
        <v>37</v>
      </c>
      <c r="C109" s="5">
        <v>42865</v>
      </c>
      <c r="D109" s="2">
        <v>3600</v>
      </c>
      <c r="E109">
        <f>SUMIFS(CA_Feed!F:F, CA_Feed!B:B, B109, CA_Feed!E:E, "*DIVIDEND*", CA_Feed!D:D, "&gt;="&amp;C109)</f>
        <v>6.5</v>
      </c>
      <c r="F109">
        <f t="shared" si="15"/>
        <v>23400</v>
      </c>
      <c r="G109">
        <f t="shared" si="16"/>
        <v>2340</v>
      </c>
      <c r="H109">
        <f t="shared" si="17"/>
        <v>21060</v>
      </c>
      <c r="I109">
        <f>D109 * SUMIFS(CA_Feed!G:G, CA_Feed!B:B, B109, CA_Feed!E:E, "*BONUS*", CA_Feed!D:D, "&gt;="&amp;C109)</f>
        <v>0</v>
      </c>
      <c r="J109">
        <f t="shared" si="18"/>
        <v>0</v>
      </c>
      <c r="K109">
        <f t="shared" si="19"/>
        <v>0</v>
      </c>
      <c r="L109">
        <f>IF(K109&gt;0, K109 * VLOOKUP(B109, CA_Feed!B:N, 13, FALSE), 0)</f>
        <v>0</v>
      </c>
      <c r="M109">
        <f t="shared" si="14"/>
        <v>21060</v>
      </c>
      <c r="N109" s="2">
        <f t="shared" si="13"/>
        <v>0</v>
      </c>
      <c r="O109" t="str">
        <f>IF(COUNTIFS(CA_Feed!B:B, B109)=0, "No Action Announced", IF(COUNTIFS(CA_Feed!B:B, B109, CA_Feed!D:D, "&gt;="&amp;C109)&gt;0, "Processed (Eligible)", "Ineligible (Post Ex-Date)"))</f>
        <v>Processed (Eligible)</v>
      </c>
    </row>
    <row r="110" spans="1:15" x14ac:dyDescent="0.3">
      <c r="A110" t="s">
        <v>641</v>
      </c>
      <c r="B110" t="s">
        <v>12</v>
      </c>
      <c r="C110" s="5">
        <v>46241</v>
      </c>
      <c r="D110" s="2">
        <v>3100</v>
      </c>
      <c r="E110">
        <f>SUMIFS(CA_Feed!F:F, CA_Feed!B:B, B110, CA_Feed!E:E, "*DIVIDEND*", CA_Feed!D:D, "&gt;="&amp;C110)</f>
        <v>0</v>
      </c>
      <c r="F110">
        <f t="shared" si="15"/>
        <v>0</v>
      </c>
      <c r="G110">
        <f t="shared" si="16"/>
        <v>0</v>
      </c>
      <c r="H110">
        <f t="shared" si="17"/>
        <v>0</v>
      </c>
      <c r="I110">
        <f>D110 * SUMIFS(CA_Feed!G:G, CA_Feed!B:B, B110, CA_Feed!E:E, "*BONUS*", CA_Feed!D:D, "&gt;="&amp;C110)</f>
        <v>0</v>
      </c>
      <c r="J110">
        <f t="shared" si="18"/>
        <v>0</v>
      </c>
      <c r="K110">
        <f t="shared" si="19"/>
        <v>0</v>
      </c>
      <c r="L110">
        <f>IF(K110&gt;0, K110 * VLOOKUP(B110, CA_Feed!B:N, 13, FALSE), 0)</f>
        <v>0</v>
      </c>
      <c r="M110">
        <f t="shared" si="14"/>
        <v>0</v>
      </c>
      <c r="N110" s="2">
        <f t="shared" si="13"/>
        <v>0</v>
      </c>
      <c r="O110" t="str">
        <f>IF(COUNTIFS(CA_Feed!B:B, B110)=0, "No Action Announced", IF(COUNTIFS(CA_Feed!B:B, B110, CA_Feed!D:D, "&gt;="&amp;C110)&gt;0, "Processed (Eligible)", "Ineligible (Post Ex-Date)"))</f>
        <v>Ineligible (Post Ex-Date)</v>
      </c>
    </row>
    <row r="111" spans="1:15" x14ac:dyDescent="0.3">
      <c r="A111" t="s">
        <v>187</v>
      </c>
      <c r="B111" t="s">
        <v>61</v>
      </c>
      <c r="C111" s="5">
        <v>43030</v>
      </c>
      <c r="D111" s="2">
        <v>4150</v>
      </c>
      <c r="E111">
        <f>SUMIFS(CA_Feed!F:F, CA_Feed!B:B, B111, CA_Feed!E:E, "*DIVIDEND*", CA_Feed!D:D, "&gt;="&amp;C111)</f>
        <v>8</v>
      </c>
      <c r="F111">
        <f t="shared" si="15"/>
        <v>33200</v>
      </c>
      <c r="G111">
        <f t="shared" si="16"/>
        <v>3320</v>
      </c>
      <c r="H111">
        <f t="shared" si="17"/>
        <v>29880</v>
      </c>
      <c r="I111">
        <f>D111 * SUMIFS(CA_Feed!G:G, CA_Feed!B:B, B111, CA_Feed!E:E, "*BONUS*", CA_Feed!D:D, "&gt;="&amp;C111)</f>
        <v>0</v>
      </c>
      <c r="J111">
        <f t="shared" si="18"/>
        <v>0</v>
      </c>
      <c r="K111">
        <f t="shared" si="19"/>
        <v>0</v>
      </c>
      <c r="L111">
        <f>IF(K111&gt;0, K111 * VLOOKUP(B111, CA_Feed!B:N, 13, FALSE), 0)</f>
        <v>0</v>
      </c>
      <c r="M111">
        <f t="shared" si="14"/>
        <v>29880</v>
      </c>
      <c r="N111" s="2">
        <f t="shared" si="13"/>
        <v>0</v>
      </c>
      <c r="O111" t="str">
        <f>IF(COUNTIFS(CA_Feed!B:B, B111)=0, "No Action Announced", IF(COUNTIFS(CA_Feed!B:B, B111, CA_Feed!D:D, "&gt;="&amp;C111)&gt;0, "Processed (Eligible)", "Ineligible (Post Ex-Date)"))</f>
        <v>Processed (Eligible)</v>
      </c>
    </row>
    <row r="112" spans="1:15" x14ac:dyDescent="0.3">
      <c r="A112" t="s">
        <v>188</v>
      </c>
      <c r="B112" t="s">
        <v>19</v>
      </c>
      <c r="C112" s="5">
        <v>43524</v>
      </c>
      <c r="D112" s="2">
        <v>1850</v>
      </c>
      <c r="E112">
        <f>SUMIFS(CA_Feed!F:F, CA_Feed!B:B, B112, CA_Feed!E:E, "*DIVIDEND*", CA_Feed!D:D, "&gt;="&amp;C112)</f>
        <v>1.5</v>
      </c>
      <c r="F112">
        <f t="shared" si="15"/>
        <v>2775</v>
      </c>
      <c r="G112">
        <f t="shared" si="16"/>
        <v>277.5</v>
      </c>
      <c r="H112">
        <f t="shared" si="17"/>
        <v>2497.5</v>
      </c>
      <c r="I112">
        <f>D112 * SUMIFS(CA_Feed!G:G, CA_Feed!B:B, B112, CA_Feed!E:E, "*BONUS*", CA_Feed!D:D, "&gt;="&amp;C112)</f>
        <v>0</v>
      </c>
      <c r="J112">
        <f t="shared" si="18"/>
        <v>0</v>
      </c>
      <c r="K112">
        <f t="shared" si="19"/>
        <v>0</v>
      </c>
      <c r="L112">
        <f>IF(K112&gt;0, K112 * VLOOKUP(B112, CA_Feed!B:N, 13, FALSE), 0)</f>
        <v>0</v>
      </c>
      <c r="M112">
        <f t="shared" si="14"/>
        <v>2497.5</v>
      </c>
      <c r="N112" s="2">
        <f t="shared" si="13"/>
        <v>0</v>
      </c>
      <c r="O112" t="str">
        <f>IF(COUNTIFS(CA_Feed!B:B, B112)=0, "No Action Announced", IF(COUNTIFS(CA_Feed!B:B, B112, CA_Feed!D:D, "&gt;="&amp;C112)&gt;0, "Processed (Eligible)", "Ineligible (Post Ex-Date)"))</f>
        <v>Processed (Eligible)</v>
      </c>
    </row>
    <row r="113" spans="1:15" x14ac:dyDescent="0.3">
      <c r="A113" t="s">
        <v>508</v>
      </c>
      <c r="B113" t="s">
        <v>12</v>
      </c>
      <c r="C113" s="5">
        <v>44382</v>
      </c>
      <c r="D113" s="2">
        <v>110</v>
      </c>
      <c r="E113">
        <f>SUMIFS(CA_Feed!F:F, CA_Feed!B:B, B113, CA_Feed!E:E, "*DIVIDEND*", CA_Feed!D:D, "&gt;="&amp;C113)</f>
        <v>19</v>
      </c>
      <c r="F113">
        <f t="shared" si="15"/>
        <v>2090</v>
      </c>
      <c r="G113">
        <f t="shared" si="16"/>
        <v>209</v>
      </c>
      <c r="H113">
        <f t="shared" si="17"/>
        <v>1881</v>
      </c>
      <c r="I113">
        <f>D113 * SUMIFS(CA_Feed!G:G, CA_Feed!B:B, B113, CA_Feed!E:E, "*BONUS*", CA_Feed!D:D, "&gt;="&amp;C113)</f>
        <v>0</v>
      </c>
      <c r="J113">
        <f t="shared" si="18"/>
        <v>0</v>
      </c>
      <c r="K113">
        <f t="shared" si="19"/>
        <v>0</v>
      </c>
      <c r="L113">
        <f>IF(K113&gt;0, K113 * VLOOKUP(B113, CA_Feed!B:N, 13, FALSE), 0)</f>
        <v>0</v>
      </c>
      <c r="M113">
        <f t="shared" si="14"/>
        <v>1881</v>
      </c>
      <c r="N113" s="2">
        <f t="shared" si="13"/>
        <v>0</v>
      </c>
      <c r="O113" t="str">
        <f>IF(COUNTIFS(CA_Feed!B:B, B113)=0, "No Action Announced", IF(COUNTIFS(CA_Feed!B:B, B113, CA_Feed!D:D, "&gt;="&amp;C113)&gt;0, "Processed (Eligible)", "Ineligible (Post Ex-Date)"))</f>
        <v>Processed (Eligible)</v>
      </c>
    </row>
    <row r="114" spans="1:15" x14ac:dyDescent="0.3">
      <c r="A114" t="s">
        <v>190</v>
      </c>
      <c r="B114" t="s">
        <v>37</v>
      </c>
      <c r="C114" s="5">
        <v>43648</v>
      </c>
      <c r="D114" s="2">
        <v>4200</v>
      </c>
      <c r="E114">
        <f>SUMIFS(CA_Feed!F:F, CA_Feed!B:B, B114, CA_Feed!E:E, "*DIVIDEND*", CA_Feed!D:D, "&gt;="&amp;C114)</f>
        <v>6.5</v>
      </c>
      <c r="F114">
        <f t="shared" si="15"/>
        <v>27300</v>
      </c>
      <c r="G114">
        <f t="shared" si="16"/>
        <v>2730</v>
      </c>
      <c r="H114">
        <f t="shared" si="17"/>
        <v>24570</v>
      </c>
      <c r="I114">
        <f>D114 * SUMIFS(CA_Feed!G:G, CA_Feed!B:B, B114, CA_Feed!E:E, "*BONUS*", CA_Feed!D:D, "&gt;="&amp;C114)</f>
        <v>0</v>
      </c>
      <c r="J114">
        <f t="shared" si="18"/>
        <v>0</v>
      </c>
      <c r="K114">
        <f t="shared" si="19"/>
        <v>0</v>
      </c>
      <c r="L114">
        <f>IF(K114&gt;0, K114 * VLOOKUP(B114, CA_Feed!B:N, 13, FALSE), 0)</f>
        <v>0</v>
      </c>
      <c r="M114">
        <f t="shared" si="14"/>
        <v>24570</v>
      </c>
      <c r="N114" s="2">
        <f t="shared" si="13"/>
        <v>0</v>
      </c>
      <c r="O114" t="str">
        <f>IF(COUNTIFS(CA_Feed!B:B, B114)=0, "No Action Announced", IF(COUNTIFS(CA_Feed!B:B, B114, CA_Feed!D:D, "&gt;="&amp;C114)&gt;0, "Processed (Eligible)", "Ineligible (Post Ex-Date)"))</f>
        <v>Processed (Eligible)</v>
      </c>
    </row>
    <row r="115" spans="1:15" x14ac:dyDescent="0.3">
      <c r="A115" t="s">
        <v>191</v>
      </c>
      <c r="B115" t="s">
        <v>25</v>
      </c>
      <c r="C115" s="5">
        <v>42168</v>
      </c>
      <c r="D115" s="2">
        <v>9550</v>
      </c>
      <c r="E115">
        <f>SUMIFS(CA_Feed!F:F, CA_Feed!B:B, B115, CA_Feed!E:E, "*DIVIDEND*", CA_Feed!D:D, "&gt;="&amp;C115)</f>
        <v>2.5</v>
      </c>
      <c r="F115">
        <f t="shared" si="15"/>
        <v>23875</v>
      </c>
      <c r="G115">
        <f t="shared" si="16"/>
        <v>2387.5</v>
      </c>
      <c r="H115">
        <f t="shared" si="17"/>
        <v>21487.5</v>
      </c>
      <c r="I115">
        <f>D115 * SUMIFS(CA_Feed!G:G, CA_Feed!B:B, B115, CA_Feed!E:E, "*BONUS*", CA_Feed!D:D, "&gt;="&amp;C115)</f>
        <v>0</v>
      </c>
      <c r="J115">
        <f t="shared" si="18"/>
        <v>0</v>
      </c>
      <c r="K115">
        <f t="shared" si="19"/>
        <v>0</v>
      </c>
      <c r="L115">
        <f>IF(K115&gt;0, K115 * VLOOKUP(B115, CA_Feed!B:N, 13, FALSE), 0)</f>
        <v>0</v>
      </c>
      <c r="M115">
        <f t="shared" si="14"/>
        <v>21487.5</v>
      </c>
      <c r="N115" s="2">
        <f t="shared" si="13"/>
        <v>0</v>
      </c>
      <c r="O115" t="str">
        <f>IF(COUNTIFS(CA_Feed!B:B, B115)=0, "No Action Announced", IF(COUNTIFS(CA_Feed!B:B, B115, CA_Feed!D:D, "&gt;="&amp;C115)&gt;0, "Processed (Eligible)", "Ineligible (Post Ex-Date)"))</f>
        <v>Processed (Eligible)</v>
      </c>
    </row>
    <row r="116" spans="1:15" x14ac:dyDescent="0.3">
      <c r="A116" t="s">
        <v>192</v>
      </c>
      <c r="B116" t="s">
        <v>33</v>
      </c>
      <c r="C116" s="5">
        <v>43966</v>
      </c>
      <c r="D116" s="2">
        <v>4050</v>
      </c>
      <c r="E116">
        <f>SUMIFS(CA_Feed!F:F, CA_Feed!B:B, B116, CA_Feed!E:E, "*DIVIDEND*", CA_Feed!D:D, "&gt;="&amp;C116)</f>
        <v>1.5</v>
      </c>
      <c r="F116">
        <f t="shared" si="15"/>
        <v>6075</v>
      </c>
      <c r="G116">
        <f t="shared" si="16"/>
        <v>607.5</v>
      </c>
      <c r="H116">
        <f t="shared" si="17"/>
        <v>5467.5</v>
      </c>
      <c r="I116">
        <f>D116 * SUMIFS(CA_Feed!G:G, CA_Feed!B:B, B116, CA_Feed!E:E, "*BONUS*", CA_Feed!D:D, "&gt;="&amp;C116)</f>
        <v>0</v>
      </c>
      <c r="J116">
        <f t="shared" si="18"/>
        <v>0</v>
      </c>
      <c r="K116">
        <f t="shared" si="19"/>
        <v>0</v>
      </c>
      <c r="L116">
        <f>IF(K116&gt;0, K116 * VLOOKUP(B116, CA_Feed!B:N, 13, FALSE), 0)</f>
        <v>0</v>
      </c>
      <c r="M116">
        <f t="shared" si="14"/>
        <v>5467.5</v>
      </c>
      <c r="N116" s="2">
        <f t="shared" si="13"/>
        <v>0</v>
      </c>
      <c r="O116" t="str">
        <f>IF(COUNTIFS(CA_Feed!B:B, B116)=0, "No Action Announced", IF(COUNTIFS(CA_Feed!B:B, B116, CA_Feed!D:D, "&gt;="&amp;C116)&gt;0, "Processed (Eligible)", "Ineligible (Post Ex-Date)"))</f>
        <v>Processed (Eligible)</v>
      </c>
    </row>
    <row r="117" spans="1:15" x14ac:dyDescent="0.3">
      <c r="A117" t="s">
        <v>193</v>
      </c>
      <c r="B117" t="s">
        <v>29</v>
      </c>
      <c r="C117" s="5">
        <v>44332</v>
      </c>
      <c r="D117" s="2">
        <v>8900</v>
      </c>
      <c r="E117">
        <f>SUMIFS(CA_Feed!F:F, CA_Feed!B:B, B117, CA_Feed!E:E, "*DIVIDEND*", CA_Feed!D:D, "&gt;="&amp;C117)</f>
        <v>3</v>
      </c>
      <c r="F117">
        <f t="shared" si="15"/>
        <v>26700</v>
      </c>
      <c r="G117">
        <f t="shared" si="16"/>
        <v>2670</v>
      </c>
      <c r="H117">
        <f t="shared" si="17"/>
        <v>24030</v>
      </c>
      <c r="I117">
        <f>D117 * SUMIFS(CA_Feed!G:G, CA_Feed!B:B, B117, CA_Feed!E:E, "*BONUS*", CA_Feed!D:D, "&gt;="&amp;C117)</f>
        <v>0</v>
      </c>
      <c r="J117">
        <f t="shared" si="18"/>
        <v>0</v>
      </c>
      <c r="K117">
        <f t="shared" si="19"/>
        <v>0</v>
      </c>
      <c r="L117">
        <f>IF(K117&gt;0, K117 * VLOOKUP(B117, CA_Feed!B:N, 13, FALSE), 0)</f>
        <v>0</v>
      </c>
      <c r="M117">
        <f t="shared" si="14"/>
        <v>24030</v>
      </c>
      <c r="N117" s="2">
        <f t="shared" si="13"/>
        <v>0</v>
      </c>
      <c r="O117" t="str">
        <f>IF(COUNTIFS(CA_Feed!B:B, B117)=0, "No Action Announced", IF(COUNTIFS(CA_Feed!B:B, B117, CA_Feed!D:D, "&gt;="&amp;C117)&gt;0, "Processed (Eligible)", "Ineligible (Post Ex-Date)"))</f>
        <v>Processed (Eligible)</v>
      </c>
    </row>
    <row r="118" spans="1:15" x14ac:dyDescent="0.3">
      <c r="A118" t="s">
        <v>778</v>
      </c>
      <c r="B118" t="s">
        <v>12</v>
      </c>
      <c r="C118" s="5">
        <v>46235</v>
      </c>
      <c r="D118" s="2">
        <v>110</v>
      </c>
      <c r="E118">
        <f>SUMIFS(CA_Feed!F:F, CA_Feed!B:B, B118, CA_Feed!E:E, "*DIVIDEND*", CA_Feed!D:D, "&gt;="&amp;C118)</f>
        <v>0</v>
      </c>
      <c r="F118">
        <f t="shared" si="15"/>
        <v>0</v>
      </c>
      <c r="G118">
        <f t="shared" si="16"/>
        <v>0</v>
      </c>
      <c r="H118">
        <f t="shared" si="17"/>
        <v>0</v>
      </c>
      <c r="I118">
        <f>D118 * SUMIFS(CA_Feed!G:G, CA_Feed!B:B, B118, CA_Feed!E:E, "*BONUS*", CA_Feed!D:D, "&gt;="&amp;C118)</f>
        <v>0</v>
      </c>
      <c r="J118">
        <f t="shared" si="18"/>
        <v>0</v>
      </c>
      <c r="K118">
        <f t="shared" si="19"/>
        <v>0</v>
      </c>
      <c r="L118">
        <f>IF(K118&gt;0, K118 * VLOOKUP(B118, CA_Feed!B:N, 13, FALSE), 0)</f>
        <v>0</v>
      </c>
      <c r="M118">
        <f t="shared" si="14"/>
        <v>0</v>
      </c>
      <c r="N118" s="2">
        <f t="shared" si="13"/>
        <v>0</v>
      </c>
      <c r="O118" t="str">
        <f>IF(COUNTIFS(CA_Feed!B:B, B118)=0, "No Action Announced", IF(COUNTIFS(CA_Feed!B:B, B118, CA_Feed!D:D, "&gt;="&amp;C118)&gt;0, "Processed (Eligible)", "Ineligible (Post Ex-Date)"))</f>
        <v>Ineligible (Post Ex-Date)</v>
      </c>
    </row>
    <row r="119" spans="1:15" x14ac:dyDescent="0.3">
      <c r="A119" t="s">
        <v>618</v>
      </c>
      <c r="B119" t="s">
        <v>12</v>
      </c>
      <c r="C119" s="5">
        <v>44540</v>
      </c>
      <c r="D119" s="2">
        <v>110</v>
      </c>
      <c r="E119">
        <f>SUMIFS(CA_Feed!F:F, CA_Feed!B:B, B119, CA_Feed!E:E, "*DIVIDEND*", CA_Feed!D:D, "&gt;="&amp;C119)</f>
        <v>19</v>
      </c>
      <c r="F119">
        <f t="shared" si="15"/>
        <v>2090</v>
      </c>
      <c r="G119">
        <f t="shared" si="16"/>
        <v>209</v>
      </c>
      <c r="H119">
        <f t="shared" si="17"/>
        <v>1881</v>
      </c>
      <c r="I119">
        <f>D119 * SUMIFS(CA_Feed!G:G, CA_Feed!B:B, B119, CA_Feed!E:E, "*BONUS*", CA_Feed!D:D, "&gt;="&amp;C119)</f>
        <v>0</v>
      </c>
      <c r="J119">
        <f t="shared" si="18"/>
        <v>0</v>
      </c>
      <c r="K119">
        <f t="shared" si="19"/>
        <v>0</v>
      </c>
      <c r="L119">
        <f>IF(K119&gt;0, K119 * VLOOKUP(B119, CA_Feed!B:N, 13, FALSE), 0)</f>
        <v>0</v>
      </c>
      <c r="M119">
        <f t="shared" si="14"/>
        <v>1881</v>
      </c>
      <c r="N119" s="2">
        <f t="shared" si="13"/>
        <v>0</v>
      </c>
      <c r="O119" t="str">
        <f>IF(COUNTIFS(CA_Feed!B:B, B119)=0, "No Action Announced", IF(COUNTIFS(CA_Feed!B:B, B119, CA_Feed!D:D, "&gt;="&amp;C119)&gt;0, "Processed (Eligible)", "Ineligible (Post Ex-Date)"))</f>
        <v>Processed (Eligible)</v>
      </c>
    </row>
    <row r="120" spans="1:15" x14ac:dyDescent="0.3">
      <c r="A120" t="s">
        <v>489</v>
      </c>
      <c r="B120" t="s">
        <v>12</v>
      </c>
      <c r="C120" s="5">
        <v>44449</v>
      </c>
      <c r="D120" s="2">
        <v>110</v>
      </c>
      <c r="E120">
        <f>SUMIFS(CA_Feed!F:F, CA_Feed!B:B, B120, CA_Feed!E:E, "*DIVIDEND*", CA_Feed!D:D, "&gt;="&amp;C120)</f>
        <v>19</v>
      </c>
      <c r="F120">
        <f t="shared" si="15"/>
        <v>2090</v>
      </c>
      <c r="G120">
        <f t="shared" si="16"/>
        <v>209</v>
      </c>
      <c r="H120">
        <f t="shared" si="17"/>
        <v>1881</v>
      </c>
      <c r="I120">
        <f>D120 * SUMIFS(CA_Feed!G:G, CA_Feed!B:B, B120, CA_Feed!E:E, "*BONUS*", CA_Feed!D:D, "&gt;="&amp;C120)</f>
        <v>0</v>
      </c>
      <c r="J120">
        <f t="shared" si="18"/>
        <v>0</v>
      </c>
      <c r="K120">
        <f t="shared" si="19"/>
        <v>0</v>
      </c>
      <c r="L120">
        <f>IF(K120&gt;0, K120 * VLOOKUP(B120, CA_Feed!B:N, 13, FALSE), 0)</f>
        <v>0</v>
      </c>
      <c r="M120">
        <f t="shared" si="14"/>
        <v>1881</v>
      </c>
      <c r="N120" s="2">
        <f t="shared" si="13"/>
        <v>0</v>
      </c>
      <c r="O120" t="str">
        <f>IF(COUNTIFS(CA_Feed!B:B, B120)=0, "No Action Announced", IF(COUNTIFS(CA_Feed!B:B, B120, CA_Feed!D:D, "&gt;="&amp;C120)&gt;0, "Processed (Eligible)", "Ineligible (Post Ex-Date)"))</f>
        <v>Processed (Eligible)</v>
      </c>
    </row>
    <row r="121" spans="1:15" x14ac:dyDescent="0.3">
      <c r="A121" t="s">
        <v>197</v>
      </c>
      <c r="B121" t="s">
        <v>35</v>
      </c>
      <c r="C121" s="5">
        <v>42508</v>
      </c>
      <c r="D121" s="2">
        <v>5550</v>
      </c>
      <c r="E121">
        <f>SUMIFS(CA_Feed!F:F, CA_Feed!B:B, B121, CA_Feed!E:E, "*DIVIDEND*", CA_Feed!D:D, "&gt;="&amp;C121)</f>
        <v>1</v>
      </c>
      <c r="F121">
        <f t="shared" si="15"/>
        <v>5550</v>
      </c>
      <c r="G121">
        <f t="shared" si="16"/>
        <v>555</v>
      </c>
      <c r="H121">
        <f t="shared" si="17"/>
        <v>4995</v>
      </c>
      <c r="I121">
        <f>D121 * SUMIFS(CA_Feed!G:G, CA_Feed!B:B, B121, CA_Feed!E:E, "*BONUS*", CA_Feed!D:D, "&gt;="&amp;C121)</f>
        <v>0</v>
      </c>
      <c r="J121">
        <f t="shared" si="18"/>
        <v>0</v>
      </c>
      <c r="K121">
        <f t="shared" si="19"/>
        <v>0</v>
      </c>
      <c r="L121">
        <f>IF(K121&gt;0, K121 * VLOOKUP(B121, CA_Feed!B:N, 13, FALSE), 0)</f>
        <v>0</v>
      </c>
      <c r="M121">
        <f t="shared" si="14"/>
        <v>4995</v>
      </c>
      <c r="N121" s="2">
        <f t="shared" si="13"/>
        <v>0</v>
      </c>
      <c r="O121" t="str">
        <f>IF(COUNTIFS(CA_Feed!B:B, B121)=0, "No Action Announced", IF(COUNTIFS(CA_Feed!B:B, B121, CA_Feed!D:D, "&gt;="&amp;C121)&gt;0, "Processed (Eligible)", "Ineligible (Post Ex-Date)"))</f>
        <v>Processed (Eligible)</v>
      </c>
    </row>
    <row r="122" spans="1:15" x14ac:dyDescent="0.3">
      <c r="A122" t="s">
        <v>198</v>
      </c>
      <c r="B122" t="s">
        <v>37</v>
      </c>
      <c r="C122" s="5">
        <v>44016</v>
      </c>
      <c r="D122" s="2">
        <v>9050</v>
      </c>
      <c r="E122">
        <f>SUMIFS(CA_Feed!F:F, CA_Feed!B:B, B122, CA_Feed!E:E, "*DIVIDEND*", CA_Feed!D:D, "&gt;="&amp;C122)</f>
        <v>6.5</v>
      </c>
      <c r="F122">
        <f t="shared" si="15"/>
        <v>58825</v>
      </c>
      <c r="G122">
        <f t="shared" si="16"/>
        <v>5882.5</v>
      </c>
      <c r="H122">
        <f t="shared" si="17"/>
        <v>52942.5</v>
      </c>
      <c r="I122">
        <f>D122 * SUMIFS(CA_Feed!G:G, CA_Feed!B:B, B122, CA_Feed!E:E, "*BONUS*", CA_Feed!D:D, "&gt;="&amp;C122)</f>
        <v>0</v>
      </c>
      <c r="J122">
        <f t="shared" si="18"/>
        <v>0</v>
      </c>
      <c r="K122">
        <f t="shared" si="19"/>
        <v>0</v>
      </c>
      <c r="L122">
        <f>IF(K122&gt;0, K122 * VLOOKUP(B122, CA_Feed!B:N, 13, FALSE), 0)</f>
        <v>0</v>
      </c>
      <c r="M122">
        <f t="shared" si="14"/>
        <v>52942.5</v>
      </c>
      <c r="N122" s="2">
        <f t="shared" si="13"/>
        <v>0</v>
      </c>
      <c r="O122" t="str">
        <f>IF(COUNTIFS(CA_Feed!B:B, B122)=0, "No Action Announced", IF(COUNTIFS(CA_Feed!B:B, B122, CA_Feed!D:D, "&gt;="&amp;C122)&gt;0, "Processed (Eligible)", "Ineligible (Post Ex-Date)"))</f>
        <v>Processed (Eligible)</v>
      </c>
    </row>
    <row r="123" spans="1:15" x14ac:dyDescent="0.3">
      <c r="A123" t="s">
        <v>199</v>
      </c>
      <c r="B123" t="s">
        <v>39</v>
      </c>
      <c r="C123" s="5">
        <v>42038</v>
      </c>
      <c r="D123" s="2">
        <v>600</v>
      </c>
      <c r="E123">
        <f>SUMIFS(CA_Feed!F:F, CA_Feed!B:B, B123, CA_Feed!E:E, "*DIVIDEND*", CA_Feed!D:D, "&gt;="&amp;C123)</f>
        <v>1.2</v>
      </c>
      <c r="F123">
        <f t="shared" si="15"/>
        <v>720</v>
      </c>
      <c r="G123">
        <f t="shared" si="16"/>
        <v>72</v>
      </c>
      <c r="H123">
        <f t="shared" si="17"/>
        <v>648</v>
      </c>
      <c r="I123">
        <f>D123 * SUMIFS(CA_Feed!G:G, CA_Feed!B:B, B123, CA_Feed!E:E, "*BONUS*", CA_Feed!D:D, "&gt;="&amp;C123)</f>
        <v>0</v>
      </c>
      <c r="J123">
        <f t="shared" si="18"/>
        <v>0</v>
      </c>
      <c r="K123">
        <f t="shared" si="19"/>
        <v>0</v>
      </c>
      <c r="L123">
        <f>IF(K123&gt;0, K123 * VLOOKUP(B123, CA_Feed!B:N, 13, FALSE), 0)</f>
        <v>0</v>
      </c>
      <c r="M123">
        <f t="shared" si="14"/>
        <v>648</v>
      </c>
      <c r="N123" s="2">
        <f t="shared" si="13"/>
        <v>0</v>
      </c>
      <c r="O123" t="str">
        <f>IF(COUNTIFS(CA_Feed!B:B, B123)=0, "No Action Announced", IF(COUNTIFS(CA_Feed!B:B, B123, CA_Feed!D:D, "&gt;="&amp;C123)&gt;0, "Processed (Eligible)", "Ineligible (Post Ex-Date)"))</f>
        <v>Processed (Eligible)</v>
      </c>
    </row>
    <row r="124" spans="1:15" x14ac:dyDescent="0.3">
      <c r="A124" t="s">
        <v>200</v>
      </c>
      <c r="B124" t="s">
        <v>25</v>
      </c>
      <c r="C124" s="5">
        <v>42880</v>
      </c>
      <c r="D124" s="2">
        <v>4900</v>
      </c>
      <c r="E124">
        <f>SUMIFS(CA_Feed!F:F, CA_Feed!B:B, B124, CA_Feed!E:E, "*DIVIDEND*", CA_Feed!D:D, "&gt;="&amp;C124)</f>
        <v>2.5</v>
      </c>
      <c r="F124">
        <f t="shared" si="15"/>
        <v>12250</v>
      </c>
      <c r="G124">
        <f t="shared" si="16"/>
        <v>1225</v>
      </c>
      <c r="H124">
        <f t="shared" si="17"/>
        <v>11025</v>
      </c>
      <c r="I124">
        <f>D124 * SUMIFS(CA_Feed!G:G, CA_Feed!B:B, B124, CA_Feed!E:E, "*BONUS*", CA_Feed!D:D, "&gt;="&amp;C124)</f>
        <v>0</v>
      </c>
      <c r="J124">
        <f t="shared" si="18"/>
        <v>0</v>
      </c>
      <c r="K124">
        <f t="shared" si="19"/>
        <v>0</v>
      </c>
      <c r="L124">
        <f>IF(K124&gt;0, K124 * VLOOKUP(B124, CA_Feed!B:N, 13, FALSE), 0)</f>
        <v>0</v>
      </c>
      <c r="M124">
        <f t="shared" si="14"/>
        <v>11025</v>
      </c>
      <c r="N124" s="2">
        <f t="shared" si="13"/>
        <v>0</v>
      </c>
      <c r="O124" t="str">
        <f>IF(COUNTIFS(CA_Feed!B:B, B124)=0, "No Action Announced", IF(COUNTIFS(CA_Feed!B:B, B124, CA_Feed!D:D, "&gt;="&amp;C124)&gt;0, "Processed (Eligible)", "Ineligible (Post Ex-Date)"))</f>
        <v>Processed (Eligible)</v>
      </c>
    </row>
    <row r="125" spans="1:15" x14ac:dyDescent="0.3">
      <c r="A125" t="s">
        <v>201</v>
      </c>
      <c r="B125" t="s">
        <v>16</v>
      </c>
      <c r="C125" s="5">
        <v>42062</v>
      </c>
      <c r="D125" s="2">
        <v>8400</v>
      </c>
      <c r="E125">
        <f>SUMIFS(CA_Feed!F:F, CA_Feed!B:B, B125, CA_Feed!E:E, "*DIVIDEND*", CA_Feed!D:D, "&gt;="&amp;C125)</f>
        <v>3.75</v>
      </c>
      <c r="F125">
        <f t="shared" si="15"/>
        <v>31500</v>
      </c>
      <c r="G125">
        <f t="shared" si="16"/>
        <v>3150</v>
      </c>
      <c r="H125">
        <f t="shared" si="17"/>
        <v>28350</v>
      </c>
      <c r="I125">
        <f>D125 * SUMIFS(CA_Feed!G:G, CA_Feed!B:B, B125, CA_Feed!E:E, "*BONUS*", CA_Feed!D:D, "&gt;="&amp;C125)</f>
        <v>0</v>
      </c>
      <c r="J125">
        <f t="shared" si="18"/>
        <v>0</v>
      </c>
      <c r="K125">
        <f t="shared" si="19"/>
        <v>0</v>
      </c>
      <c r="L125">
        <f>IF(K125&gt;0, K125 * VLOOKUP(B125, CA_Feed!B:N, 13, FALSE), 0)</f>
        <v>0</v>
      </c>
      <c r="M125">
        <f t="shared" si="14"/>
        <v>28350</v>
      </c>
      <c r="N125" s="2">
        <f t="shared" si="13"/>
        <v>0</v>
      </c>
      <c r="O125" t="str">
        <f>IF(COUNTIFS(CA_Feed!B:B, B125)=0, "No Action Announced", IF(COUNTIFS(CA_Feed!B:B, B125, CA_Feed!D:D, "&gt;="&amp;C125)&gt;0, "Processed (Eligible)", "Ineligible (Post Ex-Date)"))</f>
        <v>Processed (Eligible)</v>
      </c>
    </row>
    <row r="126" spans="1:15" x14ac:dyDescent="0.3">
      <c r="A126" t="s">
        <v>202</v>
      </c>
      <c r="B126" t="s">
        <v>63</v>
      </c>
      <c r="C126" s="5">
        <v>42965</v>
      </c>
      <c r="D126" s="2">
        <v>9800</v>
      </c>
      <c r="E126">
        <f>SUMIFS(CA_Feed!F:F, CA_Feed!B:B, B126, CA_Feed!E:E, "*DIVIDEND*", CA_Feed!D:D, "&gt;="&amp;C126)</f>
        <v>0</v>
      </c>
      <c r="F126">
        <f t="shared" si="15"/>
        <v>0</v>
      </c>
      <c r="G126">
        <f t="shared" si="16"/>
        <v>0</v>
      </c>
      <c r="H126">
        <f t="shared" si="17"/>
        <v>0</v>
      </c>
      <c r="I126">
        <f>D126 * SUMIFS(CA_Feed!G:G, CA_Feed!B:B, B126, CA_Feed!E:E, "*BONUS*", CA_Feed!D:D, "&gt;="&amp;C126)</f>
        <v>1633.3333333333333</v>
      </c>
      <c r="J126">
        <f t="shared" si="18"/>
        <v>1633</v>
      </c>
      <c r="K126">
        <f t="shared" si="19"/>
        <v>0.33333333333325754</v>
      </c>
      <c r="L126">
        <f>IF(K126&gt;0, K126 * VLOOKUP(B126, CA_Feed!B:N, 13, FALSE), 0)</f>
        <v>83.333333333314386</v>
      </c>
      <c r="M126">
        <f t="shared" si="14"/>
        <v>83.333333333314386</v>
      </c>
      <c r="N126" s="2">
        <f t="shared" si="13"/>
        <v>11433</v>
      </c>
      <c r="O126" t="str">
        <f>IF(COUNTIFS(CA_Feed!B:B, B126)=0, "No Action Announced", IF(COUNTIFS(CA_Feed!B:B, B126, CA_Feed!D:D, "&gt;="&amp;C126)&gt;0, "Processed (Eligible)", "Ineligible (Post Ex-Date)"))</f>
        <v>Processed (Eligible)</v>
      </c>
    </row>
    <row r="127" spans="1:15" x14ac:dyDescent="0.3">
      <c r="A127" t="s">
        <v>841</v>
      </c>
      <c r="B127" t="s">
        <v>12</v>
      </c>
      <c r="C127" s="5">
        <v>44694</v>
      </c>
      <c r="D127" s="2">
        <v>110</v>
      </c>
      <c r="E127">
        <f>SUMIFS(CA_Feed!F:F, CA_Feed!B:B, B127, CA_Feed!E:E, "*DIVIDEND*", CA_Feed!D:D, "&gt;="&amp;C127)</f>
        <v>19</v>
      </c>
      <c r="F127">
        <f t="shared" si="15"/>
        <v>2090</v>
      </c>
      <c r="G127">
        <f t="shared" si="16"/>
        <v>209</v>
      </c>
      <c r="H127">
        <f t="shared" si="17"/>
        <v>1881</v>
      </c>
      <c r="I127">
        <f>D127 * SUMIFS(CA_Feed!G:G, CA_Feed!B:B, B127, CA_Feed!E:E, "*BONUS*", CA_Feed!D:D, "&gt;="&amp;C127)</f>
        <v>0</v>
      </c>
      <c r="J127">
        <f t="shared" si="18"/>
        <v>0</v>
      </c>
      <c r="K127">
        <f t="shared" si="19"/>
        <v>0</v>
      </c>
      <c r="L127">
        <f>IF(K127&gt;0, K127 * VLOOKUP(B127, CA_Feed!B:N, 13, FALSE), 0)</f>
        <v>0</v>
      </c>
      <c r="M127">
        <f t="shared" si="14"/>
        <v>1881</v>
      </c>
      <c r="N127" s="2">
        <f t="shared" si="13"/>
        <v>0</v>
      </c>
      <c r="O127" t="str">
        <f>IF(COUNTIFS(CA_Feed!B:B, B127)=0, "No Action Announced", IF(COUNTIFS(CA_Feed!B:B, B127, CA_Feed!D:D, "&gt;="&amp;C127)&gt;0, "Processed (Eligible)", "Ineligible (Post Ex-Date)"))</f>
        <v>Processed (Eligible)</v>
      </c>
    </row>
    <row r="128" spans="1:15" x14ac:dyDescent="0.3">
      <c r="A128" t="s">
        <v>338</v>
      </c>
      <c r="B128" t="s">
        <v>12</v>
      </c>
      <c r="C128" s="5">
        <v>42064</v>
      </c>
      <c r="D128" s="2">
        <v>110</v>
      </c>
      <c r="E128">
        <f>SUMIFS(CA_Feed!F:F, CA_Feed!B:B, B128, CA_Feed!E:E, "*DIVIDEND*", CA_Feed!D:D, "&gt;="&amp;C128)</f>
        <v>19</v>
      </c>
      <c r="F128">
        <f t="shared" si="15"/>
        <v>2090</v>
      </c>
      <c r="G128">
        <f t="shared" si="16"/>
        <v>209</v>
      </c>
      <c r="H128">
        <f t="shared" si="17"/>
        <v>1881</v>
      </c>
      <c r="I128">
        <f>D128 * SUMIFS(CA_Feed!G:G, CA_Feed!B:B, B128, CA_Feed!E:E, "*BONUS*", CA_Feed!D:D, "&gt;="&amp;C128)</f>
        <v>0</v>
      </c>
      <c r="J128">
        <f t="shared" si="18"/>
        <v>0</v>
      </c>
      <c r="K128">
        <f t="shared" si="19"/>
        <v>0</v>
      </c>
      <c r="L128">
        <f>IF(K128&gt;0, K128 * VLOOKUP(B128, CA_Feed!B:N, 13, FALSE), 0)</f>
        <v>0</v>
      </c>
      <c r="M128">
        <f t="shared" si="14"/>
        <v>1881</v>
      </c>
      <c r="N128" s="2">
        <f t="shared" si="13"/>
        <v>0</v>
      </c>
      <c r="O128" t="str">
        <f>IF(COUNTIFS(CA_Feed!B:B, B128)=0, "No Action Announced", IF(COUNTIFS(CA_Feed!B:B, B128, CA_Feed!D:D, "&gt;="&amp;C128)&gt;0, "Processed (Eligible)", "Ineligible (Post Ex-Date)"))</f>
        <v>Processed (Eligible)</v>
      </c>
    </row>
    <row r="129" spans="1:15" x14ac:dyDescent="0.3">
      <c r="A129" t="s">
        <v>205</v>
      </c>
      <c r="B129" t="s">
        <v>35</v>
      </c>
      <c r="C129" s="5">
        <v>43984</v>
      </c>
      <c r="D129" s="2">
        <v>450</v>
      </c>
      <c r="E129">
        <f>SUMIFS(CA_Feed!F:F, CA_Feed!B:B, B129, CA_Feed!E:E, "*DIVIDEND*", CA_Feed!D:D, "&gt;="&amp;C129)</f>
        <v>1</v>
      </c>
      <c r="F129">
        <f t="shared" si="15"/>
        <v>450</v>
      </c>
      <c r="G129">
        <f t="shared" si="16"/>
        <v>45</v>
      </c>
      <c r="H129">
        <f t="shared" si="17"/>
        <v>405</v>
      </c>
      <c r="I129">
        <f>D129 * SUMIFS(CA_Feed!G:G, CA_Feed!B:B, B129, CA_Feed!E:E, "*BONUS*", CA_Feed!D:D, "&gt;="&amp;C129)</f>
        <v>0</v>
      </c>
      <c r="J129">
        <f t="shared" si="18"/>
        <v>0</v>
      </c>
      <c r="K129">
        <f t="shared" si="19"/>
        <v>0</v>
      </c>
      <c r="L129">
        <f>IF(K129&gt;0, K129 * VLOOKUP(B129, CA_Feed!B:N, 13, FALSE), 0)</f>
        <v>0</v>
      </c>
      <c r="M129">
        <f t="shared" si="14"/>
        <v>405</v>
      </c>
      <c r="N129" s="2">
        <f t="shared" si="13"/>
        <v>0</v>
      </c>
      <c r="O129" t="str">
        <f>IF(COUNTIFS(CA_Feed!B:B, B129)=0, "No Action Announced", IF(COUNTIFS(CA_Feed!B:B, B129, CA_Feed!D:D, "&gt;="&amp;C129)&gt;0, "Processed (Eligible)", "Ineligible (Post Ex-Date)"))</f>
        <v>Processed (Eligible)</v>
      </c>
    </row>
    <row r="130" spans="1:15" x14ac:dyDescent="0.3">
      <c r="A130" t="s">
        <v>206</v>
      </c>
      <c r="B130" t="s">
        <v>43</v>
      </c>
      <c r="C130" s="5">
        <v>43318</v>
      </c>
      <c r="D130" s="2">
        <v>4400</v>
      </c>
      <c r="E130">
        <f>SUMIFS(CA_Feed!F:F, CA_Feed!B:B, B130, CA_Feed!E:E, "*DIVIDEND*", CA_Feed!D:D, "&gt;="&amp;C130)</f>
        <v>1.35</v>
      </c>
      <c r="F130">
        <f t="shared" si="15"/>
        <v>5940</v>
      </c>
      <c r="G130">
        <f t="shared" si="16"/>
        <v>594</v>
      </c>
      <c r="H130">
        <f t="shared" si="17"/>
        <v>5346</v>
      </c>
      <c r="I130">
        <f>D130 * SUMIFS(CA_Feed!G:G, CA_Feed!B:B, B130, CA_Feed!E:E, "*BONUS*", CA_Feed!D:D, "&gt;="&amp;C130)</f>
        <v>0</v>
      </c>
      <c r="J130">
        <f t="shared" si="18"/>
        <v>0</v>
      </c>
      <c r="K130">
        <f t="shared" si="19"/>
        <v>0</v>
      </c>
      <c r="L130">
        <f>IF(K130&gt;0, K130 * VLOOKUP(B130, CA_Feed!B:N, 13, FALSE), 0)</f>
        <v>0</v>
      </c>
      <c r="M130">
        <f t="shared" si="14"/>
        <v>5346</v>
      </c>
      <c r="N130" s="2">
        <f t="shared" si="13"/>
        <v>0</v>
      </c>
      <c r="O130" t="str">
        <f>IF(COUNTIFS(CA_Feed!B:B, B130)=0, "No Action Announced", IF(COUNTIFS(CA_Feed!B:B, B130, CA_Feed!D:D, "&gt;="&amp;C130)&gt;0, "Processed (Eligible)", "Ineligible (Post Ex-Date)"))</f>
        <v>Processed (Eligible)</v>
      </c>
    </row>
    <row r="131" spans="1:15" x14ac:dyDescent="0.3">
      <c r="A131" t="s">
        <v>207</v>
      </c>
      <c r="B131" t="s">
        <v>27</v>
      </c>
      <c r="C131" s="5">
        <v>42758</v>
      </c>
      <c r="D131" s="2">
        <v>7200</v>
      </c>
      <c r="E131">
        <f>SUMIFS(CA_Feed!F:F, CA_Feed!B:B, B131, CA_Feed!E:E, "*DIVIDEND*", CA_Feed!D:D, "&gt;="&amp;C131)</f>
        <v>3.25</v>
      </c>
      <c r="F131">
        <f t="shared" si="15"/>
        <v>23400</v>
      </c>
      <c r="G131">
        <f t="shared" si="16"/>
        <v>2340</v>
      </c>
      <c r="H131">
        <f t="shared" si="17"/>
        <v>21060</v>
      </c>
      <c r="I131">
        <f>D131 * SUMIFS(CA_Feed!G:G, CA_Feed!B:B, B131, CA_Feed!E:E, "*BONUS*", CA_Feed!D:D, "&gt;="&amp;C131)</f>
        <v>0</v>
      </c>
      <c r="J131">
        <f t="shared" si="18"/>
        <v>0</v>
      </c>
      <c r="K131">
        <f t="shared" si="19"/>
        <v>0</v>
      </c>
      <c r="L131">
        <f>IF(K131&gt;0, K131 * VLOOKUP(B131, CA_Feed!B:N, 13, FALSE), 0)</f>
        <v>0</v>
      </c>
      <c r="M131">
        <f t="shared" si="14"/>
        <v>21060</v>
      </c>
      <c r="N131" s="2">
        <f t="shared" ref="N131:N194" si="20">IF(J131&gt;0,D131 +J131,0)</f>
        <v>0</v>
      </c>
      <c r="O131" t="str">
        <f>IF(COUNTIFS(CA_Feed!B:B, B131)=0, "No Action Announced", IF(COUNTIFS(CA_Feed!B:B, B131, CA_Feed!D:D, "&gt;="&amp;C131)&gt;0, "Processed (Eligible)", "Ineligible (Post Ex-Date)"))</f>
        <v>Processed (Eligible)</v>
      </c>
    </row>
    <row r="132" spans="1:15" x14ac:dyDescent="0.3">
      <c r="A132" t="s">
        <v>208</v>
      </c>
      <c r="B132" t="s">
        <v>23</v>
      </c>
      <c r="C132" s="5">
        <v>45268</v>
      </c>
      <c r="D132" s="2">
        <v>4700</v>
      </c>
      <c r="E132">
        <f>SUMIFS(CA_Feed!F:F, CA_Feed!B:B, B132, CA_Feed!E:E, "*DIVIDEND*", CA_Feed!D:D, "&gt;="&amp;C132)</f>
        <v>1.5000000000000002</v>
      </c>
      <c r="F132">
        <f t="shared" si="15"/>
        <v>7050.0000000000009</v>
      </c>
      <c r="G132">
        <f t="shared" si="16"/>
        <v>705.00000000000011</v>
      </c>
      <c r="H132">
        <f t="shared" si="17"/>
        <v>6345.0000000000009</v>
      </c>
      <c r="I132">
        <f>D132 * SUMIFS(CA_Feed!G:G, CA_Feed!B:B, B132, CA_Feed!E:E, "*BONUS*", CA_Feed!D:D, "&gt;="&amp;C132)</f>
        <v>0</v>
      </c>
      <c r="J132">
        <f t="shared" si="18"/>
        <v>0</v>
      </c>
      <c r="K132">
        <f t="shared" si="19"/>
        <v>0</v>
      </c>
      <c r="L132">
        <f>IF(K132&gt;0, K132 * VLOOKUP(B132, CA_Feed!B:N, 13, FALSE), 0)</f>
        <v>0</v>
      </c>
      <c r="M132">
        <f t="shared" si="14"/>
        <v>6345.0000000000009</v>
      </c>
      <c r="N132" s="2">
        <f t="shared" si="20"/>
        <v>0</v>
      </c>
      <c r="O132" t="str">
        <f>IF(COUNTIFS(CA_Feed!B:B, B132)=0, "No Action Announced", IF(COUNTIFS(CA_Feed!B:B, B132, CA_Feed!D:D, "&gt;="&amp;C132)&gt;0, "Processed (Eligible)", "Ineligible (Post Ex-Date)"))</f>
        <v>Processed (Eligible)</v>
      </c>
    </row>
    <row r="133" spans="1:15" x14ac:dyDescent="0.3">
      <c r="A133" t="s">
        <v>209</v>
      </c>
      <c r="B133" t="s">
        <v>37</v>
      </c>
      <c r="C133" s="5">
        <v>44152</v>
      </c>
      <c r="D133" s="2">
        <v>4300</v>
      </c>
      <c r="E133">
        <f>SUMIFS(CA_Feed!F:F, CA_Feed!B:B, B133, CA_Feed!E:E, "*DIVIDEND*", CA_Feed!D:D, "&gt;="&amp;C133)</f>
        <v>6.5</v>
      </c>
      <c r="F133">
        <f t="shared" si="15"/>
        <v>27950</v>
      </c>
      <c r="G133">
        <f t="shared" si="16"/>
        <v>2795</v>
      </c>
      <c r="H133">
        <f t="shared" si="17"/>
        <v>25155</v>
      </c>
      <c r="I133">
        <f>D133 * SUMIFS(CA_Feed!G:G, CA_Feed!B:B, B133, CA_Feed!E:E, "*BONUS*", CA_Feed!D:D, "&gt;="&amp;C133)</f>
        <v>0</v>
      </c>
      <c r="J133">
        <f t="shared" si="18"/>
        <v>0</v>
      </c>
      <c r="K133">
        <f t="shared" si="19"/>
        <v>0</v>
      </c>
      <c r="L133">
        <f>IF(K133&gt;0, K133 * VLOOKUP(B133, CA_Feed!B:N, 13, FALSE), 0)</f>
        <v>0</v>
      </c>
      <c r="M133">
        <f t="shared" si="14"/>
        <v>25155</v>
      </c>
      <c r="N133" s="2">
        <f t="shared" si="20"/>
        <v>0</v>
      </c>
      <c r="O133" t="str">
        <f>IF(COUNTIFS(CA_Feed!B:B, B133)=0, "No Action Announced", IF(COUNTIFS(CA_Feed!B:B, B133, CA_Feed!D:D, "&gt;="&amp;C133)&gt;0, "Processed (Eligible)", "Ineligible (Post Ex-Date)"))</f>
        <v>Processed (Eligible)</v>
      </c>
    </row>
    <row r="134" spans="1:15" x14ac:dyDescent="0.3">
      <c r="A134" t="s">
        <v>563</v>
      </c>
      <c r="B134" t="s">
        <v>12</v>
      </c>
      <c r="C134" s="5">
        <v>46235</v>
      </c>
      <c r="D134" s="2">
        <v>110</v>
      </c>
      <c r="E134">
        <f>SUMIFS(CA_Feed!F:F, CA_Feed!B:B, B134, CA_Feed!E:E, "*DIVIDEND*", CA_Feed!D:D, "&gt;="&amp;C134)</f>
        <v>0</v>
      </c>
      <c r="F134">
        <f t="shared" si="15"/>
        <v>0</v>
      </c>
      <c r="G134">
        <f t="shared" si="16"/>
        <v>0</v>
      </c>
      <c r="H134">
        <f t="shared" si="17"/>
        <v>0</v>
      </c>
      <c r="I134">
        <f>D134 * SUMIFS(CA_Feed!G:G, CA_Feed!B:B, B134, CA_Feed!E:E, "*BONUS*", CA_Feed!D:D, "&gt;="&amp;C134)</f>
        <v>0</v>
      </c>
      <c r="J134">
        <f t="shared" si="18"/>
        <v>0</v>
      </c>
      <c r="K134">
        <f t="shared" si="19"/>
        <v>0</v>
      </c>
      <c r="L134">
        <f>IF(K134&gt;0, K134 * VLOOKUP(B134, CA_Feed!B:N, 13, FALSE), 0)</f>
        <v>0</v>
      </c>
      <c r="M134">
        <f t="shared" si="14"/>
        <v>0</v>
      </c>
      <c r="N134" s="2">
        <f t="shared" si="20"/>
        <v>0</v>
      </c>
      <c r="O134" t="str">
        <f>IF(COUNTIFS(CA_Feed!B:B, B134)=0, "No Action Announced", IF(COUNTIFS(CA_Feed!B:B, B134, CA_Feed!D:D, "&gt;="&amp;C134)&gt;0, "Processed (Eligible)", "Ineligible (Post Ex-Date)"))</f>
        <v>Ineligible (Post Ex-Date)</v>
      </c>
    </row>
    <row r="135" spans="1:15" x14ac:dyDescent="0.3">
      <c r="A135" t="s">
        <v>211</v>
      </c>
      <c r="B135" t="s">
        <v>45</v>
      </c>
      <c r="C135" s="5">
        <v>44848</v>
      </c>
      <c r="D135" s="2">
        <v>7450</v>
      </c>
      <c r="E135">
        <f>SUMIFS(CA_Feed!F:F, CA_Feed!B:B, B135, CA_Feed!E:E, "*DIVIDEND*", CA_Feed!D:D, "&gt;="&amp;C135)</f>
        <v>2.5</v>
      </c>
      <c r="F135">
        <f t="shared" si="15"/>
        <v>18625</v>
      </c>
      <c r="G135">
        <f t="shared" si="16"/>
        <v>1862.5</v>
      </c>
      <c r="H135">
        <f t="shared" si="17"/>
        <v>16762.5</v>
      </c>
      <c r="I135">
        <f>D135 * SUMIFS(CA_Feed!G:G, CA_Feed!B:B, B135, CA_Feed!E:E, "*BONUS*", CA_Feed!D:D, "&gt;="&amp;C135)</f>
        <v>0</v>
      </c>
      <c r="J135">
        <f t="shared" si="18"/>
        <v>0</v>
      </c>
      <c r="K135">
        <f t="shared" si="19"/>
        <v>0</v>
      </c>
      <c r="L135">
        <f>IF(K135&gt;0, K135 * VLOOKUP(B135, CA_Feed!B:N, 13, FALSE), 0)</f>
        <v>0</v>
      </c>
      <c r="M135">
        <f t="shared" si="14"/>
        <v>16762.5</v>
      </c>
      <c r="N135" s="2">
        <f t="shared" si="20"/>
        <v>0</v>
      </c>
      <c r="O135" t="str">
        <f>IF(COUNTIFS(CA_Feed!B:B, B135)=0, "No Action Announced", IF(COUNTIFS(CA_Feed!B:B, B135, CA_Feed!D:D, "&gt;="&amp;C135)&gt;0, "Processed (Eligible)", "Ineligible (Post Ex-Date)"))</f>
        <v>Processed (Eligible)</v>
      </c>
    </row>
    <row r="136" spans="1:15" x14ac:dyDescent="0.3">
      <c r="A136" t="s">
        <v>212</v>
      </c>
      <c r="B136" t="s">
        <v>37</v>
      </c>
      <c r="C136" s="5">
        <v>43277</v>
      </c>
      <c r="D136" s="2">
        <v>8750</v>
      </c>
      <c r="E136">
        <f>SUMIFS(CA_Feed!F:F, CA_Feed!B:B, B136, CA_Feed!E:E, "*DIVIDEND*", CA_Feed!D:D, "&gt;="&amp;C136)</f>
        <v>6.5</v>
      </c>
      <c r="F136">
        <f t="shared" si="15"/>
        <v>56875</v>
      </c>
      <c r="G136">
        <f t="shared" si="16"/>
        <v>5687.5</v>
      </c>
      <c r="H136">
        <f t="shared" si="17"/>
        <v>51187.5</v>
      </c>
      <c r="I136">
        <f>D136 * SUMIFS(CA_Feed!G:G, CA_Feed!B:B, B136, CA_Feed!E:E, "*BONUS*", CA_Feed!D:D, "&gt;="&amp;C136)</f>
        <v>0</v>
      </c>
      <c r="J136">
        <f t="shared" si="18"/>
        <v>0</v>
      </c>
      <c r="K136">
        <f t="shared" si="19"/>
        <v>0</v>
      </c>
      <c r="L136">
        <f>IF(K136&gt;0, K136 * VLOOKUP(B136, CA_Feed!B:N, 13, FALSE), 0)</f>
        <v>0</v>
      </c>
      <c r="M136">
        <f t="shared" si="14"/>
        <v>51187.5</v>
      </c>
      <c r="N136" s="2">
        <f t="shared" si="20"/>
        <v>0</v>
      </c>
      <c r="O136" t="str">
        <f>IF(COUNTIFS(CA_Feed!B:B, B136)=0, "No Action Announced", IF(COUNTIFS(CA_Feed!B:B, B136, CA_Feed!D:D, "&gt;="&amp;C136)&gt;0, "Processed (Eligible)", "Ineligible (Post Ex-Date)"))</f>
        <v>Processed (Eligible)</v>
      </c>
    </row>
    <row r="137" spans="1:15" x14ac:dyDescent="0.3">
      <c r="A137" t="s">
        <v>213</v>
      </c>
      <c r="B137" t="s">
        <v>29</v>
      </c>
      <c r="C137" s="5">
        <v>44178</v>
      </c>
      <c r="D137" s="2">
        <v>7850</v>
      </c>
      <c r="E137">
        <f>SUMIFS(CA_Feed!F:F, CA_Feed!B:B, B137, CA_Feed!E:E, "*DIVIDEND*", CA_Feed!D:D, "&gt;="&amp;C137)</f>
        <v>3</v>
      </c>
      <c r="F137">
        <f t="shared" si="15"/>
        <v>23550</v>
      </c>
      <c r="G137">
        <f t="shared" si="16"/>
        <v>2355</v>
      </c>
      <c r="H137">
        <f t="shared" si="17"/>
        <v>21195</v>
      </c>
      <c r="I137">
        <f>D137 * SUMIFS(CA_Feed!G:G, CA_Feed!B:B, B137, CA_Feed!E:E, "*BONUS*", CA_Feed!D:D, "&gt;="&amp;C137)</f>
        <v>0</v>
      </c>
      <c r="J137">
        <f t="shared" si="18"/>
        <v>0</v>
      </c>
      <c r="K137">
        <f t="shared" si="19"/>
        <v>0</v>
      </c>
      <c r="L137">
        <f>IF(K137&gt;0, K137 * VLOOKUP(B137, CA_Feed!B:N, 13, FALSE), 0)</f>
        <v>0</v>
      </c>
      <c r="M137">
        <f t="shared" si="14"/>
        <v>21195</v>
      </c>
      <c r="N137" s="2">
        <f t="shared" si="20"/>
        <v>0</v>
      </c>
      <c r="O137" t="str">
        <f>IF(COUNTIFS(CA_Feed!B:B, B137)=0, "No Action Announced", IF(COUNTIFS(CA_Feed!B:B, B137, CA_Feed!D:D, "&gt;="&amp;C137)&gt;0, "Processed (Eligible)", "Ineligible (Post Ex-Date)"))</f>
        <v>Processed (Eligible)</v>
      </c>
    </row>
    <row r="138" spans="1:15" x14ac:dyDescent="0.3">
      <c r="A138" t="s">
        <v>214</v>
      </c>
      <c r="B138" t="s">
        <v>35</v>
      </c>
      <c r="C138" s="5">
        <v>45132</v>
      </c>
      <c r="D138" s="2">
        <v>8150</v>
      </c>
      <c r="E138">
        <f>SUMIFS(CA_Feed!F:F, CA_Feed!B:B, B138, CA_Feed!E:E, "*DIVIDEND*", CA_Feed!D:D, "&gt;="&amp;C138)</f>
        <v>1</v>
      </c>
      <c r="F138">
        <f t="shared" si="15"/>
        <v>8150</v>
      </c>
      <c r="G138">
        <f t="shared" si="16"/>
        <v>815</v>
      </c>
      <c r="H138">
        <f t="shared" si="17"/>
        <v>7335</v>
      </c>
      <c r="I138">
        <f>D138 * SUMIFS(CA_Feed!G:G, CA_Feed!B:B, B138, CA_Feed!E:E, "*BONUS*", CA_Feed!D:D, "&gt;="&amp;C138)</f>
        <v>0</v>
      </c>
      <c r="J138">
        <f t="shared" si="18"/>
        <v>0</v>
      </c>
      <c r="K138">
        <f t="shared" si="19"/>
        <v>0</v>
      </c>
      <c r="L138">
        <f>IF(K138&gt;0, K138 * VLOOKUP(B138, CA_Feed!B:N, 13, FALSE), 0)</f>
        <v>0</v>
      </c>
      <c r="M138">
        <f t="shared" si="14"/>
        <v>7335</v>
      </c>
      <c r="N138" s="2">
        <f t="shared" si="20"/>
        <v>0</v>
      </c>
      <c r="O138" t="str">
        <f>IF(COUNTIFS(CA_Feed!B:B, B138)=0, "No Action Announced", IF(COUNTIFS(CA_Feed!B:B, B138, CA_Feed!D:D, "&gt;="&amp;C138)&gt;0, "Processed (Eligible)", "Ineligible (Post Ex-Date)"))</f>
        <v>Processed (Eligible)</v>
      </c>
    </row>
    <row r="139" spans="1:15" x14ac:dyDescent="0.3">
      <c r="A139" t="s">
        <v>215</v>
      </c>
      <c r="B139" t="s">
        <v>37</v>
      </c>
      <c r="C139" s="5">
        <v>42284</v>
      </c>
      <c r="D139" s="2">
        <v>2800</v>
      </c>
      <c r="E139">
        <f>SUMIFS(CA_Feed!F:F, CA_Feed!B:B, B139, CA_Feed!E:E, "*DIVIDEND*", CA_Feed!D:D, "&gt;="&amp;C139)</f>
        <v>6.5</v>
      </c>
      <c r="F139">
        <f t="shared" si="15"/>
        <v>18200</v>
      </c>
      <c r="G139">
        <f t="shared" si="16"/>
        <v>1820</v>
      </c>
      <c r="H139">
        <f t="shared" si="17"/>
        <v>16380</v>
      </c>
      <c r="I139">
        <f>D139 * SUMIFS(CA_Feed!G:G, CA_Feed!B:B, B139, CA_Feed!E:E, "*BONUS*", CA_Feed!D:D, "&gt;="&amp;C139)</f>
        <v>0</v>
      </c>
      <c r="J139">
        <f t="shared" si="18"/>
        <v>0</v>
      </c>
      <c r="K139">
        <f t="shared" si="19"/>
        <v>0</v>
      </c>
      <c r="L139">
        <f>IF(K139&gt;0, K139 * VLOOKUP(B139, CA_Feed!B:N, 13, FALSE), 0)</f>
        <v>0</v>
      </c>
      <c r="M139">
        <f t="shared" si="14"/>
        <v>16380</v>
      </c>
      <c r="N139" s="2">
        <f t="shared" si="20"/>
        <v>0</v>
      </c>
      <c r="O139" t="str">
        <f>IF(COUNTIFS(CA_Feed!B:B, B139)=0, "No Action Announced", IF(COUNTIFS(CA_Feed!B:B, B139, CA_Feed!D:D, "&gt;="&amp;C139)&gt;0, "Processed (Eligible)", "Ineligible (Post Ex-Date)"))</f>
        <v>Processed (Eligible)</v>
      </c>
    </row>
    <row r="140" spans="1:15" x14ac:dyDescent="0.3">
      <c r="A140" t="s">
        <v>795</v>
      </c>
      <c r="B140" t="s">
        <v>12</v>
      </c>
      <c r="C140" s="5">
        <v>44416</v>
      </c>
      <c r="D140" s="2">
        <v>110</v>
      </c>
      <c r="E140">
        <f>SUMIFS(CA_Feed!F:F, CA_Feed!B:B, B140, CA_Feed!E:E, "*DIVIDEND*", CA_Feed!D:D, "&gt;="&amp;C140)</f>
        <v>19</v>
      </c>
      <c r="F140">
        <f t="shared" si="15"/>
        <v>2090</v>
      </c>
      <c r="G140">
        <f t="shared" si="16"/>
        <v>209</v>
      </c>
      <c r="H140">
        <f t="shared" si="17"/>
        <v>1881</v>
      </c>
      <c r="I140">
        <f>D140 * SUMIFS(CA_Feed!G:G, CA_Feed!B:B, B140, CA_Feed!E:E, "*BONUS*", CA_Feed!D:D, "&gt;="&amp;C140)</f>
        <v>0</v>
      </c>
      <c r="J140">
        <f t="shared" si="18"/>
        <v>0</v>
      </c>
      <c r="K140">
        <f t="shared" si="19"/>
        <v>0</v>
      </c>
      <c r="L140">
        <f>IF(K140&gt;0, K140 * VLOOKUP(B140, CA_Feed!B:N, 13, FALSE), 0)</f>
        <v>0</v>
      </c>
      <c r="M140">
        <f t="shared" si="14"/>
        <v>1881</v>
      </c>
      <c r="N140" s="2">
        <f t="shared" si="20"/>
        <v>0</v>
      </c>
      <c r="O140" t="str">
        <f>IF(COUNTIFS(CA_Feed!B:B, B140)=0, "No Action Announced", IF(COUNTIFS(CA_Feed!B:B, B140, CA_Feed!D:D, "&gt;="&amp;C140)&gt;0, "Processed (Eligible)", "Ineligible (Post Ex-Date)"))</f>
        <v>Processed (Eligible)</v>
      </c>
    </row>
    <row r="141" spans="1:15" x14ac:dyDescent="0.3">
      <c r="A141" t="s">
        <v>217</v>
      </c>
      <c r="B141" t="s">
        <v>16</v>
      </c>
      <c r="C141" s="5">
        <v>43396</v>
      </c>
      <c r="D141" s="2">
        <v>6150</v>
      </c>
      <c r="E141">
        <f>SUMIFS(CA_Feed!F:F, CA_Feed!B:B, B141, CA_Feed!E:E, "*DIVIDEND*", CA_Feed!D:D, "&gt;="&amp;C141)</f>
        <v>3.75</v>
      </c>
      <c r="F141">
        <f t="shared" si="15"/>
        <v>23062.5</v>
      </c>
      <c r="G141">
        <f t="shared" si="16"/>
        <v>2306.25</v>
      </c>
      <c r="H141">
        <f t="shared" si="17"/>
        <v>20756.25</v>
      </c>
      <c r="I141">
        <f>D141 * SUMIFS(CA_Feed!G:G, CA_Feed!B:B, B141, CA_Feed!E:E, "*BONUS*", CA_Feed!D:D, "&gt;="&amp;C141)</f>
        <v>0</v>
      </c>
      <c r="J141">
        <f t="shared" si="18"/>
        <v>0</v>
      </c>
      <c r="K141">
        <f t="shared" si="19"/>
        <v>0</v>
      </c>
      <c r="L141">
        <f>IF(K141&gt;0, K141 * VLOOKUP(B141, CA_Feed!B:N, 13, FALSE), 0)</f>
        <v>0</v>
      </c>
      <c r="M141">
        <f t="shared" si="14"/>
        <v>20756.25</v>
      </c>
      <c r="N141" s="2">
        <f t="shared" si="20"/>
        <v>0</v>
      </c>
      <c r="O141" t="str">
        <f>IF(COUNTIFS(CA_Feed!B:B, B141)=0, "No Action Announced", IF(COUNTIFS(CA_Feed!B:B, B141, CA_Feed!D:D, "&gt;="&amp;C141)&gt;0, "Processed (Eligible)", "Ineligible (Post Ex-Date)"))</f>
        <v>Processed (Eligible)</v>
      </c>
    </row>
    <row r="142" spans="1:15" x14ac:dyDescent="0.3">
      <c r="A142" t="s">
        <v>218</v>
      </c>
      <c r="B142" t="s">
        <v>41</v>
      </c>
      <c r="C142" s="5">
        <v>44379</v>
      </c>
      <c r="D142" s="2">
        <v>8500</v>
      </c>
      <c r="E142">
        <f>SUMIFS(CA_Feed!F:F, CA_Feed!B:B, B142, CA_Feed!E:E, "*DIVIDEND*", CA_Feed!D:D, "&gt;="&amp;C142)</f>
        <v>0.2</v>
      </c>
      <c r="F142">
        <f t="shared" si="15"/>
        <v>1700</v>
      </c>
      <c r="G142">
        <f t="shared" si="16"/>
        <v>170</v>
      </c>
      <c r="H142">
        <f t="shared" si="17"/>
        <v>1530</v>
      </c>
      <c r="I142">
        <f>D142 * SUMIFS(CA_Feed!G:G, CA_Feed!B:B, B142, CA_Feed!E:E, "*BONUS*", CA_Feed!D:D, "&gt;="&amp;C142)</f>
        <v>0</v>
      </c>
      <c r="J142">
        <f t="shared" si="18"/>
        <v>0</v>
      </c>
      <c r="K142">
        <f t="shared" si="19"/>
        <v>0</v>
      </c>
      <c r="L142">
        <f>IF(K142&gt;0, K142 * VLOOKUP(B142, CA_Feed!B:N, 13, FALSE), 0)</f>
        <v>0</v>
      </c>
      <c r="M142">
        <f t="shared" si="14"/>
        <v>1530</v>
      </c>
      <c r="N142" s="2">
        <f t="shared" si="20"/>
        <v>0</v>
      </c>
      <c r="O142" t="str">
        <f>IF(COUNTIFS(CA_Feed!B:B, B142)=0, "No Action Announced", IF(COUNTIFS(CA_Feed!B:B, B142, CA_Feed!D:D, "&gt;="&amp;C142)&gt;0, "Processed (Eligible)", "Ineligible (Post Ex-Date)"))</f>
        <v>Processed (Eligible)</v>
      </c>
    </row>
    <row r="143" spans="1:15" x14ac:dyDescent="0.3">
      <c r="A143" t="s">
        <v>219</v>
      </c>
      <c r="B143" t="s">
        <v>25</v>
      </c>
      <c r="C143" s="5">
        <v>44254</v>
      </c>
      <c r="D143" s="2">
        <v>3900</v>
      </c>
      <c r="E143">
        <f>SUMIFS(CA_Feed!F:F, CA_Feed!B:B, B143, CA_Feed!E:E, "*DIVIDEND*", CA_Feed!D:D, "&gt;="&amp;C143)</f>
        <v>2.5</v>
      </c>
      <c r="F143">
        <f t="shared" si="15"/>
        <v>9750</v>
      </c>
      <c r="G143">
        <f t="shared" si="16"/>
        <v>975</v>
      </c>
      <c r="H143">
        <f t="shared" si="17"/>
        <v>8775</v>
      </c>
      <c r="I143">
        <f>D143 * SUMIFS(CA_Feed!G:G, CA_Feed!B:B, B143, CA_Feed!E:E, "*BONUS*", CA_Feed!D:D, "&gt;="&amp;C143)</f>
        <v>0</v>
      </c>
      <c r="J143">
        <f t="shared" si="18"/>
        <v>0</v>
      </c>
      <c r="K143">
        <f t="shared" si="19"/>
        <v>0</v>
      </c>
      <c r="L143">
        <f>IF(K143&gt;0, K143 * VLOOKUP(B143, CA_Feed!B:N, 13, FALSE), 0)</f>
        <v>0</v>
      </c>
      <c r="M143">
        <f t="shared" si="14"/>
        <v>8775</v>
      </c>
      <c r="N143" s="2">
        <f t="shared" si="20"/>
        <v>0</v>
      </c>
      <c r="O143" t="str">
        <f>IF(COUNTIFS(CA_Feed!B:B, B143)=0, "No Action Announced", IF(COUNTIFS(CA_Feed!B:B, B143, CA_Feed!D:D, "&gt;="&amp;C143)&gt;0, "Processed (Eligible)", "Ineligible (Post Ex-Date)"))</f>
        <v>Processed (Eligible)</v>
      </c>
    </row>
    <row r="144" spans="1:15" x14ac:dyDescent="0.3">
      <c r="A144" t="s">
        <v>220</v>
      </c>
      <c r="B144" t="s">
        <v>16</v>
      </c>
      <c r="C144" s="5">
        <v>42291</v>
      </c>
      <c r="D144" s="2">
        <v>5550</v>
      </c>
      <c r="E144">
        <f>SUMIFS(CA_Feed!F:F, CA_Feed!B:B, B144, CA_Feed!E:E, "*DIVIDEND*", CA_Feed!D:D, "&gt;="&amp;C144)</f>
        <v>3.75</v>
      </c>
      <c r="F144">
        <f t="shared" si="15"/>
        <v>20812.5</v>
      </c>
      <c r="G144">
        <f t="shared" si="16"/>
        <v>2081.25</v>
      </c>
      <c r="H144">
        <f t="shared" si="17"/>
        <v>18731.25</v>
      </c>
      <c r="I144">
        <f>D144 * SUMIFS(CA_Feed!G:G, CA_Feed!B:B, B144, CA_Feed!E:E, "*BONUS*", CA_Feed!D:D, "&gt;="&amp;C144)</f>
        <v>0</v>
      </c>
      <c r="J144">
        <f t="shared" si="18"/>
        <v>0</v>
      </c>
      <c r="K144">
        <f t="shared" si="19"/>
        <v>0</v>
      </c>
      <c r="L144">
        <f>IF(K144&gt;0, K144 * VLOOKUP(B144, CA_Feed!B:N, 13, FALSE), 0)</f>
        <v>0</v>
      </c>
      <c r="M144">
        <f t="shared" si="14"/>
        <v>18731.25</v>
      </c>
      <c r="N144" s="2">
        <f t="shared" si="20"/>
        <v>0</v>
      </c>
      <c r="O144" t="str">
        <f>IF(COUNTIFS(CA_Feed!B:B, B144)=0, "No Action Announced", IF(COUNTIFS(CA_Feed!B:B, B144, CA_Feed!D:D, "&gt;="&amp;C144)&gt;0, "Processed (Eligible)", "Ineligible (Post Ex-Date)"))</f>
        <v>Processed (Eligible)</v>
      </c>
    </row>
    <row r="145" spans="1:15" x14ac:dyDescent="0.3">
      <c r="A145" t="s">
        <v>221</v>
      </c>
      <c r="B145" t="s">
        <v>31</v>
      </c>
      <c r="C145" s="5">
        <v>42545</v>
      </c>
      <c r="D145" s="2">
        <v>5800</v>
      </c>
      <c r="E145">
        <f>SUMIFS(CA_Feed!F:F, CA_Feed!B:B, B145, CA_Feed!E:E, "*DIVIDEND*", CA_Feed!D:D, "&gt;="&amp;C145)</f>
        <v>3</v>
      </c>
      <c r="F145">
        <f t="shared" si="15"/>
        <v>17400</v>
      </c>
      <c r="G145">
        <f t="shared" si="16"/>
        <v>1740</v>
      </c>
      <c r="H145">
        <f t="shared" si="17"/>
        <v>15660</v>
      </c>
      <c r="I145">
        <f>D145 * SUMIFS(CA_Feed!G:G, CA_Feed!B:B, B145, CA_Feed!E:E, "*BONUS*", CA_Feed!D:D, "&gt;="&amp;C145)</f>
        <v>0</v>
      </c>
      <c r="J145">
        <f t="shared" si="18"/>
        <v>0</v>
      </c>
      <c r="K145">
        <f t="shared" si="19"/>
        <v>0</v>
      </c>
      <c r="L145">
        <f>IF(K145&gt;0, K145 * VLOOKUP(B145, CA_Feed!B:N, 13, FALSE), 0)</f>
        <v>0</v>
      </c>
      <c r="M145">
        <f t="shared" si="14"/>
        <v>15660</v>
      </c>
      <c r="N145" s="2">
        <f t="shared" si="20"/>
        <v>0</v>
      </c>
      <c r="O145" t="str">
        <f>IF(COUNTIFS(CA_Feed!B:B, B145)=0, "No Action Announced", IF(COUNTIFS(CA_Feed!B:B, B145, CA_Feed!D:D, "&gt;="&amp;C145)&gt;0, "Processed (Eligible)", "Ineligible (Post Ex-Date)"))</f>
        <v>Processed (Eligible)</v>
      </c>
    </row>
    <row r="146" spans="1:15" x14ac:dyDescent="0.3">
      <c r="A146" t="s">
        <v>534</v>
      </c>
      <c r="B146" t="s">
        <v>12</v>
      </c>
      <c r="C146" s="5">
        <v>45287</v>
      </c>
      <c r="D146" s="2">
        <v>110</v>
      </c>
      <c r="E146">
        <f>SUMIFS(CA_Feed!F:F, CA_Feed!B:B, B146, CA_Feed!E:E, "*DIVIDEND*", CA_Feed!D:D, "&gt;="&amp;C146)</f>
        <v>19</v>
      </c>
      <c r="F146">
        <f t="shared" si="15"/>
        <v>2090</v>
      </c>
      <c r="G146">
        <f t="shared" si="16"/>
        <v>209</v>
      </c>
      <c r="H146">
        <f t="shared" si="17"/>
        <v>1881</v>
      </c>
      <c r="I146">
        <f>D146 * SUMIFS(CA_Feed!G:G, CA_Feed!B:B, B146, CA_Feed!E:E, "*BONUS*", CA_Feed!D:D, "&gt;="&amp;C146)</f>
        <v>0</v>
      </c>
      <c r="J146">
        <f t="shared" si="18"/>
        <v>0</v>
      </c>
      <c r="K146">
        <f t="shared" si="19"/>
        <v>0</v>
      </c>
      <c r="L146">
        <f>IF(K146&gt;0, K146 * VLOOKUP(B146, CA_Feed!B:N, 13, FALSE), 0)</f>
        <v>0</v>
      </c>
      <c r="M146">
        <f t="shared" si="14"/>
        <v>1881</v>
      </c>
      <c r="N146" s="2">
        <f t="shared" si="20"/>
        <v>0</v>
      </c>
      <c r="O146" t="str">
        <f>IF(COUNTIFS(CA_Feed!B:B, B146)=0, "No Action Announced", IF(COUNTIFS(CA_Feed!B:B, B146, CA_Feed!D:D, "&gt;="&amp;C146)&gt;0, "Processed (Eligible)", "Ineligible (Post Ex-Date)"))</f>
        <v>Processed (Eligible)</v>
      </c>
    </row>
    <row r="147" spans="1:15" x14ac:dyDescent="0.3">
      <c r="A147" t="s">
        <v>223</v>
      </c>
      <c r="B147" t="s">
        <v>29</v>
      </c>
      <c r="C147" s="5">
        <v>42685</v>
      </c>
      <c r="D147" s="2">
        <v>8200</v>
      </c>
      <c r="E147">
        <f>SUMIFS(CA_Feed!F:F, CA_Feed!B:B, B147, CA_Feed!E:E, "*DIVIDEND*", CA_Feed!D:D, "&gt;="&amp;C147)</f>
        <v>3</v>
      </c>
      <c r="F147">
        <f t="shared" si="15"/>
        <v>24600</v>
      </c>
      <c r="G147">
        <f t="shared" si="16"/>
        <v>2460</v>
      </c>
      <c r="H147">
        <f t="shared" si="17"/>
        <v>22140</v>
      </c>
      <c r="I147">
        <f>D147 * SUMIFS(CA_Feed!G:G, CA_Feed!B:B, B147, CA_Feed!E:E, "*BONUS*", CA_Feed!D:D, "&gt;="&amp;C147)</f>
        <v>0</v>
      </c>
      <c r="J147">
        <f t="shared" si="18"/>
        <v>0</v>
      </c>
      <c r="K147">
        <f t="shared" si="19"/>
        <v>0</v>
      </c>
      <c r="L147">
        <f>IF(K147&gt;0, K147 * VLOOKUP(B147, CA_Feed!B:N, 13, FALSE), 0)</f>
        <v>0</v>
      </c>
      <c r="M147">
        <f t="shared" si="14"/>
        <v>22140</v>
      </c>
      <c r="N147" s="2">
        <f t="shared" si="20"/>
        <v>0</v>
      </c>
      <c r="O147" t="str">
        <f>IF(COUNTIFS(CA_Feed!B:B, B147)=0, "No Action Announced", IF(COUNTIFS(CA_Feed!B:B, B147, CA_Feed!D:D, "&gt;="&amp;C147)&gt;0, "Processed (Eligible)", "Ineligible (Post Ex-Date)"))</f>
        <v>Processed (Eligible)</v>
      </c>
    </row>
    <row r="148" spans="1:15" x14ac:dyDescent="0.3">
      <c r="A148" t="s">
        <v>224</v>
      </c>
      <c r="B148" t="s">
        <v>39</v>
      </c>
      <c r="C148" s="5">
        <v>42271</v>
      </c>
      <c r="D148" s="2">
        <v>3000</v>
      </c>
      <c r="E148">
        <f>SUMIFS(CA_Feed!F:F, CA_Feed!B:B, B148, CA_Feed!E:E, "*DIVIDEND*", CA_Feed!D:D, "&gt;="&amp;C148)</f>
        <v>1.2</v>
      </c>
      <c r="F148">
        <f t="shared" si="15"/>
        <v>3600</v>
      </c>
      <c r="G148">
        <f t="shared" si="16"/>
        <v>360</v>
      </c>
      <c r="H148">
        <f t="shared" si="17"/>
        <v>3240</v>
      </c>
      <c r="I148">
        <f>D148 * SUMIFS(CA_Feed!G:G, CA_Feed!B:B, B148, CA_Feed!E:E, "*BONUS*", CA_Feed!D:D, "&gt;="&amp;C148)</f>
        <v>0</v>
      </c>
      <c r="J148">
        <f t="shared" si="18"/>
        <v>0</v>
      </c>
      <c r="K148">
        <f t="shared" si="19"/>
        <v>0</v>
      </c>
      <c r="L148">
        <f>IF(K148&gt;0, K148 * VLOOKUP(B148, CA_Feed!B:N, 13, FALSE), 0)</f>
        <v>0</v>
      </c>
      <c r="M148">
        <f t="shared" si="14"/>
        <v>3240</v>
      </c>
      <c r="N148" s="2">
        <f t="shared" si="20"/>
        <v>0</v>
      </c>
      <c r="O148" t="str">
        <f>IF(COUNTIFS(CA_Feed!B:B, B148)=0, "No Action Announced", IF(COUNTIFS(CA_Feed!B:B, B148, CA_Feed!D:D, "&gt;="&amp;C148)&gt;0, "Processed (Eligible)", "Ineligible (Post Ex-Date)"))</f>
        <v>Processed (Eligible)</v>
      </c>
    </row>
    <row r="149" spans="1:15" x14ac:dyDescent="0.3">
      <c r="A149" t="s">
        <v>315</v>
      </c>
      <c r="B149" t="s">
        <v>12</v>
      </c>
      <c r="C149" s="5">
        <v>42065</v>
      </c>
      <c r="D149" s="2">
        <v>110</v>
      </c>
      <c r="E149">
        <f>SUMIFS(CA_Feed!F:F, CA_Feed!B:B, B149, CA_Feed!E:E, "*DIVIDEND*", CA_Feed!D:D, "&gt;="&amp;C149)</f>
        <v>19</v>
      </c>
      <c r="F149">
        <f t="shared" si="15"/>
        <v>2090</v>
      </c>
      <c r="G149">
        <f t="shared" si="16"/>
        <v>209</v>
      </c>
      <c r="H149">
        <f t="shared" si="17"/>
        <v>1881</v>
      </c>
      <c r="I149">
        <f>D149 * SUMIFS(CA_Feed!G:G, CA_Feed!B:B, B149, CA_Feed!E:E, "*BONUS*", CA_Feed!D:D, "&gt;="&amp;C149)</f>
        <v>0</v>
      </c>
      <c r="J149">
        <f t="shared" si="18"/>
        <v>0</v>
      </c>
      <c r="K149">
        <f t="shared" si="19"/>
        <v>0</v>
      </c>
      <c r="L149">
        <f>IF(K149&gt;0, K149 * VLOOKUP(B149, CA_Feed!B:N, 13, FALSE), 0)</f>
        <v>0</v>
      </c>
      <c r="M149">
        <f t="shared" si="14"/>
        <v>1881</v>
      </c>
      <c r="N149" s="2">
        <f t="shared" si="20"/>
        <v>0</v>
      </c>
      <c r="O149" t="str">
        <f>IF(COUNTIFS(CA_Feed!B:B, B149)=0, "No Action Announced", IF(COUNTIFS(CA_Feed!B:B, B149, CA_Feed!D:D, "&gt;="&amp;C149)&gt;0, "Processed (Eligible)", "Ineligible (Post Ex-Date)"))</f>
        <v>Processed (Eligible)</v>
      </c>
    </row>
    <row r="150" spans="1:15" x14ac:dyDescent="0.3">
      <c r="A150" t="s">
        <v>226</v>
      </c>
      <c r="B150" t="s">
        <v>23</v>
      </c>
      <c r="C150" s="5">
        <v>45646</v>
      </c>
      <c r="D150" s="2">
        <v>6950</v>
      </c>
      <c r="E150">
        <f>SUMIFS(CA_Feed!F:F, CA_Feed!B:B, B150, CA_Feed!E:E, "*DIVIDEND*", CA_Feed!D:D, "&gt;="&amp;C150)</f>
        <v>0.90000000000000013</v>
      </c>
      <c r="F150">
        <f t="shared" si="15"/>
        <v>6255.0000000000009</v>
      </c>
      <c r="G150">
        <f t="shared" si="16"/>
        <v>625.50000000000011</v>
      </c>
      <c r="H150">
        <f t="shared" si="17"/>
        <v>5629.5000000000009</v>
      </c>
      <c r="I150">
        <f>D150 * SUMIFS(CA_Feed!G:G, CA_Feed!B:B, B150, CA_Feed!E:E, "*BONUS*", CA_Feed!D:D, "&gt;="&amp;C150)</f>
        <v>0</v>
      </c>
      <c r="J150">
        <f t="shared" si="18"/>
        <v>0</v>
      </c>
      <c r="K150">
        <f t="shared" si="19"/>
        <v>0</v>
      </c>
      <c r="L150">
        <f>IF(K150&gt;0, K150 * VLOOKUP(B150, CA_Feed!B:N, 13, FALSE), 0)</f>
        <v>0</v>
      </c>
      <c r="M150">
        <f t="shared" si="14"/>
        <v>5629.5000000000009</v>
      </c>
      <c r="N150" s="2">
        <f t="shared" si="20"/>
        <v>0</v>
      </c>
      <c r="O150" t="str">
        <f>IF(COUNTIFS(CA_Feed!B:B, B150)=0, "No Action Announced", IF(COUNTIFS(CA_Feed!B:B, B150, CA_Feed!D:D, "&gt;="&amp;C150)&gt;0, "Processed (Eligible)", "Ineligible (Post Ex-Date)"))</f>
        <v>Processed (Eligible)</v>
      </c>
    </row>
    <row r="151" spans="1:15" x14ac:dyDescent="0.3">
      <c r="A151" t="s">
        <v>227</v>
      </c>
      <c r="B151" t="s">
        <v>33</v>
      </c>
      <c r="C151" s="5">
        <v>45560</v>
      </c>
      <c r="D151" s="2">
        <v>1350</v>
      </c>
      <c r="E151">
        <f>SUMIFS(CA_Feed!F:F, CA_Feed!B:B, B151, CA_Feed!E:E, "*DIVIDEND*", CA_Feed!D:D, "&gt;="&amp;C151)</f>
        <v>1.5</v>
      </c>
      <c r="F151">
        <f t="shared" si="15"/>
        <v>2025</v>
      </c>
      <c r="G151">
        <f t="shared" si="16"/>
        <v>202.5</v>
      </c>
      <c r="H151">
        <f t="shared" si="17"/>
        <v>1822.5</v>
      </c>
      <c r="I151">
        <f>D151 * SUMIFS(CA_Feed!G:G, CA_Feed!B:B, B151, CA_Feed!E:E, "*BONUS*", CA_Feed!D:D, "&gt;="&amp;C151)</f>
        <v>0</v>
      </c>
      <c r="J151">
        <f t="shared" si="18"/>
        <v>0</v>
      </c>
      <c r="K151">
        <f t="shared" si="19"/>
        <v>0</v>
      </c>
      <c r="L151">
        <f>IF(K151&gt;0, K151 * VLOOKUP(B151, CA_Feed!B:N, 13, FALSE), 0)</f>
        <v>0</v>
      </c>
      <c r="M151">
        <f t="shared" si="14"/>
        <v>1822.5</v>
      </c>
      <c r="N151" s="2">
        <f t="shared" si="20"/>
        <v>0</v>
      </c>
      <c r="O151" t="str">
        <f>IF(COUNTIFS(CA_Feed!B:B, B151)=0, "No Action Announced", IF(COUNTIFS(CA_Feed!B:B, B151, CA_Feed!D:D, "&gt;="&amp;C151)&gt;0, "Processed (Eligible)", "Ineligible (Post Ex-Date)"))</f>
        <v>Processed (Eligible)</v>
      </c>
    </row>
    <row r="152" spans="1:15" x14ac:dyDescent="0.3">
      <c r="A152" t="s">
        <v>228</v>
      </c>
      <c r="B152" t="s">
        <v>39</v>
      </c>
      <c r="C152" s="5">
        <v>42120</v>
      </c>
      <c r="D152" s="2">
        <v>2450</v>
      </c>
      <c r="E152">
        <f>SUMIFS(CA_Feed!F:F, CA_Feed!B:B, B152, CA_Feed!E:E, "*DIVIDEND*", CA_Feed!D:D, "&gt;="&amp;C152)</f>
        <v>1.2</v>
      </c>
      <c r="F152">
        <f t="shared" si="15"/>
        <v>2940</v>
      </c>
      <c r="G152">
        <f t="shared" si="16"/>
        <v>294</v>
      </c>
      <c r="H152">
        <f t="shared" si="17"/>
        <v>2646</v>
      </c>
      <c r="I152">
        <f>D152 * SUMIFS(CA_Feed!G:G, CA_Feed!B:B, B152, CA_Feed!E:E, "*BONUS*", CA_Feed!D:D, "&gt;="&amp;C152)</f>
        <v>0</v>
      </c>
      <c r="J152">
        <f t="shared" si="18"/>
        <v>0</v>
      </c>
      <c r="K152">
        <f t="shared" si="19"/>
        <v>0</v>
      </c>
      <c r="L152">
        <f>IF(K152&gt;0, K152 * VLOOKUP(B152, CA_Feed!B:N, 13, FALSE), 0)</f>
        <v>0</v>
      </c>
      <c r="M152">
        <f t="shared" si="14"/>
        <v>2646</v>
      </c>
      <c r="N152" s="2">
        <f t="shared" si="20"/>
        <v>0</v>
      </c>
      <c r="O152" t="str">
        <f>IF(COUNTIFS(CA_Feed!B:B, B152)=0, "No Action Announced", IF(COUNTIFS(CA_Feed!B:B, B152, CA_Feed!D:D, "&gt;="&amp;C152)&gt;0, "Processed (Eligible)", "Ineligible (Post Ex-Date)"))</f>
        <v>Processed (Eligible)</v>
      </c>
    </row>
    <row r="153" spans="1:15" x14ac:dyDescent="0.3">
      <c r="A153" t="s">
        <v>229</v>
      </c>
      <c r="B153" t="s">
        <v>23</v>
      </c>
      <c r="C153" s="5">
        <v>42300</v>
      </c>
      <c r="D153" s="2">
        <v>2100</v>
      </c>
      <c r="E153">
        <f>SUMIFS(CA_Feed!F:F, CA_Feed!B:B, B153, CA_Feed!E:E, "*DIVIDEND*", CA_Feed!D:D, "&gt;="&amp;C153)</f>
        <v>1.5000000000000002</v>
      </c>
      <c r="F153">
        <f t="shared" si="15"/>
        <v>3150.0000000000005</v>
      </c>
      <c r="G153">
        <f t="shared" si="16"/>
        <v>315.00000000000006</v>
      </c>
      <c r="H153">
        <f t="shared" si="17"/>
        <v>2835.0000000000005</v>
      </c>
      <c r="I153">
        <f>D153 * SUMIFS(CA_Feed!G:G, CA_Feed!B:B, B153, CA_Feed!E:E, "*BONUS*", CA_Feed!D:D, "&gt;="&amp;C153)</f>
        <v>0</v>
      </c>
      <c r="J153">
        <f t="shared" si="18"/>
        <v>0</v>
      </c>
      <c r="K153">
        <f t="shared" si="19"/>
        <v>0</v>
      </c>
      <c r="L153">
        <f>IF(K153&gt;0, K153 * VLOOKUP(B153, CA_Feed!B:N, 13, FALSE), 0)</f>
        <v>0</v>
      </c>
      <c r="M153">
        <f t="shared" si="14"/>
        <v>2835.0000000000005</v>
      </c>
      <c r="N153" s="2">
        <f t="shared" si="20"/>
        <v>0</v>
      </c>
      <c r="O153" t="str">
        <f>IF(COUNTIFS(CA_Feed!B:B, B153)=0, "No Action Announced", IF(COUNTIFS(CA_Feed!B:B, B153, CA_Feed!D:D, "&gt;="&amp;C153)&gt;0, "Processed (Eligible)", "Ineligible (Post Ex-Date)"))</f>
        <v>Processed (Eligible)</v>
      </c>
    </row>
    <row r="154" spans="1:15" x14ac:dyDescent="0.3">
      <c r="A154" t="s">
        <v>230</v>
      </c>
      <c r="B154" t="s">
        <v>29</v>
      </c>
      <c r="C154" s="5">
        <v>44692</v>
      </c>
      <c r="D154" s="2">
        <v>2450</v>
      </c>
      <c r="E154">
        <f>SUMIFS(CA_Feed!F:F, CA_Feed!B:B, B154, CA_Feed!E:E, "*DIVIDEND*", CA_Feed!D:D, "&gt;="&amp;C154)</f>
        <v>3</v>
      </c>
      <c r="F154">
        <f t="shared" ref="F154:F204" si="21">D154 * E154</f>
        <v>7350</v>
      </c>
      <c r="G154">
        <f t="shared" ref="G154:G204" si="22">F154 * 0.1</f>
        <v>735</v>
      </c>
      <c r="H154">
        <f t="shared" ref="H154:H204" si="23">F154 - G154</f>
        <v>6615</v>
      </c>
      <c r="I154">
        <f>D154 * SUMIFS(CA_Feed!G:G, CA_Feed!B:B, B154, CA_Feed!E:E, "*BONUS*", CA_Feed!D:D, "&gt;="&amp;C154)</f>
        <v>0</v>
      </c>
      <c r="J154">
        <f t="shared" ref="J154:J204" si="24">INT(I154)</f>
        <v>0</v>
      </c>
      <c r="K154">
        <f t="shared" ref="K154:K204" si="25">I154-J154</f>
        <v>0</v>
      </c>
      <c r="L154">
        <f>IF(K154&gt;0, K154 * VLOOKUP(B154, CA_Feed!B:N, 13, FALSE), 0)</f>
        <v>0</v>
      </c>
      <c r="M154">
        <f t="shared" ref="M154:M203" si="26">H154 + L154</f>
        <v>6615</v>
      </c>
      <c r="N154" s="2">
        <f t="shared" si="20"/>
        <v>0</v>
      </c>
      <c r="O154" t="str">
        <f>IF(COUNTIFS(CA_Feed!B:B, B154)=0, "No Action Announced", IF(COUNTIFS(CA_Feed!B:B, B154, CA_Feed!D:D, "&gt;="&amp;C154)&gt;0, "Processed (Eligible)", "Ineligible (Post Ex-Date)"))</f>
        <v>Processed (Eligible)</v>
      </c>
    </row>
    <row r="155" spans="1:15" x14ac:dyDescent="0.3">
      <c r="A155" t="s">
        <v>231</v>
      </c>
      <c r="B155" t="s">
        <v>31</v>
      </c>
      <c r="C155" s="5">
        <v>44844</v>
      </c>
      <c r="D155" s="2">
        <v>4250</v>
      </c>
      <c r="E155">
        <f>SUMIFS(CA_Feed!F:F, CA_Feed!B:B, B155, CA_Feed!E:E, "*DIVIDEND*", CA_Feed!D:D, "&gt;="&amp;C155)</f>
        <v>3</v>
      </c>
      <c r="F155">
        <f t="shared" si="21"/>
        <v>12750</v>
      </c>
      <c r="G155">
        <f t="shared" si="22"/>
        <v>1275</v>
      </c>
      <c r="H155">
        <f t="shared" si="23"/>
        <v>11475</v>
      </c>
      <c r="I155">
        <f>D155 * SUMIFS(CA_Feed!G:G, CA_Feed!B:B, B155, CA_Feed!E:E, "*BONUS*", CA_Feed!D:D, "&gt;="&amp;C155)</f>
        <v>0</v>
      </c>
      <c r="J155">
        <f t="shared" si="24"/>
        <v>0</v>
      </c>
      <c r="K155">
        <f t="shared" si="25"/>
        <v>0</v>
      </c>
      <c r="L155">
        <f>IF(K155&gt;0, K155 * VLOOKUP(B155, CA_Feed!B:N, 13, FALSE), 0)</f>
        <v>0</v>
      </c>
      <c r="M155">
        <f t="shared" si="26"/>
        <v>11475</v>
      </c>
      <c r="N155" s="2">
        <f t="shared" si="20"/>
        <v>0</v>
      </c>
      <c r="O155" t="str">
        <f>IF(COUNTIFS(CA_Feed!B:B, B155)=0, "No Action Announced", IF(COUNTIFS(CA_Feed!B:B, B155, CA_Feed!D:D, "&gt;="&amp;C155)&gt;0, "Processed (Eligible)", "Ineligible (Post Ex-Date)"))</f>
        <v>Processed (Eligible)</v>
      </c>
    </row>
    <row r="156" spans="1:15" x14ac:dyDescent="0.3">
      <c r="A156" t="s">
        <v>526</v>
      </c>
      <c r="B156" t="s">
        <v>12</v>
      </c>
      <c r="C156" s="5">
        <v>46234</v>
      </c>
      <c r="D156" s="2">
        <v>110</v>
      </c>
      <c r="E156">
        <f>SUMIFS(CA_Feed!F:F, CA_Feed!B:B, B156, CA_Feed!E:E, "*DIVIDEND*", CA_Feed!D:D, "&gt;="&amp;C156)</f>
        <v>0</v>
      </c>
      <c r="F156">
        <f t="shared" si="21"/>
        <v>0</v>
      </c>
      <c r="G156">
        <f t="shared" si="22"/>
        <v>0</v>
      </c>
      <c r="H156">
        <f t="shared" si="23"/>
        <v>0</v>
      </c>
      <c r="I156">
        <f>D156 * SUMIFS(CA_Feed!G:G, CA_Feed!B:B, B156, CA_Feed!E:E, "*BONUS*", CA_Feed!D:D, "&gt;="&amp;C156)</f>
        <v>0</v>
      </c>
      <c r="J156">
        <f t="shared" si="24"/>
        <v>0</v>
      </c>
      <c r="K156">
        <f t="shared" si="25"/>
        <v>0</v>
      </c>
      <c r="L156">
        <f>IF(K156&gt;0, K156 * VLOOKUP(B156, CA_Feed!B:N, 13, FALSE), 0)</f>
        <v>0</v>
      </c>
      <c r="M156">
        <f t="shared" si="26"/>
        <v>0</v>
      </c>
      <c r="N156" s="2">
        <f t="shared" si="20"/>
        <v>0</v>
      </c>
      <c r="O156" t="str">
        <f>IF(COUNTIFS(CA_Feed!B:B, B156)=0, "No Action Announced", IF(COUNTIFS(CA_Feed!B:B, B156, CA_Feed!D:D, "&gt;="&amp;C156)&gt;0, "Processed (Eligible)", "Ineligible (Post Ex-Date)"))</f>
        <v>Ineligible (Post Ex-Date)</v>
      </c>
    </row>
    <row r="157" spans="1:15" x14ac:dyDescent="0.3">
      <c r="A157" t="s">
        <v>233</v>
      </c>
      <c r="B157" t="s">
        <v>41</v>
      </c>
      <c r="C157" s="5">
        <v>44783</v>
      </c>
      <c r="D157" s="2">
        <v>9700</v>
      </c>
      <c r="E157">
        <f>SUMIFS(CA_Feed!F:F, CA_Feed!B:B, B157, CA_Feed!E:E, "*DIVIDEND*", CA_Feed!D:D, "&gt;="&amp;C157)</f>
        <v>0.2</v>
      </c>
      <c r="F157">
        <f t="shared" si="21"/>
        <v>1940</v>
      </c>
      <c r="G157">
        <f t="shared" si="22"/>
        <v>194</v>
      </c>
      <c r="H157">
        <f t="shared" si="23"/>
        <v>1746</v>
      </c>
      <c r="I157">
        <f>D157 * SUMIFS(CA_Feed!G:G, CA_Feed!B:B, B157, CA_Feed!E:E, "*BONUS*", CA_Feed!D:D, "&gt;="&amp;C157)</f>
        <v>0</v>
      </c>
      <c r="J157">
        <f t="shared" si="24"/>
        <v>0</v>
      </c>
      <c r="K157">
        <f t="shared" si="25"/>
        <v>0</v>
      </c>
      <c r="L157">
        <f>IF(K157&gt;0, K157 * VLOOKUP(B157, CA_Feed!B:N, 13, FALSE), 0)</f>
        <v>0</v>
      </c>
      <c r="M157">
        <f t="shared" si="26"/>
        <v>1746</v>
      </c>
      <c r="N157" s="2">
        <f t="shared" si="20"/>
        <v>0</v>
      </c>
      <c r="O157" t="str">
        <f>IF(COUNTIFS(CA_Feed!B:B, B157)=0, "No Action Announced", IF(COUNTIFS(CA_Feed!B:B, B157, CA_Feed!D:D, "&gt;="&amp;C157)&gt;0, "Processed (Eligible)", "Ineligible (Post Ex-Date)"))</f>
        <v>Processed (Eligible)</v>
      </c>
    </row>
    <row r="158" spans="1:15" x14ac:dyDescent="0.3">
      <c r="A158" t="s">
        <v>360</v>
      </c>
      <c r="B158" t="s">
        <v>12</v>
      </c>
      <c r="C158" s="5">
        <v>46235</v>
      </c>
      <c r="D158" s="2">
        <v>110</v>
      </c>
      <c r="E158">
        <f>SUMIFS(CA_Feed!F:F, CA_Feed!B:B, B158, CA_Feed!E:E, "*DIVIDEND*", CA_Feed!D:D, "&gt;="&amp;C158)</f>
        <v>0</v>
      </c>
      <c r="F158">
        <f t="shared" si="21"/>
        <v>0</v>
      </c>
      <c r="G158">
        <f t="shared" si="22"/>
        <v>0</v>
      </c>
      <c r="H158">
        <f t="shared" si="23"/>
        <v>0</v>
      </c>
      <c r="I158">
        <f>D158 * SUMIFS(CA_Feed!G:G, CA_Feed!B:B, B158, CA_Feed!E:E, "*BONUS*", CA_Feed!D:D, "&gt;="&amp;C158)</f>
        <v>0</v>
      </c>
      <c r="J158">
        <f t="shared" si="24"/>
        <v>0</v>
      </c>
      <c r="K158">
        <f t="shared" si="25"/>
        <v>0</v>
      </c>
      <c r="L158">
        <f>IF(K158&gt;0, K158 * VLOOKUP(B158, CA_Feed!B:N, 13, FALSE), 0)</f>
        <v>0</v>
      </c>
      <c r="M158">
        <f t="shared" si="26"/>
        <v>0</v>
      </c>
      <c r="N158" s="2">
        <f t="shared" si="20"/>
        <v>0</v>
      </c>
      <c r="O158" t="str">
        <f>IF(COUNTIFS(CA_Feed!B:B, B158)=0, "No Action Announced", IF(COUNTIFS(CA_Feed!B:B, B158, CA_Feed!D:D, "&gt;="&amp;C158)&gt;0, "Processed (Eligible)", "Ineligible (Post Ex-Date)"))</f>
        <v>Ineligible (Post Ex-Date)</v>
      </c>
    </row>
    <row r="159" spans="1:15" x14ac:dyDescent="0.3">
      <c r="A159" t="s">
        <v>235</v>
      </c>
      <c r="B159" t="s">
        <v>23</v>
      </c>
      <c r="C159" s="5">
        <v>45209</v>
      </c>
      <c r="D159" s="2">
        <v>5450</v>
      </c>
      <c r="E159">
        <f>SUMIFS(CA_Feed!F:F, CA_Feed!B:B, B159, CA_Feed!E:E, "*DIVIDEND*", CA_Feed!D:D, "&gt;="&amp;C159)</f>
        <v>1.5000000000000002</v>
      </c>
      <c r="F159">
        <f t="shared" si="21"/>
        <v>8175.0000000000009</v>
      </c>
      <c r="G159">
        <f t="shared" si="22"/>
        <v>817.50000000000011</v>
      </c>
      <c r="H159">
        <f t="shared" si="23"/>
        <v>7357.5000000000009</v>
      </c>
      <c r="I159">
        <f>D159 * SUMIFS(CA_Feed!G:G, CA_Feed!B:B, B159, CA_Feed!E:E, "*BONUS*", CA_Feed!D:D, "&gt;="&amp;C159)</f>
        <v>0</v>
      </c>
      <c r="J159">
        <f t="shared" si="24"/>
        <v>0</v>
      </c>
      <c r="K159">
        <f t="shared" si="25"/>
        <v>0</v>
      </c>
      <c r="L159">
        <f>IF(K159&gt;0, K159 * VLOOKUP(B159, CA_Feed!B:N, 13, FALSE), 0)</f>
        <v>0</v>
      </c>
      <c r="M159">
        <f t="shared" si="26"/>
        <v>7357.5000000000009</v>
      </c>
      <c r="N159" s="2">
        <f t="shared" si="20"/>
        <v>0</v>
      </c>
      <c r="O159" t="str">
        <f>IF(COUNTIFS(CA_Feed!B:B, B159)=0, "No Action Announced", IF(COUNTIFS(CA_Feed!B:B, B159, CA_Feed!D:D, "&gt;="&amp;C159)&gt;0, "Processed (Eligible)", "Ineligible (Post Ex-Date)"))</f>
        <v>Processed (Eligible)</v>
      </c>
    </row>
    <row r="160" spans="1:15" x14ac:dyDescent="0.3">
      <c r="A160" t="s">
        <v>236</v>
      </c>
      <c r="B160" t="s">
        <v>16</v>
      </c>
      <c r="C160" s="5">
        <v>44728</v>
      </c>
      <c r="D160" s="2">
        <v>800</v>
      </c>
      <c r="E160">
        <f>SUMIFS(CA_Feed!F:F, CA_Feed!B:B, B160, CA_Feed!E:E, "*DIVIDEND*", CA_Feed!D:D, "&gt;="&amp;C160)</f>
        <v>3.75</v>
      </c>
      <c r="F160">
        <f t="shared" si="21"/>
        <v>3000</v>
      </c>
      <c r="G160">
        <f t="shared" si="22"/>
        <v>300</v>
      </c>
      <c r="H160">
        <f t="shared" si="23"/>
        <v>2700</v>
      </c>
      <c r="I160">
        <f>D160 * SUMIFS(CA_Feed!G:G, CA_Feed!B:B, B160, CA_Feed!E:E, "*BONUS*", CA_Feed!D:D, "&gt;="&amp;C160)</f>
        <v>0</v>
      </c>
      <c r="J160">
        <f t="shared" si="24"/>
        <v>0</v>
      </c>
      <c r="K160">
        <f t="shared" si="25"/>
        <v>0</v>
      </c>
      <c r="L160">
        <f>IF(K160&gt;0, K160 * VLOOKUP(B160, CA_Feed!B:N, 13, FALSE), 0)</f>
        <v>0</v>
      </c>
      <c r="M160">
        <f t="shared" si="26"/>
        <v>2700</v>
      </c>
      <c r="N160" s="2">
        <f t="shared" si="20"/>
        <v>0</v>
      </c>
      <c r="O160" t="str">
        <f>IF(COUNTIFS(CA_Feed!B:B, B160)=0, "No Action Announced", IF(COUNTIFS(CA_Feed!B:B, B160, CA_Feed!D:D, "&gt;="&amp;C160)&gt;0, "Processed (Eligible)", "Ineligible (Post Ex-Date)"))</f>
        <v>Processed (Eligible)</v>
      </c>
    </row>
    <row r="161" spans="1:15" x14ac:dyDescent="0.3">
      <c r="A161" t="s">
        <v>237</v>
      </c>
      <c r="B161" t="s">
        <v>23</v>
      </c>
      <c r="C161" s="5">
        <v>42322</v>
      </c>
      <c r="D161" s="2">
        <v>6800</v>
      </c>
      <c r="E161">
        <f>SUMIFS(CA_Feed!F:F, CA_Feed!B:B, B161, CA_Feed!E:E, "*DIVIDEND*", CA_Feed!D:D, "&gt;="&amp;C161)</f>
        <v>1.5000000000000002</v>
      </c>
      <c r="F161">
        <f t="shared" si="21"/>
        <v>10200.000000000002</v>
      </c>
      <c r="G161">
        <f t="shared" si="22"/>
        <v>1020.0000000000002</v>
      </c>
      <c r="H161">
        <f t="shared" si="23"/>
        <v>9180.0000000000018</v>
      </c>
      <c r="I161">
        <f>D161 * SUMIFS(CA_Feed!G:G, CA_Feed!B:B, B161, CA_Feed!E:E, "*BONUS*", CA_Feed!D:D, "&gt;="&amp;C161)</f>
        <v>0</v>
      </c>
      <c r="J161">
        <f t="shared" si="24"/>
        <v>0</v>
      </c>
      <c r="K161">
        <f t="shared" si="25"/>
        <v>0</v>
      </c>
      <c r="L161">
        <f>IF(K161&gt;0, K161 * VLOOKUP(B161, CA_Feed!B:N, 13, FALSE), 0)</f>
        <v>0</v>
      </c>
      <c r="M161">
        <f t="shared" si="26"/>
        <v>9180.0000000000018</v>
      </c>
      <c r="N161" s="2">
        <f t="shared" si="20"/>
        <v>0</v>
      </c>
      <c r="O161" t="str">
        <f>IF(COUNTIFS(CA_Feed!B:B, B161)=0, "No Action Announced", IF(COUNTIFS(CA_Feed!B:B, B161, CA_Feed!D:D, "&gt;="&amp;C161)&gt;0, "Processed (Eligible)", "Ineligible (Post Ex-Date)"))</f>
        <v>Processed (Eligible)</v>
      </c>
    </row>
    <row r="162" spans="1:15" x14ac:dyDescent="0.3">
      <c r="A162" t="s">
        <v>238</v>
      </c>
      <c r="B162" t="s">
        <v>41</v>
      </c>
      <c r="C162" s="5">
        <v>44873</v>
      </c>
      <c r="D162" s="2">
        <v>3550</v>
      </c>
      <c r="E162">
        <f>SUMIFS(CA_Feed!F:F, CA_Feed!B:B, B162, CA_Feed!E:E, "*DIVIDEND*", CA_Feed!D:D, "&gt;="&amp;C162)</f>
        <v>0.2</v>
      </c>
      <c r="F162">
        <f t="shared" si="21"/>
        <v>710</v>
      </c>
      <c r="G162">
        <f t="shared" si="22"/>
        <v>71</v>
      </c>
      <c r="H162">
        <f t="shared" si="23"/>
        <v>639</v>
      </c>
      <c r="I162">
        <f>D162 * SUMIFS(CA_Feed!G:G, CA_Feed!B:B, B162, CA_Feed!E:E, "*BONUS*", CA_Feed!D:D, "&gt;="&amp;C162)</f>
        <v>0</v>
      </c>
      <c r="J162">
        <f t="shared" si="24"/>
        <v>0</v>
      </c>
      <c r="K162">
        <f t="shared" si="25"/>
        <v>0</v>
      </c>
      <c r="L162">
        <f>IF(K162&gt;0, K162 * VLOOKUP(B162, CA_Feed!B:N, 13, FALSE), 0)</f>
        <v>0</v>
      </c>
      <c r="M162">
        <f t="shared" si="26"/>
        <v>639</v>
      </c>
      <c r="N162" s="2">
        <f t="shared" si="20"/>
        <v>0</v>
      </c>
      <c r="O162" t="str">
        <f>IF(COUNTIFS(CA_Feed!B:B, B162)=0, "No Action Announced", IF(COUNTIFS(CA_Feed!B:B, B162, CA_Feed!D:D, "&gt;="&amp;C162)&gt;0, "Processed (Eligible)", "Ineligible (Post Ex-Date)"))</f>
        <v>Processed (Eligible)</v>
      </c>
    </row>
    <row r="163" spans="1:15" x14ac:dyDescent="0.3">
      <c r="A163" t="s">
        <v>239</v>
      </c>
      <c r="B163" t="s">
        <v>57</v>
      </c>
      <c r="C163" s="5">
        <v>43683</v>
      </c>
      <c r="D163" s="2">
        <v>9500</v>
      </c>
      <c r="E163">
        <f>SUMIFS(CA_Feed!F:F, CA_Feed!B:B, B163, CA_Feed!E:E, "*DIVIDEND*", CA_Feed!D:D, "&gt;="&amp;C163)</f>
        <v>0.02</v>
      </c>
      <c r="F163">
        <f t="shared" si="21"/>
        <v>190</v>
      </c>
      <c r="G163">
        <f t="shared" si="22"/>
        <v>19</v>
      </c>
      <c r="H163">
        <f t="shared" si="23"/>
        <v>171</v>
      </c>
      <c r="I163">
        <f>D163 * SUMIFS(CA_Feed!G:G, CA_Feed!B:B, B163, CA_Feed!E:E, "*BONUS*", CA_Feed!D:D, "&gt;="&amp;C163)</f>
        <v>0</v>
      </c>
      <c r="J163">
        <f t="shared" si="24"/>
        <v>0</v>
      </c>
      <c r="K163">
        <f t="shared" si="25"/>
        <v>0</v>
      </c>
      <c r="L163">
        <f>IF(K163&gt;0, K163 * VLOOKUP(B163, CA_Feed!B:N, 13, FALSE), 0)</f>
        <v>0</v>
      </c>
      <c r="M163">
        <f t="shared" si="26"/>
        <v>171</v>
      </c>
      <c r="N163" s="2">
        <f t="shared" si="20"/>
        <v>0</v>
      </c>
      <c r="O163" t="str">
        <f>IF(COUNTIFS(CA_Feed!B:B, B163)=0, "No Action Announced", IF(COUNTIFS(CA_Feed!B:B, B163, CA_Feed!D:D, "&gt;="&amp;C163)&gt;0, "Processed (Eligible)", "Ineligible (Post Ex-Date)"))</f>
        <v>Processed (Eligible)</v>
      </c>
    </row>
    <row r="164" spans="1:15" x14ac:dyDescent="0.3">
      <c r="A164" t="s">
        <v>240</v>
      </c>
      <c r="B164" t="s">
        <v>25</v>
      </c>
      <c r="C164" s="5">
        <v>42376</v>
      </c>
      <c r="D164" s="2">
        <v>2050</v>
      </c>
      <c r="E164">
        <f>SUMIFS(CA_Feed!F:F, CA_Feed!B:B, B164, CA_Feed!E:E, "*DIVIDEND*", CA_Feed!D:D, "&gt;="&amp;C164)</f>
        <v>2.5</v>
      </c>
      <c r="F164">
        <f t="shared" si="21"/>
        <v>5125</v>
      </c>
      <c r="G164">
        <f t="shared" si="22"/>
        <v>512.5</v>
      </c>
      <c r="H164">
        <f t="shared" si="23"/>
        <v>4612.5</v>
      </c>
      <c r="I164">
        <f>D164 * SUMIFS(CA_Feed!G:G, CA_Feed!B:B, B164, CA_Feed!E:E, "*BONUS*", CA_Feed!D:D, "&gt;="&amp;C164)</f>
        <v>0</v>
      </c>
      <c r="J164">
        <f t="shared" si="24"/>
        <v>0</v>
      </c>
      <c r="K164">
        <f t="shared" si="25"/>
        <v>0</v>
      </c>
      <c r="L164">
        <f>IF(K164&gt;0, K164 * VLOOKUP(B164, CA_Feed!B:N, 13, FALSE), 0)</f>
        <v>0</v>
      </c>
      <c r="M164">
        <f t="shared" si="26"/>
        <v>4612.5</v>
      </c>
      <c r="N164" s="2">
        <f t="shared" si="20"/>
        <v>0</v>
      </c>
      <c r="O164" t="str">
        <f>IF(COUNTIFS(CA_Feed!B:B, B164)=0, "No Action Announced", IF(COUNTIFS(CA_Feed!B:B, B164, CA_Feed!D:D, "&gt;="&amp;C164)&gt;0, "Processed (Eligible)", "Ineligible (Post Ex-Date)"))</f>
        <v>Processed (Eligible)</v>
      </c>
    </row>
    <row r="165" spans="1:15" x14ac:dyDescent="0.3">
      <c r="A165" t="s">
        <v>241</v>
      </c>
      <c r="B165" t="s">
        <v>33</v>
      </c>
      <c r="C165" s="5">
        <v>44508</v>
      </c>
      <c r="D165" s="2">
        <v>2650</v>
      </c>
      <c r="E165">
        <f>SUMIFS(CA_Feed!F:F, CA_Feed!B:B, B165, CA_Feed!E:E, "*DIVIDEND*", CA_Feed!D:D, "&gt;="&amp;C165)</f>
        <v>1.5</v>
      </c>
      <c r="F165">
        <f t="shared" si="21"/>
        <v>3975</v>
      </c>
      <c r="G165">
        <f t="shared" si="22"/>
        <v>397.5</v>
      </c>
      <c r="H165">
        <f t="shared" si="23"/>
        <v>3577.5</v>
      </c>
      <c r="I165">
        <f>D165 * SUMIFS(CA_Feed!G:G, CA_Feed!B:B, B165, CA_Feed!E:E, "*BONUS*", CA_Feed!D:D, "&gt;="&amp;C165)</f>
        <v>0</v>
      </c>
      <c r="J165">
        <f t="shared" si="24"/>
        <v>0</v>
      </c>
      <c r="K165">
        <f t="shared" si="25"/>
        <v>0</v>
      </c>
      <c r="L165">
        <f>IF(K165&gt;0, K165 * VLOOKUP(B165, CA_Feed!B:N, 13, FALSE), 0)</f>
        <v>0</v>
      </c>
      <c r="M165">
        <f t="shared" si="26"/>
        <v>3577.5</v>
      </c>
      <c r="N165" s="2">
        <f t="shared" si="20"/>
        <v>0</v>
      </c>
      <c r="O165" t="str">
        <f>IF(COUNTIFS(CA_Feed!B:B, B165)=0, "No Action Announced", IF(COUNTIFS(CA_Feed!B:B, B165, CA_Feed!D:D, "&gt;="&amp;C165)&gt;0, "Processed (Eligible)", "Ineligible (Post Ex-Date)"))</f>
        <v>Processed (Eligible)</v>
      </c>
    </row>
    <row r="166" spans="1:15" x14ac:dyDescent="0.3">
      <c r="A166" t="s">
        <v>242</v>
      </c>
      <c r="B166" t="s">
        <v>43</v>
      </c>
      <c r="C166" s="5">
        <v>43147</v>
      </c>
      <c r="D166" s="2">
        <v>1300</v>
      </c>
      <c r="E166">
        <f>SUMIFS(CA_Feed!F:F, CA_Feed!B:B, B166, CA_Feed!E:E, "*DIVIDEND*", CA_Feed!D:D, "&gt;="&amp;C166)</f>
        <v>1.35</v>
      </c>
      <c r="F166">
        <f t="shared" si="21"/>
        <v>1755.0000000000002</v>
      </c>
      <c r="G166">
        <f t="shared" si="22"/>
        <v>175.50000000000003</v>
      </c>
      <c r="H166">
        <f t="shared" si="23"/>
        <v>1579.5000000000002</v>
      </c>
      <c r="I166">
        <f>D166 * SUMIFS(CA_Feed!G:G, CA_Feed!B:B, B166, CA_Feed!E:E, "*BONUS*", CA_Feed!D:D, "&gt;="&amp;C166)</f>
        <v>0</v>
      </c>
      <c r="J166">
        <f t="shared" si="24"/>
        <v>0</v>
      </c>
      <c r="K166">
        <f t="shared" si="25"/>
        <v>0</v>
      </c>
      <c r="L166">
        <f>IF(K166&gt;0, K166 * VLOOKUP(B166, CA_Feed!B:N, 13, FALSE), 0)</f>
        <v>0</v>
      </c>
      <c r="M166">
        <f t="shared" si="26"/>
        <v>1579.5000000000002</v>
      </c>
      <c r="N166" s="2">
        <f t="shared" si="20"/>
        <v>0</v>
      </c>
      <c r="O166" t="str">
        <f>IF(COUNTIFS(CA_Feed!B:B, B166)=0, "No Action Announced", IF(COUNTIFS(CA_Feed!B:B, B166, CA_Feed!D:D, "&gt;="&amp;C166)&gt;0, "Processed (Eligible)", "Ineligible (Post Ex-Date)"))</f>
        <v>Processed (Eligible)</v>
      </c>
    </row>
    <row r="167" spans="1:15" x14ac:dyDescent="0.3">
      <c r="A167" t="s">
        <v>243</v>
      </c>
      <c r="B167" t="s">
        <v>29</v>
      </c>
      <c r="C167" s="5">
        <v>44363</v>
      </c>
      <c r="D167" s="2">
        <v>2400</v>
      </c>
      <c r="E167">
        <f>SUMIFS(CA_Feed!F:F, CA_Feed!B:B, B167, CA_Feed!E:E, "*DIVIDEND*", CA_Feed!D:D, "&gt;="&amp;C167)</f>
        <v>3</v>
      </c>
      <c r="F167">
        <f t="shared" si="21"/>
        <v>7200</v>
      </c>
      <c r="G167">
        <f t="shared" si="22"/>
        <v>720</v>
      </c>
      <c r="H167">
        <f t="shared" si="23"/>
        <v>6480</v>
      </c>
      <c r="I167">
        <f>D167 * SUMIFS(CA_Feed!G:G, CA_Feed!B:B, B167, CA_Feed!E:E, "*BONUS*", CA_Feed!D:D, "&gt;="&amp;C167)</f>
        <v>0</v>
      </c>
      <c r="J167">
        <f t="shared" si="24"/>
        <v>0</v>
      </c>
      <c r="K167">
        <f t="shared" si="25"/>
        <v>0</v>
      </c>
      <c r="L167">
        <f>IF(K167&gt;0, K167 * VLOOKUP(B167, CA_Feed!B:N, 13, FALSE), 0)</f>
        <v>0</v>
      </c>
      <c r="M167">
        <f t="shared" si="26"/>
        <v>6480</v>
      </c>
      <c r="N167" s="2">
        <f t="shared" si="20"/>
        <v>0</v>
      </c>
      <c r="O167" t="str">
        <f>IF(COUNTIFS(CA_Feed!B:B, B167)=0, "No Action Announced", IF(COUNTIFS(CA_Feed!B:B, B167, CA_Feed!D:D, "&gt;="&amp;C167)&gt;0, "Processed (Eligible)", "Ineligible (Post Ex-Date)"))</f>
        <v>Processed (Eligible)</v>
      </c>
    </row>
    <row r="168" spans="1:15" x14ac:dyDescent="0.3">
      <c r="A168" t="s">
        <v>244</v>
      </c>
      <c r="B168" t="s">
        <v>19</v>
      </c>
      <c r="C168" s="5">
        <v>45308</v>
      </c>
      <c r="D168" s="2">
        <v>5050</v>
      </c>
      <c r="E168">
        <f>SUMIFS(CA_Feed!F:F, CA_Feed!B:B, B168, CA_Feed!E:E, "*DIVIDEND*", CA_Feed!D:D, "&gt;="&amp;C168)</f>
        <v>1.5</v>
      </c>
      <c r="F168">
        <f t="shared" si="21"/>
        <v>7575</v>
      </c>
      <c r="G168">
        <f t="shared" si="22"/>
        <v>757.5</v>
      </c>
      <c r="H168">
        <f t="shared" si="23"/>
        <v>6817.5</v>
      </c>
      <c r="I168">
        <f>D168 * SUMIFS(CA_Feed!G:G, CA_Feed!B:B, B168, CA_Feed!E:E, "*BONUS*", CA_Feed!D:D, "&gt;="&amp;C168)</f>
        <v>0</v>
      </c>
      <c r="J168">
        <f t="shared" si="24"/>
        <v>0</v>
      </c>
      <c r="K168">
        <f t="shared" si="25"/>
        <v>0</v>
      </c>
      <c r="L168">
        <f>IF(K168&gt;0, K168 * VLOOKUP(B168, CA_Feed!B:N, 13, FALSE), 0)</f>
        <v>0</v>
      </c>
      <c r="M168">
        <f t="shared" si="26"/>
        <v>6817.5</v>
      </c>
      <c r="N168" s="2">
        <f t="shared" si="20"/>
        <v>0</v>
      </c>
      <c r="O168" t="str">
        <f>IF(COUNTIFS(CA_Feed!B:B, B168)=0, "No Action Announced", IF(COUNTIFS(CA_Feed!B:B, B168, CA_Feed!D:D, "&gt;="&amp;C168)&gt;0, "Processed (Eligible)", "Ineligible (Post Ex-Date)"))</f>
        <v>Processed (Eligible)</v>
      </c>
    </row>
    <row r="169" spans="1:15" x14ac:dyDescent="0.3">
      <c r="A169" t="s">
        <v>789</v>
      </c>
      <c r="B169" t="s">
        <v>12</v>
      </c>
      <c r="C169" s="5">
        <v>42815</v>
      </c>
      <c r="D169" s="2">
        <v>110</v>
      </c>
      <c r="E169">
        <f>SUMIFS(CA_Feed!F:F, CA_Feed!B:B, B169, CA_Feed!E:E, "*DIVIDEND*", CA_Feed!D:D, "&gt;="&amp;C169)</f>
        <v>19</v>
      </c>
      <c r="F169">
        <f t="shared" si="21"/>
        <v>2090</v>
      </c>
      <c r="G169">
        <f t="shared" si="22"/>
        <v>209</v>
      </c>
      <c r="H169">
        <f t="shared" si="23"/>
        <v>1881</v>
      </c>
      <c r="I169">
        <f>D169 * SUMIFS(CA_Feed!G:G, CA_Feed!B:B, B169, CA_Feed!E:E, "*BONUS*", CA_Feed!D:D, "&gt;="&amp;C169)</f>
        <v>0</v>
      </c>
      <c r="J169">
        <f t="shared" si="24"/>
        <v>0</v>
      </c>
      <c r="K169">
        <f t="shared" si="25"/>
        <v>0</v>
      </c>
      <c r="L169">
        <f>IF(K169&gt;0, K169 * VLOOKUP(B169, CA_Feed!B:N, 13, FALSE), 0)</f>
        <v>0</v>
      </c>
      <c r="M169">
        <f t="shared" si="26"/>
        <v>1881</v>
      </c>
      <c r="N169" s="2">
        <f t="shared" si="20"/>
        <v>0</v>
      </c>
      <c r="O169" t="str">
        <f>IF(COUNTIFS(CA_Feed!B:B, B169)=0, "No Action Announced", IF(COUNTIFS(CA_Feed!B:B, B169, CA_Feed!D:D, "&gt;="&amp;C169)&gt;0, "Processed (Eligible)", "Ineligible (Post Ex-Date)"))</f>
        <v>Processed (Eligible)</v>
      </c>
    </row>
    <row r="170" spans="1:15" x14ac:dyDescent="0.3">
      <c r="A170" t="s">
        <v>246</v>
      </c>
      <c r="B170" t="s">
        <v>23</v>
      </c>
      <c r="C170" s="5">
        <v>43803</v>
      </c>
      <c r="D170" s="2">
        <v>6800</v>
      </c>
      <c r="E170">
        <f>SUMIFS(CA_Feed!F:F, CA_Feed!B:B, B170, CA_Feed!E:E, "*DIVIDEND*", CA_Feed!D:D, "&gt;="&amp;C170)</f>
        <v>1.5000000000000002</v>
      </c>
      <c r="F170">
        <f t="shared" si="21"/>
        <v>10200.000000000002</v>
      </c>
      <c r="G170">
        <f t="shared" si="22"/>
        <v>1020.0000000000002</v>
      </c>
      <c r="H170">
        <f t="shared" si="23"/>
        <v>9180.0000000000018</v>
      </c>
      <c r="I170">
        <f>D170 * SUMIFS(CA_Feed!G:G, CA_Feed!B:B, B170, CA_Feed!E:E, "*BONUS*", CA_Feed!D:D, "&gt;="&amp;C170)</f>
        <v>0</v>
      </c>
      <c r="J170">
        <f t="shared" si="24"/>
        <v>0</v>
      </c>
      <c r="K170">
        <f t="shared" si="25"/>
        <v>0</v>
      </c>
      <c r="L170">
        <f>IF(K170&gt;0, K170 * VLOOKUP(B170, CA_Feed!B:N, 13, FALSE), 0)</f>
        <v>0</v>
      </c>
      <c r="M170">
        <f t="shared" si="26"/>
        <v>9180.0000000000018</v>
      </c>
      <c r="N170" s="2">
        <f t="shared" si="20"/>
        <v>0</v>
      </c>
      <c r="O170" t="str">
        <f>IF(COUNTIFS(CA_Feed!B:B, B170)=0, "No Action Announced", IF(COUNTIFS(CA_Feed!B:B, B170, CA_Feed!D:D, "&gt;="&amp;C170)&gt;0, "Processed (Eligible)", "Ineligible (Post Ex-Date)"))</f>
        <v>Processed (Eligible)</v>
      </c>
    </row>
    <row r="171" spans="1:15" x14ac:dyDescent="0.3">
      <c r="A171" t="s">
        <v>247</v>
      </c>
      <c r="B171" t="s">
        <v>16</v>
      </c>
      <c r="C171" s="5">
        <v>43823</v>
      </c>
      <c r="D171" s="2">
        <v>1800</v>
      </c>
      <c r="E171">
        <f>SUMIFS(CA_Feed!F:F, CA_Feed!B:B, B171, CA_Feed!E:E, "*DIVIDEND*", CA_Feed!D:D, "&gt;="&amp;C171)</f>
        <v>3.75</v>
      </c>
      <c r="F171">
        <f t="shared" si="21"/>
        <v>6750</v>
      </c>
      <c r="G171">
        <f t="shared" si="22"/>
        <v>675</v>
      </c>
      <c r="H171">
        <f t="shared" si="23"/>
        <v>6075</v>
      </c>
      <c r="I171">
        <f>D171 * SUMIFS(CA_Feed!G:G, CA_Feed!B:B, B171, CA_Feed!E:E, "*BONUS*", CA_Feed!D:D, "&gt;="&amp;C171)</f>
        <v>0</v>
      </c>
      <c r="J171">
        <f t="shared" si="24"/>
        <v>0</v>
      </c>
      <c r="K171">
        <f t="shared" si="25"/>
        <v>0</v>
      </c>
      <c r="L171">
        <f>IF(K171&gt;0, K171 * VLOOKUP(B171, CA_Feed!B:N, 13, FALSE), 0)</f>
        <v>0</v>
      </c>
      <c r="M171">
        <f t="shared" si="26"/>
        <v>6075</v>
      </c>
      <c r="N171" s="2">
        <f t="shared" si="20"/>
        <v>0</v>
      </c>
      <c r="O171" t="str">
        <f>IF(COUNTIFS(CA_Feed!B:B, B171)=0, "No Action Announced", IF(COUNTIFS(CA_Feed!B:B, B171, CA_Feed!D:D, "&gt;="&amp;C171)&gt;0, "Processed (Eligible)", "Ineligible (Post Ex-Date)"))</f>
        <v>Processed (Eligible)</v>
      </c>
    </row>
    <row r="172" spans="1:15" x14ac:dyDescent="0.3">
      <c r="A172" t="s">
        <v>248</v>
      </c>
      <c r="B172" t="s">
        <v>39</v>
      </c>
      <c r="C172" s="5">
        <v>45181</v>
      </c>
      <c r="D172" s="2">
        <v>1050</v>
      </c>
      <c r="E172">
        <f>SUMIFS(CA_Feed!F:F, CA_Feed!B:B, B172, CA_Feed!E:E, "*DIVIDEND*", CA_Feed!D:D, "&gt;="&amp;C172)</f>
        <v>1.2</v>
      </c>
      <c r="F172">
        <f t="shared" si="21"/>
        <v>1260</v>
      </c>
      <c r="G172">
        <f t="shared" si="22"/>
        <v>126</v>
      </c>
      <c r="H172">
        <f t="shared" si="23"/>
        <v>1134</v>
      </c>
      <c r="I172">
        <f>D172 * SUMIFS(CA_Feed!G:G, CA_Feed!B:B, B172, CA_Feed!E:E, "*BONUS*", CA_Feed!D:D, "&gt;="&amp;C172)</f>
        <v>0</v>
      </c>
      <c r="J172">
        <f t="shared" si="24"/>
        <v>0</v>
      </c>
      <c r="K172">
        <f t="shared" si="25"/>
        <v>0</v>
      </c>
      <c r="L172">
        <f>IF(K172&gt;0, K172 * VLOOKUP(B172, CA_Feed!B:N, 13, FALSE), 0)</f>
        <v>0</v>
      </c>
      <c r="M172">
        <f t="shared" si="26"/>
        <v>1134</v>
      </c>
      <c r="N172" s="2">
        <f t="shared" si="20"/>
        <v>0</v>
      </c>
      <c r="O172" t="str">
        <f>IF(COUNTIFS(CA_Feed!B:B, B172)=0, "No Action Announced", IF(COUNTIFS(CA_Feed!B:B, B172, CA_Feed!D:D, "&gt;="&amp;C172)&gt;0, "Processed (Eligible)", "Ineligible (Post Ex-Date)"))</f>
        <v>Processed (Eligible)</v>
      </c>
    </row>
    <row r="173" spans="1:15" x14ac:dyDescent="0.3">
      <c r="A173" t="s">
        <v>274</v>
      </c>
      <c r="B173" t="s">
        <v>12</v>
      </c>
      <c r="C173" s="5">
        <v>43419</v>
      </c>
      <c r="D173" s="2">
        <v>110</v>
      </c>
      <c r="E173">
        <f>SUMIFS(CA_Feed!F:F, CA_Feed!B:B, B173, CA_Feed!E:E, "*DIVIDEND*", CA_Feed!D:D, "&gt;="&amp;C173)</f>
        <v>19</v>
      </c>
      <c r="F173">
        <f t="shared" si="21"/>
        <v>2090</v>
      </c>
      <c r="G173">
        <f t="shared" si="22"/>
        <v>209</v>
      </c>
      <c r="H173">
        <f t="shared" si="23"/>
        <v>1881</v>
      </c>
      <c r="I173">
        <f>D173 * SUMIFS(CA_Feed!G:G, CA_Feed!B:B, B173, CA_Feed!E:E, "*BONUS*", CA_Feed!D:D, "&gt;="&amp;C173)</f>
        <v>0</v>
      </c>
      <c r="J173">
        <f t="shared" si="24"/>
        <v>0</v>
      </c>
      <c r="K173">
        <f t="shared" si="25"/>
        <v>0</v>
      </c>
      <c r="L173">
        <f>IF(K173&gt;0, K173 * VLOOKUP(B173, CA_Feed!B:N, 13, FALSE), 0)</f>
        <v>0</v>
      </c>
      <c r="M173">
        <f t="shared" si="26"/>
        <v>1881</v>
      </c>
      <c r="N173" s="2">
        <f t="shared" si="20"/>
        <v>0</v>
      </c>
      <c r="O173" t="str">
        <f>IF(COUNTIFS(CA_Feed!B:B, B173)=0, "No Action Announced", IF(COUNTIFS(CA_Feed!B:B, B173, CA_Feed!D:D, "&gt;="&amp;C173)&gt;0, "Processed (Eligible)", "Ineligible (Post Ex-Date)"))</f>
        <v>Processed (Eligible)</v>
      </c>
    </row>
    <row r="174" spans="1:15" x14ac:dyDescent="0.3">
      <c r="A174" t="s">
        <v>250</v>
      </c>
      <c r="B174" t="s">
        <v>45</v>
      </c>
      <c r="C174" s="5">
        <v>45266</v>
      </c>
      <c r="D174" s="2">
        <v>1550</v>
      </c>
      <c r="E174">
        <f>SUMIFS(CA_Feed!F:F, CA_Feed!B:B, B174, CA_Feed!E:E, "*DIVIDEND*", CA_Feed!D:D, "&gt;="&amp;C174)</f>
        <v>2.5</v>
      </c>
      <c r="F174">
        <f t="shared" si="21"/>
        <v>3875</v>
      </c>
      <c r="G174">
        <f t="shared" si="22"/>
        <v>387.5</v>
      </c>
      <c r="H174">
        <f t="shared" si="23"/>
        <v>3487.5</v>
      </c>
      <c r="I174">
        <f>D174 * SUMIFS(CA_Feed!G:G, CA_Feed!B:B, B174, CA_Feed!E:E, "*BONUS*", CA_Feed!D:D, "&gt;="&amp;C174)</f>
        <v>0</v>
      </c>
      <c r="J174">
        <f t="shared" si="24"/>
        <v>0</v>
      </c>
      <c r="K174">
        <f t="shared" si="25"/>
        <v>0</v>
      </c>
      <c r="L174">
        <f>IF(K174&gt;0, K174 * VLOOKUP(B174, CA_Feed!B:N, 13, FALSE), 0)</f>
        <v>0</v>
      </c>
      <c r="M174">
        <f t="shared" si="26"/>
        <v>3487.5</v>
      </c>
      <c r="N174" s="2">
        <f t="shared" si="20"/>
        <v>0</v>
      </c>
      <c r="O174" t="str">
        <f>IF(COUNTIFS(CA_Feed!B:B, B174)=0, "No Action Announced", IF(COUNTIFS(CA_Feed!B:B, B174, CA_Feed!D:D, "&gt;="&amp;C174)&gt;0, "Processed (Eligible)", "Ineligible (Post Ex-Date)"))</f>
        <v>Processed (Eligible)</v>
      </c>
    </row>
    <row r="175" spans="1:15" x14ac:dyDescent="0.3">
      <c r="A175" t="s">
        <v>251</v>
      </c>
      <c r="B175" t="s">
        <v>57</v>
      </c>
      <c r="C175" s="5">
        <v>43426</v>
      </c>
      <c r="D175" s="2">
        <v>3900</v>
      </c>
      <c r="E175">
        <f>SUMIFS(CA_Feed!F:F, CA_Feed!B:B, B175, CA_Feed!E:E, "*DIVIDEND*", CA_Feed!D:D, "&gt;="&amp;C175)</f>
        <v>0.02</v>
      </c>
      <c r="F175">
        <f t="shared" si="21"/>
        <v>78</v>
      </c>
      <c r="G175">
        <f t="shared" si="22"/>
        <v>7.8000000000000007</v>
      </c>
      <c r="H175">
        <f t="shared" si="23"/>
        <v>70.2</v>
      </c>
      <c r="I175">
        <f>D175 * SUMIFS(CA_Feed!G:G, CA_Feed!B:B, B175, CA_Feed!E:E, "*BONUS*", CA_Feed!D:D, "&gt;="&amp;C175)</f>
        <v>0</v>
      </c>
      <c r="J175">
        <f t="shared" si="24"/>
        <v>0</v>
      </c>
      <c r="K175">
        <f t="shared" si="25"/>
        <v>0</v>
      </c>
      <c r="L175">
        <f>IF(K175&gt;0, K175 * VLOOKUP(B175, CA_Feed!B:N, 13, FALSE), 0)</f>
        <v>0</v>
      </c>
      <c r="M175">
        <f t="shared" si="26"/>
        <v>70.2</v>
      </c>
      <c r="N175" s="2">
        <f t="shared" si="20"/>
        <v>0</v>
      </c>
      <c r="O175" t="str">
        <f>IF(COUNTIFS(CA_Feed!B:B, B175)=0, "No Action Announced", IF(COUNTIFS(CA_Feed!B:B, B175, CA_Feed!D:D, "&gt;="&amp;C175)&gt;0, "Processed (Eligible)", "Ineligible (Post Ex-Date)"))</f>
        <v>Processed (Eligible)</v>
      </c>
    </row>
    <row r="176" spans="1:15" x14ac:dyDescent="0.3">
      <c r="A176" t="s">
        <v>252</v>
      </c>
      <c r="B176" t="s">
        <v>19</v>
      </c>
      <c r="C176" s="5">
        <v>43999</v>
      </c>
      <c r="D176" s="2">
        <v>7800</v>
      </c>
      <c r="E176">
        <f>SUMIFS(CA_Feed!F:F, CA_Feed!B:B, B176, CA_Feed!E:E, "*DIVIDEND*", CA_Feed!D:D, "&gt;="&amp;C176)</f>
        <v>1.5</v>
      </c>
      <c r="F176">
        <f t="shared" si="21"/>
        <v>11700</v>
      </c>
      <c r="G176">
        <f t="shared" si="22"/>
        <v>1170</v>
      </c>
      <c r="H176">
        <f t="shared" si="23"/>
        <v>10530</v>
      </c>
      <c r="I176">
        <f>D176 * SUMIFS(CA_Feed!G:G, CA_Feed!B:B, B176, CA_Feed!E:E, "*BONUS*", CA_Feed!D:D, "&gt;="&amp;C176)</f>
        <v>0</v>
      </c>
      <c r="J176">
        <f t="shared" si="24"/>
        <v>0</v>
      </c>
      <c r="K176">
        <f t="shared" si="25"/>
        <v>0</v>
      </c>
      <c r="L176">
        <f>IF(K176&gt;0, K176 * VLOOKUP(B176, CA_Feed!B:N, 13, FALSE), 0)</f>
        <v>0</v>
      </c>
      <c r="M176">
        <f t="shared" si="26"/>
        <v>10530</v>
      </c>
      <c r="N176" s="2">
        <f t="shared" si="20"/>
        <v>0</v>
      </c>
      <c r="O176" t="str">
        <f>IF(COUNTIFS(CA_Feed!B:B, B176)=0, "No Action Announced", IF(COUNTIFS(CA_Feed!B:B, B176, CA_Feed!D:D, "&gt;="&amp;C176)&gt;0, "Processed (Eligible)", "Ineligible (Post Ex-Date)"))</f>
        <v>Processed (Eligible)</v>
      </c>
    </row>
    <row r="177" spans="1:15" x14ac:dyDescent="0.3">
      <c r="A177" t="s">
        <v>253</v>
      </c>
      <c r="B177" t="s">
        <v>33</v>
      </c>
      <c r="C177" s="5">
        <v>45021</v>
      </c>
      <c r="D177" s="2">
        <v>1700</v>
      </c>
      <c r="E177">
        <f>SUMIFS(CA_Feed!F:F, CA_Feed!B:B, B177, CA_Feed!E:E, "*DIVIDEND*", CA_Feed!D:D, "&gt;="&amp;C177)</f>
        <v>1.5</v>
      </c>
      <c r="F177">
        <f t="shared" si="21"/>
        <v>2550</v>
      </c>
      <c r="G177">
        <f t="shared" si="22"/>
        <v>255</v>
      </c>
      <c r="H177">
        <f t="shared" si="23"/>
        <v>2295</v>
      </c>
      <c r="I177">
        <f>D177 * SUMIFS(CA_Feed!G:G, CA_Feed!B:B, B177, CA_Feed!E:E, "*BONUS*", CA_Feed!D:D, "&gt;="&amp;C177)</f>
        <v>0</v>
      </c>
      <c r="J177">
        <f t="shared" si="24"/>
        <v>0</v>
      </c>
      <c r="K177">
        <f t="shared" si="25"/>
        <v>0</v>
      </c>
      <c r="L177">
        <f>IF(K177&gt;0, K177 * VLOOKUP(B177, CA_Feed!B:N, 13, FALSE), 0)</f>
        <v>0</v>
      </c>
      <c r="M177">
        <f t="shared" si="26"/>
        <v>2295</v>
      </c>
      <c r="N177" s="2">
        <f t="shared" si="20"/>
        <v>0</v>
      </c>
      <c r="O177" t="str">
        <f>IF(COUNTIFS(CA_Feed!B:B, B177)=0, "No Action Announced", IF(COUNTIFS(CA_Feed!B:B, B177, CA_Feed!D:D, "&gt;="&amp;C177)&gt;0, "Processed (Eligible)", "Ineligible (Post Ex-Date)"))</f>
        <v>Processed (Eligible)</v>
      </c>
    </row>
    <row r="178" spans="1:15" x14ac:dyDescent="0.3">
      <c r="A178" t="s">
        <v>254</v>
      </c>
      <c r="B178" t="s">
        <v>33</v>
      </c>
      <c r="C178" s="5">
        <v>44177</v>
      </c>
      <c r="D178" s="2">
        <v>3050</v>
      </c>
      <c r="E178">
        <f>SUMIFS(CA_Feed!F:F, CA_Feed!B:B, B178, CA_Feed!E:E, "*DIVIDEND*", CA_Feed!D:D, "&gt;="&amp;C178)</f>
        <v>1.5</v>
      </c>
      <c r="F178">
        <f t="shared" si="21"/>
        <v>4575</v>
      </c>
      <c r="G178">
        <f t="shared" si="22"/>
        <v>457.5</v>
      </c>
      <c r="H178">
        <f t="shared" si="23"/>
        <v>4117.5</v>
      </c>
      <c r="I178">
        <f>D178 * SUMIFS(CA_Feed!G:G, CA_Feed!B:B, B178, CA_Feed!E:E, "*BONUS*", CA_Feed!D:D, "&gt;="&amp;C178)</f>
        <v>0</v>
      </c>
      <c r="J178">
        <f t="shared" si="24"/>
        <v>0</v>
      </c>
      <c r="K178">
        <f t="shared" si="25"/>
        <v>0</v>
      </c>
      <c r="L178">
        <f>IF(K178&gt;0, K178 * VLOOKUP(B178, CA_Feed!B:N, 13, FALSE), 0)</f>
        <v>0</v>
      </c>
      <c r="M178">
        <f t="shared" si="26"/>
        <v>4117.5</v>
      </c>
      <c r="N178" s="2">
        <f t="shared" si="20"/>
        <v>0</v>
      </c>
      <c r="O178" t="str">
        <f>IF(COUNTIFS(CA_Feed!B:B, B178)=0, "No Action Announced", IF(COUNTIFS(CA_Feed!B:B, B178, CA_Feed!D:D, "&gt;="&amp;C178)&gt;0, "Processed (Eligible)", "Ineligible (Post Ex-Date)"))</f>
        <v>Processed (Eligible)</v>
      </c>
    </row>
    <row r="179" spans="1:15" x14ac:dyDescent="0.3">
      <c r="A179" t="s">
        <v>676</v>
      </c>
      <c r="B179" t="s">
        <v>12</v>
      </c>
      <c r="C179" s="5">
        <v>42538</v>
      </c>
      <c r="D179" s="2">
        <v>110</v>
      </c>
      <c r="E179">
        <f>SUMIFS(CA_Feed!F:F, CA_Feed!B:B, B179, CA_Feed!E:E, "*DIVIDEND*", CA_Feed!D:D, "&gt;="&amp;C179)</f>
        <v>19</v>
      </c>
      <c r="F179">
        <f t="shared" si="21"/>
        <v>2090</v>
      </c>
      <c r="G179">
        <f t="shared" si="22"/>
        <v>209</v>
      </c>
      <c r="H179">
        <f t="shared" si="23"/>
        <v>1881</v>
      </c>
      <c r="I179">
        <f>D179 * SUMIFS(CA_Feed!G:G, CA_Feed!B:B, B179, CA_Feed!E:E, "*BONUS*", CA_Feed!D:D, "&gt;="&amp;C179)</f>
        <v>0</v>
      </c>
      <c r="J179">
        <f t="shared" si="24"/>
        <v>0</v>
      </c>
      <c r="K179">
        <f t="shared" si="25"/>
        <v>0</v>
      </c>
      <c r="L179">
        <f>IF(K179&gt;0, K179 * VLOOKUP(B179, CA_Feed!B:N, 13, FALSE), 0)</f>
        <v>0</v>
      </c>
      <c r="M179">
        <f t="shared" si="26"/>
        <v>1881</v>
      </c>
      <c r="N179" s="2">
        <f t="shared" si="20"/>
        <v>0</v>
      </c>
      <c r="O179" t="str">
        <f>IF(COUNTIFS(CA_Feed!B:B, B179)=0, "No Action Announced", IF(COUNTIFS(CA_Feed!B:B, B179, CA_Feed!D:D, "&gt;="&amp;C179)&gt;0, "Processed (Eligible)", "Ineligible (Post Ex-Date)"))</f>
        <v>Processed (Eligible)</v>
      </c>
    </row>
    <row r="180" spans="1:15" x14ac:dyDescent="0.3">
      <c r="A180" t="s">
        <v>256</v>
      </c>
      <c r="B180" t="s">
        <v>47</v>
      </c>
      <c r="C180" s="5">
        <v>45423</v>
      </c>
      <c r="D180" s="2">
        <v>4650</v>
      </c>
      <c r="E180">
        <f>SUMIFS(CA_Feed!F:F, CA_Feed!B:B, B180, CA_Feed!E:E, "*DIVIDEND*", CA_Feed!D:D, "&gt;="&amp;C180)</f>
        <v>0.1</v>
      </c>
      <c r="F180">
        <f t="shared" si="21"/>
        <v>465</v>
      </c>
      <c r="G180">
        <f t="shared" si="22"/>
        <v>46.5</v>
      </c>
      <c r="H180">
        <f t="shared" si="23"/>
        <v>418.5</v>
      </c>
      <c r="I180">
        <f>D180 * SUMIFS(CA_Feed!G:G, CA_Feed!B:B, B180, CA_Feed!E:E, "*BONUS*", CA_Feed!D:D, "&gt;="&amp;C180)</f>
        <v>0</v>
      </c>
      <c r="J180">
        <f t="shared" si="24"/>
        <v>0</v>
      </c>
      <c r="K180">
        <f t="shared" si="25"/>
        <v>0</v>
      </c>
      <c r="L180">
        <f>IF(K180&gt;0, K180 * VLOOKUP(B180, CA_Feed!B:N, 13, FALSE), 0)</f>
        <v>0</v>
      </c>
      <c r="M180">
        <f t="shared" si="26"/>
        <v>418.5</v>
      </c>
      <c r="N180" s="2">
        <f t="shared" si="20"/>
        <v>0</v>
      </c>
      <c r="O180" t="str">
        <f>IF(COUNTIFS(CA_Feed!B:B, B180)=0, "No Action Announced", IF(COUNTIFS(CA_Feed!B:B, B180, CA_Feed!D:D, "&gt;="&amp;C180)&gt;0, "Processed (Eligible)", "Ineligible (Post Ex-Date)"))</f>
        <v>Processed (Eligible)</v>
      </c>
    </row>
    <row r="181" spans="1:15" x14ac:dyDescent="0.3">
      <c r="A181" t="s">
        <v>257</v>
      </c>
      <c r="B181" t="s">
        <v>31</v>
      </c>
      <c r="C181" s="5">
        <v>45212</v>
      </c>
      <c r="D181" s="2">
        <v>1350</v>
      </c>
      <c r="E181">
        <f>SUMIFS(CA_Feed!F:F, CA_Feed!B:B, B181, CA_Feed!E:E, "*DIVIDEND*", CA_Feed!D:D, "&gt;="&amp;C181)</f>
        <v>3</v>
      </c>
      <c r="F181">
        <f t="shared" si="21"/>
        <v>4050</v>
      </c>
      <c r="G181">
        <f t="shared" si="22"/>
        <v>405</v>
      </c>
      <c r="H181">
        <f t="shared" si="23"/>
        <v>3645</v>
      </c>
      <c r="I181">
        <f>D181 * SUMIFS(CA_Feed!G:G, CA_Feed!B:B, B181, CA_Feed!E:E, "*BONUS*", CA_Feed!D:D, "&gt;="&amp;C181)</f>
        <v>0</v>
      </c>
      <c r="J181">
        <f t="shared" si="24"/>
        <v>0</v>
      </c>
      <c r="K181">
        <f t="shared" si="25"/>
        <v>0</v>
      </c>
      <c r="L181">
        <f>IF(K181&gt;0, K181 * VLOOKUP(B181, CA_Feed!B:N, 13, FALSE), 0)</f>
        <v>0</v>
      </c>
      <c r="M181">
        <f t="shared" si="26"/>
        <v>3645</v>
      </c>
      <c r="N181" s="2">
        <f t="shared" si="20"/>
        <v>0</v>
      </c>
      <c r="O181" t="str">
        <f>IF(COUNTIFS(CA_Feed!B:B, B181)=0, "No Action Announced", IF(COUNTIFS(CA_Feed!B:B, B181, CA_Feed!D:D, "&gt;="&amp;C181)&gt;0, "Processed (Eligible)", "Ineligible (Post Ex-Date)"))</f>
        <v>Processed (Eligible)</v>
      </c>
    </row>
    <row r="182" spans="1:15" x14ac:dyDescent="0.3">
      <c r="A182" t="s">
        <v>258</v>
      </c>
      <c r="B182" t="s">
        <v>43</v>
      </c>
      <c r="C182" s="5">
        <v>45301</v>
      </c>
      <c r="D182" s="2">
        <v>7200</v>
      </c>
      <c r="E182">
        <f>SUMIFS(CA_Feed!F:F, CA_Feed!B:B, B182, CA_Feed!E:E, "*DIVIDEND*", CA_Feed!D:D, "&gt;="&amp;C182)</f>
        <v>1.35</v>
      </c>
      <c r="F182">
        <f t="shared" si="21"/>
        <v>9720</v>
      </c>
      <c r="G182">
        <f t="shared" si="22"/>
        <v>972</v>
      </c>
      <c r="H182">
        <f t="shared" si="23"/>
        <v>8748</v>
      </c>
      <c r="I182">
        <f>D182 * SUMIFS(CA_Feed!G:G, CA_Feed!B:B, B182, CA_Feed!E:E, "*BONUS*", CA_Feed!D:D, "&gt;="&amp;C182)</f>
        <v>0</v>
      </c>
      <c r="J182">
        <f t="shared" si="24"/>
        <v>0</v>
      </c>
      <c r="K182">
        <f t="shared" si="25"/>
        <v>0</v>
      </c>
      <c r="L182">
        <f>IF(K182&gt;0, K182 * VLOOKUP(B182, CA_Feed!B:N, 13, FALSE), 0)</f>
        <v>0</v>
      </c>
      <c r="M182">
        <f t="shared" si="26"/>
        <v>8748</v>
      </c>
      <c r="N182" s="2">
        <f t="shared" si="20"/>
        <v>0</v>
      </c>
      <c r="O182" t="str">
        <f>IF(COUNTIFS(CA_Feed!B:B, B182)=0, "No Action Announced", IF(COUNTIFS(CA_Feed!B:B, B182, CA_Feed!D:D, "&gt;="&amp;C182)&gt;0, "Processed (Eligible)", "Ineligible (Post Ex-Date)"))</f>
        <v>Processed (Eligible)</v>
      </c>
    </row>
    <row r="183" spans="1:15" x14ac:dyDescent="0.3">
      <c r="A183" t="s">
        <v>259</v>
      </c>
      <c r="B183" t="s">
        <v>43</v>
      </c>
      <c r="C183" s="5">
        <v>42714</v>
      </c>
      <c r="D183" s="2">
        <v>750</v>
      </c>
      <c r="E183">
        <f>SUMIFS(CA_Feed!F:F, CA_Feed!B:B, B183, CA_Feed!E:E, "*DIVIDEND*", CA_Feed!D:D, "&gt;="&amp;C183)</f>
        <v>1.35</v>
      </c>
      <c r="F183">
        <f t="shared" si="21"/>
        <v>1012.5000000000001</v>
      </c>
      <c r="G183">
        <f t="shared" si="22"/>
        <v>101.25000000000001</v>
      </c>
      <c r="H183">
        <f t="shared" si="23"/>
        <v>911.25000000000011</v>
      </c>
      <c r="I183">
        <f>D183 * SUMIFS(CA_Feed!G:G, CA_Feed!B:B, B183, CA_Feed!E:E, "*BONUS*", CA_Feed!D:D, "&gt;="&amp;C183)</f>
        <v>0</v>
      </c>
      <c r="J183">
        <f t="shared" si="24"/>
        <v>0</v>
      </c>
      <c r="K183">
        <f t="shared" si="25"/>
        <v>0</v>
      </c>
      <c r="L183">
        <f>IF(K183&gt;0, K183 * VLOOKUP(B183, CA_Feed!B:N, 13, FALSE), 0)</f>
        <v>0</v>
      </c>
      <c r="M183">
        <f t="shared" si="26"/>
        <v>911.25000000000011</v>
      </c>
      <c r="N183" s="2">
        <f t="shared" si="20"/>
        <v>0</v>
      </c>
      <c r="O183" t="str">
        <f>IF(COUNTIFS(CA_Feed!B:B, B183)=0, "No Action Announced", IF(COUNTIFS(CA_Feed!B:B, B183, CA_Feed!D:D, "&gt;="&amp;C183)&gt;0, "Processed (Eligible)", "Ineligible (Post Ex-Date)"))</f>
        <v>Processed (Eligible)</v>
      </c>
    </row>
    <row r="184" spans="1:15" x14ac:dyDescent="0.3">
      <c r="A184" t="s">
        <v>260</v>
      </c>
      <c r="B184" t="s">
        <v>31</v>
      </c>
      <c r="C184" s="5">
        <v>42679</v>
      </c>
      <c r="D184" s="2">
        <v>4450</v>
      </c>
      <c r="E184">
        <f>SUMIFS(CA_Feed!F:F, CA_Feed!B:B, B184, CA_Feed!E:E, "*DIVIDEND*", CA_Feed!D:D, "&gt;="&amp;C184)</f>
        <v>3</v>
      </c>
      <c r="F184">
        <f t="shared" si="21"/>
        <v>13350</v>
      </c>
      <c r="G184">
        <f t="shared" si="22"/>
        <v>1335</v>
      </c>
      <c r="H184">
        <f t="shared" si="23"/>
        <v>12015</v>
      </c>
      <c r="I184">
        <f>D184 * SUMIFS(CA_Feed!G:G, CA_Feed!B:B, B184, CA_Feed!E:E, "*BONUS*", CA_Feed!D:D, "&gt;="&amp;C184)</f>
        <v>0</v>
      </c>
      <c r="J184">
        <f t="shared" si="24"/>
        <v>0</v>
      </c>
      <c r="K184">
        <f t="shared" si="25"/>
        <v>0</v>
      </c>
      <c r="L184">
        <f>IF(K184&gt;0, K184 * VLOOKUP(B184, CA_Feed!B:N, 13, FALSE), 0)</f>
        <v>0</v>
      </c>
      <c r="M184">
        <f t="shared" si="26"/>
        <v>12015</v>
      </c>
      <c r="N184" s="2">
        <f t="shared" si="20"/>
        <v>0</v>
      </c>
      <c r="O184" t="str">
        <f>IF(COUNTIFS(CA_Feed!B:B, B184)=0, "No Action Announced", IF(COUNTIFS(CA_Feed!B:B, B184, CA_Feed!D:D, "&gt;="&amp;C184)&gt;0, "Processed (Eligible)", "Ineligible (Post Ex-Date)"))</f>
        <v>Processed (Eligible)</v>
      </c>
    </row>
    <row r="185" spans="1:15" x14ac:dyDescent="0.3">
      <c r="A185" t="s">
        <v>261</v>
      </c>
      <c r="B185" t="s">
        <v>25</v>
      </c>
      <c r="C185" s="5">
        <v>45465</v>
      </c>
      <c r="D185" s="2">
        <v>7200</v>
      </c>
      <c r="E185">
        <f>SUMIFS(CA_Feed!F:F, CA_Feed!B:B, B185, CA_Feed!E:E, "*DIVIDEND*", CA_Feed!D:D, "&gt;="&amp;C185)</f>
        <v>1</v>
      </c>
      <c r="F185">
        <f t="shared" si="21"/>
        <v>7200</v>
      </c>
      <c r="G185">
        <f t="shared" si="22"/>
        <v>720</v>
      </c>
      <c r="H185">
        <f t="shared" si="23"/>
        <v>6480</v>
      </c>
      <c r="I185">
        <f>D185 * SUMIFS(CA_Feed!G:G, CA_Feed!B:B, B185, CA_Feed!E:E, "*BONUS*", CA_Feed!D:D, "&gt;="&amp;C185)</f>
        <v>0</v>
      </c>
      <c r="J185">
        <f t="shared" si="24"/>
        <v>0</v>
      </c>
      <c r="K185">
        <f t="shared" si="25"/>
        <v>0</v>
      </c>
      <c r="L185">
        <f>IF(K185&gt;0, K185 * VLOOKUP(B185, CA_Feed!B:N, 13, FALSE), 0)</f>
        <v>0</v>
      </c>
      <c r="M185">
        <f t="shared" si="26"/>
        <v>6480</v>
      </c>
      <c r="N185" s="2">
        <f t="shared" si="20"/>
        <v>0</v>
      </c>
      <c r="O185" t="str">
        <f>IF(COUNTIFS(CA_Feed!B:B, B185)=0, "No Action Announced", IF(COUNTIFS(CA_Feed!B:B, B185, CA_Feed!D:D, "&gt;="&amp;C185)&gt;0, "Processed (Eligible)", "Ineligible (Post Ex-Date)"))</f>
        <v>Processed (Eligible)</v>
      </c>
    </row>
    <row r="186" spans="1:15" x14ac:dyDescent="0.3">
      <c r="A186" t="s">
        <v>262</v>
      </c>
      <c r="B186" t="s">
        <v>37</v>
      </c>
      <c r="C186" s="5">
        <v>44552</v>
      </c>
      <c r="D186" s="2">
        <v>5750</v>
      </c>
      <c r="E186">
        <f>SUMIFS(CA_Feed!F:F, CA_Feed!B:B, B186, CA_Feed!E:E, "*DIVIDEND*", CA_Feed!D:D, "&gt;="&amp;C186)</f>
        <v>6.5</v>
      </c>
      <c r="F186">
        <f t="shared" si="21"/>
        <v>37375</v>
      </c>
      <c r="G186">
        <f t="shared" si="22"/>
        <v>3737.5</v>
      </c>
      <c r="H186">
        <f t="shared" si="23"/>
        <v>33637.5</v>
      </c>
      <c r="I186">
        <f>D186 * SUMIFS(CA_Feed!G:G, CA_Feed!B:B, B186, CA_Feed!E:E, "*BONUS*", CA_Feed!D:D, "&gt;="&amp;C186)</f>
        <v>0</v>
      </c>
      <c r="J186">
        <f t="shared" si="24"/>
        <v>0</v>
      </c>
      <c r="K186">
        <f t="shared" si="25"/>
        <v>0</v>
      </c>
      <c r="L186">
        <f>IF(K186&gt;0, K186 * VLOOKUP(B186, CA_Feed!B:N, 13, FALSE), 0)</f>
        <v>0</v>
      </c>
      <c r="M186">
        <f t="shared" si="26"/>
        <v>33637.5</v>
      </c>
      <c r="N186" s="2">
        <f t="shared" si="20"/>
        <v>0</v>
      </c>
      <c r="O186" t="str">
        <f>IF(COUNTIFS(CA_Feed!B:B, B186)=0, "No Action Announced", IF(COUNTIFS(CA_Feed!B:B, B186, CA_Feed!D:D, "&gt;="&amp;C186)&gt;0, "Processed (Eligible)", "Ineligible (Post Ex-Date)"))</f>
        <v>Processed (Eligible)</v>
      </c>
    </row>
    <row r="187" spans="1:15" x14ac:dyDescent="0.3">
      <c r="A187" t="s">
        <v>263</v>
      </c>
      <c r="B187" t="s">
        <v>39</v>
      </c>
      <c r="C187" s="5">
        <v>44640</v>
      </c>
      <c r="D187" s="2">
        <v>6150</v>
      </c>
      <c r="E187">
        <f>SUMIFS(CA_Feed!F:F, CA_Feed!B:B, B187, CA_Feed!E:E, "*DIVIDEND*", CA_Feed!D:D, "&gt;="&amp;C187)</f>
        <v>1.2</v>
      </c>
      <c r="F187">
        <f t="shared" si="21"/>
        <v>7380</v>
      </c>
      <c r="G187">
        <f t="shared" si="22"/>
        <v>738</v>
      </c>
      <c r="H187">
        <f t="shared" si="23"/>
        <v>6642</v>
      </c>
      <c r="I187">
        <f>D187 * SUMIFS(CA_Feed!G:G, CA_Feed!B:B, B187, CA_Feed!E:E, "*BONUS*", CA_Feed!D:D, "&gt;="&amp;C187)</f>
        <v>0</v>
      </c>
      <c r="J187">
        <f t="shared" si="24"/>
        <v>0</v>
      </c>
      <c r="K187">
        <f t="shared" si="25"/>
        <v>0</v>
      </c>
      <c r="L187">
        <f>IF(K187&gt;0, K187 * VLOOKUP(B187, CA_Feed!B:N, 13, FALSE), 0)</f>
        <v>0</v>
      </c>
      <c r="M187">
        <f t="shared" si="26"/>
        <v>6642</v>
      </c>
      <c r="N187" s="2">
        <f t="shared" si="20"/>
        <v>0</v>
      </c>
      <c r="O187" t="str">
        <f>IF(COUNTIFS(CA_Feed!B:B, B187)=0, "No Action Announced", IF(COUNTIFS(CA_Feed!B:B, B187, CA_Feed!D:D, "&gt;="&amp;C187)&gt;0, "Processed (Eligible)", "Ineligible (Post Ex-Date)"))</f>
        <v>Processed (Eligible)</v>
      </c>
    </row>
    <row r="188" spans="1:15" x14ac:dyDescent="0.3">
      <c r="A188" t="s">
        <v>264</v>
      </c>
      <c r="B188" t="s">
        <v>31</v>
      </c>
      <c r="C188" s="5">
        <v>45140</v>
      </c>
      <c r="D188" s="2">
        <v>4750</v>
      </c>
      <c r="E188">
        <f>SUMIFS(CA_Feed!F:F, CA_Feed!B:B, B188, CA_Feed!E:E, "*DIVIDEND*", CA_Feed!D:D, "&gt;="&amp;C188)</f>
        <v>3</v>
      </c>
      <c r="F188">
        <f t="shared" si="21"/>
        <v>14250</v>
      </c>
      <c r="G188">
        <f t="shared" si="22"/>
        <v>1425</v>
      </c>
      <c r="H188">
        <f t="shared" si="23"/>
        <v>12825</v>
      </c>
      <c r="I188">
        <f>D188 * SUMIFS(CA_Feed!G:G, CA_Feed!B:B, B188, CA_Feed!E:E, "*BONUS*", CA_Feed!D:D, "&gt;="&amp;C188)</f>
        <v>0</v>
      </c>
      <c r="J188">
        <f t="shared" si="24"/>
        <v>0</v>
      </c>
      <c r="K188">
        <f t="shared" si="25"/>
        <v>0</v>
      </c>
      <c r="L188">
        <f>IF(K188&gt;0, K188 * VLOOKUP(B188, CA_Feed!B:N, 13, FALSE), 0)</f>
        <v>0</v>
      </c>
      <c r="M188">
        <f t="shared" si="26"/>
        <v>12825</v>
      </c>
      <c r="N188" s="2">
        <f t="shared" si="20"/>
        <v>0</v>
      </c>
      <c r="O188" t="str">
        <f>IF(COUNTIFS(CA_Feed!B:B, B188)=0, "No Action Announced", IF(COUNTIFS(CA_Feed!B:B, B188, CA_Feed!D:D, "&gt;="&amp;C188)&gt;0, "Processed (Eligible)", "Ineligible (Post Ex-Date)"))</f>
        <v>Processed (Eligible)</v>
      </c>
    </row>
    <row r="189" spans="1:15" x14ac:dyDescent="0.3">
      <c r="A189" t="s">
        <v>265</v>
      </c>
      <c r="B189" t="s">
        <v>19</v>
      </c>
      <c r="C189" s="5">
        <v>43208</v>
      </c>
      <c r="D189" s="2">
        <v>3750</v>
      </c>
      <c r="E189">
        <f>SUMIFS(CA_Feed!F:F, CA_Feed!B:B, B189, CA_Feed!E:E, "*DIVIDEND*", CA_Feed!D:D, "&gt;="&amp;C189)</f>
        <v>1.5</v>
      </c>
      <c r="F189">
        <f t="shared" si="21"/>
        <v>5625</v>
      </c>
      <c r="G189">
        <f t="shared" si="22"/>
        <v>562.5</v>
      </c>
      <c r="H189">
        <f t="shared" si="23"/>
        <v>5062.5</v>
      </c>
      <c r="I189">
        <f>D189 * SUMIFS(CA_Feed!G:G, CA_Feed!B:B, B189, CA_Feed!E:E, "*BONUS*", CA_Feed!D:D, "&gt;="&amp;C189)</f>
        <v>0</v>
      </c>
      <c r="J189">
        <f t="shared" si="24"/>
        <v>0</v>
      </c>
      <c r="K189">
        <f t="shared" si="25"/>
        <v>0</v>
      </c>
      <c r="L189">
        <f>IF(K189&gt;0, K189 * VLOOKUP(B189, CA_Feed!B:N, 13, FALSE), 0)</f>
        <v>0</v>
      </c>
      <c r="M189">
        <f t="shared" si="26"/>
        <v>5062.5</v>
      </c>
      <c r="N189" s="2">
        <f t="shared" si="20"/>
        <v>0</v>
      </c>
      <c r="O189" t="str">
        <f>IF(COUNTIFS(CA_Feed!B:B, B189)=0, "No Action Announced", IF(COUNTIFS(CA_Feed!B:B, B189, CA_Feed!D:D, "&gt;="&amp;C189)&gt;0, "Processed (Eligible)", "Ineligible (Post Ex-Date)"))</f>
        <v>Processed (Eligible)</v>
      </c>
    </row>
    <row r="190" spans="1:15" x14ac:dyDescent="0.3">
      <c r="A190" t="s">
        <v>266</v>
      </c>
      <c r="B190" t="s">
        <v>16</v>
      </c>
      <c r="C190" s="5">
        <v>44247</v>
      </c>
      <c r="D190" s="2">
        <v>9500</v>
      </c>
      <c r="E190">
        <f>SUMIFS(CA_Feed!F:F, CA_Feed!B:B, B190, CA_Feed!E:E, "*DIVIDEND*", CA_Feed!D:D, "&gt;="&amp;C190)</f>
        <v>3.75</v>
      </c>
      <c r="F190">
        <f t="shared" si="21"/>
        <v>35625</v>
      </c>
      <c r="G190">
        <f t="shared" si="22"/>
        <v>3562.5</v>
      </c>
      <c r="H190">
        <f t="shared" si="23"/>
        <v>32062.5</v>
      </c>
      <c r="I190">
        <f>D190 * SUMIFS(CA_Feed!G:G, CA_Feed!B:B, B190, CA_Feed!E:E, "*BONUS*", CA_Feed!D:D, "&gt;="&amp;C190)</f>
        <v>0</v>
      </c>
      <c r="J190">
        <f t="shared" si="24"/>
        <v>0</v>
      </c>
      <c r="K190">
        <f t="shared" si="25"/>
        <v>0</v>
      </c>
      <c r="L190">
        <f>IF(K190&gt;0, K190 * VLOOKUP(B190, CA_Feed!B:N, 13, FALSE), 0)</f>
        <v>0</v>
      </c>
      <c r="M190">
        <f t="shared" si="26"/>
        <v>32062.5</v>
      </c>
      <c r="N190" s="2">
        <f t="shared" si="20"/>
        <v>0</v>
      </c>
      <c r="O190" t="str">
        <f>IF(COUNTIFS(CA_Feed!B:B, B190)=0, "No Action Announced", IF(COUNTIFS(CA_Feed!B:B, B190, CA_Feed!D:D, "&gt;="&amp;C190)&gt;0, "Processed (Eligible)", "Ineligible (Post Ex-Date)"))</f>
        <v>Processed (Eligible)</v>
      </c>
    </row>
    <row r="191" spans="1:15" x14ac:dyDescent="0.3">
      <c r="A191" t="s">
        <v>267</v>
      </c>
      <c r="B191" t="s">
        <v>23</v>
      </c>
      <c r="C191" s="5">
        <v>42481</v>
      </c>
      <c r="D191" s="2">
        <v>2600</v>
      </c>
      <c r="E191">
        <f>SUMIFS(CA_Feed!F:F, CA_Feed!B:B, B191, CA_Feed!E:E, "*DIVIDEND*", CA_Feed!D:D, "&gt;="&amp;C191)</f>
        <v>1.5000000000000002</v>
      </c>
      <c r="F191">
        <f t="shared" si="21"/>
        <v>3900.0000000000005</v>
      </c>
      <c r="G191">
        <f t="shared" si="22"/>
        <v>390.00000000000006</v>
      </c>
      <c r="H191">
        <f t="shared" si="23"/>
        <v>3510.0000000000005</v>
      </c>
      <c r="I191">
        <f>D191 * SUMIFS(CA_Feed!G:G, CA_Feed!B:B, B191, CA_Feed!E:E, "*BONUS*", CA_Feed!D:D, "&gt;="&amp;C191)</f>
        <v>0</v>
      </c>
      <c r="J191">
        <f t="shared" si="24"/>
        <v>0</v>
      </c>
      <c r="K191">
        <f t="shared" si="25"/>
        <v>0</v>
      </c>
      <c r="L191">
        <f>IF(K191&gt;0, K191 * VLOOKUP(B191, CA_Feed!B:N, 13, FALSE), 0)</f>
        <v>0</v>
      </c>
      <c r="M191">
        <f t="shared" si="26"/>
        <v>3510.0000000000005</v>
      </c>
      <c r="N191" s="2">
        <f t="shared" si="20"/>
        <v>0</v>
      </c>
      <c r="O191" t="str">
        <f>IF(COUNTIFS(CA_Feed!B:B, B191)=0, "No Action Announced", IF(COUNTIFS(CA_Feed!B:B, B191, CA_Feed!D:D, "&gt;="&amp;C191)&gt;0, "Processed (Eligible)", "Ineligible (Post Ex-Date)"))</f>
        <v>Processed (Eligible)</v>
      </c>
    </row>
    <row r="192" spans="1:15" x14ac:dyDescent="0.3">
      <c r="A192" t="s">
        <v>268</v>
      </c>
      <c r="B192" t="s">
        <v>33</v>
      </c>
      <c r="C192" s="5">
        <v>45236</v>
      </c>
      <c r="D192" s="2">
        <v>9350</v>
      </c>
      <c r="E192">
        <f>SUMIFS(CA_Feed!F:F, CA_Feed!B:B, B192, CA_Feed!E:E, "*DIVIDEND*", CA_Feed!D:D, "&gt;="&amp;C192)</f>
        <v>1.5</v>
      </c>
      <c r="F192">
        <f t="shared" si="21"/>
        <v>14025</v>
      </c>
      <c r="G192">
        <f t="shared" si="22"/>
        <v>1402.5</v>
      </c>
      <c r="H192">
        <f t="shared" si="23"/>
        <v>12622.5</v>
      </c>
      <c r="I192">
        <f>D192 * SUMIFS(CA_Feed!G:G, CA_Feed!B:B, B192, CA_Feed!E:E, "*BONUS*", CA_Feed!D:D, "&gt;="&amp;C192)</f>
        <v>0</v>
      </c>
      <c r="J192">
        <f t="shared" si="24"/>
        <v>0</v>
      </c>
      <c r="K192">
        <f t="shared" si="25"/>
        <v>0</v>
      </c>
      <c r="L192">
        <f>IF(K192&gt;0, K192 * VLOOKUP(B192, CA_Feed!B:N, 13, FALSE), 0)</f>
        <v>0</v>
      </c>
      <c r="M192">
        <f t="shared" si="26"/>
        <v>12622.5</v>
      </c>
      <c r="N192" s="2">
        <f t="shared" si="20"/>
        <v>0</v>
      </c>
      <c r="O192" t="str">
        <f>IF(COUNTIFS(CA_Feed!B:B, B192)=0, "No Action Announced", IF(COUNTIFS(CA_Feed!B:B, B192, CA_Feed!D:D, "&gt;="&amp;C192)&gt;0, "Processed (Eligible)", "Ineligible (Post Ex-Date)"))</f>
        <v>Processed (Eligible)</v>
      </c>
    </row>
    <row r="193" spans="1:15" x14ac:dyDescent="0.3">
      <c r="A193" t="s">
        <v>269</v>
      </c>
      <c r="B193" t="s">
        <v>19</v>
      </c>
      <c r="C193" s="5">
        <v>43313</v>
      </c>
      <c r="D193" s="2">
        <v>3550</v>
      </c>
      <c r="E193">
        <f>SUMIFS(CA_Feed!F:F, CA_Feed!B:B, B193, CA_Feed!E:E, "*DIVIDEND*", CA_Feed!D:D, "&gt;="&amp;C193)</f>
        <v>1.5</v>
      </c>
      <c r="F193">
        <f t="shared" si="21"/>
        <v>5325</v>
      </c>
      <c r="G193">
        <f t="shared" si="22"/>
        <v>532.5</v>
      </c>
      <c r="H193">
        <f t="shared" si="23"/>
        <v>4792.5</v>
      </c>
      <c r="I193">
        <f>D193 * SUMIFS(CA_Feed!G:G, CA_Feed!B:B, B193, CA_Feed!E:E, "*BONUS*", CA_Feed!D:D, "&gt;="&amp;C193)</f>
        <v>0</v>
      </c>
      <c r="J193">
        <f t="shared" si="24"/>
        <v>0</v>
      </c>
      <c r="K193">
        <f t="shared" si="25"/>
        <v>0</v>
      </c>
      <c r="L193">
        <f>IF(K193&gt;0, K193 * VLOOKUP(B193, CA_Feed!B:N, 13, FALSE), 0)</f>
        <v>0</v>
      </c>
      <c r="M193">
        <f t="shared" si="26"/>
        <v>4792.5</v>
      </c>
      <c r="N193" s="2">
        <f t="shared" si="20"/>
        <v>0</v>
      </c>
      <c r="O193" t="str">
        <f>IF(COUNTIFS(CA_Feed!B:B, B193)=0, "No Action Announced", IF(COUNTIFS(CA_Feed!B:B, B193, CA_Feed!D:D, "&gt;="&amp;C193)&gt;0, "Processed (Eligible)", "Ineligible (Post Ex-Date)"))</f>
        <v>Processed (Eligible)</v>
      </c>
    </row>
    <row r="194" spans="1:15" x14ac:dyDescent="0.3">
      <c r="A194" t="s">
        <v>270</v>
      </c>
      <c r="B194" t="s">
        <v>33</v>
      </c>
      <c r="C194" s="5">
        <v>42759</v>
      </c>
      <c r="D194" s="2">
        <v>2100</v>
      </c>
      <c r="E194">
        <f>SUMIFS(CA_Feed!F:F, CA_Feed!B:B, B194, CA_Feed!E:E, "*DIVIDEND*", CA_Feed!D:D, "&gt;="&amp;C194)</f>
        <v>1.5</v>
      </c>
      <c r="F194">
        <f t="shared" si="21"/>
        <v>3150</v>
      </c>
      <c r="G194">
        <f t="shared" si="22"/>
        <v>315</v>
      </c>
      <c r="H194">
        <f t="shared" si="23"/>
        <v>2835</v>
      </c>
      <c r="I194">
        <f>D194 * SUMIFS(CA_Feed!G:G, CA_Feed!B:B, B194, CA_Feed!E:E, "*BONUS*", CA_Feed!D:D, "&gt;="&amp;C194)</f>
        <v>0</v>
      </c>
      <c r="J194">
        <f t="shared" si="24"/>
        <v>0</v>
      </c>
      <c r="K194">
        <f t="shared" si="25"/>
        <v>0</v>
      </c>
      <c r="L194">
        <f>IF(K194&gt;0, K194 * VLOOKUP(B194, CA_Feed!B:N, 13, FALSE), 0)</f>
        <v>0</v>
      </c>
      <c r="M194">
        <f t="shared" si="26"/>
        <v>2835</v>
      </c>
      <c r="N194" s="2">
        <f t="shared" si="20"/>
        <v>0</v>
      </c>
      <c r="O194" t="str">
        <f>IF(COUNTIFS(CA_Feed!B:B, B194)=0, "No Action Announced", IF(COUNTIFS(CA_Feed!B:B, B194, CA_Feed!D:D, "&gt;="&amp;C194)&gt;0, "Processed (Eligible)", "Ineligible (Post Ex-Date)"))</f>
        <v>Processed (Eligible)</v>
      </c>
    </row>
    <row r="195" spans="1:15" x14ac:dyDescent="0.3">
      <c r="A195" t="s">
        <v>271</v>
      </c>
      <c r="B195" t="s">
        <v>16</v>
      </c>
      <c r="C195" s="5">
        <v>44732</v>
      </c>
      <c r="D195" s="2">
        <v>2850</v>
      </c>
      <c r="E195">
        <f>SUMIFS(CA_Feed!F:F, CA_Feed!B:B, B195, CA_Feed!E:E, "*DIVIDEND*", CA_Feed!D:D, "&gt;="&amp;C195)</f>
        <v>3.75</v>
      </c>
      <c r="F195">
        <f t="shared" si="21"/>
        <v>10687.5</v>
      </c>
      <c r="G195">
        <f t="shared" si="22"/>
        <v>1068.75</v>
      </c>
      <c r="H195">
        <f t="shared" si="23"/>
        <v>9618.75</v>
      </c>
      <c r="I195">
        <f>D195 * SUMIFS(CA_Feed!G:G, CA_Feed!B:B, B195, CA_Feed!E:E, "*BONUS*", CA_Feed!D:D, "&gt;="&amp;C195)</f>
        <v>0</v>
      </c>
      <c r="J195">
        <f t="shared" si="24"/>
        <v>0</v>
      </c>
      <c r="K195">
        <f t="shared" si="25"/>
        <v>0</v>
      </c>
      <c r="L195">
        <f>IF(K195&gt;0, K195 * VLOOKUP(B195, CA_Feed!B:N, 13, FALSE), 0)</f>
        <v>0</v>
      </c>
      <c r="M195">
        <f t="shared" si="26"/>
        <v>9618.75</v>
      </c>
      <c r="N195" s="2">
        <f t="shared" ref="N195:N258" si="27">IF(J195&gt;0,D195 +J195,0)</f>
        <v>0</v>
      </c>
      <c r="O195" t="str">
        <f>IF(COUNTIFS(CA_Feed!B:B, B195)=0, "No Action Announced", IF(COUNTIFS(CA_Feed!B:B, B195, CA_Feed!D:D, "&gt;="&amp;C195)&gt;0, "Processed (Eligible)", "Ineligible (Post Ex-Date)"))</f>
        <v>Processed (Eligible)</v>
      </c>
    </row>
    <row r="196" spans="1:15" x14ac:dyDescent="0.3">
      <c r="A196" t="s">
        <v>272</v>
      </c>
      <c r="B196" t="s">
        <v>25</v>
      </c>
      <c r="C196" s="5">
        <v>43634</v>
      </c>
      <c r="D196" s="2">
        <v>6800</v>
      </c>
      <c r="E196">
        <f>SUMIFS(CA_Feed!F:F, CA_Feed!B:B, B196, CA_Feed!E:E, "*DIVIDEND*", CA_Feed!D:D, "&gt;="&amp;C196)</f>
        <v>2.5</v>
      </c>
      <c r="F196">
        <f t="shared" si="21"/>
        <v>17000</v>
      </c>
      <c r="G196">
        <f t="shared" si="22"/>
        <v>1700</v>
      </c>
      <c r="H196">
        <f t="shared" si="23"/>
        <v>15300</v>
      </c>
      <c r="I196">
        <f>D196 * SUMIFS(CA_Feed!G:G, CA_Feed!B:B, B196, CA_Feed!E:E, "*BONUS*", CA_Feed!D:D, "&gt;="&amp;C196)</f>
        <v>0</v>
      </c>
      <c r="J196">
        <f t="shared" si="24"/>
        <v>0</v>
      </c>
      <c r="K196">
        <f t="shared" si="25"/>
        <v>0</v>
      </c>
      <c r="L196">
        <f>IF(K196&gt;0, K196 * VLOOKUP(B196, CA_Feed!B:N, 13, FALSE), 0)</f>
        <v>0</v>
      </c>
      <c r="M196">
        <f t="shared" si="26"/>
        <v>15300</v>
      </c>
      <c r="N196" s="2">
        <f t="shared" si="27"/>
        <v>0</v>
      </c>
      <c r="O196" t="str">
        <f>IF(COUNTIFS(CA_Feed!B:B, B196)=0, "No Action Announced", IF(COUNTIFS(CA_Feed!B:B, B196, CA_Feed!D:D, "&gt;="&amp;C196)&gt;0, "Processed (Eligible)", "Ineligible (Post Ex-Date)"))</f>
        <v>Processed (Eligible)</v>
      </c>
    </row>
    <row r="197" spans="1:15" x14ac:dyDescent="0.3">
      <c r="A197" t="s">
        <v>273</v>
      </c>
      <c r="B197" t="s">
        <v>31</v>
      </c>
      <c r="C197" s="5">
        <v>45526</v>
      </c>
      <c r="D197" s="2">
        <v>2950</v>
      </c>
      <c r="E197">
        <f>SUMIFS(CA_Feed!F:F, CA_Feed!B:B, B197, CA_Feed!E:E, "*DIVIDEND*", CA_Feed!D:D, "&gt;="&amp;C197)</f>
        <v>3</v>
      </c>
      <c r="F197">
        <f t="shared" si="21"/>
        <v>8850</v>
      </c>
      <c r="G197">
        <f t="shared" si="22"/>
        <v>885</v>
      </c>
      <c r="H197">
        <f t="shared" si="23"/>
        <v>7965</v>
      </c>
      <c r="I197">
        <f>D197 * SUMIFS(CA_Feed!G:G, CA_Feed!B:B, B197, CA_Feed!E:E, "*BONUS*", CA_Feed!D:D, "&gt;="&amp;C197)</f>
        <v>0</v>
      </c>
      <c r="J197">
        <f t="shared" si="24"/>
        <v>0</v>
      </c>
      <c r="K197">
        <f t="shared" si="25"/>
        <v>0</v>
      </c>
      <c r="L197">
        <f>IF(K197&gt;0, K197 * VLOOKUP(B197, CA_Feed!B:N, 13, FALSE), 0)</f>
        <v>0</v>
      </c>
      <c r="M197">
        <f t="shared" si="26"/>
        <v>7965</v>
      </c>
      <c r="N197" s="2">
        <f t="shared" si="27"/>
        <v>0</v>
      </c>
      <c r="O197" t="str">
        <f>IF(COUNTIFS(CA_Feed!B:B, B197)=0, "No Action Announced", IF(COUNTIFS(CA_Feed!B:B, B197, CA_Feed!D:D, "&gt;="&amp;C197)&gt;0, "Processed (Eligible)", "Ineligible (Post Ex-Date)"))</f>
        <v>Processed (Eligible)</v>
      </c>
    </row>
    <row r="198" spans="1:15" x14ac:dyDescent="0.3">
      <c r="A198" t="s">
        <v>621</v>
      </c>
      <c r="B198" t="s">
        <v>12</v>
      </c>
      <c r="C198" s="5">
        <v>46234</v>
      </c>
      <c r="D198" s="2">
        <v>110</v>
      </c>
      <c r="E198">
        <f>SUMIFS(CA_Feed!F:F, CA_Feed!B:B, B198, CA_Feed!E:E, "*DIVIDEND*", CA_Feed!D:D, "&gt;="&amp;C198)</f>
        <v>0</v>
      </c>
      <c r="F198">
        <f t="shared" si="21"/>
        <v>0</v>
      </c>
      <c r="G198">
        <f t="shared" si="22"/>
        <v>0</v>
      </c>
      <c r="H198">
        <f t="shared" si="23"/>
        <v>0</v>
      </c>
      <c r="I198">
        <f>D198 * SUMIFS(CA_Feed!G:G, CA_Feed!B:B, B198, CA_Feed!E:E, "*BONUS*", CA_Feed!D:D, "&gt;="&amp;C198)</f>
        <v>0</v>
      </c>
      <c r="J198">
        <f t="shared" si="24"/>
        <v>0</v>
      </c>
      <c r="K198">
        <f t="shared" si="25"/>
        <v>0</v>
      </c>
      <c r="L198">
        <f>IF(K198&gt;0, K198 * VLOOKUP(B198, CA_Feed!B:N, 13, FALSE), 0)</f>
        <v>0</v>
      </c>
      <c r="M198">
        <f t="shared" si="26"/>
        <v>0</v>
      </c>
      <c r="N198" s="2">
        <f t="shared" si="27"/>
        <v>0</v>
      </c>
      <c r="O198" t="str">
        <f>IF(COUNTIFS(CA_Feed!B:B, B198)=0, "No Action Announced", IF(COUNTIFS(CA_Feed!B:B, B198, CA_Feed!D:D, "&gt;="&amp;C198)&gt;0, "Processed (Eligible)", "Ineligible (Post Ex-Date)"))</f>
        <v>Ineligible (Post Ex-Date)</v>
      </c>
    </row>
    <row r="199" spans="1:15" x14ac:dyDescent="0.3">
      <c r="A199" t="s">
        <v>275</v>
      </c>
      <c r="B199" t="s">
        <v>29</v>
      </c>
      <c r="C199" s="5">
        <v>45319</v>
      </c>
      <c r="D199" s="2">
        <v>8550</v>
      </c>
      <c r="E199">
        <f>SUMIFS(CA_Feed!F:F, CA_Feed!B:B, B199, CA_Feed!E:E, "*DIVIDEND*", CA_Feed!D:D, "&gt;="&amp;C199)</f>
        <v>3</v>
      </c>
      <c r="F199">
        <f t="shared" si="21"/>
        <v>25650</v>
      </c>
      <c r="G199">
        <f t="shared" si="22"/>
        <v>2565</v>
      </c>
      <c r="H199">
        <f t="shared" si="23"/>
        <v>23085</v>
      </c>
      <c r="I199">
        <f>D199 * SUMIFS(CA_Feed!G:G, CA_Feed!B:B, B199, CA_Feed!E:E, "*BONUS*", CA_Feed!D:D, "&gt;="&amp;C199)</f>
        <v>0</v>
      </c>
      <c r="J199">
        <f t="shared" si="24"/>
        <v>0</v>
      </c>
      <c r="K199">
        <f t="shared" si="25"/>
        <v>0</v>
      </c>
      <c r="L199">
        <f>IF(K199&gt;0, K199 * VLOOKUP(B199, CA_Feed!B:N, 13, FALSE), 0)</f>
        <v>0</v>
      </c>
      <c r="M199">
        <f t="shared" si="26"/>
        <v>23085</v>
      </c>
      <c r="N199" s="2">
        <f t="shared" si="27"/>
        <v>0</v>
      </c>
      <c r="O199" t="str">
        <f>IF(COUNTIFS(CA_Feed!B:B, B199)=0, "No Action Announced", IF(COUNTIFS(CA_Feed!B:B, B199, CA_Feed!D:D, "&gt;="&amp;C199)&gt;0, "Processed (Eligible)", "Ineligible (Post Ex-Date)"))</f>
        <v>Processed (Eligible)</v>
      </c>
    </row>
    <row r="200" spans="1:15" x14ac:dyDescent="0.3">
      <c r="A200" t="s">
        <v>651</v>
      </c>
      <c r="B200" t="s">
        <v>12</v>
      </c>
      <c r="C200" s="5">
        <v>43418</v>
      </c>
      <c r="D200" s="2">
        <v>110</v>
      </c>
      <c r="E200">
        <f>SUMIFS(CA_Feed!F:F, CA_Feed!B:B, B200, CA_Feed!E:E, "*DIVIDEND*", CA_Feed!D:D, "&gt;="&amp;C200)</f>
        <v>19</v>
      </c>
      <c r="F200">
        <f t="shared" si="21"/>
        <v>2090</v>
      </c>
      <c r="G200">
        <f t="shared" si="22"/>
        <v>209</v>
      </c>
      <c r="H200">
        <f t="shared" si="23"/>
        <v>1881</v>
      </c>
      <c r="I200">
        <f>D200 * SUMIFS(CA_Feed!G:G, CA_Feed!B:B, B200, CA_Feed!E:E, "*BONUS*", CA_Feed!D:D, "&gt;="&amp;C200)</f>
        <v>0</v>
      </c>
      <c r="J200">
        <f t="shared" si="24"/>
        <v>0</v>
      </c>
      <c r="K200">
        <f t="shared" si="25"/>
        <v>0</v>
      </c>
      <c r="L200">
        <f>IF(K200&gt;0, K200 * VLOOKUP(B200, CA_Feed!B:N, 13, FALSE), 0)</f>
        <v>0</v>
      </c>
      <c r="M200">
        <f t="shared" si="26"/>
        <v>1881</v>
      </c>
      <c r="N200" s="2">
        <f t="shared" si="27"/>
        <v>0</v>
      </c>
      <c r="O200" t="str">
        <f>IF(COUNTIFS(CA_Feed!B:B, B200)=0, "No Action Announced", IF(COUNTIFS(CA_Feed!B:B, B200, CA_Feed!D:D, "&gt;="&amp;C200)&gt;0, "Processed (Eligible)", "Ineligible (Post Ex-Date)"))</f>
        <v>Processed (Eligible)</v>
      </c>
    </row>
    <row r="201" spans="1:15" x14ac:dyDescent="0.3">
      <c r="A201" t="s">
        <v>277</v>
      </c>
      <c r="B201" t="s">
        <v>43</v>
      </c>
      <c r="C201" s="5">
        <v>42310</v>
      </c>
      <c r="D201" s="2">
        <v>4950</v>
      </c>
      <c r="E201">
        <f>SUMIFS(CA_Feed!F:F, CA_Feed!B:B, B201, CA_Feed!E:E, "*DIVIDEND*", CA_Feed!D:D, "&gt;="&amp;C201)</f>
        <v>1.35</v>
      </c>
      <c r="F201">
        <f t="shared" si="21"/>
        <v>6682.5</v>
      </c>
      <c r="G201">
        <f t="shared" si="22"/>
        <v>668.25</v>
      </c>
      <c r="H201">
        <f t="shared" si="23"/>
        <v>6014.25</v>
      </c>
      <c r="I201">
        <f>D201 * SUMIFS(CA_Feed!G:G, CA_Feed!B:B, B201, CA_Feed!E:E, "*BONUS*", CA_Feed!D:D, "&gt;="&amp;C201)</f>
        <v>0</v>
      </c>
      <c r="J201">
        <f t="shared" si="24"/>
        <v>0</v>
      </c>
      <c r="K201">
        <f t="shared" si="25"/>
        <v>0</v>
      </c>
      <c r="L201">
        <f>IF(K201&gt;0, K201 * VLOOKUP(B201, CA_Feed!B:N, 13, FALSE), 0)</f>
        <v>0</v>
      </c>
      <c r="M201">
        <f t="shared" si="26"/>
        <v>6014.25</v>
      </c>
      <c r="N201" s="2">
        <f t="shared" si="27"/>
        <v>0</v>
      </c>
      <c r="O201" t="str">
        <f>IF(COUNTIFS(CA_Feed!B:B, B201)=0, "No Action Announced", IF(COUNTIFS(CA_Feed!B:B, B201, CA_Feed!D:D, "&gt;="&amp;C201)&gt;0, "Processed (Eligible)", "Ineligible (Post Ex-Date)"))</f>
        <v>Processed (Eligible)</v>
      </c>
    </row>
    <row r="202" spans="1:15" x14ac:dyDescent="0.3">
      <c r="A202" t="s">
        <v>303</v>
      </c>
      <c r="B202" t="s">
        <v>12</v>
      </c>
      <c r="C202" s="5">
        <v>45487</v>
      </c>
      <c r="D202" s="2">
        <v>110</v>
      </c>
      <c r="E202">
        <f>SUMIFS(CA_Feed!F:F, CA_Feed!B:B, B202, CA_Feed!E:E, "*DIVIDEND*", CA_Feed!D:D, "&gt;="&amp;C202)</f>
        <v>19</v>
      </c>
      <c r="F202">
        <f t="shared" si="21"/>
        <v>2090</v>
      </c>
      <c r="G202">
        <f t="shared" si="22"/>
        <v>209</v>
      </c>
      <c r="H202">
        <f t="shared" si="23"/>
        <v>1881</v>
      </c>
      <c r="I202">
        <f>D202 * SUMIFS(CA_Feed!G:G, CA_Feed!B:B, B202, CA_Feed!E:E, "*BONUS*", CA_Feed!D:D, "&gt;="&amp;C202)</f>
        <v>0</v>
      </c>
      <c r="J202">
        <f t="shared" si="24"/>
        <v>0</v>
      </c>
      <c r="K202">
        <f t="shared" si="25"/>
        <v>0</v>
      </c>
      <c r="L202">
        <f>IF(K202&gt;0, K202 * VLOOKUP(B202, CA_Feed!B:N, 13, FALSE), 0)</f>
        <v>0</v>
      </c>
      <c r="M202">
        <f t="shared" si="26"/>
        <v>1881</v>
      </c>
      <c r="N202" s="2">
        <f t="shared" si="27"/>
        <v>0</v>
      </c>
      <c r="O202" t="str">
        <f>IF(COUNTIFS(CA_Feed!B:B, B202)=0, "No Action Announced", IF(COUNTIFS(CA_Feed!B:B, B202, CA_Feed!D:D, "&gt;="&amp;C202)&gt;0, "Processed (Eligible)", "Ineligible (Post Ex-Date)"))</f>
        <v>Processed (Eligible)</v>
      </c>
    </row>
    <row r="203" spans="1:15" x14ac:dyDescent="0.3">
      <c r="A203" t="s">
        <v>279</v>
      </c>
      <c r="B203" t="s">
        <v>43</v>
      </c>
      <c r="C203" s="5">
        <v>42237</v>
      </c>
      <c r="D203" s="2">
        <v>3950</v>
      </c>
      <c r="E203">
        <f>SUMIFS(CA_Feed!F:F, CA_Feed!B:B, B203, CA_Feed!E:E, "*DIVIDEND*", CA_Feed!D:D, "&gt;="&amp;C203)</f>
        <v>1.35</v>
      </c>
      <c r="F203">
        <f t="shared" si="21"/>
        <v>5332.5</v>
      </c>
      <c r="G203">
        <f t="shared" si="22"/>
        <v>533.25</v>
      </c>
      <c r="H203">
        <f t="shared" si="23"/>
        <v>4799.25</v>
      </c>
      <c r="I203">
        <f>D203 * SUMIFS(CA_Feed!G:G, CA_Feed!B:B, B203, CA_Feed!E:E, "*BONUS*", CA_Feed!D:D, "&gt;="&amp;C203)</f>
        <v>0</v>
      </c>
      <c r="J203">
        <f t="shared" si="24"/>
        <v>0</v>
      </c>
      <c r="K203">
        <f t="shared" si="25"/>
        <v>0</v>
      </c>
      <c r="L203">
        <f>IF(K203&gt;0, K203 * VLOOKUP(B203, CA_Feed!B:N, 13, FALSE), 0)</f>
        <v>0</v>
      </c>
      <c r="M203">
        <f t="shared" si="26"/>
        <v>4799.25</v>
      </c>
      <c r="N203" s="2">
        <f t="shared" si="27"/>
        <v>0</v>
      </c>
      <c r="O203" t="str">
        <f>IF(COUNTIFS(CA_Feed!B:B, B203)=0, "No Action Announced", IF(COUNTIFS(CA_Feed!B:B, B203, CA_Feed!D:D, "&gt;="&amp;C203)&gt;0, "Processed (Eligible)", "Ineligible (Post Ex-Date)"))</f>
        <v>Processed (Eligible)</v>
      </c>
    </row>
    <row r="204" spans="1:15" x14ac:dyDescent="0.3">
      <c r="A204" t="s">
        <v>280</v>
      </c>
      <c r="B204" t="s">
        <v>29</v>
      </c>
      <c r="C204" s="5">
        <v>43316</v>
      </c>
      <c r="D204" s="2">
        <v>7450</v>
      </c>
      <c r="E204">
        <f>SUMIFS(CA_Feed!F:F, CA_Feed!B:B, B204, CA_Feed!E:E, "*DIVIDEND*", CA_Feed!D:D, "&gt;="&amp;C204)</f>
        <v>3</v>
      </c>
      <c r="F204">
        <f t="shared" si="21"/>
        <v>22350</v>
      </c>
      <c r="G204">
        <f t="shared" si="22"/>
        <v>2235</v>
      </c>
      <c r="H204">
        <f t="shared" si="23"/>
        <v>20115</v>
      </c>
      <c r="I204">
        <f>D204 * SUMIFS(CA_Feed!G:G, CA_Feed!B:B, B204, CA_Feed!E:E, "*BONUS*", CA_Feed!D:D, "&gt;="&amp;C204)</f>
        <v>0</v>
      </c>
      <c r="J204">
        <f t="shared" si="24"/>
        <v>0</v>
      </c>
      <c r="K204">
        <f t="shared" si="25"/>
        <v>0</v>
      </c>
      <c r="L204">
        <f>IF(K204&gt;0, K204 * VLOOKUP(B204, CA_Feed!B:N, 13, FALSE), 0)</f>
        <v>0</v>
      </c>
      <c r="M204">
        <f t="shared" ref="M204:M257" si="28">H204 + L204</f>
        <v>20115</v>
      </c>
      <c r="N204" s="2">
        <f t="shared" si="27"/>
        <v>0</v>
      </c>
      <c r="O204" t="str">
        <f>IF(COUNTIFS(CA_Feed!B:B, B204)=0, "No Action Announced", IF(COUNTIFS(CA_Feed!B:B, B204, CA_Feed!D:D, "&gt;="&amp;C204)&gt;0, "Processed (Eligible)", "Ineligible (Post Ex-Date)"))</f>
        <v>Processed (Eligible)</v>
      </c>
    </row>
    <row r="205" spans="1:15" x14ac:dyDescent="0.3">
      <c r="A205" t="s">
        <v>281</v>
      </c>
      <c r="B205" t="s">
        <v>35</v>
      </c>
      <c r="C205" s="5">
        <v>45146</v>
      </c>
      <c r="D205" s="2">
        <v>4600</v>
      </c>
      <c r="E205">
        <f>SUMIFS(CA_Feed!F:F, CA_Feed!B:B, B205, CA_Feed!E:E, "*DIVIDEND*", CA_Feed!D:D, "&gt;="&amp;C205)</f>
        <v>1</v>
      </c>
      <c r="F205">
        <f t="shared" ref="F205:F258" si="29">D205 * E205</f>
        <v>4600</v>
      </c>
      <c r="G205">
        <f t="shared" ref="G205:G258" si="30">F205 * 0.1</f>
        <v>460</v>
      </c>
      <c r="H205">
        <f t="shared" ref="H205:H258" si="31">F205 - G205</f>
        <v>4140</v>
      </c>
      <c r="I205">
        <f>D205 * SUMIFS(CA_Feed!G:G, CA_Feed!B:B, B205, CA_Feed!E:E, "*BONUS*", CA_Feed!D:D, "&gt;="&amp;C205)</f>
        <v>0</v>
      </c>
      <c r="J205">
        <f t="shared" ref="J205:J258" si="32">INT(I205)</f>
        <v>0</v>
      </c>
      <c r="K205">
        <f t="shared" ref="K205:K258" si="33">I205-J205</f>
        <v>0</v>
      </c>
      <c r="L205">
        <f>IF(K205&gt;0, K205 * VLOOKUP(B205, CA_Feed!B:N, 13, FALSE), 0)</f>
        <v>0</v>
      </c>
      <c r="M205">
        <f t="shared" si="28"/>
        <v>4140</v>
      </c>
      <c r="N205" s="2">
        <f t="shared" si="27"/>
        <v>0</v>
      </c>
      <c r="O205" t="str">
        <f>IF(COUNTIFS(CA_Feed!B:B, B205)=0, "No Action Announced", IF(COUNTIFS(CA_Feed!B:B, B205, CA_Feed!D:D, "&gt;="&amp;C205)&gt;0, "Processed (Eligible)", "Ineligible (Post Ex-Date)"))</f>
        <v>Processed (Eligible)</v>
      </c>
    </row>
    <row r="206" spans="1:15" x14ac:dyDescent="0.3">
      <c r="A206" t="s">
        <v>282</v>
      </c>
      <c r="B206" t="s">
        <v>33</v>
      </c>
      <c r="C206" s="5">
        <v>42712</v>
      </c>
      <c r="D206" s="2">
        <v>8850</v>
      </c>
      <c r="E206">
        <f>SUMIFS(CA_Feed!F:F, CA_Feed!B:B, B206, CA_Feed!E:E, "*DIVIDEND*", CA_Feed!D:D, "&gt;="&amp;C206)</f>
        <v>1.5</v>
      </c>
      <c r="F206">
        <f t="shared" si="29"/>
        <v>13275</v>
      </c>
      <c r="G206">
        <f t="shared" si="30"/>
        <v>1327.5</v>
      </c>
      <c r="H206">
        <f t="shared" si="31"/>
        <v>11947.5</v>
      </c>
      <c r="I206">
        <f>D206 * SUMIFS(CA_Feed!G:G, CA_Feed!B:B, B206, CA_Feed!E:E, "*BONUS*", CA_Feed!D:D, "&gt;="&amp;C206)</f>
        <v>0</v>
      </c>
      <c r="J206">
        <f t="shared" si="32"/>
        <v>0</v>
      </c>
      <c r="K206">
        <f t="shared" si="33"/>
        <v>0</v>
      </c>
      <c r="L206">
        <f>IF(K206&gt;0, K206 * VLOOKUP(B206, CA_Feed!B:N, 13, FALSE), 0)</f>
        <v>0</v>
      </c>
      <c r="M206">
        <f t="shared" si="28"/>
        <v>11947.5</v>
      </c>
      <c r="N206" s="2">
        <f t="shared" si="27"/>
        <v>0</v>
      </c>
      <c r="O206" t="str">
        <f>IF(COUNTIFS(CA_Feed!B:B, B206)=0, "No Action Announced", IF(COUNTIFS(CA_Feed!B:B, B206, CA_Feed!D:D, "&gt;="&amp;C206)&gt;0, "Processed (Eligible)", "Ineligible (Post Ex-Date)"))</f>
        <v>Processed (Eligible)</v>
      </c>
    </row>
    <row r="207" spans="1:15" x14ac:dyDescent="0.3">
      <c r="A207" t="s">
        <v>648</v>
      </c>
      <c r="B207" t="s">
        <v>12</v>
      </c>
      <c r="C207" s="5">
        <v>46235</v>
      </c>
      <c r="D207" s="2">
        <v>110</v>
      </c>
      <c r="E207">
        <f>SUMIFS(CA_Feed!F:F, CA_Feed!B:B, B207, CA_Feed!E:E, "*DIVIDEND*", CA_Feed!D:D, "&gt;="&amp;C207)</f>
        <v>0</v>
      </c>
      <c r="F207">
        <f t="shared" si="29"/>
        <v>0</v>
      </c>
      <c r="G207">
        <f t="shared" si="30"/>
        <v>0</v>
      </c>
      <c r="H207">
        <f t="shared" si="31"/>
        <v>0</v>
      </c>
      <c r="I207">
        <f>D207 * SUMIFS(CA_Feed!G:G, CA_Feed!B:B, B207, CA_Feed!E:E, "*BONUS*", CA_Feed!D:D, "&gt;="&amp;C207)</f>
        <v>0</v>
      </c>
      <c r="J207">
        <f t="shared" si="32"/>
        <v>0</v>
      </c>
      <c r="K207">
        <f t="shared" si="33"/>
        <v>0</v>
      </c>
      <c r="L207">
        <f>IF(K207&gt;0, K207 * VLOOKUP(B207, CA_Feed!B:N, 13, FALSE), 0)</f>
        <v>0</v>
      </c>
      <c r="M207">
        <f t="shared" si="28"/>
        <v>0</v>
      </c>
      <c r="N207" s="2">
        <f t="shared" si="27"/>
        <v>0</v>
      </c>
      <c r="O207" t="str">
        <f>IF(COUNTIFS(CA_Feed!B:B, B207)=0, "No Action Announced", IF(COUNTIFS(CA_Feed!B:B, B207, CA_Feed!D:D, "&gt;="&amp;C207)&gt;0, "Processed (Eligible)", "Ineligible (Post Ex-Date)"))</f>
        <v>Ineligible (Post Ex-Date)</v>
      </c>
    </row>
    <row r="208" spans="1:15" x14ac:dyDescent="0.3">
      <c r="A208" t="s">
        <v>121</v>
      </c>
      <c r="B208" t="s">
        <v>12</v>
      </c>
      <c r="C208" s="5">
        <v>45024</v>
      </c>
      <c r="D208" s="2">
        <v>110</v>
      </c>
      <c r="E208">
        <f>SUMIFS(CA_Feed!F:F, CA_Feed!B:B, B208, CA_Feed!E:E, "*DIVIDEND*", CA_Feed!D:D, "&gt;="&amp;C208)</f>
        <v>19</v>
      </c>
      <c r="F208">
        <f t="shared" si="29"/>
        <v>2090</v>
      </c>
      <c r="G208">
        <f t="shared" si="30"/>
        <v>209</v>
      </c>
      <c r="H208">
        <f t="shared" si="31"/>
        <v>1881</v>
      </c>
      <c r="I208">
        <f>D208 * SUMIFS(CA_Feed!G:G, CA_Feed!B:B, B208, CA_Feed!E:E, "*BONUS*", CA_Feed!D:D, "&gt;="&amp;C208)</f>
        <v>0</v>
      </c>
      <c r="J208">
        <f t="shared" si="32"/>
        <v>0</v>
      </c>
      <c r="K208">
        <f t="shared" si="33"/>
        <v>0</v>
      </c>
      <c r="L208">
        <f>IF(K208&gt;0, K208 * VLOOKUP(B208, CA_Feed!B:N, 13, FALSE), 0)</f>
        <v>0</v>
      </c>
      <c r="M208">
        <f t="shared" si="28"/>
        <v>1881</v>
      </c>
      <c r="N208" s="2">
        <f t="shared" si="27"/>
        <v>0</v>
      </c>
      <c r="O208" t="str">
        <f>IF(COUNTIFS(CA_Feed!B:B, B208)=0, "No Action Announced", IF(COUNTIFS(CA_Feed!B:B, B208, CA_Feed!D:D, "&gt;="&amp;C208)&gt;0, "Processed (Eligible)", "Ineligible (Post Ex-Date)"))</f>
        <v>Processed (Eligible)</v>
      </c>
    </row>
    <row r="209" spans="1:15" x14ac:dyDescent="0.3">
      <c r="A209" t="s">
        <v>285</v>
      </c>
      <c r="B209" t="s">
        <v>41</v>
      </c>
      <c r="C209" s="5">
        <v>45562</v>
      </c>
      <c r="D209" s="2">
        <v>4900</v>
      </c>
      <c r="E209">
        <f>SUMIFS(CA_Feed!F:F, CA_Feed!B:B, B209, CA_Feed!E:E, "*DIVIDEND*", CA_Feed!D:D, "&gt;="&amp;C209)</f>
        <v>0.2</v>
      </c>
      <c r="F209">
        <f t="shared" si="29"/>
        <v>980</v>
      </c>
      <c r="G209">
        <f t="shared" si="30"/>
        <v>98</v>
      </c>
      <c r="H209">
        <f t="shared" si="31"/>
        <v>882</v>
      </c>
      <c r="I209">
        <f>D209 * SUMIFS(CA_Feed!G:G, CA_Feed!B:B, B209, CA_Feed!E:E, "*BONUS*", CA_Feed!D:D, "&gt;="&amp;C209)</f>
        <v>0</v>
      </c>
      <c r="J209">
        <f t="shared" si="32"/>
        <v>0</v>
      </c>
      <c r="K209">
        <f t="shared" si="33"/>
        <v>0</v>
      </c>
      <c r="L209">
        <f>IF(K209&gt;0, K209 * VLOOKUP(B209, CA_Feed!B:N, 13, FALSE), 0)</f>
        <v>0</v>
      </c>
      <c r="M209">
        <f t="shared" si="28"/>
        <v>882</v>
      </c>
      <c r="N209" s="2">
        <f t="shared" si="27"/>
        <v>0</v>
      </c>
      <c r="O209" t="str">
        <f>IF(COUNTIFS(CA_Feed!B:B, B209)=0, "No Action Announced", IF(COUNTIFS(CA_Feed!B:B, B209, CA_Feed!D:D, "&gt;="&amp;C209)&gt;0, "Processed (Eligible)", "Ineligible (Post Ex-Date)"))</f>
        <v>Processed (Eligible)</v>
      </c>
    </row>
    <row r="210" spans="1:15" x14ac:dyDescent="0.3">
      <c r="A210" t="s">
        <v>286</v>
      </c>
      <c r="B210" t="s">
        <v>37</v>
      </c>
      <c r="C210" s="5">
        <v>42055</v>
      </c>
      <c r="D210" s="2">
        <v>2250</v>
      </c>
      <c r="E210">
        <f>SUMIFS(CA_Feed!F:F, CA_Feed!B:B, B210, CA_Feed!E:E, "*DIVIDEND*", CA_Feed!D:D, "&gt;="&amp;C210)</f>
        <v>6.5</v>
      </c>
      <c r="F210">
        <f t="shared" si="29"/>
        <v>14625</v>
      </c>
      <c r="G210">
        <f t="shared" si="30"/>
        <v>1462.5</v>
      </c>
      <c r="H210">
        <f t="shared" si="31"/>
        <v>13162.5</v>
      </c>
      <c r="I210">
        <f>D210 * SUMIFS(CA_Feed!G:G, CA_Feed!B:B, B210, CA_Feed!E:E, "*BONUS*", CA_Feed!D:D, "&gt;="&amp;C210)</f>
        <v>0</v>
      </c>
      <c r="J210">
        <f t="shared" si="32"/>
        <v>0</v>
      </c>
      <c r="K210">
        <f t="shared" si="33"/>
        <v>0</v>
      </c>
      <c r="L210">
        <f>IF(K210&gt;0, K210 * VLOOKUP(B210, CA_Feed!B:N, 13, FALSE), 0)</f>
        <v>0</v>
      </c>
      <c r="M210">
        <f t="shared" si="28"/>
        <v>13162.5</v>
      </c>
      <c r="N210" s="2">
        <f t="shared" si="27"/>
        <v>0</v>
      </c>
      <c r="O210" t="str">
        <f>IF(COUNTIFS(CA_Feed!B:B, B210)=0, "No Action Announced", IF(COUNTIFS(CA_Feed!B:B, B210, CA_Feed!D:D, "&gt;="&amp;C210)&gt;0, "Processed (Eligible)", "Ineligible (Post Ex-Date)"))</f>
        <v>Processed (Eligible)</v>
      </c>
    </row>
    <row r="211" spans="1:15" x14ac:dyDescent="0.3">
      <c r="A211" t="s">
        <v>287</v>
      </c>
      <c r="B211" t="s">
        <v>53</v>
      </c>
      <c r="C211" s="5">
        <v>42863</v>
      </c>
      <c r="D211" s="2">
        <v>4900</v>
      </c>
      <c r="E211">
        <f>SUMIFS(CA_Feed!F:F, CA_Feed!B:B, B211, CA_Feed!E:E, "*DIVIDEND*", CA_Feed!D:D, "&gt;="&amp;C211)</f>
        <v>7.0000000000000007E-2</v>
      </c>
      <c r="F211">
        <f t="shared" si="29"/>
        <v>343.00000000000006</v>
      </c>
      <c r="G211">
        <f t="shared" si="30"/>
        <v>34.300000000000004</v>
      </c>
      <c r="H211">
        <f t="shared" si="31"/>
        <v>308.70000000000005</v>
      </c>
      <c r="I211">
        <f>D211 * SUMIFS(CA_Feed!G:G, CA_Feed!B:B, B211, CA_Feed!E:E, "*BONUS*", CA_Feed!D:D, "&gt;="&amp;C211)</f>
        <v>0</v>
      </c>
      <c r="J211">
        <f t="shared" si="32"/>
        <v>0</v>
      </c>
      <c r="K211">
        <f t="shared" si="33"/>
        <v>0</v>
      </c>
      <c r="L211">
        <f>IF(K211&gt;0, K211 * VLOOKUP(B211, CA_Feed!B:N, 13, FALSE), 0)</f>
        <v>0</v>
      </c>
      <c r="M211">
        <f t="shared" si="28"/>
        <v>308.70000000000005</v>
      </c>
      <c r="N211" s="2">
        <f t="shared" si="27"/>
        <v>0</v>
      </c>
      <c r="O211" t="str">
        <f>IF(COUNTIFS(CA_Feed!B:B, B211)=0, "No Action Announced", IF(COUNTIFS(CA_Feed!B:B, B211, CA_Feed!D:D, "&gt;="&amp;C211)&gt;0, "Processed (Eligible)", "Ineligible (Post Ex-Date)"))</f>
        <v>Processed (Eligible)</v>
      </c>
    </row>
    <row r="212" spans="1:15" x14ac:dyDescent="0.3">
      <c r="A212" t="s">
        <v>288</v>
      </c>
      <c r="B212" t="s">
        <v>39</v>
      </c>
      <c r="C212" s="5">
        <v>45087</v>
      </c>
      <c r="D212" s="2">
        <v>8750</v>
      </c>
      <c r="E212">
        <f>SUMIFS(CA_Feed!F:F, CA_Feed!B:B, B212, CA_Feed!E:E, "*DIVIDEND*", CA_Feed!D:D, "&gt;="&amp;C212)</f>
        <v>1.2</v>
      </c>
      <c r="F212">
        <f t="shared" si="29"/>
        <v>10500</v>
      </c>
      <c r="G212">
        <f t="shared" si="30"/>
        <v>1050</v>
      </c>
      <c r="H212">
        <f t="shared" si="31"/>
        <v>9450</v>
      </c>
      <c r="I212">
        <f>D212 * SUMIFS(CA_Feed!G:G, CA_Feed!B:B, B212, CA_Feed!E:E, "*BONUS*", CA_Feed!D:D, "&gt;="&amp;C212)</f>
        <v>0</v>
      </c>
      <c r="J212">
        <f t="shared" si="32"/>
        <v>0</v>
      </c>
      <c r="K212">
        <f t="shared" si="33"/>
        <v>0</v>
      </c>
      <c r="L212">
        <f>IF(K212&gt;0, K212 * VLOOKUP(B212, CA_Feed!B:N, 13, FALSE), 0)</f>
        <v>0</v>
      </c>
      <c r="M212">
        <f t="shared" si="28"/>
        <v>9450</v>
      </c>
      <c r="N212" s="2">
        <f t="shared" si="27"/>
        <v>0</v>
      </c>
      <c r="O212" t="str">
        <f>IF(COUNTIFS(CA_Feed!B:B, B212)=0, "No Action Announced", IF(COUNTIFS(CA_Feed!B:B, B212, CA_Feed!D:D, "&gt;="&amp;C212)&gt;0, "Processed (Eligible)", "Ineligible (Post Ex-Date)"))</f>
        <v>Processed (Eligible)</v>
      </c>
    </row>
    <row r="213" spans="1:15" x14ac:dyDescent="0.3">
      <c r="A213" t="s">
        <v>718</v>
      </c>
      <c r="B213" t="s">
        <v>12</v>
      </c>
      <c r="C213" s="5">
        <v>43405</v>
      </c>
      <c r="D213" s="2">
        <v>110</v>
      </c>
      <c r="E213">
        <f>SUMIFS(CA_Feed!F:F, CA_Feed!B:B, B213, CA_Feed!E:E, "*DIVIDEND*", CA_Feed!D:D, "&gt;="&amp;C213)</f>
        <v>19</v>
      </c>
      <c r="F213">
        <f t="shared" si="29"/>
        <v>2090</v>
      </c>
      <c r="G213">
        <f t="shared" si="30"/>
        <v>209</v>
      </c>
      <c r="H213">
        <f t="shared" si="31"/>
        <v>1881</v>
      </c>
      <c r="I213">
        <f>D213 * SUMIFS(CA_Feed!G:G, CA_Feed!B:B, B213, CA_Feed!E:E, "*BONUS*", CA_Feed!D:D, "&gt;="&amp;C213)</f>
        <v>0</v>
      </c>
      <c r="J213">
        <f t="shared" si="32"/>
        <v>0</v>
      </c>
      <c r="K213">
        <f t="shared" si="33"/>
        <v>0</v>
      </c>
      <c r="L213">
        <f>IF(K213&gt;0, K213 * VLOOKUP(B213, CA_Feed!B:N, 13, FALSE), 0)</f>
        <v>0</v>
      </c>
      <c r="M213">
        <f t="shared" si="28"/>
        <v>1881</v>
      </c>
      <c r="N213" s="2">
        <f t="shared" si="27"/>
        <v>0</v>
      </c>
      <c r="O213" t="str">
        <f>IF(COUNTIFS(CA_Feed!B:B, B213)=0, "No Action Announced", IF(COUNTIFS(CA_Feed!B:B, B213, CA_Feed!D:D, "&gt;="&amp;C213)&gt;0, "Processed (Eligible)", "Ineligible (Post Ex-Date)"))</f>
        <v>Processed (Eligible)</v>
      </c>
    </row>
    <row r="214" spans="1:15" x14ac:dyDescent="0.3">
      <c r="A214" t="s">
        <v>290</v>
      </c>
      <c r="B214" t="s">
        <v>49</v>
      </c>
      <c r="C214" s="5">
        <v>45271</v>
      </c>
      <c r="D214" s="2">
        <v>8500</v>
      </c>
      <c r="E214">
        <f>SUMIFS(CA_Feed!F:F, CA_Feed!B:B, B214, CA_Feed!E:E, "*DIVIDEND*", CA_Feed!D:D, "&gt;="&amp;C214)</f>
        <v>1.1000000000000001</v>
      </c>
      <c r="F214">
        <f t="shared" si="29"/>
        <v>9350</v>
      </c>
      <c r="G214">
        <f t="shared" si="30"/>
        <v>935</v>
      </c>
      <c r="H214">
        <f t="shared" si="31"/>
        <v>8415</v>
      </c>
      <c r="I214">
        <f>D214 * SUMIFS(CA_Feed!G:G, CA_Feed!B:B, B214, CA_Feed!E:E, "*BONUS*", CA_Feed!D:D, "&gt;="&amp;C214)</f>
        <v>0</v>
      </c>
      <c r="J214">
        <f t="shared" si="32"/>
        <v>0</v>
      </c>
      <c r="K214">
        <f t="shared" si="33"/>
        <v>0</v>
      </c>
      <c r="L214">
        <f>IF(K214&gt;0, K214 * VLOOKUP(B214, CA_Feed!B:N, 13, FALSE), 0)</f>
        <v>0</v>
      </c>
      <c r="M214">
        <f t="shared" si="28"/>
        <v>8415</v>
      </c>
      <c r="N214" s="2">
        <f t="shared" si="27"/>
        <v>0</v>
      </c>
      <c r="O214" t="str">
        <f>IF(COUNTIFS(CA_Feed!B:B, B214)=0, "No Action Announced", IF(COUNTIFS(CA_Feed!B:B, B214, CA_Feed!D:D, "&gt;="&amp;C214)&gt;0, "Processed (Eligible)", "Ineligible (Post Ex-Date)"))</f>
        <v>Processed (Eligible)</v>
      </c>
    </row>
    <row r="215" spans="1:15" x14ac:dyDescent="0.3">
      <c r="A215" t="s">
        <v>164</v>
      </c>
      <c r="B215" t="s">
        <v>12</v>
      </c>
      <c r="C215" s="5">
        <v>45039</v>
      </c>
      <c r="D215" s="2">
        <v>110</v>
      </c>
      <c r="E215">
        <f>SUMIFS(CA_Feed!F:F, CA_Feed!B:B, B215, CA_Feed!E:E, "*DIVIDEND*", CA_Feed!D:D, "&gt;="&amp;C215)</f>
        <v>19</v>
      </c>
      <c r="F215">
        <f t="shared" si="29"/>
        <v>2090</v>
      </c>
      <c r="G215">
        <f t="shared" si="30"/>
        <v>209</v>
      </c>
      <c r="H215">
        <f t="shared" si="31"/>
        <v>1881</v>
      </c>
      <c r="I215">
        <f>D215 * SUMIFS(CA_Feed!G:G, CA_Feed!B:B, B215, CA_Feed!E:E, "*BONUS*", CA_Feed!D:D, "&gt;="&amp;C215)</f>
        <v>0</v>
      </c>
      <c r="J215">
        <f t="shared" si="32"/>
        <v>0</v>
      </c>
      <c r="K215">
        <f t="shared" si="33"/>
        <v>0</v>
      </c>
      <c r="L215">
        <f>IF(K215&gt;0, K215 * VLOOKUP(B215, CA_Feed!B:N, 13, FALSE), 0)</f>
        <v>0</v>
      </c>
      <c r="M215">
        <f t="shared" si="28"/>
        <v>1881</v>
      </c>
      <c r="N215" s="2">
        <f t="shared" si="27"/>
        <v>0</v>
      </c>
      <c r="O215" t="str">
        <f>IF(COUNTIFS(CA_Feed!B:B, B215)=0, "No Action Announced", IF(COUNTIFS(CA_Feed!B:B, B215, CA_Feed!D:D, "&gt;="&amp;C215)&gt;0, "Processed (Eligible)", "Ineligible (Post Ex-Date)"))</f>
        <v>Processed (Eligible)</v>
      </c>
    </row>
    <row r="216" spans="1:15" x14ac:dyDescent="0.3">
      <c r="A216" t="s">
        <v>292</v>
      </c>
      <c r="B216" t="s">
        <v>41</v>
      </c>
      <c r="C216" s="5">
        <v>45423</v>
      </c>
      <c r="D216" s="2">
        <v>9800</v>
      </c>
      <c r="E216">
        <f>SUMIFS(CA_Feed!F:F, CA_Feed!B:B, B216, CA_Feed!E:E, "*DIVIDEND*", CA_Feed!D:D, "&gt;="&amp;C216)</f>
        <v>0.2</v>
      </c>
      <c r="F216">
        <f t="shared" si="29"/>
        <v>1960</v>
      </c>
      <c r="G216">
        <f t="shared" si="30"/>
        <v>196</v>
      </c>
      <c r="H216">
        <f t="shared" si="31"/>
        <v>1764</v>
      </c>
      <c r="I216">
        <f>D216 * SUMIFS(CA_Feed!G:G, CA_Feed!B:B, B216, CA_Feed!E:E, "*BONUS*", CA_Feed!D:D, "&gt;="&amp;C216)</f>
        <v>0</v>
      </c>
      <c r="J216">
        <f t="shared" si="32"/>
        <v>0</v>
      </c>
      <c r="K216">
        <f t="shared" si="33"/>
        <v>0</v>
      </c>
      <c r="L216">
        <f>IF(K216&gt;0, K216 * VLOOKUP(B216, CA_Feed!B:N, 13, FALSE), 0)</f>
        <v>0</v>
      </c>
      <c r="M216">
        <f t="shared" si="28"/>
        <v>1764</v>
      </c>
      <c r="N216" s="2">
        <f t="shared" si="27"/>
        <v>0</v>
      </c>
      <c r="O216" t="str">
        <f>IF(COUNTIFS(CA_Feed!B:B, B216)=0, "No Action Announced", IF(COUNTIFS(CA_Feed!B:B, B216, CA_Feed!D:D, "&gt;="&amp;C216)&gt;0, "Processed (Eligible)", "Ineligible (Post Ex-Date)"))</f>
        <v>Processed (Eligible)</v>
      </c>
    </row>
    <row r="217" spans="1:15" x14ac:dyDescent="0.3">
      <c r="A217" t="s">
        <v>293</v>
      </c>
      <c r="B217" t="s">
        <v>33</v>
      </c>
      <c r="C217" s="5">
        <v>42962</v>
      </c>
      <c r="D217" s="2">
        <v>9400</v>
      </c>
      <c r="E217">
        <f>SUMIFS(CA_Feed!F:F, CA_Feed!B:B, B217, CA_Feed!E:E, "*DIVIDEND*", CA_Feed!D:D, "&gt;="&amp;C217)</f>
        <v>1.5</v>
      </c>
      <c r="F217">
        <f t="shared" si="29"/>
        <v>14100</v>
      </c>
      <c r="G217">
        <f t="shared" si="30"/>
        <v>1410</v>
      </c>
      <c r="H217">
        <f t="shared" si="31"/>
        <v>12690</v>
      </c>
      <c r="I217">
        <f>D217 * SUMIFS(CA_Feed!G:G, CA_Feed!B:B, B217, CA_Feed!E:E, "*BONUS*", CA_Feed!D:D, "&gt;="&amp;C217)</f>
        <v>0</v>
      </c>
      <c r="J217">
        <f t="shared" si="32"/>
        <v>0</v>
      </c>
      <c r="K217">
        <f t="shared" si="33"/>
        <v>0</v>
      </c>
      <c r="L217">
        <f>IF(K217&gt;0, K217 * VLOOKUP(B217, CA_Feed!B:N, 13, FALSE), 0)</f>
        <v>0</v>
      </c>
      <c r="M217">
        <f t="shared" si="28"/>
        <v>12690</v>
      </c>
      <c r="N217" s="2">
        <f t="shared" si="27"/>
        <v>0</v>
      </c>
      <c r="O217" t="str">
        <f>IF(COUNTIFS(CA_Feed!B:B, B217)=0, "No Action Announced", IF(COUNTIFS(CA_Feed!B:B, B217, CA_Feed!D:D, "&gt;="&amp;C217)&gt;0, "Processed (Eligible)", "Ineligible (Post Ex-Date)"))</f>
        <v>Processed (Eligible)</v>
      </c>
    </row>
    <row r="218" spans="1:15" x14ac:dyDescent="0.3">
      <c r="A218" t="s">
        <v>294</v>
      </c>
      <c r="B218" t="s">
        <v>39</v>
      </c>
      <c r="C218" s="5">
        <v>43162</v>
      </c>
      <c r="D218" s="2">
        <v>8200</v>
      </c>
      <c r="E218">
        <f>SUMIFS(CA_Feed!F:F, CA_Feed!B:B, B218, CA_Feed!E:E, "*DIVIDEND*", CA_Feed!D:D, "&gt;="&amp;C218)</f>
        <v>1.2</v>
      </c>
      <c r="F218">
        <f t="shared" si="29"/>
        <v>9840</v>
      </c>
      <c r="G218">
        <f t="shared" si="30"/>
        <v>984</v>
      </c>
      <c r="H218">
        <f t="shared" si="31"/>
        <v>8856</v>
      </c>
      <c r="I218">
        <f>D218 * SUMIFS(CA_Feed!G:G, CA_Feed!B:B, B218, CA_Feed!E:E, "*BONUS*", CA_Feed!D:D, "&gt;="&amp;C218)</f>
        <v>0</v>
      </c>
      <c r="J218">
        <f t="shared" si="32"/>
        <v>0</v>
      </c>
      <c r="K218">
        <f t="shared" si="33"/>
        <v>0</v>
      </c>
      <c r="L218">
        <f>IF(K218&gt;0, K218 * VLOOKUP(B218, CA_Feed!B:N, 13, FALSE), 0)</f>
        <v>0</v>
      </c>
      <c r="M218">
        <f t="shared" si="28"/>
        <v>8856</v>
      </c>
      <c r="N218" s="2">
        <f t="shared" si="27"/>
        <v>0</v>
      </c>
      <c r="O218" t="str">
        <f>IF(COUNTIFS(CA_Feed!B:B, B218)=0, "No Action Announced", IF(COUNTIFS(CA_Feed!B:B, B218, CA_Feed!D:D, "&gt;="&amp;C218)&gt;0, "Processed (Eligible)", "Ineligible (Post Ex-Date)"))</f>
        <v>Processed (Eligible)</v>
      </c>
    </row>
    <row r="219" spans="1:15" x14ac:dyDescent="0.3">
      <c r="A219" t="s">
        <v>295</v>
      </c>
      <c r="B219" t="s">
        <v>31</v>
      </c>
      <c r="C219" s="5">
        <v>43128</v>
      </c>
      <c r="D219" s="2">
        <v>6000</v>
      </c>
      <c r="E219">
        <f>SUMIFS(CA_Feed!F:F, CA_Feed!B:B, B219, CA_Feed!E:E, "*DIVIDEND*", CA_Feed!D:D, "&gt;="&amp;C219)</f>
        <v>3</v>
      </c>
      <c r="F219">
        <f t="shared" si="29"/>
        <v>18000</v>
      </c>
      <c r="G219">
        <f t="shared" si="30"/>
        <v>1800</v>
      </c>
      <c r="H219">
        <f t="shared" si="31"/>
        <v>16200</v>
      </c>
      <c r="I219">
        <f>D219 * SUMIFS(CA_Feed!G:G, CA_Feed!B:B, B219, CA_Feed!E:E, "*BONUS*", CA_Feed!D:D, "&gt;="&amp;C219)</f>
        <v>0</v>
      </c>
      <c r="J219">
        <f t="shared" si="32"/>
        <v>0</v>
      </c>
      <c r="K219">
        <f t="shared" si="33"/>
        <v>0</v>
      </c>
      <c r="L219">
        <f>IF(K219&gt;0, K219 * VLOOKUP(B219, CA_Feed!B:N, 13, FALSE), 0)</f>
        <v>0</v>
      </c>
      <c r="M219">
        <f t="shared" si="28"/>
        <v>16200</v>
      </c>
      <c r="N219" s="2">
        <f t="shared" si="27"/>
        <v>0</v>
      </c>
      <c r="O219" t="str">
        <f>IF(COUNTIFS(CA_Feed!B:B, B219)=0, "No Action Announced", IF(COUNTIFS(CA_Feed!B:B, B219, CA_Feed!D:D, "&gt;="&amp;C219)&gt;0, "Processed (Eligible)", "Ineligible (Post Ex-Date)"))</f>
        <v>Processed (Eligible)</v>
      </c>
    </row>
    <row r="220" spans="1:15" x14ac:dyDescent="0.3">
      <c r="A220" t="s">
        <v>296</v>
      </c>
      <c r="B220" t="s">
        <v>25</v>
      </c>
      <c r="C220" s="5">
        <v>43424</v>
      </c>
      <c r="D220" s="2">
        <v>8900</v>
      </c>
      <c r="E220">
        <f>SUMIFS(CA_Feed!F:F, CA_Feed!B:B, B220, CA_Feed!E:E, "*DIVIDEND*", CA_Feed!D:D, "&gt;="&amp;C220)</f>
        <v>2.5</v>
      </c>
      <c r="F220">
        <f t="shared" si="29"/>
        <v>22250</v>
      </c>
      <c r="G220">
        <f t="shared" si="30"/>
        <v>2225</v>
      </c>
      <c r="H220">
        <f t="shared" si="31"/>
        <v>20025</v>
      </c>
      <c r="I220">
        <f>D220 * SUMIFS(CA_Feed!G:G, CA_Feed!B:B, B220, CA_Feed!E:E, "*BONUS*", CA_Feed!D:D, "&gt;="&amp;C220)</f>
        <v>0</v>
      </c>
      <c r="J220">
        <f t="shared" si="32"/>
        <v>0</v>
      </c>
      <c r="K220">
        <f t="shared" si="33"/>
        <v>0</v>
      </c>
      <c r="L220">
        <f>IF(K220&gt;0, K220 * VLOOKUP(B220, CA_Feed!B:N, 13, FALSE), 0)</f>
        <v>0</v>
      </c>
      <c r="M220">
        <f t="shared" si="28"/>
        <v>20025</v>
      </c>
      <c r="N220" s="2">
        <f t="shared" si="27"/>
        <v>0</v>
      </c>
      <c r="O220" t="str">
        <f>IF(COUNTIFS(CA_Feed!B:B, B220)=0, "No Action Announced", IF(COUNTIFS(CA_Feed!B:B, B220, CA_Feed!D:D, "&gt;="&amp;C220)&gt;0, "Processed (Eligible)", "Ineligible (Post Ex-Date)"))</f>
        <v>Processed (Eligible)</v>
      </c>
    </row>
    <row r="221" spans="1:15" x14ac:dyDescent="0.3">
      <c r="A221" t="s">
        <v>297</v>
      </c>
      <c r="B221" t="s">
        <v>21</v>
      </c>
      <c r="C221" s="5">
        <v>43501</v>
      </c>
      <c r="D221" s="2">
        <v>5050</v>
      </c>
      <c r="E221">
        <f>SUMIFS(CA_Feed!F:F, CA_Feed!B:B, B221, CA_Feed!E:E, "*DIVIDEND*", CA_Feed!D:D, "&gt;="&amp;C221)</f>
        <v>1</v>
      </c>
      <c r="F221">
        <f t="shared" si="29"/>
        <v>5050</v>
      </c>
      <c r="G221">
        <f t="shared" si="30"/>
        <v>505</v>
      </c>
      <c r="H221">
        <f t="shared" si="31"/>
        <v>4545</v>
      </c>
      <c r="I221">
        <f>D221 * SUMIFS(CA_Feed!G:G, CA_Feed!B:B, B221, CA_Feed!E:E, "*BONUS*", CA_Feed!D:D, "&gt;="&amp;C221)</f>
        <v>0</v>
      </c>
      <c r="J221">
        <f t="shared" si="32"/>
        <v>0</v>
      </c>
      <c r="K221">
        <f t="shared" si="33"/>
        <v>0</v>
      </c>
      <c r="L221">
        <f>IF(K221&gt;0, K221 * VLOOKUP(B221, CA_Feed!B:N, 13, FALSE), 0)</f>
        <v>0</v>
      </c>
      <c r="M221">
        <f t="shared" si="28"/>
        <v>4545</v>
      </c>
      <c r="N221" s="2">
        <f t="shared" si="27"/>
        <v>0</v>
      </c>
      <c r="O221" t="str">
        <f>IF(COUNTIFS(CA_Feed!B:B, B221)=0, "No Action Announced", IF(COUNTIFS(CA_Feed!B:B, B221, CA_Feed!D:D, "&gt;="&amp;C221)&gt;0, "Processed (Eligible)", "Ineligible (Post Ex-Date)"))</f>
        <v>Processed (Eligible)</v>
      </c>
    </row>
    <row r="222" spans="1:15" x14ac:dyDescent="0.3">
      <c r="A222" t="s">
        <v>298</v>
      </c>
      <c r="B222" t="s">
        <v>41</v>
      </c>
      <c r="C222" s="5">
        <v>42601</v>
      </c>
      <c r="D222" s="2">
        <v>9350</v>
      </c>
      <c r="E222">
        <f>SUMIFS(CA_Feed!F:F, CA_Feed!B:B, B222, CA_Feed!E:E, "*DIVIDEND*", CA_Feed!D:D, "&gt;="&amp;C222)</f>
        <v>0.2</v>
      </c>
      <c r="F222">
        <f t="shared" si="29"/>
        <v>1870</v>
      </c>
      <c r="G222">
        <f t="shared" si="30"/>
        <v>187</v>
      </c>
      <c r="H222">
        <f t="shared" si="31"/>
        <v>1683</v>
      </c>
      <c r="I222">
        <f>D222 * SUMIFS(CA_Feed!G:G, CA_Feed!B:B, B222, CA_Feed!E:E, "*BONUS*", CA_Feed!D:D, "&gt;="&amp;C222)</f>
        <v>0</v>
      </c>
      <c r="J222">
        <f t="shared" si="32"/>
        <v>0</v>
      </c>
      <c r="K222">
        <f t="shared" si="33"/>
        <v>0</v>
      </c>
      <c r="L222">
        <f>IF(K222&gt;0, K222 * VLOOKUP(B222, CA_Feed!B:N, 13, FALSE), 0)</f>
        <v>0</v>
      </c>
      <c r="M222">
        <f t="shared" si="28"/>
        <v>1683</v>
      </c>
      <c r="N222" s="2">
        <f t="shared" si="27"/>
        <v>0</v>
      </c>
      <c r="O222" t="str">
        <f>IF(COUNTIFS(CA_Feed!B:B, B222)=0, "No Action Announced", IF(COUNTIFS(CA_Feed!B:B, B222, CA_Feed!D:D, "&gt;="&amp;C222)&gt;0, "Processed (Eligible)", "Ineligible (Post Ex-Date)"))</f>
        <v>Processed (Eligible)</v>
      </c>
    </row>
    <row r="223" spans="1:15" x14ac:dyDescent="0.3">
      <c r="A223" t="s">
        <v>177</v>
      </c>
      <c r="B223" t="s">
        <v>12</v>
      </c>
      <c r="C223" s="5">
        <v>46234</v>
      </c>
      <c r="D223" s="2">
        <v>110</v>
      </c>
      <c r="E223">
        <f>SUMIFS(CA_Feed!F:F, CA_Feed!B:B, B223, CA_Feed!E:E, "*DIVIDEND*", CA_Feed!D:D, "&gt;="&amp;C223)</f>
        <v>0</v>
      </c>
      <c r="F223">
        <f t="shared" si="29"/>
        <v>0</v>
      </c>
      <c r="G223">
        <f t="shared" si="30"/>
        <v>0</v>
      </c>
      <c r="H223">
        <f t="shared" si="31"/>
        <v>0</v>
      </c>
      <c r="I223">
        <f>D223 * SUMIFS(CA_Feed!G:G, CA_Feed!B:B, B223, CA_Feed!E:E, "*BONUS*", CA_Feed!D:D, "&gt;="&amp;C223)</f>
        <v>0</v>
      </c>
      <c r="J223">
        <f t="shared" si="32"/>
        <v>0</v>
      </c>
      <c r="K223">
        <f t="shared" si="33"/>
        <v>0</v>
      </c>
      <c r="L223">
        <f>IF(K223&gt;0, K223 * VLOOKUP(B223, CA_Feed!B:N, 13, FALSE), 0)</f>
        <v>0</v>
      </c>
      <c r="M223">
        <f t="shared" si="28"/>
        <v>0</v>
      </c>
      <c r="N223" s="2">
        <f t="shared" si="27"/>
        <v>0</v>
      </c>
      <c r="O223" t="str">
        <f>IF(COUNTIFS(CA_Feed!B:B, B223)=0, "No Action Announced", IF(COUNTIFS(CA_Feed!B:B, B223, CA_Feed!D:D, "&gt;="&amp;C223)&gt;0, "Processed (Eligible)", "Ineligible (Post Ex-Date)"))</f>
        <v>Ineligible (Post Ex-Date)</v>
      </c>
    </row>
    <row r="224" spans="1:15" x14ac:dyDescent="0.3">
      <c r="A224" t="s">
        <v>300</v>
      </c>
      <c r="B224" t="s">
        <v>31</v>
      </c>
      <c r="C224" s="5">
        <v>42701</v>
      </c>
      <c r="D224" s="2">
        <v>3900</v>
      </c>
      <c r="E224">
        <f>SUMIFS(CA_Feed!F:F, CA_Feed!B:B, B224, CA_Feed!E:E, "*DIVIDEND*", CA_Feed!D:D, "&gt;="&amp;C224)</f>
        <v>3</v>
      </c>
      <c r="F224">
        <f t="shared" si="29"/>
        <v>11700</v>
      </c>
      <c r="G224">
        <f t="shared" si="30"/>
        <v>1170</v>
      </c>
      <c r="H224">
        <f t="shared" si="31"/>
        <v>10530</v>
      </c>
      <c r="I224">
        <f>D224 * SUMIFS(CA_Feed!G:G, CA_Feed!B:B, B224, CA_Feed!E:E, "*BONUS*", CA_Feed!D:D, "&gt;="&amp;C224)</f>
        <v>0</v>
      </c>
      <c r="J224">
        <f t="shared" si="32"/>
        <v>0</v>
      </c>
      <c r="K224">
        <f t="shared" si="33"/>
        <v>0</v>
      </c>
      <c r="L224">
        <f>IF(K224&gt;0, K224 * VLOOKUP(B224, CA_Feed!B:N, 13, FALSE), 0)</f>
        <v>0</v>
      </c>
      <c r="M224">
        <f t="shared" si="28"/>
        <v>10530</v>
      </c>
      <c r="N224" s="2">
        <f t="shared" si="27"/>
        <v>0</v>
      </c>
      <c r="O224" t="str">
        <f>IF(COUNTIFS(CA_Feed!B:B, B224)=0, "No Action Announced", IF(COUNTIFS(CA_Feed!B:B, B224, CA_Feed!D:D, "&gt;="&amp;C224)&gt;0, "Processed (Eligible)", "Ineligible (Post Ex-Date)"))</f>
        <v>Processed (Eligible)</v>
      </c>
    </row>
    <row r="225" spans="1:15" x14ac:dyDescent="0.3">
      <c r="A225" t="s">
        <v>90</v>
      </c>
      <c r="B225" t="s">
        <v>12</v>
      </c>
      <c r="C225" s="5">
        <v>42963</v>
      </c>
      <c r="D225" s="2">
        <v>110</v>
      </c>
      <c r="E225">
        <f>SUMIFS(CA_Feed!F:F, CA_Feed!B:B, B225, CA_Feed!E:E, "*DIVIDEND*", CA_Feed!D:D, "&gt;="&amp;C225)</f>
        <v>19</v>
      </c>
      <c r="F225">
        <f t="shared" si="29"/>
        <v>2090</v>
      </c>
      <c r="G225">
        <f t="shared" si="30"/>
        <v>209</v>
      </c>
      <c r="H225">
        <f t="shared" si="31"/>
        <v>1881</v>
      </c>
      <c r="I225">
        <f>D225 * SUMIFS(CA_Feed!G:G, CA_Feed!B:B, B225, CA_Feed!E:E, "*BONUS*", CA_Feed!D:D, "&gt;="&amp;C225)</f>
        <v>0</v>
      </c>
      <c r="J225">
        <f t="shared" si="32"/>
        <v>0</v>
      </c>
      <c r="K225">
        <f t="shared" si="33"/>
        <v>0</v>
      </c>
      <c r="L225">
        <f>IF(K225&gt;0, K225 * VLOOKUP(B225, CA_Feed!B:N, 13, FALSE), 0)</f>
        <v>0</v>
      </c>
      <c r="M225">
        <f t="shared" si="28"/>
        <v>1881</v>
      </c>
      <c r="N225" s="2">
        <f t="shared" si="27"/>
        <v>0</v>
      </c>
      <c r="O225" t="str">
        <f>IF(COUNTIFS(CA_Feed!B:B, B225)=0, "No Action Announced", IF(COUNTIFS(CA_Feed!B:B, B225, CA_Feed!D:D, "&gt;="&amp;C225)&gt;0, "Processed (Eligible)", "Ineligible (Post Ex-Date)"))</f>
        <v>Processed (Eligible)</v>
      </c>
    </row>
    <row r="226" spans="1:15" x14ac:dyDescent="0.3">
      <c r="A226" t="s">
        <v>302</v>
      </c>
      <c r="B226" t="s">
        <v>47</v>
      </c>
      <c r="C226" s="5">
        <v>43849</v>
      </c>
      <c r="D226" s="2">
        <v>8950</v>
      </c>
      <c r="E226">
        <f>SUMIFS(CA_Feed!F:F, CA_Feed!B:B, B226, CA_Feed!E:E, "*DIVIDEND*", CA_Feed!D:D, "&gt;="&amp;C226)</f>
        <v>0.1</v>
      </c>
      <c r="F226">
        <f t="shared" si="29"/>
        <v>895</v>
      </c>
      <c r="G226">
        <f t="shared" si="30"/>
        <v>89.5</v>
      </c>
      <c r="H226">
        <f t="shared" si="31"/>
        <v>805.5</v>
      </c>
      <c r="I226">
        <f>D226 * SUMIFS(CA_Feed!G:G, CA_Feed!B:B, B226, CA_Feed!E:E, "*BONUS*", CA_Feed!D:D, "&gt;="&amp;C226)</f>
        <v>0</v>
      </c>
      <c r="J226">
        <f t="shared" si="32"/>
        <v>0</v>
      </c>
      <c r="K226">
        <f t="shared" si="33"/>
        <v>0</v>
      </c>
      <c r="L226">
        <f>IF(K226&gt;0, K226 * VLOOKUP(B226, CA_Feed!B:N, 13, FALSE), 0)</f>
        <v>0</v>
      </c>
      <c r="M226">
        <f t="shared" si="28"/>
        <v>805.5</v>
      </c>
      <c r="N226" s="2">
        <f t="shared" si="27"/>
        <v>0</v>
      </c>
      <c r="O226" t="str">
        <f>IF(COUNTIFS(CA_Feed!B:B, B226)=0, "No Action Announced", IF(COUNTIFS(CA_Feed!B:B, B226, CA_Feed!D:D, "&gt;="&amp;C226)&gt;0, "Processed (Eligible)", "Ineligible (Post Ex-Date)"))</f>
        <v>Processed (Eligible)</v>
      </c>
    </row>
    <row r="227" spans="1:15" x14ac:dyDescent="0.3">
      <c r="A227" t="s">
        <v>574</v>
      </c>
      <c r="B227" t="s">
        <v>12</v>
      </c>
      <c r="C227" s="5">
        <v>42011</v>
      </c>
      <c r="D227" s="2">
        <v>110</v>
      </c>
      <c r="E227">
        <f>SUMIFS(CA_Feed!F:F, CA_Feed!B:B, B227, CA_Feed!E:E, "*DIVIDEND*", CA_Feed!D:D, "&gt;="&amp;C227)</f>
        <v>19</v>
      </c>
      <c r="F227">
        <f t="shared" si="29"/>
        <v>2090</v>
      </c>
      <c r="G227">
        <f t="shared" si="30"/>
        <v>209</v>
      </c>
      <c r="H227">
        <f t="shared" si="31"/>
        <v>1881</v>
      </c>
      <c r="I227">
        <f>D227 * SUMIFS(CA_Feed!G:G, CA_Feed!B:B, B227, CA_Feed!E:E, "*BONUS*", CA_Feed!D:D, "&gt;="&amp;C227)</f>
        <v>0</v>
      </c>
      <c r="J227">
        <f t="shared" si="32"/>
        <v>0</v>
      </c>
      <c r="K227">
        <f t="shared" si="33"/>
        <v>0</v>
      </c>
      <c r="L227">
        <f>IF(K227&gt;0, K227 * VLOOKUP(B227, CA_Feed!B:N, 13, FALSE), 0)</f>
        <v>0</v>
      </c>
      <c r="M227">
        <f t="shared" si="28"/>
        <v>1881</v>
      </c>
      <c r="N227" s="2">
        <f t="shared" si="27"/>
        <v>0</v>
      </c>
      <c r="O227" t="str">
        <f>IF(COUNTIFS(CA_Feed!B:B, B227)=0, "No Action Announced", IF(COUNTIFS(CA_Feed!B:B, B227, CA_Feed!D:D, "&gt;="&amp;C227)&gt;0, "Processed (Eligible)", "Ineligible (Post Ex-Date)"))</f>
        <v>Processed (Eligible)</v>
      </c>
    </row>
    <row r="228" spans="1:15" x14ac:dyDescent="0.3">
      <c r="A228" t="s">
        <v>232</v>
      </c>
      <c r="B228" t="s">
        <v>12</v>
      </c>
      <c r="C228" s="5">
        <v>43779</v>
      </c>
      <c r="D228" s="2">
        <v>110</v>
      </c>
      <c r="E228">
        <f>SUMIFS(CA_Feed!F:F, CA_Feed!B:B, B228, CA_Feed!E:E, "*DIVIDEND*", CA_Feed!D:D, "&gt;="&amp;C228)</f>
        <v>19</v>
      </c>
      <c r="F228">
        <f t="shared" si="29"/>
        <v>2090</v>
      </c>
      <c r="G228">
        <f t="shared" si="30"/>
        <v>209</v>
      </c>
      <c r="H228">
        <f t="shared" si="31"/>
        <v>1881</v>
      </c>
      <c r="I228">
        <f>D228 * SUMIFS(CA_Feed!G:G, CA_Feed!B:B, B228, CA_Feed!E:E, "*BONUS*", CA_Feed!D:D, "&gt;="&amp;C228)</f>
        <v>0</v>
      </c>
      <c r="J228">
        <f t="shared" si="32"/>
        <v>0</v>
      </c>
      <c r="K228">
        <f t="shared" si="33"/>
        <v>0</v>
      </c>
      <c r="L228">
        <f>IF(K228&gt;0, K228 * VLOOKUP(B228, CA_Feed!B:N, 13, FALSE), 0)</f>
        <v>0</v>
      </c>
      <c r="M228">
        <f t="shared" si="28"/>
        <v>1881</v>
      </c>
      <c r="N228" s="2">
        <f t="shared" si="27"/>
        <v>0</v>
      </c>
      <c r="O228" t="str">
        <f>IF(COUNTIFS(CA_Feed!B:B, B228)=0, "No Action Announced", IF(COUNTIFS(CA_Feed!B:B, B228, CA_Feed!D:D, "&gt;="&amp;C228)&gt;0, "Processed (Eligible)", "Ineligible (Post Ex-Date)"))</f>
        <v>Processed (Eligible)</v>
      </c>
    </row>
    <row r="229" spans="1:15" x14ac:dyDescent="0.3">
      <c r="A229" t="s">
        <v>305</v>
      </c>
      <c r="B229" t="s">
        <v>31</v>
      </c>
      <c r="C229" s="5">
        <v>43414</v>
      </c>
      <c r="D229" s="2">
        <v>2300</v>
      </c>
      <c r="E229">
        <f>SUMIFS(CA_Feed!F:F, CA_Feed!B:B, B229, CA_Feed!E:E, "*DIVIDEND*", CA_Feed!D:D, "&gt;="&amp;C229)</f>
        <v>3</v>
      </c>
      <c r="F229">
        <f t="shared" si="29"/>
        <v>6900</v>
      </c>
      <c r="G229">
        <f t="shared" si="30"/>
        <v>690</v>
      </c>
      <c r="H229">
        <f t="shared" si="31"/>
        <v>6210</v>
      </c>
      <c r="I229">
        <f>D229 * SUMIFS(CA_Feed!G:G, CA_Feed!B:B, B229, CA_Feed!E:E, "*BONUS*", CA_Feed!D:D, "&gt;="&amp;C229)</f>
        <v>0</v>
      </c>
      <c r="J229">
        <f t="shared" si="32"/>
        <v>0</v>
      </c>
      <c r="K229">
        <f t="shared" si="33"/>
        <v>0</v>
      </c>
      <c r="L229">
        <f>IF(K229&gt;0, K229 * VLOOKUP(B229, CA_Feed!B:N, 13, FALSE), 0)</f>
        <v>0</v>
      </c>
      <c r="M229">
        <f t="shared" si="28"/>
        <v>6210</v>
      </c>
      <c r="N229" s="2">
        <f t="shared" si="27"/>
        <v>0</v>
      </c>
      <c r="O229" t="str">
        <f>IF(COUNTIFS(CA_Feed!B:B, B229)=0, "No Action Announced", IF(COUNTIFS(CA_Feed!B:B, B229, CA_Feed!D:D, "&gt;="&amp;C229)&gt;0, "Processed (Eligible)", "Ineligible (Post Ex-Date)"))</f>
        <v>Processed (Eligible)</v>
      </c>
    </row>
    <row r="230" spans="1:15" x14ac:dyDescent="0.3">
      <c r="A230" t="s">
        <v>306</v>
      </c>
      <c r="B230" t="s">
        <v>21</v>
      </c>
      <c r="C230" s="5">
        <v>42597</v>
      </c>
      <c r="D230" s="2">
        <v>2500</v>
      </c>
      <c r="E230">
        <f>SUMIFS(CA_Feed!F:F, CA_Feed!B:B, B230, CA_Feed!E:E, "*DIVIDEND*", CA_Feed!D:D, "&gt;="&amp;C230)</f>
        <v>1</v>
      </c>
      <c r="F230">
        <f t="shared" si="29"/>
        <v>2500</v>
      </c>
      <c r="G230">
        <f t="shared" si="30"/>
        <v>250</v>
      </c>
      <c r="H230">
        <f t="shared" si="31"/>
        <v>2250</v>
      </c>
      <c r="I230">
        <f>D230 * SUMIFS(CA_Feed!G:G, CA_Feed!B:B, B230, CA_Feed!E:E, "*BONUS*", CA_Feed!D:D, "&gt;="&amp;C230)</f>
        <v>0</v>
      </c>
      <c r="J230">
        <f t="shared" si="32"/>
        <v>0</v>
      </c>
      <c r="K230">
        <f t="shared" si="33"/>
        <v>0</v>
      </c>
      <c r="L230">
        <f>IF(K230&gt;0, K230 * VLOOKUP(B230, CA_Feed!B:N, 13, FALSE), 0)</f>
        <v>0</v>
      </c>
      <c r="M230">
        <f t="shared" si="28"/>
        <v>2250</v>
      </c>
      <c r="N230" s="2">
        <f t="shared" si="27"/>
        <v>0</v>
      </c>
      <c r="O230" t="str">
        <f>IF(COUNTIFS(CA_Feed!B:B, B230)=0, "No Action Announced", IF(COUNTIFS(CA_Feed!B:B, B230, CA_Feed!D:D, "&gt;="&amp;C230)&gt;0, "Processed (Eligible)", "Ineligible (Post Ex-Date)"))</f>
        <v>Processed (Eligible)</v>
      </c>
    </row>
    <row r="231" spans="1:15" x14ac:dyDescent="0.3">
      <c r="A231" t="s">
        <v>307</v>
      </c>
      <c r="B231" t="s">
        <v>31</v>
      </c>
      <c r="C231" s="5">
        <v>44453</v>
      </c>
      <c r="D231" s="2">
        <v>3350</v>
      </c>
      <c r="E231">
        <f>SUMIFS(CA_Feed!F:F, CA_Feed!B:B, B231, CA_Feed!E:E, "*DIVIDEND*", CA_Feed!D:D, "&gt;="&amp;C231)</f>
        <v>3</v>
      </c>
      <c r="F231">
        <f t="shared" si="29"/>
        <v>10050</v>
      </c>
      <c r="G231">
        <f t="shared" si="30"/>
        <v>1005</v>
      </c>
      <c r="H231">
        <f t="shared" si="31"/>
        <v>9045</v>
      </c>
      <c r="I231">
        <f>D231 * SUMIFS(CA_Feed!G:G, CA_Feed!B:B, B231, CA_Feed!E:E, "*BONUS*", CA_Feed!D:D, "&gt;="&amp;C231)</f>
        <v>0</v>
      </c>
      <c r="J231">
        <f t="shared" si="32"/>
        <v>0</v>
      </c>
      <c r="K231">
        <f t="shared" si="33"/>
        <v>0</v>
      </c>
      <c r="L231">
        <f>IF(K231&gt;0, K231 * VLOOKUP(B231, CA_Feed!B:N, 13, FALSE), 0)</f>
        <v>0</v>
      </c>
      <c r="M231">
        <f t="shared" si="28"/>
        <v>9045</v>
      </c>
      <c r="N231" s="2">
        <f t="shared" si="27"/>
        <v>0</v>
      </c>
      <c r="O231" t="str">
        <f>IF(COUNTIFS(CA_Feed!B:B, B231)=0, "No Action Announced", IF(COUNTIFS(CA_Feed!B:B, B231, CA_Feed!D:D, "&gt;="&amp;C231)&gt;0, "Processed (Eligible)", "Ineligible (Post Ex-Date)"))</f>
        <v>Processed (Eligible)</v>
      </c>
    </row>
    <row r="232" spans="1:15" x14ac:dyDescent="0.3">
      <c r="A232" t="s">
        <v>308</v>
      </c>
      <c r="B232" t="s">
        <v>66</v>
      </c>
      <c r="C232" s="5">
        <v>43546</v>
      </c>
      <c r="D232" s="2">
        <v>1900</v>
      </c>
      <c r="E232">
        <f>SUMIFS(CA_Feed!F:F, CA_Feed!B:B, B232, CA_Feed!E:E, "*DIVIDEND*", CA_Feed!D:D, "&gt;="&amp;C232)</f>
        <v>0</v>
      </c>
      <c r="F232">
        <f t="shared" si="29"/>
        <v>0</v>
      </c>
      <c r="G232">
        <f t="shared" si="30"/>
        <v>0</v>
      </c>
      <c r="H232">
        <f t="shared" si="31"/>
        <v>0</v>
      </c>
      <c r="I232">
        <f>D232 * SUMIFS(CA_Feed!G:G, CA_Feed!B:B, B232, CA_Feed!E:E, "*BONUS*", CA_Feed!D:D, "&gt;="&amp;C232)</f>
        <v>380</v>
      </c>
      <c r="J232">
        <f t="shared" si="32"/>
        <v>380</v>
      </c>
      <c r="K232">
        <f t="shared" si="33"/>
        <v>0</v>
      </c>
      <c r="L232">
        <f>IF(K232&gt;0, K232 * VLOOKUP(B232, CA_Feed!B:N, 13, FALSE), 0)</f>
        <v>0</v>
      </c>
      <c r="M232">
        <f t="shared" si="28"/>
        <v>0</v>
      </c>
      <c r="N232" s="2">
        <f t="shared" si="27"/>
        <v>2280</v>
      </c>
      <c r="O232" t="str">
        <f>IF(COUNTIFS(CA_Feed!B:B, B232)=0, "No Action Announced", IF(COUNTIFS(CA_Feed!B:B, B232, CA_Feed!D:D, "&gt;="&amp;C232)&gt;0, "Processed (Eligible)", "Ineligible (Post Ex-Date)"))</f>
        <v>Processed (Eligible)</v>
      </c>
    </row>
    <row r="233" spans="1:15" x14ac:dyDescent="0.3">
      <c r="A233" t="s">
        <v>309</v>
      </c>
      <c r="B233" t="s">
        <v>23</v>
      </c>
      <c r="C233" s="5">
        <v>43022</v>
      </c>
      <c r="D233" s="2">
        <v>1100</v>
      </c>
      <c r="E233">
        <f>SUMIFS(CA_Feed!F:F, CA_Feed!B:B, B233, CA_Feed!E:E, "*DIVIDEND*", CA_Feed!D:D, "&gt;="&amp;C233)</f>
        <v>1.5000000000000002</v>
      </c>
      <c r="F233">
        <f t="shared" si="29"/>
        <v>1650.0000000000002</v>
      </c>
      <c r="G233">
        <f t="shared" si="30"/>
        <v>165.00000000000003</v>
      </c>
      <c r="H233">
        <f t="shared" si="31"/>
        <v>1485.0000000000002</v>
      </c>
      <c r="I233">
        <f>D233 * SUMIFS(CA_Feed!G:G, CA_Feed!B:B, B233, CA_Feed!E:E, "*BONUS*", CA_Feed!D:D, "&gt;="&amp;C233)</f>
        <v>0</v>
      </c>
      <c r="J233">
        <f t="shared" si="32"/>
        <v>0</v>
      </c>
      <c r="K233">
        <f t="shared" si="33"/>
        <v>0</v>
      </c>
      <c r="L233">
        <f>IF(K233&gt;0, K233 * VLOOKUP(B233, CA_Feed!B:N, 13, FALSE), 0)</f>
        <v>0</v>
      </c>
      <c r="M233">
        <f t="shared" si="28"/>
        <v>1485.0000000000002</v>
      </c>
      <c r="N233" s="2">
        <f t="shared" si="27"/>
        <v>0</v>
      </c>
      <c r="O233" t="str">
        <f>IF(COUNTIFS(CA_Feed!B:B, B233)=0, "No Action Announced", IF(COUNTIFS(CA_Feed!B:B, B233, CA_Feed!D:D, "&gt;="&amp;C233)&gt;0, "Processed (Eligible)", "Ineligible (Post Ex-Date)"))</f>
        <v>Processed (Eligible)</v>
      </c>
    </row>
    <row r="234" spans="1:15" x14ac:dyDescent="0.3">
      <c r="A234" t="s">
        <v>310</v>
      </c>
      <c r="B234" t="s">
        <v>31</v>
      </c>
      <c r="C234" s="5">
        <v>43179</v>
      </c>
      <c r="D234" s="2">
        <v>6500</v>
      </c>
      <c r="E234">
        <f>SUMIFS(CA_Feed!F:F, CA_Feed!B:B, B234, CA_Feed!E:E, "*DIVIDEND*", CA_Feed!D:D, "&gt;="&amp;C234)</f>
        <v>3</v>
      </c>
      <c r="F234">
        <f t="shared" si="29"/>
        <v>19500</v>
      </c>
      <c r="G234">
        <f t="shared" si="30"/>
        <v>1950</v>
      </c>
      <c r="H234">
        <f t="shared" si="31"/>
        <v>17550</v>
      </c>
      <c r="I234">
        <f>D234 * SUMIFS(CA_Feed!G:G, CA_Feed!B:B, B234, CA_Feed!E:E, "*BONUS*", CA_Feed!D:D, "&gt;="&amp;C234)</f>
        <v>0</v>
      </c>
      <c r="J234">
        <f t="shared" si="32"/>
        <v>0</v>
      </c>
      <c r="K234">
        <f t="shared" si="33"/>
        <v>0</v>
      </c>
      <c r="L234">
        <f>IF(K234&gt;0, K234 * VLOOKUP(B234, CA_Feed!B:N, 13, FALSE), 0)</f>
        <v>0</v>
      </c>
      <c r="M234">
        <f t="shared" si="28"/>
        <v>17550</v>
      </c>
      <c r="N234" s="2">
        <f t="shared" si="27"/>
        <v>0</v>
      </c>
      <c r="O234" t="str">
        <f>IF(COUNTIFS(CA_Feed!B:B, B234)=0, "No Action Announced", IF(COUNTIFS(CA_Feed!B:B, B234, CA_Feed!D:D, "&gt;="&amp;C234)&gt;0, "Processed (Eligible)", "Ineligible (Post Ex-Date)"))</f>
        <v>Processed (Eligible)</v>
      </c>
    </row>
    <row r="235" spans="1:15" x14ac:dyDescent="0.3">
      <c r="A235" t="s">
        <v>311</v>
      </c>
      <c r="B235" t="s">
        <v>57</v>
      </c>
      <c r="C235" s="5">
        <v>43063</v>
      </c>
      <c r="D235" s="2">
        <v>1450</v>
      </c>
      <c r="E235">
        <f>SUMIFS(CA_Feed!F:F, CA_Feed!B:B, B235, CA_Feed!E:E, "*DIVIDEND*", CA_Feed!D:D, "&gt;="&amp;C235)</f>
        <v>0.02</v>
      </c>
      <c r="F235">
        <f t="shared" si="29"/>
        <v>29</v>
      </c>
      <c r="G235">
        <f t="shared" si="30"/>
        <v>2.9000000000000004</v>
      </c>
      <c r="H235">
        <f t="shared" si="31"/>
        <v>26.1</v>
      </c>
      <c r="I235">
        <f>D235 * SUMIFS(CA_Feed!G:G, CA_Feed!B:B, B235, CA_Feed!E:E, "*BONUS*", CA_Feed!D:D, "&gt;="&amp;C235)</f>
        <v>0</v>
      </c>
      <c r="J235">
        <f t="shared" si="32"/>
        <v>0</v>
      </c>
      <c r="K235">
        <f t="shared" si="33"/>
        <v>0</v>
      </c>
      <c r="L235">
        <f>IF(K235&gt;0, K235 * VLOOKUP(B235, CA_Feed!B:N, 13, FALSE), 0)</f>
        <v>0</v>
      </c>
      <c r="M235">
        <f t="shared" si="28"/>
        <v>26.1</v>
      </c>
      <c r="N235" s="2">
        <f t="shared" si="27"/>
        <v>0</v>
      </c>
      <c r="O235" t="str">
        <f>IF(COUNTIFS(CA_Feed!B:B, B235)=0, "No Action Announced", IF(COUNTIFS(CA_Feed!B:B, B235, CA_Feed!D:D, "&gt;="&amp;C235)&gt;0, "Processed (Eligible)", "Ineligible (Post Ex-Date)"))</f>
        <v>Processed (Eligible)</v>
      </c>
    </row>
    <row r="236" spans="1:15" x14ac:dyDescent="0.3">
      <c r="A236" t="s">
        <v>321</v>
      </c>
      <c r="B236" t="s">
        <v>12</v>
      </c>
      <c r="C236" s="5">
        <v>44612</v>
      </c>
      <c r="D236" s="2">
        <v>110</v>
      </c>
      <c r="E236">
        <f>SUMIFS(CA_Feed!F:F, CA_Feed!B:B, B236, CA_Feed!E:E, "*DIVIDEND*", CA_Feed!D:D, "&gt;="&amp;C236)</f>
        <v>19</v>
      </c>
      <c r="F236">
        <f t="shared" si="29"/>
        <v>2090</v>
      </c>
      <c r="G236">
        <f t="shared" si="30"/>
        <v>209</v>
      </c>
      <c r="H236">
        <f t="shared" si="31"/>
        <v>1881</v>
      </c>
      <c r="I236">
        <f>D236 * SUMIFS(CA_Feed!G:G, CA_Feed!B:B, B236, CA_Feed!E:E, "*BONUS*", CA_Feed!D:D, "&gt;="&amp;C236)</f>
        <v>0</v>
      </c>
      <c r="J236">
        <f t="shared" si="32"/>
        <v>0</v>
      </c>
      <c r="K236">
        <f t="shared" si="33"/>
        <v>0</v>
      </c>
      <c r="L236">
        <f>IF(K236&gt;0, K236 * VLOOKUP(B236, CA_Feed!B:N, 13, FALSE), 0)</f>
        <v>0</v>
      </c>
      <c r="M236">
        <f t="shared" si="28"/>
        <v>1881</v>
      </c>
      <c r="N236" s="2">
        <f t="shared" si="27"/>
        <v>0</v>
      </c>
      <c r="O236" t="str">
        <f>IF(COUNTIFS(CA_Feed!B:B, B236)=0, "No Action Announced", IF(COUNTIFS(CA_Feed!B:B, B236, CA_Feed!D:D, "&gt;="&amp;C236)&gt;0, "Processed (Eligible)", "Ineligible (Post Ex-Date)"))</f>
        <v>Processed (Eligible)</v>
      </c>
    </row>
    <row r="237" spans="1:15" x14ac:dyDescent="0.3">
      <c r="A237" t="s">
        <v>313</v>
      </c>
      <c r="B237" t="s">
        <v>39</v>
      </c>
      <c r="C237" s="5">
        <v>45450</v>
      </c>
      <c r="D237" s="2">
        <v>10050</v>
      </c>
      <c r="E237">
        <f>SUMIFS(CA_Feed!F:F, CA_Feed!B:B, B237, CA_Feed!E:E, "*DIVIDEND*", CA_Feed!D:D, "&gt;="&amp;C237)</f>
        <v>1.2</v>
      </c>
      <c r="F237">
        <f t="shared" si="29"/>
        <v>12060</v>
      </c>
      <c r="G237">
        <f t="shared" si="30"/>
        <v>1206</v>
      </c>
      <c r="H237">
        <f t="shared" si="31"/>
        <v>10854</v>
      </c>
      <c r="I237">
        <f>D237 * SUMIFS(CA_Feed!G:G, CA_Feed!B:B, B237, CA_Feed!E:E, "*BONUS*", CA_Feed!D:D, "&gt;="&amp;C237)</f>
        <v>0</v>
      </c>
      <c r="J237">
        <f t="shared" si="32"/>
        <v>0</v>
      </c>
      <c r="K237">
        <f t="shared" si="33"/>
        <v>0</v>
      </c>
      <c r="L237">
        <f>IF(K237&gt;0, K237 * VLOOKUP(B237, CA_Feed!B:N, 13, FALSE), 0)</f>
        <v>0</v>
      </c>
      <c r="M237">
        <f t="shared" si="28"/>
        <v>10854</v>
      </c>
      <c r="N237" s="2">
        <f t="shared" si="27"/>
        <v>0</v>
      </c>
      <c r="O237" t="str">
        <f>IF(COUNTIFS(CA_Feed!B:B, B237)=0, "No Action Announced", IF(COUNTIFS(CA_Feed!B:B, B237, CA_Feed!D:D, "&gt;="&amp;C237)&gt;0, "Processed (Eligible)", "Ineligible (Post Ex-Date)"))</f>
        <v>Processed (Eligible)</v>
      </c>
    </row>
    <row r="238" spans="1:15" x14ac:dyDescent="0.3">
      <c r="A238" t="s">
        <v>314</v>
      </c>
      <c r="B238" t="s">
        <v>31</v>
      </c>
      <c r="C238" s="5">
        <v>45465</v>
      </c>
      <c r="D238" s="2">
        <v>1300</v>
      </c>
      <c r="E238">
        <f>SUMIFS(CA_Feed!F:F, CA_Feed!B:B, B238, CA_Feed!E:E, "*DIVIDEND*", CA_Feed!D:D, "&gt;="&amp;C238)</f>
        <v>3</v>
      </c>
      <c r="F238">
        <f t="shared" si="29"/>
        <v>3900</v>
      </c>
      <c r="G238">
        <f t="shared" si="30"/>
        <v>390</v>
      </c>
      <c r="H238">
        <f t="shared" si="31"/>
        <v>3510</v>
      </c>
      <c r="I238">
        <f>D238 * SUMIFS(CA_Feed!G:G, CA_Feed!B:B, B238, CA_Feed!E:E, "*BONUS*", CA_Feed!D:D, "&gt;="&amp;C238)</f>
        <v>0</v>
      </c>
      <c r="J238">
        <f t="shared" si="32"/>
        <v>0</v>
      </c>
      <c r="K238">
        <f t="shared" si="33"/>
        <v>0</v>
      </c>
      <c r="L238">
        <f>IF(K238&gt;0, K238 * VLOOKUP(B238, CA_Feed!B:N, 13, FALSE), 0)</f>
        <v>0</v>
      </c>
      <c r="M238">
        <f t="shared" si="28"/>
        <v>3510</v>
      </c>
      <c r="N238" s="2">
        <f t="shared" si="27"/>
        <v>0</v>
      </c>
      <c r="O238" t="str">
        <f>IF(COUNTIFS(CA_Feed!B:B, B238)=0, "No Action Announced", IF(COUNTIFS(CA_Feed!B:B, B238, CA_Feed!D:D, "&gt;="&amp;C238)&gt;0, "Processed (Eligible)", "Ineligible (Post Ex-Date)"))</f>
        <v>Processed (Eligible)</v>
      </c>
    </row>
    <row r="239" spans="1:15" x14ac:dyDescent="0.3">
      <c r="A239" t="s">
        <v>194</v>
      </c>
      <c r="B239" t="s">
        <v>12</v>
      </c>
      <c r="C239" s="5">
        <v>46234</v>
      </c>
      <c r="D239" s="2">
        <v>1550</v>
      </c>
      <c r="E239">
        <f>SUMIFS(CA_Feed!F:F, CA_Feed!B:B, B239, CA_Feed!E:E, "*DIVIDEND*", CA_Feed!D:D, "&gt;="&amp;C239)</f>
        <v>0</v>
      </c>
      <c r="F239">
        <f t="shared" si="29"/>
        <v>0</v>
      </c>
      <c r="G239">
        <f t="shared" si="30"/>
        <v>0</v>
      </c>
      <c r="H239">
        <f t="shared" si="31"/>
        <v>0</v>
      </c>
      <c r="I239">
        <f>D239 * SUMIFS(CA_Feed!G:G, CA_Feed!B:B, B239, CA_Feed!E:E, "*BONUS*", CA_Feed!D:D, "&gt;="&amp;C239)</f>
        <v>0</v>
      </c>
      <c r="J239">
        <f t="shared" si="32"/>
        <v>0</v>
      </c>
      <c r="K239">
        <f t="shared" si="33"/>
        <v>0</v>
      </c>
      <c r="L239">
        <f>IF(K239&gt;0, K239 * VLOOKUP(B239, CA_Feed!B:N, 13, FALSE), 0)</f>
        <v>0</v>
      </c>
      <c r="M239">
        <f t="shared" si="28"/>
        <v>0</v>
      </c>
      <c r="N239" s="2">
        <f t="shared" si="27"/>
        <v>0</v>
      </c>
      <c r="O239" t="str">
        <f>IF(COUNTIFS(CA_Feed!B:B, B239)=0, "No Action Announced", IF(COUNTIFS(CA_Feed!B:B, B239, CA_Feed!D:D, "&gt;="&amp;C239)&gt;0, "Processed (Eligible)", "Ineligible (Post Ex-Date)"))</f>
        <v>Ineligible (Post Ex-Date)</v>
      </c>
    </row>
    <row r="240" spans="1:15" x14ac:dyDescent="0.3">
      <c r="A240" t="s">
        <v>316</v>
      </c>
      <c r="B240" t="s">
        <v>51</v>
      </c>
      <c r="C240" s="5">
        <v>44158</v>
      </c>
      <c r="D240" s="2">
        <v>6350</v>
      </c>
      <c r="E240">
        <f>SUMIFS(CA_Feed!F:F, CA_Feed!B:B, B240, CA_Feed!E:E, "*DIVIDEND*", CA_Feed!D:D, "&gt;="&amp;C240)</f>
        <v>0.8</v>
      </c>
      <c r="F240">
        <f t="shared" si="29"/>
        <v>5080</v>
      </c>
      <c r="G240">
        <f t="shared" si="30"/>
        <v>508</v>
      </c>
      <c r="H240">
        <f t="shared" si="31"/>
        <v>4572</v>
      </c>
      <c r="I240">
        <f>D240 * SUMIFS(CA_Feed!G:G, CA_Feed!B:B, B240, CA_Feed!E:E, "*BONUS*", CA_Feed!D:D, "&gt;="&amp;C240)</f>
        <v>0</v>
      </c>
      <c r="J240">
        <f t="shared" si="32"/>
        <v>0</v>
      </c>
      <c r="K240">
        <f t="shared" si="33"/>
        <v>0</v>
      </c>
      <c r="L240">
        <f>IF(K240&gt;0, K240 * VLOOKUP(B240, CA_Feed!B:N, 13, FALSE), 0)</f>
        <v>0</v>
      </c>
      <c r="M240">
        <f t="shared" si="28"/>
        <v>4572</v>
      </c>
      <c r="N240" s="2">
        <f t="shared" si="27"/>
        <v>0</v>
      </c>
      <c r="O240" t="str">
        <f>IF(COUNTIFS(CA_Feed!B:B, B240)=0, "No Action Announced", IF(COUNTIFS(CA_Feed!B:B, B240, CA_Feed!D:D, "&gt;="&amp;C240)&gt;0, "Processed (Eligible)", "Ineligible (Post Ex-Date)"))</f>
        <v>Processed (Eligible)</v>
      </c>
    </row>
    <row r="241" spans="1:15" x14ac:dyDescent="0.3">
      <c r="A241" t="s">
        <v>317</v>
      </c>
      <c r="B241" t="s">
        <v>16</v>
      </c>
      <c r="C241" s="5">
        <v>42842</v>
      </c>
      <c r="D241" s="2">
        <v>9600</v>
      </c>
      <c r="E241">
        <f>SUMIFS(CA_Feed!F:F, CA_Feed!B:B, B241, CA_Feed!E:E, "*DIVIDEND*", CA_Feed!D:D, "&gt;="&amp;C241)</f>
        <v>3.75</v>
      </c>
      <c r="F241">
        <f t="shared" si="29"/>
        <v>36000</v>
      </c>
      <c r="G241">
        <f t="shared" si="30"/>
        <v>3600</v>
      </c>
      <c r="H241">
        <f t="shared" si="31"/>
        <v>32400</v>
      </c>
      <c r="I241">
        <f>D241 * SUMIFS(CA_Feed!G:G, CA_Feed!B:B, B241, CA_Feed!E:E, "*BONUS*", CA_Feed!D:D, "&gt;="&amp;C241)</f>
        <v>0</v>
      </c>
      <c r="J241">
        <f t="shared" si="32"/>
        <v>0</v>
      </c>
      <c r="K241">
        <f t="shared" si="33"/>
        <v>0</v>
      </c>
      <c r="L241">
        <f>IF(K241&gt;0, K241 * VLOOKUP(B241, CA_Feed!B:N, 13, FALSE), 0)</f>
        <v>0</v>
      </c>
      <c r="M241">
        <f t="shared" si="28"/>
        <v>32400</v>
      </c>
      <c r="N241" s="2">
        <f t="shared" si="27"/>
        <v>0</v>
      </c>
      <c r="O241" t="str">
        <f>IF(COUNTIFS(CA_Feed!B:B, B241)=0, "No Action Announced", IF(COUNTIFS(CA_Feed!B:B, B241, CA_Feed!D:D, "&gt;="&amp;C241)&gt;0, "Processed (Eligible)", "Ineligible (Post Ex-Date)"))</f>
        <v>Processed (Eligible)</v>
      </c>
    </row>
    <row r="242" spans="1:15" x14ac:dyDescent="0.3">
      <c r="A242" t="s">
        <v>318</v>
      </c>
      <c r="B242" t="s">
        <v>45</v>
      </c>
      <c r="C242" s="5">
        <v>43146</v>
      </c>
      <c r="D242" s="2">
        <v>950</v>
      </c>
      <c r="E242">
        <f>SUMIFS(CA_Feed!F:F, CA_Feed!B:B, B242, CA_Feed!E:E, "*DIVIDEND*", CA_Feed!D:D, "&gt;="&amp;C242)</f>
        <v>2.5</v>
      </c>
      <c r="F242">
        <f t="shared" si="29"/>
        <v>2375</v>
      </c>
      <c r="G242">
        <f t="shared" si="30"/>
        <v>237.5</v>
      </c>
      <c r="H242">
        <f t="shared" si="31"/>
        <v>2137.5</v>
      </c>
      <c r="I242">
        <f>D242 * SUMIFS(CA_Feed!G:G, CA_Feed!B:B, B242, CA_Feed!E:E, "*BONUS*", CA_Feed!D:D, "&gt;="&amp;C242)</f>
        <v>0</v>
      </c>
      <c r="J242">
        <f t="shared" si="32"/>
        <v>0</v>
      </c>
      <c r="K242">
        <f t="shared" si="33"/>
        <v>0</v>
      </c>
      <c r="L242">
        <f>IF(K242&gt;0, K242 * VLOOKUP(B242, CA_Feed!B:N, 13, FALSE), 0)</f>
        <v>0</v>
      </c>
      <c r="M242">
        <f t="shared" si="28"/>
        <v>2137.5</v>
      </c>
      <c r="N242" s="2">
        <f t="shared" si="27"/>
        <v>0</v>
      </c>
      <c r="O242" t="str">
        <f>IF(COUNTIFS(CA_Feed!B:B, B242)=0, "No Action Announced", IF(COUNTIFS(CA_Feed!B:B, B242, CA_Feed!D:D, "&gt;="&amp;C242)&gt;0, "Processed (Eligible)", "Ineligible (Post Ex-Date)"))</f>
        <v>Processed (Eligible)</v>
      </c>
    </row>
    <row r="243" spans="1:15" x14ac:dyDescent="0.3">
      <c r="A243" t="s">
        <v>319</v>
      </c>
      <c r="B243" t="s">
        <v>16</v>
      </c>
      <c r="C243" s="5">
        <v>45602</v>
      </c>
      <c r="D243" s="2">
        <v>850</v>
      </c>
      <c r="E243">
        <f>SUMIFS(CA_Feed!F:F, CA_Feed!B:B, B243, CA_Feed!E:E, "*DIVIDEND*", CA_Feed!D:D, "&gt;="&amp;C243)</f>
        <v>2.5</v>
      </c>
      <c r="F243">
        <f t="shared" si="29"/>
        <v>2125</v>
      </c>
      <c r="G243">
        <f t="shared" si="30"/>
        <v>212.5</v>
      </c>
      <c r="H243">
        <f t="shared" si="31"/>
        <v>1912.5</v>
      </c>
      <c r="I243">
        <f>D243 * SUMIFS(CA_Feed!G:G, CA_Feed!B:B, B243, CA_Feed!E:E, "*BONUS*", CA_Feed!D:D, "&gt;="&amp;C243)</f>
        <v>0</v>
      </c>
      <c r="J243">
        <f t="shared" si="32"/>
        <v>0</v>
      </c>
      <c r="K243">
        <f t="shared" si="33"/>
        <v>0</v>
      </c>
      <c r="L243">
        <f>IF(K243&gt;0, K243 * VLOOKUP(B243, CA_Feed!B:N, 13, FALSE), 0)</f>
        <v>0</v>
      </c>
      <c r="M243">
        <f t="shared" si="28"/>
        <v>1912.5</v>
      </c>
      <c r="N243" s="2">
        <f t="shared" si="27"/>
        <v>0</v>
      </c>
      <c r="O243" t="str">
        <f>IF(COUNTIFS(CA_Feed!B:B, B243)=0, "No Action Announced", IF(COUNTIFS(CA_Feed!B:B, B243, CA_Feed!D:D, "&gt;="&amp;C243)&gt;0, "Processed (Eligible)", "Ineligible (Post Ex-Date)"))</f>
        <v>Processed (Eligible)</v>
      </c>
    </row>
    <row r="244" spans="1:15" x14ac:dyDescent="0.3">
      <c r="A244" t="s">
        <v>320</v>
      </c>
      <c r="B244" t="s">
        <v>53</v>
      </c>
      <c r="C244" s="5">
        <v>45518</v>
      </c>
      <c r="D244" s="2">
        <v>2750</v>
      </c>
      <c r="E244">
        <f>SUMIFS(CA_Feed!F:F, CA_Feed!B:B, B244, CA_Feed!E:E, "*DIVIDEND*", CA_Feed!D:D, "&gt;="&amp;C244)</f>
        <v>7.0000000000000007E-2</v>
      </c>
      <c r="F244">
        <f t="shared" si="29"/>
        <v>192.50000000000003</v>
      </c>
      <c r="G244">
        <f t="shared" si="30"/>
        <v>19.250000000000004</v>
      </c>
      <c r="H244">
        <f t="shared" si="31"/>
        <v>173.25000000000003</v>
      </c>
      <c r="I244">
        <f>D244 * SUMIFS(CA_Feed!G:G, CA_Feed!B:B, B244, CA_Feed!E:E, "*BONUS*", CA_Feed!D:D, "&gt;="&amp;C244)</f>
        <v>0</v>
      </c>
      <c r="J244">
        <f t="shared" si="32"/>
        <v>0</v>
      </c>
      <c r="K244">
        <f t="shared" si="33"/>
        <v>0</v>
      </c>
      <c r="L244">
        <f>IF(K244&gt;0, K244 * VLOOKUP(B244, CA_Feed!B:N, 13, FALSE), 0)</f>
        <v>0</v>
      </c>
      <c r="M244">
        <f t="shared" si="28"/>
        <v>173.25000000000003</v>
      </c>
      <c r="N244" s="2">
        <f t="shared" si="27"/>
        <v>0</v>
      </c>
      <c r="O244" t="str">
        <f>IF(COUNTIFS(CA_Feed!B:B, B244)=0, "No Action Announced", IF(COUNTIFS(CA_Feed!B:B, B244, CA_Feed!D:D, "&gt;="&amp;C244)&gt;0, "Processed (Eligible)", "Ineligible (Post Ex-Date)"))</f>
        <v>Processed (Eligible)</v>
      </c>
    </row>
    <row r="245" spans="1:15" x14ac:dyDescent="0.3">
      <c r="A245" t="s">
        <v>572</v>
      </c>
      <c r="B245" t="s">
        <v>12</v>
      </c>
      <c r="C245" s="5">
        <v>44673</v>
      </c>
      <c r="D245" s="2">
        <v>1350</v>
      </c>
      <c r="E245">
        <f>SUMIFS(CA_Feed!F:F, CA_Feed!B:B, B245, CA_Feed!E:E, "*DIVIDEND*", CA_Feed!D:D, "&gt;="&amp;C245)</f>
        <v>19</v>
      </c>
      <c r="F245">
        <f t="shared" si="29"/>
        <v>25650</v>
      </c>
      <c r="G245">
        <f t="shared" si="30"/>
        <v>2565</v>
      </c>
      <c r="H245">
        <f t="shared" si="31"/>
        <v>23085</v>
      </c>
      <c r="I245">
        <f>D245 * SUMIFS(CA_Feed!G:G, CA_Feed!B:B, B245, CA_Feed!E:E, "*BONUS*", CA_Feed!D:D, "&gt;="&amp;C245)</f>
        <v>0</v>
      </c>
      <c r="J245">
        <f t="shared" si="32"/>
        <v>0</v>
      </c>
      <c r="K245">
        <f t="shared" si="33"/>
        <v>0</v>
      </c>
      <c r="L245">
        <f>IF(K245&gt;0, K245 * VLOOKUP(B245, CA_Feed!B:N, 13, FALSE), 0)</f>
        <v>0</v>
      </c>
      <c r="M245">
        <f t="shared" si="28"/>
        <v>23085</v>
      </c>
      <c r="N245" s="2">
        <f t="shared" si="27"/>
        <v>0</v>
      </c>
      <c r="O245" t="str">
        <f>IF(COUNTIFS(CA_Feed!B:B, B245)=0, "No Action Announced", IF(COUNTIFS(CA_Feed!B:B, B245, CA_Feed!D:D, "&gt;="&amp;C245)&gt;0, "Processed (Eligible)", "Ineligible (Post Ex-Date)"))</f>
        <v>Processed (Eligible)</v>
      </c>
    </row>
    <row r="246" spans="1:15" x14ac:dyDescent="0.3">
      <c r="A246" t="s">
        <v>322</v>
      </c>
      <c r="B246" t="s">
        <v>16</v>
      </c>
      <c r="C246" s="5">
        <v>43424</v>
      </c>
      <c r="D246" s="2">
        <v>6600</v>
      </c>
      <c r="E246">
        <f>SUMIFS(CA_Feed!F:F, CA_Feed!B:B, B246, CA_Feed!E:E, "*DIVIDEND*", CA_Feed!D:D, "&gt;="&amp;C246)</f>
        <v>3.75</v>
      </c>
      <c r="F246">
        <f t="shared" si="29"/>
        <v>24750</v>
      </c>
      <c r="G246">
        <f t="shared" si="30"/>
        <v>2475</v>
      </c>
      <c r="H246">
        <f t="shared" si="31"/>
        <v>22275</v>
      </c>
      <c r="I246">
        <f>D246 * SUMIFS(CA_Feed!G:G, CA_Feed!B:B, B246, CA_Feed!E:E, "*BONUS*", CA_Feed!D:D, "&gt;="&amp;C246)</f>
        <v>0</v>
      </c>
      <c r="J246">
        <f t="shared" si="32"/>
        <v>0</v>
      </c>
      <c r="K246">
        <f t="shared" si="33"/>
        <v>0</v>
      </c>
      <c r="L246">
        <f>IF(K246&gt;0, K246 * VLOOKUP(B246, CA_Feed!B:N, 13, FALSE), 0)</f>
        <v>0</v>
      </c>
      <c r="M246">
        <f t="shared" si="28"/>
        <v>22275</v>
      </c>
      <c r="N246" s="2">
        <f t="shared" si="27"/>
        <v>0</v>
      </c>
      <c r="O246" t="str">
        <f>IF(COUNTIFS(CA_Feed!B:B, B246)=0, "No Action Announced", IF(COUNTIFS(CA_Feed!B:B, B246, CA_Feed!D:D, "&gt;="&amp;C246)&gt;0, "Processed (Eligible)", "Ineligible (Post Ex-Date)"))</f>
        <v>Processed (Eligible)</v>
      </c>
    </row>
    <row r="247" spans="1:15" x14ac:dyDescent="0.3">
      <c r="A247" t="s">
        <v>617</v>
      </c>
      <c r="B247" t="s">
        <v>12</v>
      </c>
      <c r="C247" s="5">
        <v>43703</v>
      </c>
      <c r="D247" s="2">
        <v>1350</v>
      </c>
      <c r="E247">
        <f>SUMIFS(CA_Feed!F:F, CA_Feed!B:B, B247, CA_Feed!E:E, "*DIVIDEND*", CA_Feed!D:D, "&gt;="&amp;C247)</f>
        <v>19</v>
      </c>
      <c r="F247">
        <f t="shared" si="29"/>
        <v>25650</v>
      </c>
      <c r="G247">
        <f t="shared" si="30"/>
        <v>2565</v>
      </c>
      <c r="H247">
        <f t="shared" si="31"/>
        <v>23085</v>
      </c>
      <c r="I247">
        <f>D247 * SUMIFS(CA_Feed!G:G, CA_Feed!B:B, B247, CA_Feed!E:E, "*BONUS*", CA_Feed!D:D, "&gt;="&amp;C247)</f>
        <v>0</v>
      </c>
      <c r="J247">
        <f t="shared" si="32"/>
        <v>0</v>
      </c>
      <c r="K247">
        <f t="shared" si="33"/>
        <v>0</v>
      </c>
      <c r="L247">
        <f>IF(K247&gt;0, K247 * VLOOKUP(B247, CA_Feed!B:N, 13, FALSE), 0)</f>
        <v>0</v>
      </c>
      <c r="M247">
        <f t="shared" si="28"/>
        <v>23085</v>
      </c>
      <c r="N247" s="2">
        <f t="shared" si="27"/>
        <v>0</v>
      </c>
      <c r="O247" t="str">
        <f>IF(COUNTIFS(CA_Feed!B:B, B247)=0, "No Action Announced", IF(COUNTIFS(CA_Feed!B:B, B247, CA_Feed!D:D, "&gt;="&amp;C247)&gt;0, "Processed (Eligible)", "Ineligible (Post Ex-Date)"))</f>
        <v>Processed (Eligible)</v>
      </c>
    </row>
    <row r="248" spans="1:15" x14ac:dyDescent="0.3">
      <c r="A248" t="s">
        <v>324</v>
      </c>
      <c r="B248" t="s">
        <v>25</v>
      </c>
      <c r="C248" s="5">
        <v>43970</v>
      </c>
      <c r="D248" s="2">
        <v>1100</v>
      </c>
      <c r="E248">
        <f>SUMIFS(CA_Feed!F:F, CA_Feed!B:B, B248, CA_Feed!E:E, "*DIVIDEND*", CA_Feed!D:D, "&gt;="&amp;C248)</f>
        <v>2.5</v>
      </c>
      <c r="F248">
        <f t="shared" si="29"/>
        <v>2750</v>
      </c>
      <c r="G248">
        <f t="shared" si="30"/>
        <v>275</v>
      </c>
      <c r="H248">
        <f t="shared" si="31"/>
        <v>2475</v>
      </c>
      <c r="I248">
        <f>D248 * SUMIFS(CA_Feed!G:G, CA_Feed!B:B, B248, CA_Feed!E:E, "*BONUS*", CA_Feed!D:D, "&gt;="&amp;C248)</f>
        <v>0</v>
      </c>
      <c r="J248">
        <f t="shared" si="32"/>
        <v>0</v>
      </c>
      <c r="K248">
        <f t="shared" si="33"/>
        <v>0</v>
      </c>
      <c r="L248">
        <f>IF(K248&gt;0, K248 * VLOOKUP(B248, CA_Feed!B:N, 13, FALSE), 0)</f>
        <v>0</v>
      </c>
      <c r="M248">
        <f t="shared" si="28"/>
        <v>2475</v>
      </c>
      <c r="N248" s="2">
        <f t="shared" si="27"/>
        <v>0</v>
      </c>
      <c r="O248" t="str">
        <f>IF(COUNTIFS(CA_Feed!B:B, B248)=0, "No Action Announced", IF(COUNTIFS(CA_Feed!B:B, B248, CA_Feed!D:D, "&gt;="&amp;C248)&gt;0, "Processed (Eligible)", "Ineligible (Post Ex-Date)"))</f>
        <v>Processed (Eligible)</v>
      </c>
    </row>
    <row r="249" spans="1:15" x14ac:dyDescent="0.3">
      <c r="A249" t="s">
        <v>325</v>
      </c>
      <c r="B249" t="s">
        <v>53</v>
      </c>
      <c r="C249" s="5">
        <v>42125</v>
      </c>
      <c r="D249" s="2">
        <v>7100</v>
      </c>
      <c r="E249">
        <f>SUMIFS(CA_Feed!F:F, CA_Feed!B:B, B249, CA_Feed!E:E, "*DIVIDEND*", CA_Feed!D:D, "&gt;="&amp;C249)</f>
        <v>7.0000000000000007E-2</v>
      </c>
      <c r="F249">
        <f t="shared" si="29"/>
        <v>497.00000000000006</v>
      </c>
      <c r="G249">
        <f t="shared" si="30"/>
        <v>49.70000000000001</v>
      </c>
      <c r="H249">
        <f t="shared" si="31"/>
        <v>447.30000000000007</v>
      </c>
      <c r="I249">
        <f>D249 * SUMIFS(CA_Feed!G:G, CA_Feed!B:B, B249, CA_Feed!E:E, "*BONUS*", CA_Feed!D:D, "&gt;="&amp;C249)</f>
        <v>0</v>
      </c>
      <c r="J249">
        <f t="shared" si="32"/>
        <v>0</v>
      </c>
      <c r="K249">
        <f t="shared" si="33"/>
        <v>0</v>
      </c>
      <c r="L249">
        <f>IF(K249&gt;0, K249 * VLOOKUP(B249, CA_Feed!B:N, 13, FALSE), 0)</f>
        <v>0</v>
      </c>
      <c r="M249">
        <f t="shared" si="28"/>
        <v>447.30000000000007</v>
      </c>
      <c r="N249" s="2">
        <f t="shared" si="27"/>
        <v>0</v>
      </c>
      <c r="O249" t="str">
        <f>IF(COUNTIFS(CA_Feed!B:B, B249)=0, "No Action Announced", IF(COUNTIFS(CA_Feed!B:B, B249, CA_Feed!D:D, "&gt;="&amp;C249)&gt;0, "Processed (Eligible)", "Ineligible (Post Ex-Date)"))</f>
        <v>Processed (Eligible)</v>
      </c>
    </row>
    <row r="250" spans="1:15" x14ac:dyDescent="0.3">
      <c r="A250" t="s">
        <v>326</v>
      </c>
      <c r="B250" t="s">
        <v>21</v>
      </c>
      <c r="C250" s="5">
        <v>43608</v>
      </c>
      <c r="D250" s="2">
        <v>7850</v>
      </c>
      <c r="E250">
        <f>SUMIFS(CA_Feed!F:F, CA_Feed!B:B, B250, CA_Feed!E:E, "*DIVIDEND*", CA_Feed!D:D, "&gt;="&amp;C250)</f>
        <v>1</v>
      </c>
      <c r="F250">
        <f t="shared" si="29"/>
        <v>7850</v>
      </c>
      <c r="G250">
        <f t="shared" si="30"/>
        <v>785</v>
      </c>
      <c r="H250">
        <f t="shared" si="31"/>
        <v>7065</v>
      </c>
      <c r="I250">
        <f>D250 * SUMIFS(CA_Feed!G:G, CA_Feed!B:B, B250, CA_Feed!E:E, "*BONUS*", CA_Feed!D:D, "&gt;="&amp;C250)</f>
        <v>0</v>
      </c>
      <c r="J250">
        <f t="shared" si="32"/>
        <v>0</v>
      </c>
      <c r="K250">
        <f t="shared" si="33"/>
        <v>0</v>
      </c>
      <c r="L250">
        <f>IF(K250&gt;0, K250 * VLOOKUP(B250, CA_Feed!B:N, 13, FALSE), 0)</f>
        <v>0</v>
      </c>
      <c r="M250">
        <f t="shared" si="28"/>
        <v>7065</v>
      </c>
      <c r="N250" s="2">
        <f t="shared" si="27"/>
        <v>0</v>
      </c>
      <c r="O250" t="str">
        <f>IF(COUNTIFS(CA_Feed!B:B, B250)=0, "No Action Announced", IF(COUNTIFS(CA_Feed!B:B, B250, CA_Feed!D:D, "&gt;="&amp;C250)&gt;0, "Processed (Eligible)", "Ineligible (Post Ex-Date)"))</f>
        <v>Processed (Eligible)</v>
      </c>
    </row>
    <row r="251" spans="1:15" x14ac:dyDescent="0.3">
      <c r="A251" t="s">
        <v>327</v>
      </c>
      <c r="B251" t="s">
        <v>19</v>
      </c>
      <c r="C251" s="5">
        <v>42198</v>
      </c>
      <c r="D251" s="2">
        <v>3700</v>
      </c>
      <c r="E251">
        <f>SUMIFS(CA_Feed!F:F, CA_Feed!B:B, B251, CA_Feed!E:E, "*DIVIDEND*", CA_Feed!D:D, "&gt;="&amp;C251)</f>
        <v>1.5</v>
      </c>
      <c r="F251">
        <f t="shared" si="29"/>
        <v>5550</v>
      </c>
      <c r="G251">
        <f t="shared" si="30"/>
        <v>555</v>
      </c>
      <c r="H251">
        <f t="shared" si="31"/>
        <v>4995</v>
      </c>
      <c r="I251">
        <f>D251 * SUMIFS(CA_Feed!G:G, CA_Feed!B:B, B251, CA_Feed!E:E, "*BONUS*", CA_Feed!D:D, "&gt;="&amp;C251)</f>
        <v>0</v>
      </c>
      <c r="J251">
        <f t="shared" si="32"/>
        <v>0</v>
      </c>
      <c r="K251">
        <f t="shared" si="33"/>
        <v>0</v>
      </c>
      <c r="L251">
        <f>IF(K251&gt;0, K251 * VLOOKUP(B251, CA_Feed!B:N, 13, FALSE), 0)</f>
        <v>0</v>
      </c>
      <c r="M251">
        <f t="shared" si="28"/>
        <v>4995</v>
      </c>
      <c r="N251" s="2">
        <f t="shared" si="27"/>
        <v>0</v>
      </c>
      <c r="O251" t="str">
        <f>IF(COUNTIFS(CA_Feed!B:B, B251)=0, "No Action Announced", IF(COUNTIFS(CA_Feed!B:B, B251, CA_Feed!D:D, "&gt;="&amp;C251)&gt;0, "Processed (Eligible)", "Ineligible (Post Ex-Date)"))</f>
        <v>Processed (Eligible)</v>
      </c>
    </row>
    <row r="252" spans="1:15" x14ac:dyDescent="0.3">
      <c r="A252" t="s">
        <v>328</v>
      </c>
      <c r="B252" t="s">
        <v>45</v>
      </c>
      <c r="C252" s="5">
        <v>44076</v>
      </c>
      <c r="D252" s="2">
        <v>3200</v>
      </c>
      <c r="E252">
        <f>SUMIFS(CA_Feed!F:F, CA_Feed!B:B, B252, CA_Feed!E:E, "*DIVIDEND*", CA_Feed!D:D, "&gt;="&amp;C252)</f>
        <v>2.5</v>
      </c>
      <c r="F252">
        <f t="shared" si="29"/>
        <v>8000</v>
      </c>
      <c r="G252">
        <f t="shared" si="30"/>
        <v>800</v>
      </c>
      <c r="H252">
        <f t="shared" si="31"/>
        <v>7200</v>
      </c>
      <c r="I252">
        <f>D252 * SUMIFS(CA_Feed!G:G, CA_Feed!B:B, B252, CA_Feed!E:E, "*BONUS*", CA_Feed!D:D, "&gt;="&amp;C252)</f>
        <v>0</v>
      </c>
      <c r="J252">
        <f t="shared" si="32"/>
        <v>0</v>
      </c>
      <c r="K252">
        <f t="shared" si="33"/>
        <v>0</v>
      </c>
      <c r="L252">
        <f>IF(K252&gt;0, K252 * VLOOKUP(B252, CA_Feed!B:N, 13, FALSE), 0)</f>
        <v>0</v>
      </c>
      <c r="M252">
        <f t="shared" si="28"/>
        <v>7200</v>
      </c>
      <c r="N252" s="2">
        <f t="shared" si="27"/>
        <v>0</v>
      </c>
      <c r="O252" t="str">
        <f>IF(COUNTIFS(CA_Feed!B:B, B252)=0, "No Action Announced", IF(COUNTIFS(CA_Feed!B:B, B252, CA_Feed!D:D, "&gt;="&amp;C252)&gt;0, "Processed (Eligible)", "Ineligible (Post Ex-Date)"))</f>
        <v>Processed (Eligible)</v>
      </c>
    </row>
    <row r="253" spans="1:15" x14ac:dyDescent="0.3">
      <c r="A253" t="s">
        <v>804</v>
      </c>
      <c r="B253" t="s">
        <v>12</v>
      </c>
      <c r="C253" s="5">
        <v>42905</v>
      </c>
      <c r="D253" s="2">
        <v>1300</v>
      </c>
      <c r="E253">
        <f>SUMIFS(CA_Feed!F:F, CA_Feed!B:B, B253, CA_Feed!E:E, "*DIVIDEND*", CA_Feed!D:D, "&gt;="&amp;C253)</f>
        <v>19</v>
      </c>
      <c r="F253">
        <f t="shared" si="29"/>
        <v>24700</v>
      </c>
      <c r="G253">
        <f t="shared" si="30"/>
        <v>2470</v>
      </c>
      <c r="H253">
        <f t="shared" si="31"/>
        <v>22230</v>
      </c>
      <c r="I253">
        <f>D253 * SUMIFS(CA_Feed!G:G, CA_Feed!B:B, B253, CA_Feed!E:E, "*BONUS*", CA_Feed!D:D, "&gt;="&amp;C253)</f>
        <v>0</v>
      </c>
      <c r="J253">
        <f t="shared" si="32"/>
        <v>0</v>
      </c>
      <c r="K253">
        <f t="shared" si="33"/>
        <v>0</v>
      </c>
      <c r="L253">
        <f>IF(K253&gt;0, K253 * VLOOKUP(B253, CA_Feed!B:N, 13, FALSE), 0)</f>
        <v>0</v>
      </c>
      <c r="M253">
        <f t="shared" si="28"/>
        <v>22230</v>
      </c>
      <c r="N253" s="2">
        <f t="shared" si="27"/>
        <v>0</v>
      </c>
      <c r="O253" t="str">
        <f>IF(COUNTIFS(CA_Feed!B:B, B253)=0, "No Action Announced", IF(COUNTIFS(CA_Feed!B:B, B253, CA_Feed!D:D, "&gt;="&amp;C253)&gt;0, "Processed (Eligible)", "Ineligible (Post Ex-Date)"))</f>
        <v>Processed (Eligible)</v>
      </c>
    </row>
    <row r="254" spans="1:15" x14ac:dyDescent="0.3">
      <c r="A254" t="s">
        <v>330</v>
      </c>
      <c r="B254" t="s">
        <v>29</v>
      </c>
      <c r="C254" s="5">
        <v>44399</v>
      </c>
      <c r="D254" s="2">
        <v>2450</v>
      </c>
      <c r="E254">
        <f>SUMIFS(CA_Feed!F:F, CA_Feed!B:B, B254, CA_Feed!E:E, "*DIVIDEND*", CA_Feed!D:D, "&gt;="&amp;C254)</f>
        <v>3</v>
      </c>
      <c r="F254">
        <f t="shared" si="29"/>
        <v>7350</v>
      </c>
      <c r="G254">
        <f t="shared" si="30"/>
        <v>735</v>
      </c>
      <c r="H254">
        <f t="shared" si="31"/>
        <v>6615</v>
      </c>
      <c r="I254">
        <f>D254 * SUMIFS(CA_Feed!G:G, CA_Feed!B:B, B254, CA_Feed!E:E, "*BONUS*", CA_Feed!D:D, "&gt;="&amp;C254)</f>
        <v>0</v>
      </c>
      <c r="J254">
        <f t="shared" si="32"/>
        <v>0</v>
      </c>
      <c r="K254">
        <f t="shared" si="33"/>
        <v>0</v>
      </c>
      <c r="L254">
        <f>IF(K254&gt;0, K254 * VLOOKUP(B254, CA_Feed!B:N, 13, FALSE), 0)</f>
        <v>0</v>
      </c>
      <c r="M254">
        <f t="shared" si="28"/>
        <v>6615</v>
      </c>
      <c r="N254" s="2">
        <f t="shared" si="27"/>
        <v>0</v>
      </c>
      <c r="O254" t="str">
        <f>IF(COUNTIFS(CA_Feed!B:B, B254)=0, "No Action Announced", IF(COUNTIFS(CA_Feed!B:B, B254, CA_Feed!D:D, "&gt;="&amp;C254)&gt;0, "Processed (Eligible)", "Ineligible (Post Ex-Date)"))</f>
        <v>Processed (Eligible)</v>
      </c>
    </row>
    <row r="255" spans="1:15" x14ac:dyDescent="0.3">
      <c r="A255" t="s">
        <v>331</v>
      </c>
      <c r="B255" t="s">
        <v>39</v>
      </c>
      <c r="C255" s="5">
        <v>43961</v>
      </c>
      <c r="D255" s="2">
        <v>3050</v>
      </c>
      <c r="E255">
        <f>SUMIFS(CA_Feed!F:F, CA_Feed!B:B, B255, CA_Feed!E:E, "*DIVIDEND*", CA_Feed!D:D, "&gt;="&amp;C255)</f>
        <v>1.2</v>
      </c>
      <c r="F255">
        <f t="shared" si="29"/>
        <v>3660</v>
      </c>
      <c r="G255">
        <f t="shared" si="30"/>
        <v>366</v>
      </c>
      <c r="H255">
        <f t="shared" si="31"/>
        <v>3294</v>
      </c>
      <c r="I255">
        <f>D255 * SUMIFS(CA_Feed!G:G, CA_Feed!B:B, B255, CA_Feed!E:E, "*BONUS*", CA_Feed!D:D, "&gt;="&amp;C255)</f>
        <v>0</v>
      </c>
      <c r="J255">
        <f t="shared" si="32"/>
        <v>0</v>
      </c>
      <c r="K255">
        <f t="shared" si="33"/>
        <v>0</v>
      </c>
      <c r="L255">
        <f>IF(K255&gt;0, K255 * VLOOKUP(B255, CA_Feed!B:N, 13, FALSE), 0)</f>
        <v>0</v>
      </c>
      <c r="M255">
        <f t="shared" si="28"/>
        <v>3294</v>
      </c>
      <c r="N255" s="2">
        <f t="shared" si="27"/>
        <v>0</v>
      </c>
      <c r="O255" t="str">
        <f>IF(COUNTIFS(CA_Feed!B:B, B255)=0, "No Action Announced", IF(COUNTIFS(CA_Feed!B:B, B255, CA_Feed!D:D, "&gt;="&amp;C255)&gt;0, "Processed (Eligible)", "Ineligible (Post Ex-Date)"))</f>
        <v>Processed (Eligible)</v>
      </c>
    </row>
    <row r="256" spans="1:15" x14ac:dyDescent="0.3">
      <c r="A256" t="s">
        <v>332</v>
      </c>
      <c r="B256" t="s">
        <v>39</v>
      </c>
      <c r="C256" s="5">
        <v>43150</v>
      </c>
      <c r="D256" s="2">
        <v>6650</v>
      </c>
      <c r="E256">
        <f>SUMIFS(CA_Feed!F:F, CA_Feed!B:B, B256, CA_Feed!E:E, "*DIVIDEND*", CA_Feed!D:D, "&gt;="&amp;C256)</f>
        <v>1.2</v>
      </c>
      <c r="F256">
        <f t="shared" si="29"/>
        <v>7980</v>
      </c>
      <c r="G256">
        <f t="shared" si="30"/>
        <v>798</v>
      </c>
      <c r="H256">
        <f t="shared" si="31"/>
        <v>7182</v>
      </c>
      <c r="I256">
        <f>D256 * SUMIFS(CA_Feed!G:G, CA_Feed!B:B, B256, CA_Feed!E:E, "*BONUS*", CA_Feed!D:D, "&gt;="&amp;C256)</f>
        <v>0</v>
      </c>
      <c r="J256">
        <f t="shared" si="32"/>
        <v>0</v>
      </c>
      <c r="K256">
        <f t="shared" si="33"/>
        <v>0</v>
      </c>
      <c r="L256">
        <f>IF(K256&gt;0, K256 * VLOOKUP(B256, CA_Feed!B:N, 13, FALSE), 0)</f>
        <v>0</v>
      </c>
      <c r="M256">
        <f t="shared" si="28"/>
        <v>7182</v>
      </c>
      <c r="N256" s="2">
        <f t="shared" si="27"/>
        <v>0</v>
      </c>
      <c r="O256" t="str">
        <f>IF(COUNTIFS(CA_Feed!B:B, B256)=0, "No Action Announced", IF(COUNTIFS(CA_Feed!B:B, B256, CA_Feed!D:D, "&gt;="&amp;C256)&gt;0, "Processed (Eligible)", "Ineligible (Post Ex-Date)"))</f>
        <v>Processed (Eligible)</v>
      </c>
    </row>
    <row r="257" spans="1:15" x14ac:dyDescent="0.3">
      <c r="A257" t="s">
        <v>333</v>
      </c>
      <c r="B257" t="s">
        <v>16</v>
      </c>
      <c r="C257" s="5">
        <v>42178</v>
      </c>
      <c r="D257" s="2">
        <v>5700</v>
      </c>
      <c r="E257">
        <f>SUMIFS(CA_Feed!F:F, CA_Feed!B:B, B257, CA_Feed!E:E, "*DIVIDEND*", CA_Feed!D:D, "&gt;="&amp;C257)</f>
        <v>3.75</v>
      </c>
      <c r="F257">
        <f t="shared" si="29"/>
        <v>21375</v>
      </c>
      <c r="G257">
        <f t="shared" si="30"/>
        <v>2137.5</v>
      </c>
      <c r="H257">
        <f t="shared" si="31"/>
        <v>19237.5</v>
      </c>
      <c r="I257">
        <f>D257 * SUMIFS(CA_Feed!G:G, CA_Feed!B:B, B257, CA_Feed!E:E, "*BONUS*", CA_Feed!D:D, "&gt;="&amp;C257)</f>
        <v>0</v>
      </c>
      <c r="J257">
        <f t="shared" si="32"/>
        <v>0</v>
      </c>
      <c r="K257">
        <f t="shared" si="33"/>
        <v>0</v>
      </c>
      <c r="L257">
        <f>IF(K257&gt;0, K257 * VLOOKUP(B257, CA_Feed!B:N, 13, FALSE), 0)</f>
        <v>0</v>
      </c>
      <c r="M257">
        <f t="shared" si="28"/>
        <v>19237.5</v>
      </c>
      <c r="N257" s="2">
        <f t="shared" si="27"/>
        <v>0</v>
      </c>
      <c r="O257" t="str">
        <f>IF(COUNTIFS(CA_Feed!B:B, B257)=0, "No Action Announced", IF(COUNTIFS(CA_Feed!B:B, B257, CA_Feed!D:D, "&gt;="&amp;C257)&gt;0, "Processed (Eligible)", "Ineligible (Post Ex-Date)"))</f>
        <v>Processed (Eligible)</v>
      </c>
    </row>
    <row r="258" spans="1:15" x14ac:dyDescent="0.3">
      <c r="A258" t="s">
        <v>334</v>
      </c>
      <c r="B258" t="s">
        <v>25</v>
      </c>
      <c r="C258" s="5">
        <v>44146</v>
      </c>
      <c r="D258" s="2">
        <v>1600</v>
      </c>
      <c r="E258">
        <f>SUMIFS(CA_Feed!F:F, CA_Feed!B:B, B258, CA_Feed!E:E, "*DIVIDEND*", CA_Feed!D:D, "&gt;="&amp;C258)</f>
        <v>2.5</v>
      </c>
      <c r="F258">
        <f t="shared" si="29"/>
        <v>4000</v>
      </c>
      <c r="G258">
        <f t="shared" si="30"/>
        <v>400</v>
      </c>
      <c r="H258">
        <f t="shared" si="31"/>
        <v>3600</v>
      </c>
      <c r="I258">
        <f>D258 * SUMIFS(CA_Feed!G:G, CA_Feed!B:B, B258, CA_Feed!E:E, "*BONUS*", CA_Feed!D:D, "&gt;="&amp;C258)</f>
        <v>0</v>
      </c>
      <c r="J258">
        <f t="shared" si="32"/>
        <v>0</v>
      </c>
      <c r="K258">
        <f t="shared" si="33"/>
        <v>0</v>
      </c>
      <c r="L258">
        <f>IF(K258&gt;0, K258 * VLOOKUP(B258, CA_Feed!B:N, 13, FALSE), 0)</f>
        <v>0</v>
      </c>
      <c r="M258">
        <f t="shared" ref="M258:M307" si="34">H258 + L258</f>
        <v>3600</v>
      </c>
      <c r="N258" s="2">
        <f t="shared" si="27"/>
        <v>0</v>
      </c>
      <c r="O258" t="str">
        <f>IF(COUNTIFS(CA_Feed!B:B, B258)=0, "No Action Announced", IF(COUNTIFS(CA_Feed!B:B, B258, CA_Feed!D:D, "&gt;="&amp;C258)&gt;0, "Processed (Eligible)", "Ineligible (Post Ex-Date)"))</f>
        <v>Processed (Eligible)</v>
      </c>
    </row>
    <row r="259" spans="1:15" x14ac:dyDescent="0.3">
      <c r="A259" t="s">
        <v>335</v>
      </c>
      <c r="B259" t="s">
        <v>29</v>
      </c>
      <c r="C259" s="5">
        <v>45135</v>
      </c>
      <c r="D259" s="2">
        <v>9850</v>
      </c>
      <c r="E259">
        <f>SUMIFS(CA_Feed!F:F, CA_Feed!B:B, B259, CA_Feed!E:E, "*DIVIDEND*", CA_Feed!D:D, "&gt;="&amp;C259)</f>
        <v>3</v>
      </c>
      <c r="F259">
        <f t="shared" ref="F259:F307" si="35">D259 * E259</f>
        <v>29550</v>
      </c>
      <c r="G259">
        <f t="shared" ref="G259:G307" si="36">F259 * 0.1</f>
        <v>2955</v>
      </c>
      <c r="H259">
        <f t="shared" ref="H259:H307" si="37">F259 - G259</f>
        <v>26595</v>
      </c>
      <c r="I259">
        <f>D259 * SUMIFS(CA_Feed!G:G, CA_Feed!B:B, B259, CA_Feed!E:E, "*BONUS*", CA_Feed!D:D, "&gt;="&amp;C259)</f>
        <v>0</v>
      </c>
      <c r="J259">
        <f t="shared" ref="J259:J307" si="38">INT(I259)</f>
        <v>0</v>
      </c>
      <c r="K259">
        <f t="shared" ref="K259:K307" si="39">I259-J259</f>
        <v>0</v>
      </c>
      <c r="L259">
        <f>IF(K259&gt;0, K259 * VLOOKUP(B259, CA_Feed!B:N, 13, FALSE), 0)</f>
        <v>0</v>
      </c>
      <c r="M259">
        <f t="shared" si="34"/>
        <v>26595</v>
      </c>
      <c r="N259" s="2">
        <f t="shared" ref="N259:N322" si="40">IF(J259&gt;0,D259 +J259,0)</f>
        <v>0</v>
      </c>
      <c r="O259" t="str">
        <f>IF(COUNTIFS(CA_Feed!B:B, B259)=0, "No Action Announced", IF(COUNTIFS(CA_Feed!B:B, B259, CA_Feed!D:D, "&gt;="&amp;C259)&gt;0, "Processed (Eligible)", "Ineligible (Post Ex-Date)"))</f>
        <v>Processed (Eligible)</v>
      </c>
    </row>
    <row r="260" spans="1:15" x14ac:dyDescent="0.3">
      <c r="A260" t="s">
        <v>336</v>
      </c>
      <c r="B260" t="s">
        <v>16</v>
      </c>
      <c r="C260" s="5">
        <v>44415</v>
      </c>
      <c r="D260" s="2">
        <v>8600</v>
      </c>
      <c r="E260">
        <f>SUMIFS(CA_Feed!F:F, CA_Feed!B:B, B260, CA_Feed!E:E, "*DIVIDEND*", CA_Feed!D:D, "&gt;="&amp;C260)</f>
        <v>3.75</v>
      </c>
      <c r="F260">
        <f t="shared" si="35"/>
        <v>32250</v>
      </c>
      <c r="G260">
        <f t="shared" si="36"/>
        <v>3225</v>
      </c>
      <c r="H260">
        <f t="shared" si="37"/>
        <v>29025</v>
      </c>
      <c r="I260">
        <f>D260 * SUMIFS(CA_Feed!G:G, CA_Feed!B:B, B260, CA_Feed!E:E, "*BONUS*", CA_Feed!D:D, "&gt;="&amp;C260)</f>
        <v>0</v>
      </c>
      <c r="J260">
        <f t="shared" si="38"/>
        <v>0</v>
      </c>
      <c r="K260">
        <f t="shared" si="39"/>
        <v>0</v>
      </c>
      <c r="L260">
        <f>IF(K260&gt;0, K260 * VLOOKUP(B260, CA_Feed!B:N, 13, FALSE), 0)</f>
        <v>0</v>
      </c>
      <c r="M260">
        <f t="shared" si="34"/>
        <v>29025</v>
      </c>
      <c r="N260" s="2">
        <f t="shared" si="40"/>
        <v>0</v>
      </c>
      <c r="O260" t="str">
        <f>IF(COUNTIFS(CA_Feed!B:B, B260)=0, "No Action Announced", IF(COUNTIFS(CA_Feed!B:B, B260, CA_Feed!D:D, "&gt;="&amp;C260)&gt;0, "Processed (Eligible)", "Ineligible (Post Ex-Date)"))</f>
        <v>Processed (Eligible)</v>
      </c>
    </row>
    <row r="261" spans="1:15" x14ac:dyDescent="0.3">
      <c r="A261" t="s">
        <v>337</v>
      </c>
      <c r="B261" t="s">
        <v>25</v>
      </c>
      <c r="C261" s="5">
        <v>42058</v>
      </c>
      <c r="D261" s="2">
        <v>4650</v>
      </c>
      <c r="E261">
        <f>SUMIFS(CA_Feed!F:F, CA_Feed!B:B, B261, CA_Feed!E:E, "*DIVIDEND*", CA_Feed!D:D, "&gt;="&amp;C261)</f>
        <v>2.5</v>
      </c>
      <c r="F261">
        <f t="shared" si="35"/>
        <v>11625</v>
      </c>
      <c r="G261">
        <f t="shared" si="36"/>
        <v>1162.5</v>
      </c>
      <c r="H261">
        <f t="shared" si="37"/>
        <v>10462.5</v>
      </c>
      <c r="I261">
        <f>D261 * SUMIFS(CA_Feed!G:G, CA_Feed!B:B, B261, CA_Feed!E:E, "*BONUS*", CA_Feed!D:D, "&gt;="&amp;C261)</f>
        <v>0</v>
      </c>
      <c r="J261">
        <f t="shared" si="38"/>
        <v>0</v>
      </c>
      <c r="K261">
        <f t="shared" si="39"/>
        <v>0</v>
      </c>
      <c r="L261">
        <f>IF(K261&gt;0, K261 * VLOOKUP(B261, CA_Feed!B:N, 13, FALSE), 0)</f>
        <v>0</v>
      </c>
      <c r="M261">
        <f t="shared" si="34"/>
        <v>10462.5</v>
      </c>
      <c r="N261" s="2">
        <f t="shared" si="40"/>
        <v>0</v>
      </c>
      <c r="O261" t="str">
        <f>IF(COUNTIFS(CA_Feed!B:B, B261)=0, "No Action Announced", IF(COUNTIFS(CA_Feed!B:B, B261, CA_Feed!D:D, "&gt;="&amp;C261)&gt;0, "Processed (Eligible)", "Ineligible (Post Ex-Date)"))</f>
        <v>Processed (Eligible)</v>
      </c>
    </row>
    <row r="262" spans="1:15" x14ac:dyDescent="0.3">
      <c r="A262" t="s">
        <v>234</v>
      </c>
      <c r="B262" t="s">
        <v>12</v>
      </c>
      <c r="C262" s="5">
        <v>43034</v>
      </c>
      <c r="D262" s="2">
        <v>1200</v>
      </c>
      <c r="E262">
        <f>SUMIFS(CA_Feed!F:F, CA_Feed!B:B, B262, CA_Feed!E:E, "*DIVIDEND*", CA_Feed!D:D, "&gt;="&amp;C262)</f>
        <v>19</v>
      </c>
      <c r="F262">
        <f t="shared" si="35"/>
        <v>22800</v>
      </c>
      <c r="G262">
        <f t="shared" si="36"/>
        <v>2280</v>
      </c>
      <c r="H262">
        <f t="shared" si="37"/>
        <v>20520</v>
      </c>
      <c r="I262">
        <f>D262 * SUMIFS(CA_Feed!G:G, CA_Feed!B:B, B262, CA_Feed!E:E, "*BONUS*", CA_Feed!D:D, "&gt;="&amp;C262)</f>
        <v>0</v>
      </c>
      <c r="J262">
        <f t="shared" si="38"/>
        <v>0</v>
      </c>
      <c r="K262">
        <f t="shared" si="39"/>
        <v>0</v>
      </c>
      <c r="L262">
        <f>IF(K262&gt;0, K262 * VLOOKUP(B262, CA_Feed!B:N, 13, FALSE), 0)</f>
        <v>0</v>
      </c>
      <c r="M262">
        <f t="shared" si="34"/>
        <v>20520</v>
      </c>
      <c r="N262" s="2">
        <f t="shared" si="40"/>
        <v>0</v>
      </c>
      <c r="O262" t="str">
        <f>IF(COUNTIFS(CA_Feed!B:B, B262)=0, "No Action Announced", IF(COUNTIFS(CA_Feed!B:B, B262, CA_Feed!D:D, "&gt;="&amp;C262)&gt;0, "Processed (Eligible)", "Ineligible (Post Ex-Date)"))</f>
        <v>Processed (Eligible)</v>
      </c>
    </row>
    <row r="263" spans="1:15" x14ac:dyDescent="0.3">
      <c r="A263" t="s">
        <v>339</v>
      </c>
      <c r="B263" t="s">
        <v>23</v>
      </c>
      <c r="C263" s="5">
        <v>44946</v>
      </c>
      <c r="D263" s="2">
        <v>6900</v>
      </c>
      <c r="E263">
        <f>SUMIFS(CA_Feed!F:F, CA_Feed!B:B, B263, CA_Feed!E:E, "*DIVIDEND*", CA_Feed!D:D, "&gt;="&amp;C263)</f>
        <v>1.5000000000000002</v>
      </c>
      <c r="F263">
        <f t="shared" si="35"/>
        <v>10350.000000000002</v>
      </c>
      <c r="G263">
        <f t="shared" si="36"/>
        <v>1035.0000000000002</v>
      </c>
      <c r="H263">
        <f t="shared" si="37"/>
        <v>9315.0000000000018</v>
      </c>
      <c r="I263">
        <f>D263 * SUMIFS(CA_Feed!G:G, CA_Feed!B:B, B263, CA_Feed!E:E, "*BONUS*", CA_Feed!D:D, "&gt;="&amp;C263)</f>
        <v>0</v>
      </c>
      <c r="J263">
        <f t="shared" si="38"/>
        <v>0</v>
      </c>
      <c r="K263">
        <f t="shared" si="39"/>
        <v>0</v>
      </c>
      <c r="L263">
        <f>IF(K263&gt;0, K263 * VLOOKUP(B263, CA_Feed!B:N, 13, FALSE), 0)</f>
        <v>0</v>
      </c>
      <c r="M263">
        <f t="shared" si="34"/>
        <v>9315.0000000000018</v>
      </c>
      <c r="N263" s="2">
        <f t="shared" si="40"/>
        <v>0</v>
      </c>
      <c r="O263" t="str">
        <f>IF(COUNTIFS(CA_Feed!B:B, B263)=0, "No Action Announced", IF(COUNTIFS(CA_Feed!B:B, B263, CA_Feed!D:D, "&gt;="&amp;C263)&gt;0, "Processed (Eligible)", "Ineligible (Post Ex-Date)"))</f>
        <v>Processed (Eligible)</v>
      </c>
    </row>
    <row r="264" spans="1:15" x14ac:dyDescent="0.3">
      <c r="A264" t="s">
        <v>340</v>
      </c>
      <c r="B264" t="s">
        <v>25</v>
      </c>
      <c r="C264" s="5">
        <v>44891</v>
      </c>
      <c r="D264" s="2">
        <v>4600</v>
      </c>
      <c r="E264">
        <f>SUMIFS(CA_Feed!F:F, CA_Feed!B:B, B264, CA_Feed!E:E, "*DIVIDEND*", CA_Feed!D:D, "&gt;="&amp;C264)</f>
        <v>2.5</v>
      </c>
      <c r="F264">
        <f t="shared" si="35"/>
        <v>11500</v>
      </c>
      <c r="G264">
        <f t="shared" si="36"/>
        <v>1150</v>
      </c>
      <c r="H264">
        <f t="shared" si="37"/>
        <v>10350</v>
      </c>
      <c r="I264">
        <f>D264 * SUMIFS(CA_Feed!G:G, CA_Feed!B:B, B264, CA_Feed!E:E, "*BONUS*", CA_Feed!D:D, "&gt;="&amp;C264)</f>
        <v>0</v>
      </c>
      <c r="J264">
        <f t="shared" si="38"/>
        <v>0</v>
      </c>
      <c r="K264">
        <f t="shared" si="39"/>
        <v>0</v>
      </c>
      <c r="L264">
        <f>IF(K264&gt;0, K264 * VLOOKUP(B264, CA_Feed!B:N, 13, FALSE), 0)</f>
        <v>0</v>
      </c>
      <c r="M264">
        <f t="shared" si="34"/>
        <v>10350</v>
      </c>
      <c r="N264" s="2">
        <f t="shared" si="40"/>
        <v>0</v>
      </c>
      <c r="O264" t="str">
        <f>IF(COUNTIFS(CA_Feed!B:B, B264)=0, "No Action Announced", IF(COUNTIFS(CA_Feed!B:B, B264, CA_Feed!D:D, "&gt;="&amp;C264)&gt;0, "Processed (Eligible)", "Ineligible (Post Ex-Date)"))</f>
        <v>Processed (Eligible)</v>
      </c>
    </row>
    <row r="265" spans="1:15" x14ac:dyDescent="0.3">
      <c r="A265" t="s">
        <v>341</v>
      </c>
      <c r="B265" t="s">
        <v>35</v>
      </c>
      <c r="C265" s="5">
        <v>44218</v>
      </c>
      <c r="D265" s="2">
        <v>5250</v>
      </c>
      <c r="E265">
        <f>SUMIFS(CA_Feed!F:F, CA_Feed!B:B, B265, CA_Feed!E:E, "*DIVIDEND*", CA_Feed!D:D, "&gt;="&amp;C265)</f>
        <v>1</v>
      </c>
      <c r="F265">
        <f t="shared" si="35"/>
        <v>5250</v>
      </c>
      <c r="G265">
        <f t="shared" si="36"/>
        <v>525</v>
      </c>
      <c r="H265">
        <f t="shared" si="37"/>
        <v>4725</v>
      </c>
      <c r="I265">
        <f>D265 * SUMIFS(CA_Feed!G:G, CA_Feed!B:B, B265, CA_Feed!E:E, "*BONUS*", CA_Feed!D:D, "&gt;="&amp;C265)</f>
        <v>0</v>
      </c>
      <c r="J265">
        <f t="shared" si="38"/>
        <v>0</v>
      </c>
      <c r="K265">
        <f t="shared" si="39"/>
        <v>0</v>
      </c>
      <c r="L265">
        <f>IF(K265&gt;0, K265 * VLOOKUP(B265, CA_Feed!B:N, 13, FALSE), 0)</f>
        <v>0</v>
      </c>
      <c r="M265">
        <f t="shared" si="34"/>
        <v>4725</v>
      </c>
      <c r="N265" s="2">
        <f t="shared" si="40"/>
        <v>0</v>
      </c>
      <c r="O265" t="str">
        <f>IF(COUNTIFS(CA_Feed!B:B, B265)=0, "No Action Announced", IF(COUNTIFS(CA_Feed!B:B, B265, CA_Feed!D:D, "&gt;="&amp;C265)&gt;0, "Processed (Eligible)", "Ineligible (Post Ex-Date)"))</f>
        <v>Processed (Eligible)</v>
      </c>
    </row>
    <row r="266" spans="1:15" x14ac:dyDescent="0.3">
      <c r="A266" t="s">
        <v>342</v>
      </c>
      <c r="B266" t="s">
        <v>59</v>
      </c>
      <c r="C266" s="5">
        <v>44536</v>
      </c>
      <c r="D266" s="2">
        <v>2800</v>
      </c>
      <c r="E266">
        <f>SUMIFS(CA_Feed!F:F, CA_Feed!B:B, B266, CA_Feed!E:E, "*DIVIDEND*", CA_Feed!D:D, "&gt;="&amp;C266)</f>
        <v>0.30000000000000004</v>
      </c>
      <c r="F266">
        <f t="shared" si="35"/>
        <v>840.00000000000011</v>
      </c>
      <c r="G266">
        <f t="shared" si="36"/>
        <v>84.000000000000014</v>
      </c>
      <c r="H266">
        <f t="shared" si="37"/>
        <v>756.00000000000011</v>
      </c>
      <c r="I266">
        <f>D266 * SUMIFS(CA_Feed!G:G, CA_Feed!B:B, B266, CA_Feed!E:E, "*BONUS*", CA_Feed!D:D, "&gt;="&amp;C266)</f>
        <v>0</v>
      </c>
      <c r="J266">
        <f t="shared" si="38"/>
        <v>0</v>
      </c>
      <c r="K266">
        <f t="shared" si="39"/>
        <v>0</v>
      </c>
      <c r="L266">
        <f>IF(K266&gt;0, K266 * VLOOKUP(B266, CA_Feed!B:N, 13, FALSE), 0)</f>
        <v>0</v>
      </c>
      <c r="M266">
        <f t="shared" si="34"/>
        <v>756.00000000000011</v>
      </c>
      <c r="N266" s="2">
        <f t="shared" si="40"/>
        <v>0</v>
      </c>
      <c r="O266" t="str">
        <f>IF(COUNTIFS(CA_Feed!B:B, B266)=0, "No Action Announced", IF(COUNTIFS(CA_Feed!B:B, B266, CA_Feed!D:D, "&gt;="&amp;C266)&gt;0, "Processed (Eligible)", "Ineligible (Post Ex-Date)"))</f>
        <v>Processed (Eligible)</v>
      </c>
    </row>
    <row r="267" spans="1:15" x14ac:dyDescent="0.3">
      <c r="A267" t="s">
        <v>343</v>
      </c>
      <c r="B267" t="s">
        <v>29</v>
      </c>
      <c r="C267" s="5">
        <v>44571</v>
      </c>
      <c r="D267" s="2">
        <v>2450</v>
      </c>
      <c r="E267">
        <f>SUMIFS(CA_Feed!F:F, CA_Feed!B:B, B267, CA_Feed!E:E, "*DIVIDEND*", CA_Feed!D:D, "&gt;="&amp;C267)</f>
        <v>3</v>
      </c>
      <c r="F267">
        <f t="shared" si="35"/>
        <v>7350</v>
      </c>
      <c r="G267">
        <f t="shared" si="36"/>
        <v>735</v>
      </c>
      <c r="H267">
        <f t="shared" si="37"/>
        <v>6615</v>
      </c>
      <c r="I267">
        <f>D267 * SUMIFS(CA_Feed!G:G, CA_Feed!B:B, B267, CA_Feed!E:E, "*BONUS*", CA_Feed!D:D, "&gt;="&amp;C267)</f>
        <v>0</v>
      </c>
      <c r="J267">
        <f t="shared" si="38"/>
        <v>0</v>
      </c>
      <c r="K267">
        <f t="shared" si="39"/>
        <v>0</v>
      </c>
      <c r="L267">
        <f>IF(K267&gt;0, K267 * VLOOKUP(B267, CA_Feed!B:N, 13, FALSE), 0)</f>
        <v>0</v>
      </c>
      <c r="M267">
        <f t="shared" si="34"/>
        <v>6615</v>
      </c>
      <c r="N267" s="2">
        <f t="shared" si="40"/>
        <v>0</v>
      </c>
      <c r="O267" t="str">
        <f>IF(COUNTIFS(CA_Feed!B:B, B267)=0, "No Action Announced", IF(COUNTIFS(CA_Feed!B:B, B267, CA_Feed!D:D, "&gt;="&amp;C267)&gt;0, "Processed (Eligible)", "Ineligible (Post Ex-Date)"))</f>
        <v>Processed (Eligible)</v>
      </c>
    </row>
    <row r="268" spans="1:15" x14ac:dyDescent="0.3">
      <c r="A268" t="s">
        <v>344</v>
      </c>
      <c r="B268" t="s">
        <v>41</v>
      </c>
      <c r="C268" s="5">
        <v>44638</v>
      </c>
      <c r="D268" s="2">
        <v>5950</v>
      </c>
      <c r="E268">
        <f>SUMIFS(CA_Feed!F:F, CA_Feed!B:B, B268, CA_Feed!E:E, "*DIVIDEND*", CA_Feed!D:D, "&gt;="&amp;C268)</f>
        <v>0.2</v>
      </c>
      <c r="F268">
        <f t="shared" si="35"/>
        <v>1190</v>
      </c>
      <c r="G268">
        <f t="shared" si="36"/>
        <v>119</v>
      </c>
      <c r="H268">
        <f t="shared" si="37"/>
        <v>1071</v>
      </c>
      <c r="I268">
        <f>D268 * SUMIFS(CA_Feed!G:G, CA_Feed!B:B, B268, CA_Feed!E:E, "*BONUS*", CA_Feed!D:D, "&gt;="&amp;C268)</f>
        <v>0</v>
      </c>
      <c r="J268">
        <f t="shared" si="38"/>
        <v>0</v>
      </c>
      <c r="K268">
        <f t="shared" si="39"/>
        <v>0</v>
      </c>
      <c r="L268">
        <f>IF(K268&gt;0, K268 * VLOOKUP(B268, CA_Feed!B:N, 13, FALSE), 0)</f>
        <v>0</v>
      </c>
      <c r="M268">
        <f t="shared" si="34"/>
        <v>1071</v>
      </c>
      <c r="N268" s="2">
        <f t="shared" si="40"/>
        <v>0</v>
      </c>
      <c r="O268" t="str">
        <f>IF(COUNTIFS(CA_Feed!B:B, B268)=0, "No Action Announced", IF(COUNTIFS(CA_Feed!B:B, B268, CA_Feed!D:D, "&gt;="&amp;C268)&gt;0, "Processed (Eligible)", "Ineligible (Post Ex-Date)"))</f>
        <v>Processed (Eligible)</v>
      </c>
    </row>
    <row r="269" spans="1:15" x14ac:dyDescent="0.3">
      <c r="A269" t="s">
        <v>345</v>
      </c>
      <c r="B269" t="s">
        <v>45</v>
      </c>
      <c r="C269" s="5">
        <v>42053</v>
      </c>
      <c r="D269" s="2">
        <v>5450</v>
      </c>
      <c r="E269">
        <f>SUMIFS(CA_Feed!F:F, CA_Feed!B:B, B269, CA_Feed!E:E, "*DIVIDEND*", CA_Feed!D:D, "&gt;="&amp;C269)</f>
        <v>2.5</v>
      </c>
      <c r="F269">
        <f t="shared" si="35"/>
        <v>13625</v>
      </c>
      <c r="G269">
        <f t="shared" si="36"/>
        <v>1362.5</v>
      </c>
      <c r="H269">
        <f t="shared" si="37"/>
        <v>12262.5</v>
      </c>
      <c r="I269">
        <f>D269 * SUMIFS(CA_Feed!G:G, CA_Feed!B:B, B269, CA_Feed!E:E, "*BONUS*", CA_Feed!D:D, "&gt;="&amp;C269)</f>
        <v>0</v>
      </c>
      <c r="J269">
        <f t="shared" si="38"/>
        <v>0</v>
      </c>
      <c r="K269">
        <f t="shared" si="39"/>
        <v>0</v>
      </c>
      <c r="L269">
        <f>IF(K269&gt;0, K269 * VLOOKUP(B269, CA_Feed!B:N, 13, FALSE), 0)</f>
        <v>0</v>
      </c>
      <c r="M269">
        <f t="shared" si="34"/>
        <v>12262.5</v>
      </c>
      <c r="N269" s="2">
        <f t="shared" si="40"/>
        <v>0</v>
      </c>
      <c r="O269" t="str">
        <f>IF(COUNTIFS(CA_Feed!B:B, B269)=0, "No Action Announced", IF(COUNTIFS(CA_Feed!B:B, B269, CA_Feed!D:D, "&gt;="&amp;C269)&gt;0, "Processed (Eligible)", "Ineligible (Post Ex-Date)"))</f>
        <v>Processed (Eligible)</v>
      </c>
    </row>
    <row r="270" spans="1:15" x14ac:dyDescent="0.3">
      <c r="A270" t="s">
        <v>346</v>
      </c>
      <c r="B270" t="s">
        <v>16</v>
      </c>
      <c r="C270" s="5">
        <v>44541</v>
      </c>
      <c r="D270" s="2">
        <v>250</v>
      </c>
      <c r="E270">
        <f>SUMIFS(CA_Feed!F:F, CA_Feed!B:B, B270, CA_Feed!E:E, "*DIVIDEND*", CA_Feed!D:D, "&gt;="&amp;C270)</f>
        <v>3.75</v>
      </c>
      <c r="F270">
        <f t="shared" si="35"/>
        <v>937.5</v>
      </c>
      <c r="G270">
        <f t="shared" si="36"/>
        <v>93.75</v>
      </c>
      <c r="H270">
        <f t="shared" si="37"/>
        <v>843.75</v>
      </c>
      <c r="I270">
        <f>D270 * SUMIFS(CA_Feed!G:G, CA_Feed!B:B, B270, CA_Feed!E:E, "*BONUS*", CA_Feed!D:D, "&gt;="&amp;C270)</f>
        <v>0</v>
      </c>
      <c r="J270">
        <f t="shared" si="38"/>
        <v>0</v>
      </c>
      <c r="K270">
        <f t="shared" si="39"/>
        <v>0</v>
      </c>
      <c r="L270">
        <f>IF(K270&gt;0, K270 * VLOOKUP(B270, CA_Feed!B:N, 13, FALSE), 0)</f>
        <v>0</v>
      </c>
      <c r="M270">
        <f t="shared" si="34"/>
        <v>843.75</v>
      </c>
      <c r="N270" s="2">
        <f t="shared" si="40"/>
        <v>0</v>
      </c>
      <c r="O270" t="str">
        <f>IF(COUNTIFS(CA_Feed!B:B, B270)=0, "No Action Announced", IF(COUNTIFS(CA_Feed!B:B, B270, CA_Feed!D:D, "&gt;="&amp;C270)&gt;0, "Processed (Eligible)", "Ineligible (Post Ex-Date)"))</f>
        <v>Processed (Eligible)</v>
      </c>
    </row>
    <row r="271" spans="1:15" x14ac:dyDescent="0.3">
      <c r="A271" t="s">
        <v>347</v>
      </c>
      <c r="B271" t="s">
        <v>55</v>
      </c>
      <c r="C271" s="5">
        <v>43929</v>
      </c>
      <c r="D271" s="2">
        <v>1050</v>
      </c>
      <c r="E271">
        <f>SUMIFS(CA_Feed!F:F, CA_Feed!B:B, B271, CA_Feed!E:E, "*DIVIDEND*", CA_Feed!D:D, "&gt;="&amp;C271)</f>
        <v>0.05</v>
      </c>
      <c r="F271">
        <f t="shared" si="35"/>
        <v>52.5</v>
      </c>
      <c r="G271">
        <f t="shared" si="36"/>
        <v>5.25</v>
      </c>
      <c r="H271">
        <f t="shared" si="37"/>
        <v>47.25</v>
      </c>
      <c r="I271">
        <f>D271 * SUMIFS(CA_Feed!G:G, CA_Feed!B:B, B271, CA_Feed!E:E, "*BONUS*", CA_Feed!D:D, "&gt;="&amp;C271)</f>
        <v>0</v>
      </c>
      <c r="J271">
        <f t="shared" si="38"/>
        <v>0</v>
      </c>
      <c r="K271">
        <f t="shared" si="39"/>
        <v>0</v>
      </c>
      <c r="L271">
        <f>IF(K271&gt;0, K271 * VLOOKUP(B271, CA_Feed!B:N, 13, FALSE), 0)</f>
        <v>0</v>
      </c>
      <c r="M271">
        <f t="shared" si="34"/>
        <v>47.25</v>
      </c>
      <c r="N271" s="2">
        <f t="shared" si="40"/>
        <v>0</v>
      </c>
      <c r="O271" t="str">
        <f>IF(COUNTIFS(CA_Feed!B:B, B271)=0, "No Action Announced", IF(COUNTIFS(CA_Feed!B:B, B271, CA_Feed!D:D, "&gt;="&amp;C271)&gt;0, "Processed (Eligible)", "Ineligible (Post Ex-Date)"))</f>
        <v>Processed (Eligible)</v>
      </c>
    </row>
    <row r="272" spans="1:15" x14ac:dyDescent="0.3">
      <c r="A272" t="s">
        <v>348</v>
      </c>
      <c r="B272" t="s">
        <v>37</v>
      </c>
      <c r="C272" s="5">
        <v>42304</v>
      </c>
      <c r="D272" s="2">
        <v>4700</v>
      </c>
      <c r="E272">
        <f>SUMIFS(CA_Feed!F:F, CA_Feed!B:B, B272, CA_Feed!E:E, "*DIVIDEND*", CA_Feed!D:D, "&gt;="&amp;C272)</f>
        <v>6.5</v>
      </c>
      <c r="F272">
        <f t="shared" si="35"/>
        <v>30550</v>
      </c>
      <c r="G272">
        <f t="shared" si="36"/>
        <v>3055</v>
      </c>
      <c r="H272">
        <f t="shared" si="37"/>
        <v>27495</v>
      </c>
      <c r="I272">
        <f>D272 * SUMIFS(CA_Feed!G:G, CA_Feed!B:B, B272, CA_Feed!E:E, "*BONUS*", CA_Feed!D:D, "&gt;="&amp;C272)</f>
        <v>0</v>
      </c>
      <c r="J272">
        <f t="shared" si="38"/>
        <v>0</v>
      </c>
      <c r="K272">
        <f t="shared" si="39"/>
        <v>0</v>
      </c>
      <c r="L272">
        <f>IF(K272&gt;0, K272 * VLOOKUP(B272, CA_Feed!B:N, 13, FALSE), 0)</f>
        <v>0</v>
      </c>
      <c r="M272">
        <f t="shared" si="34"/>
        <v>27495</v>
      </c>
      <c r="N272" s="2">
        <f t="shared" si="40"/>
        <v>0</v>
      </c>
      <c r="O272" t="str">
        <f>IF(COUNTIFS(CA_Feed!B:B, B272)=0, "No Action Announced", IF(COUNTIFS(CA_Feed!B:B, B272, CA_Feed!D:D, "&gt;="&amp;C272)&gt;0, "Processed (Eligible)", "Ineligible (Post Ex-Date)"))</f>
        <v>Processed (Eligible)</v>
      </c>
    </row>
    <row r="273" spans="1:15" x14ac:dyDescent="0.3">
      <c r="A273" t="s">
        <v>349</v>
      </c>
      <c r="B273" t="s">
        <v>37</v>
      </c>
      <c r="C273" s="5">
        <v>42423</v>
      </c>
      <c r="D273" s="2">
        <v>6350</v>
      </c>
      <c r="E273">
        <f>SUMIFS(CA_Feed!F:F, CA_Feed!B:B, B273, CA_Feed!E:E, "*DIVIDEND*", CA_Feed!D:D, "&gt;="&amp;C273)</f>
        <v>6.5</v>
      </c>
      <c r="F273">
        <f t="shared" si="35"/>
        <v>41275</v>
      </c>
      <c r="G273">
        <f t="shared" si="36"/>
        <v>4127.5</v>
      </c>
      <c r="H273">
        <f t="shared" si="37"/>
        <v>37147.5</v>
      </c>
      <c r="I273">
        <f>D273 * SUMIFS(CA_Feed!G:G, CA_Feed!B:B, B273, CA_Feed!E:E, "*BONUS*", CA_Feed!D:D, "&gt;="&amp;C273)</f>
        <v>0</v>
      </c>
      <c r="J273">
        <f t="shared" si="38"/>
        <v>0</v>
      </c>
      <c r="K273">
        <f t="shared" si="39"/>
        <v>0</v>
      </c>
      <c r="L273">
        <f>IF(K273&gt;0, K273 * VLOOKUP(B273, CA_Feed!B:N, 13, FALSE), 0)</f>
        <v>0</v>
      </c>
      <c r="M273">
        <f t="shared" si="34"/>
        <v>37147.5</v>
      </c>
      <c r="N273" s="2">
        <f t="shared" si="40"/>
        <v>0</v>
      </c>
      <c r="O273" t="str">
        <f>IF(COUNTIFS(CA_Feed!B:B, B273)=0, "No Action Announced", IF(COUNTIFS(CA_Feed!B:B, B273, CA_Feed!D:D, "&gt;="&amp;C273)&gt;0, "Processed (Eligible)", "Ineligible (Post Ex-Date)"))</f>
        <v>Processed (Eligible)</v>
      </c>
    </row>
    <row r="274" spans="1:15" x14ac:dyDescent="0.3">
      <c r="A274" t="s">
        <v>350</v>
      </c>
      <c r="B274" t="s">
        <v>39</v>
      </c>
      <c r="C274" s="5">
        <v>43595</v>
      </c>
      <c r="D274" s="2">
        <v>3400</v>
      </c>
      <c r="E274">
        <f>SUMIFS(CA_Feed!F:F, CA_Feed!B:B, B274, CA_Feed!E:E, "*DIVIDEND*", CA_Feed!D:D, "&gt;="&amp;C274)</f>
        <v>1.2</v>
      </c>
      <c r="F274">
        <f t="shared" si="35"/>
        <v>4080</v>
      </c>
      <c r="G274">
        <f t="shared" si="36"/>
        <v>408</v>
      </c>
      <c r="H274">
        <f t="shared" si="37"/>
        <v>3672</v>
      </c>
      <c r="I274">
        <f>D274 * SUMIFS(CA_Feed!G:G, CA_Feed!B:B, B274, CA_Feed!E:E, "*BONUS*", CA_Feed!D:D, "&gt;="&amp;C274)</f>
        <v>0</v>
      </c>
      <c r="J274">
        <f t="shared" si="38"/>
        <v>0</v>
      </c>
      <c r="K274">
        <f t="shared" si="39"/>
        <v>0</v>
      </c>
      <c r="L274">
        <f>IF(K274&gt;0, K274 * VLOOKUP(B274, CA_Feed!B:N, 13, FALSE), 0)</f>
        <v>0</v>
      </c>
      <c r="M274">
        <f t="shared" si="34"/>
        <v>3672</v>
      </c>
      <c r="N274" s="2">
        <f t="shared" si="40"/>
        <v>0</v>
      </c>
      <c r="O274" t="str">
        <f>IF(COUNTIFS(CA_Feed!B:B, B274)=0, "No Action Announced", IF(COUNTIFS(CA_Feed!B:B, B274, CA_Feed!D:D, "&gt;="&amp;C274)&gt;0, "Processed (Eligible)", "Ineligible (Post Ex-Date)"))</f>
        <v>Processed (Eligible)</v>
      </c>
    </row>
    <row r="275" spans="1:15" x14ac:dyDescent="0.3">
      <c r="A275" t="s">
        <v>351</v>
      </c>
      <c r="B275" t="s">
        <v>35</v>
      </c>
      <c r="C275" s="5">
        <v>44319</v>
      </c>
      <c r="D275" s="2">
        <v>3700</v>
      </c>
      <c r="E275">
        <f>SUMIFS(CA_Feed!F:F, CA_Feed!B:B, B275, CA_Feed!E:E, "*DIVIDEND*", CA_Feed!D:D, "&gt;="&amp;C275)</f>
        <v>1</v>
      </c>
      <c r="F275">
        <f t="shared" si="35"/>
        <v>3700</v>
      </c>
      <c r="G275">
        <f t="shared" si="36"/>
        <v>370</v>
      </c>
      <c r="H275">
        <f t="shared" si="37"/>
        <v>3330</v>
      </c>
      <c r="I275">
        <f>D275 * SUMIFS(CA_Feed!G:G, CA_Feed!B:B, B275, CA_Feed!E:E, "*BONUS*", CA_Feed!D:D, "&gt;="&amp;C275)</f>
        <v>0</v>
      </c>
      <c r="J275">
        <f t="shared" si="38"/>
        <v>0</v>
      </c>
      <c r="K275">
        <f t="shared" si="39"/>
        <v>0</v>
      </c>
      <c r="L275">
        <f>IF(K275&gt;0, K275 * VLOOKUP(B275, CA_Feed!B:N, 13, FALSE), 0)</f>
        <v>0</v>
      </c>
      <c r="M275">
        <f t="shared" si="34"/>
        <v>3330</v>
      </c>
      <c r="N275" s="2">
        <f t="shared" si="40"/>
        <v>0</v>
      </c>
      <c r="O275" t="str">
        <f>IF(COUNTIFS(CA_Feed!B:B, B275)=0, "No Action Announced", IF(COUNTIFS(CA_Feed!B:B, B275, CA_Feed!D:D, "&gt;="&amp;C275)&gt;0, "Processed (Eligible)", "Ineligible (Post Ex-Date)"))</f>
        <v>Processed (Eligible)</v>
      </c>
    </row>
    <row r="276" spans="1:15" x14ac:dyDescent="0.3">
      <c r="A276" t="s">
        <v>814</v>
      </c>
      <c r="B276" t="s">
        <v>12</v>
      </c>
      <c r="C276" s="5">
        <v>44064</v>
      </c>
      <c r="D276" s="2">
        <v>1000</v>
      </c>
      <c r="E276">
        <f>SUMIFS(CA_Feed!F:F, CA_Feed!B:B, B276, CA_Feed!E:E, "*DIVIDEND*", CA_Feed!D:D, "&gt;="&amp;C276)</f>
        <v>19</v>
      </c>
      <c r="F276">
        <f t="shared" si="35"/>
        <v>19000</v>
      </c>
      <c r="G276">
        <f t="shared" si="36"/>
        <v>1900</v>
      </c>
      <c r="H276">
        <f t="shared" si="37"/>
        <v>17100</v>
      </c>
      <c r="I276">
        <f>D276 * SUMIFS(CA_Feed!G:G, CA_Feed!B:B, B276, CA_Feed!E:E, "*BONUS*", CA_Feed!D:D, "&gt;="&amp;C276)</f>
        <v>0</v>
      </c>
      <c r="J276">
        <f t="shared" si="38"/>
        <v>0</v>
      </c>
      <c r="K276">
        <f t="shared" si="39"/>
        <v>0</v>
      </c>
      <c r="L276">
        <f>IF(K276&gt;0, K276 * VLOOKUP(B276, CA_Feed!B:N, 13, FALSE), 0)</f>
        <v>0</v>
      </c>
      <c r="M276">
        <f t="shared" si="34"/>
        <v>17100</v>
      </c>
      <c r="N276" s="2">
        <f t="shared" si="40"/>
        <v>0</v>
      </c>
      <c r="O276" t="str">
        <f>IF(COUNTIFS(CA_Feed!B:B, B276)=0, "No Action Announced", IF(COUNTIFS(CA_Feed!B:B, B276, CA_Feed!D:D, "&gt;="&amp;C276)&gt;0, "Processed (Eligible)", "Ineligible (Post Ex-Date)"))</f>
        <v>Processed (Eligible)</v>
      </c>
    </row>
    <row r="277" spans="1:15" x14ac:dyDescent="0.3">
      <c r="A277" t="s">
        <v>353</v>
      </c>
      <c r="B277" t="s">
        <v>35</v>
      </c>
      <c r="C277" s="5">
        <v>45336</v>
      </c>
      <c r="D277" s="2">
        <v>2450</v>
      </c>
      <c r="E277">
        <f>SUMIFS(CA_Feed!F:F, CA_Feed!B:B, B277, CA_Feed!E:E, "*DIVIDEND*", CA_Feed!D:D, "&gt;="&amp;C277)</f>
        <v>1</v>
      </c>
      <c r="F277">
        <f t="shared" si="35"/>
        <v>2450</v>
      </c>
      <c r="G277">
        <f t="shared" si="36"/>
        <v>245</v>
      </c>
      <c r="H277">
        <f t="shared" si="37"/>
        <v>2205</v>
      </c>
      <c r="I277">
        <f>D277 * SUMIFS(CA_Feed!G:G, CA_Feed!B:B, B277, CA_Feed!E:E, "*BONUS*", CA_Feed!D:D, "&gt;="&amp;C277)</f>
        <v>0</v>
      </c>
      <c r="J277">
        <f t="shared" si="38"/>
        <v>0</v>
      </c>
      <c r="K277">
        <f t="shared" si="39"/>
        <v>0</v>
      </c>
      <c r="L277">
        <f>IF(K277&gt;0, K277 * VLOOKUP(B277, CA_Feed!B:N, 13, FALSE), 0)</f>
        <v>0</v>
      </c>
      <c r="M277">
        <f t="shared" si="34"/>
        <v>2205</v>
      </c>
      <c r="N277" s="2">
        <f t="shared" si="40"/>
        <v>0</v>
      </c>
      <c r="O277" t="str">
        <f>IF(COUNTIFS(CA_Feed!B:B, B277)=0, "No Action Announced", IF(COUNTIFS(CA_Feed!B:B, B277, CA_Feed!D:D, "&gt;="&amp;C277)&gt;0, "Processed (Eligible)", "Ineligible (Post Ex-Date)"))</f>
        <v>Processed (Eligible)</v>
      </c>
    </row>
    <row r="278" spans="1:15" x14ac:dyDescent="0.3">
      <c r="A278" t="s">
        <v>354</v>
      </c>
      <c r="B278" t="s">
        <v>41</v>
      </c>
      <c r="C278" s="5">
        <v>45335</v>
      </c>
      <c r="D278" s="2">
        <v>6600</v>
      </c>
      <c r="E278">
        <f>SUMIFS(CA_Feed!F:F, CA_Feed!B:B, B278, CA_Feed!E:E, "*DIVIDEND*", CA_Feed!D:D, "&gt;="&amp;C278)</f>
        <v>0.2</v>
      </c>
      <c r="F278">
        <f t="shared" si="35"/>
        <v>1320</v>
      </c>
      <c r="G278">
        <f t="shared" si="36"/>
        <v>132</v>
      </c>
      <c r="H278">
        <f t="shared" si="37"/>
        <v>1188</v>
      </c>
      <c r="I278">
        <f>D278 * SUMIFS(CA_Feed!G:G, CA_Feed!B:B, B278, CA_Feed!E:E, "*BONUS*", CA_Feed!D:D, "&gt;="&amp;C278)</f>
        <v>0</v>
      </c>
      <c r="J278">
        <f t="shared" si="38"/>
        <v>0</v>
      </c>
      <c r="K278">
        <f t="shared" si="39"/>
        <v>0</v>
      </c>
      <c r="L278">
        <f>IF(K278&gt;0, K278 * VLOOKUP(B278, CA_Feed!B:N, 13, FALSE), 0)</f>
        <v>0</v>
      </c>
      <c r="M278">
        <f t="shared" si="34"/>
        <v>1188</v>
      </c>
      <c r="N278" s="2">
        <f t="shared" si="40"/>
        <v>0</v>
      </c>
      <c r="O278" t="str">
        <f>IF(COUNTIFS(CA_Feed!B:B, B278)=0, "No Action Announced", IF(COUNTIFS(CA_Feed!B:B, B278, CA_Feed!D:D, "&gt;="&amp;C278)&gt;0, "Processed (Eligible)", "Ineligible (Post Ex-Date)"))</f>
        <v>Processed (Eligible)</v>
      </c>
    </row>
    <row r="279" spans="1:15" x14ac:dyDescent="0.3">
      <c r="A279" t="s">
        <v>355</v>
      </c>
      <c r="B279" t="s">
        <v>31</v>
      </c>
      <c r="C279" s="5">
        <v>45159</v>
      </c>
      <c r="D279" s="2">
        <v>9100</v>
      </c>
      <c r="E279">
        <f>SUMIFS(CA_Feed!F:F, CA_Feed!B:B, B279, CA_Feed!E:E, "*DIVIDEND*", CA_Feed!D:D, "&gt;="&amp;C279)</f>
        <v>3</v>
      </c>
      <c r="F279">
        <f t="shared" si="35"/>
        <v>27300</v>
      </c>
      <c r="G279">
        <f t="shared" si="36"/>
        <v>2730</v>
      </c>
      <c r="H279">
        <f t="shared" si="37"/>
        <v>24570</v>
      </c>
      <c r="I279">
        <f>D279 * SUMIFS(CA_Feed!G:G, CA_Feed!B:B, B279, CA_Feed!E:E, "*BONUS*", CA_Feed!D:D, "&gt;="&amp;C279)</f>
        <v>0</v>
      </c>
      <c r="J279">
        <f t="shared" si="38"/>
        <v>0</v>
      </c>
      <c r="K279">
        <f t="shared" si="39"/>
        <v>0</v>
      </c>
      <c r="L279">
        <f>IF(K279&gt;0, K279 * VLOOKUP(B279, CA_Feed!B:N, 13, FALSE), 0)</f>
        <v>0</v>
      </c>
      <c r="M279">
        <f t="shared" si="34"/>
        <v>24570</v>
      </c>
      <c r="N279" s="2">
        <f t="shared" si="40"/>
        <v>0</v>
      </c>
      <c r="O279" t="str">
        <f>IF(COUNTIFS(CA_Feed!B:B, B279)=0, "No Action Announced", IF(COUNTIFS(CA_Feed!B:B, B279, CA_Feed!D:D, "&gt;="&amp;C279)&gt;0, "Processed (Eligible)", "Ineligible (Post Ex-Date)"))</f>
        <v>Processed (Eligible)</v>
      </c>
    </row>
    <row r="280" spans="1:15" x14ac:dyDescent="0.3">
      <c r="A280" t="s">
        <v>356</v>
      </c>
      <c r="B280" t="s">
        <v>25</v>
      </c>
      <c r="C280" s="5">
        <v>42788</v>
      </c>
      <c r="D280" s="2">
        <v>650</v>
      </c>
      <c r="E280">
        <f>SUMIFS(CA_Feed!F:F, CA_Feed!B:B, B280, CA_Feed!E:E, "*DIVIDEND*", CA_Feed!D:D, "&gt;="&amp;C280)</f>
        <v>2.5</v>
      </c>
      <c r="F280">
        <f t="shared" si="35"/>
        <v>1625</v>
      </c>
      <c r="G280">
        <f t="shared" si="36"/>
        <v>162.5</v>
      </c>
      <c r="H280">
        <f t="shared" si="37"/>
        <v>1462.5</v>
      </c>
      <c r="I280">
        <f>D280 * SUMIFS(CA_Feed!G:G, CA_Feed!B:B, B280, CA_Feed!E:E, "*BONUS*", CA_Feed!D:D, "&gt;="&amp;C280)</f>
        <v>0</v>
      </c>
      <c r="J280">
        <f t="shared" si="38"/>
        <v>0</v>
      </c>
      <c r="K280">
        <f t="shared" si="39"/>
        <v>0</v>
      </c>
      <c r="L280">
        <f>IF(K280&gt;0, K280 * VLOOKUP(B280, CA_Feed!B:N, 13, FALSE), 0)</f>
        <v>0</v>
      </c>
      <c r="M280">
        <f t="shared" si="34"/>
        <v>1462.5</v>
      </c>
      <c r="N280" s="2">
        <f t="shared" si="40"/>
        <v>0</v>
      </c>
      <c r="O280" t="str">
        <f>IF(COUNTIFS(CA_Feed!B:B, B280)=0, "No Action Announced", IF(COUNTIFS(CA_Feed!B:B, B280, CA_Feed!D:D, "&gt;="&amp;C280)&gt;0, "Processed (Eligible)", "Ineligible (Post Ex-Date)"))</f>
        <v>Processed (Eligible)</v>
      </c>
    </row>
    <row r="281" spans="1:15" x14ac:dyDescent="0.3">
      <c r="A281" t="s">
        <v>357</v>
      </c>
      <c r="B281" t="s">
        <v>25</v>
      </c>
      <c r="C281" s="5">
        <v>42498</v>
      </c>
      <c r="D281" s="2">
        <v>600</v>
      </c>
      <c r="E281">
        <f>SUMIFS(CA_Feed!F:F, CA_Feed!B:B, B281, CA_Feed!E:E, "*DIVIDEND*", CA_Feed!D:D, "&gt;="&amp;C281)</f>
        <v>2.5</v>
      </c>
      <c r="F281">
        <f t="shared" si="35"/>
        <v>1500</v>
      </c>
      <c r="G281">
        <f t="shared" si="36"/>
        <v>150</v>
      </c>
      <c r="H281">
        <f t="shared" si="37"/>
        <v>1350</v>
      </c>
      <c r="I281">
        <f>D281 * SUMIFS(CA_Feed!G:G, CA_Feed!B:B, B281, CA_Feed!E:E, "*BONUS*", CA_Feed!D:D, "&gt;="&amp;C281)</f>
        <v>0</v>
      </c>
      <c r="J281">
        <f t="shared" si="38"/>
        <v>0</v>
      </c>
      <c r="K281">
        <f t="shared" si="39"/>
        <v>0</v>
      </c>
      <c r="L281">
        <f>IF(K281&gt;0, K281 * VLOOKUP(B281, CA_Feed!B:N, 13, FALSE), 0)</f>
        <v>0</v>
      </c>
      <c r="M281">
        <f t="shared" si="34"/>
        <v>1350</v>
      </c>
      <c r="N281" s="2">
        <f t="shared" si="40"/>
        <v>0</v>
      </c>
      <c r="O281" t="str">
        <f>IF(COUNTIFS(CA_Feed!B:B, B281)=0, "No Action Announced", IF(COUNTIFS(CA_Feed!B:B, B281, CA_Feed!D:D, "&gt;="&amp;C281)&gt;0, "Processed (Eligible)", "Ineligible (Post Ex-Date)"))</f>
        <v>Processed (Eligible)</v>
      </c>
    </row>
    <row r="282" spans="1:15" x14ac:dyDescent="0.3">
      <c r="A282" t="s">
        <v>225</v>
      </c>
      <c r="B282" t="s">
        <v>12</v>
      </c>
      <c r="C282" s="5">
        <v>42244</v>
      </c>
      <c r="D282" s="2">
        <v>1000</v>
      </c>
      <c r="E282">
        <f>SUMIFS(CA_Feed!F:F, CA_Feed!B:B, B282, CA_Feed!E:E, "*DIVIDEND*", CA_Feed!D:D, "&gt;="&amp;C282)</f>
        <v>19</v>
      </c>
      <c r="F282">
        <f t="shared" si="35"/>
        <v>19000</v>
      </c>
      <c r="G282">
        <f t="shared" si="36"/>
        <v>1900</v>
      </c>
      <c r="H282">
        <f t="shared" si="37"/>
        <v>17100</v>
      </c>
      <c r="I282">
        <f>D282 * SUMIFS(CA_Feed!G:G, CA_Feed!B:B, B282, CA_Feed!E:E, "*BONUS*", CA_Feed!D:D, "&gt;="&amp;C282)</f>
        <v>0</v>
      </c>
      <c r="J282">
        <f t="shared" si="38"/>
        <v>0</v>
      </c>
      <c r="K282">
        <f t="shared" si="39"/>
        <v>0</v>
      </c>
      <c r="L282">
        <f>IF(K282&gt;0, K282 * VLOOKUP(B282, CA_Feed!B:N, 13, FALSE), 0)</f>
        <v>0</v>
      </c>
      <c r="M282">
        <f t="shared" si="34"/>
        <v>17100</v>
      </c>
      <c r="N282" s="2">
        <f t="shared" si="40"/>
        <v>0</v>
      </c>
      <c r="O282" t="str">
        <f>IF(COUNTIFS(CA_Feed!B:B, B282)=0, "No Action Announced", IF(COUNTIFS(CA_Feed!B:B, B282, CA_Feed!D:D, "&gt;="&amp;C282)&gt;0, "Processed (Eligible)", "Ineligible (Post Ex-Date)"))</f>
        <v>Processed (Eligible)</v>
      </c>
    </row>
    <row r="283" spans="1:15" x14ac:dyDescent="0.3">
      <c r="A283" t="s">
        <v>359</v>
      </c>
      <c r="B283" t="s">
        <v>31</v>
      </c>
      <c r="C283" s="5">
        <v>45279</v>
      </c>
      <c r="D283" s="2">
        <v>9550</v>
      </c>
      <c r="E283">
        <f>SUMIFS(CA_Feed!F:F, CA_Feed!B:B, B283, CA_Feed!E:E, "*DIVIDEND*", CA_Feed!D:D, "&gt;="&amp;C283)</f>
        <v>3</v>
      </c>
      <c r="F283">
        <f t="shared" si="35"/>
        <v>28650</v>
      </c>
      <c r="G283">
        <f t="shared" si="36"/>
        <v>2865</v>
      </c>
      <c r="H283">
        <f t="shared" si="37"/>
        <v>25785</v>
      </c>
      <c r="I283">
        <f>D283 * SUMIFS(CA_Feed!G:G, CA_Feed!B:B, B283, CA_Feed!E:E, "*BONUS*", CA_Feed!D:D, "&gt;="&amp;C283)</f>
        <v>0</v>
      </c>
      <c r="J283">
        <f t="shared" si="38"/>
        <v>0</v>
      </c>
      <c r="K283">
        <f t="shared" si="39"/>
        <v>0</v>
      </c>
      <c r="L283">
        <f>IF(K283&gt;0, K283 * VLOOKUP(B283, CA_Feed!B:N, 13, FALSE), 0)</f>
        <v>0</v>
      </c>
      <c r="M283">
        <f t="shared" si="34"/>
        <v>25785</v>
      </c>
      <c r="N283" s="2">
        <f t="shared" si="40"/>
        <v>0</v>
      </c>
      <c r="O283" t="str">
        <f>IF(COUNTIFS(CA_Feed!B:B, B283)=0, "No Action Announced", IF(COUNTIFS(CA_Feed!B:B, B283, CA_Feed!D:D, "&gt;="&amp;C283)&gt;0, "Processed (Eligible)", "Ineligible (Post Ex-Date)"))</f>
        <v>Processed (Eligible)</v>
      </c>
    </row>
    <row r="284" spans="1:15" x14ac:dyDescent="0.3">
      <c r="A284" t="s">
        <v>399</v>
      </c>
      <c r="B284" t="s">
        <v>12</v>
      </c>
      <c r="C284" s="5">
        <v>43416</v>
      </c>
      <c r="D284" s="2">
        <v>950</v>
      </c>
      <c r="E284">
        <f>SUMIFS(CA_Feed!F:F, CA_Feed!B:B, B284, CA_Feed!E:E, "*DIVIDEND*", CA_Feed!D:D, "&gt;="&amp;C284)</f>
        <v>19</v>
      </c>
      <c r="F284">
        <f t="shared" si="35"/>
        <v>18050</v>
      </c>
      <c r="G284">
        <f t="shared" si="36"/>
        <v>1805</v>
      </c>
      <c r="H284">
        <f t="shared" si="37"/>
        <v>16245</v>
      </c>
      <c r="I284">
        <f>D284 * SUMIFS(CA_Feed!G:G, CA_Feed!B:B, B284, CA_Feed!E:E, "*BONUS*", CA_Feed!D:D, "&gt;="&amp;C284)</f>
        <v>0</v>
      </c>
      <c r="J284">
        <f t="shared" si="38"/>
        <v>0</v>
      </c>
      <c r="K284">
        <f t="shared" si="39"/>
        <v>0</v>
      </c>
      <c r="L284">
        <f>IF(K284&gt;0, K284 * VLOOKUP(B284, CA_Feed!B:N, 13, FALSE), 0)</f>
        <v>0</v>
      </c>
      <c r="M284">
        <f t="shared" si="34"/>
        <v>16245</v>
      </c>
      <c r="N284" s="2">
        <f t="shared" si="40"/>
        <v>0</v>
      </c>
      <c r="O284" t="str">
        <f>IF(COUNTIFS(CA_Feed!B:B, B284)=0, "No Action Announced", IF(COUNTIFS(CA_Feed!B:B, B284, CA_Feed!D:D, "&gt;="&amp;C284)&gt;0, "Processed (Eligible)", "Ineligible (Post Ex-Date)"))</f>
        <v>Processed (Eligible)</v>
      </c>
    </row>
    <row r="285" spans="1:15" x14ac:dyDescent="0.3">
      <c r="A285" t="s">
        <v>361</v>
      </c>
      <c r="B285" t="s">
        <v>57</v>
      </c>
      <c r="C285" s="5">
        <v>42383</v>
      </c>
      <c r="D285" s="2">
        <v>9250</v>
      </c>
      <c r="E285">
        <f>SUMIFS(CA_Feed!F:F, CA_Feed!B:B, B285, CA_Feed!E:E, "*DIVIDEND*", CA_Feed!D:D, "&gt;="&amp;C285)</f>
        <v>0.02</v>
      </c>
      <c r="F285">
        <f t="shared" si="35"/>
        <v>185</v>
      </c>
      <c r="G285">
        <f t="shared" si="36"/>
        <v>18.5</v>
      </c>
      <c r="H285">
        <f t="shared" si="37"/>
        <v>166.5</v>
      </c>
      <c r="I285">
        <f>D285 * SUMIFS(CA_Feed!G:G, CA_Feed!B:B, B285, CA_Feed!E:E, "*BONUS*", CA_Feed!D:D, "&gt;="&amp;C285)</f>
        <v>0</v>
      </c>
      <c r="J285">
        <f t="shared" si="38"/>
        <v>0</v>
      </c>
      <c r="K285">
        <f t="shared" si="39"/>
        <v>0</v>
      </c>
      <c r="L285">
        <f>IF(K285&gt;0, K285 * VLOOKUP(B285, CA_Feed!B:N, 13, FALSE), 0)</f>
        <v>0</v>
      </c>
      <c r="M285">
        <f t="shared" si="34"/>
        <v>166.5</v>
      </c>
      <c r="N285" s="2">
        <f t="shared" si="40"/>
        <v>0</v>
      </c>
      <c r="O285" t="str">
        <f>IF(COUNTIFS(CA_Feed!B:B, B285)=0, "No Action Announced", IF(COUNTIFS(CA_Feed!B:B, B285, CA_Feed!D:D, "&gt;="&amp;C285)&gt;0, "Processed (Eligible)", "Ineligible (Post Ex-Date)"))</f>
        <v>Processed (Eligible)</v>
      </c>
    </row>
    <row r="286" spans="1:15" x14ac:dyDescent="0.3">
      <c r="A286" t="s">
        <v>362</v>
      </c>
      <c r="B286" t="s">
        <v>37</v>
      </c>
      <c r="C286" s="5">
        <v>45119</v>
      </c>
      <c r="D286" s="2">
        <v>8300</v>
      </c>
      <c r="E286">
        <f>SUMIFS(CA_Feed!F:F, CA_Feed!B:B, B286, CA_Feed!E:E, "*DIVIDEND*", CA_Feed!D:D, "&gt;="&amp;C286)</f>
        <v>6.5</v>
      </c>
      <c r="F286">
        <f t="shared" si="35"/>
        <v>53950</v>
      </c>
      <c r="G286">
        <f t="shared" si="36"/>
        <v>5395</v>
      </c>
      <c r="H286">
        <f t="shared" si="37"/>
        <v>48555</v>
      </c>
      <c r="I286">
        <f>D286 * SUMIFS(CA_Feed!G:G, CA_Feed!B:B, B286, CA_Feed!E:E, "*BONUS*", CA_Feed!D:D, "&gt;="&amp;C286)</f>
        <v>0</v>
      </c>
      <c r="J286">
        <f t="shared" si="38"/>
        <v>0</v>
      </c>
      <c r="K286">
        <f t="shared" si="39"/>
        <v>0</v>
      </c>
      <c r="L286">
        <f>IF(K286&gt;0, K286 * VLOOKUP(B286, CA_Feed!B:N, 13, FALSE), 0)</f>
        <v>0</v>
      </c>
      <c r="M286">
        <f t="shared" si="34"/>
        <v>48555</v>
      </c>
      <c r="N286" s="2">
        <f t="shared" si="40"/>
        <v>0</v>
      </c>
      <c r="O286" t="str">
        <f>IF(COUNTIFS(CA_Feed!B:B, B286)=0, "No Action Announced", IF(COUNTIFS(CA_Feed!B:B, B286, CA_Feed!D:D, "&gt;="&amp;C286)&gt;0, "Processed (Eligible)", "Ineligible (Post Ex-Date)"))</f>
        <v>Processed (Eligible)</v>
      </c>
    </row>
    <row r="287" spans="1:15" x14ac:dyDescent="0.3">
      <c r="A287" t="s">
        <v>725</v>
      </c>
      <c r="B287" t="s">
        <v>12</v>
      </c>
      <c r="C287" s="5">
        <v>45491</v>
      </c>
      <c r="D287" s="2">
        <v>900</v>
      </c>
      <c r="E287">
        <f>SUMIFS(CA_Feed!F:F, CA_Feed!B:B, B287, CA_Feed!E:E, "*DIVIDEND*", CA_Feed!D:D, "&gt;="&amp;C287)</f>
        <v>19</v>
      </c>
      <c r="F287">
        <f t="shared" si="35"/>
        <v>17100</v>
      </c>
      <c r="G287">
        <f t="shared" si="36"/>
        <v>1710</v>
      </c>
      <c r="H287">
        <f t="shared" si="37"/>
        <v>15390</v>
      </c>
      <c r="I287">
        <f>D287 * SUMIFS(CA_Feed!G:G, CA_Feed!B:B, B287, CA_Feed!E:E, "*BONUS*", CA_Feed!D:D, "&gt;="&amp;C287)</f>
        <v>0</v>
      </c>
      <c r="J287">
        <f t="shared" si="38"/>
        <v>0</v>
      </c>
      <c r="K287">
        <f t="shared" si="39"/>
        <v>0</v>
      </c>
      <c r="L287">
        <f>IF(K287&gt;0, K287 * VLOOKUP(B287, CA_Feed!B:N, 13, FALSE), 0)</f>
        <v>0</v>
      </c>
      <c r="M287">
        <f t="shared" si="34"/>
        <v>15390</v>
      </c>
      <c r="N287" s="2">
        <f t="shared" si="40"/>
        <v>0</v>
      </c>
      <c r="O287" t="str">
        <f>IF(COUNTIFS(CA_Feed!B:B, B287)=0, "No Action Announced", IF(COUNTIFS(CA_Feed!B:B, B287, CA_Feed!D:D, "&gt;="&amp;C287)&gt;0, "Processed (Eligible)", "Ineligible (Post Ex-Date)"))</f>
        <v>Processed (Eligible)</v>
      </c>
    </row>
    <row r="288" spans="1:15" x14ac:dyDescent="0.3">
      <c r="A288" t="s">
        <v>364</v>
      </c>
      <c r="B288" t="s">
        <v>43</v>
      </c>
      <c r="C288" s="5">
        <v>43606</v>
      </c>
      <c r="D288" s="2">
        <v>8800</v>
      </c>
      <c r="E288">
        <f>SUMIFS(CA_Feed!F:F, CA_Feed!B:B, B288, CA_Feed!E:E, "*DIVIDEND*", CA_Feed!D:D, "&gt;="&amp;C288)</f>
        <v>1.35</v>
      </c>
      <c r="F288">
        <f t="shared" si="35"/>
        <v>11880</v>
      </c>
      <c r="G288">
        <f t="shared" si="36"/>
        <v>1188</v>
      </c>
      <c r="H288">
        <f t="shared" si="37"/>
        <v>10692</v>
      </c>
      <c r="I288">
        <f>D288 * SUMIFS(CA_Feed!G:G, CA_Feed!B:B, B288, CA_Feed!E:E, "*BONUS*", CA_Feed!D:D, "&gt;="&amp;C288)</f>
        <v>0</v>
      </c>
      <c r="J288">
        <f t="shared" si="38"/>
        <v>0</v>
      </c>
      <c r="K288">
        <f t="shared" si="39"/>
        <v>0</v>
      </c>
      <c r="L288">
        <f>IF(K288&gt;0, K288 * VLOOKUP(B288, CA_Feed!B:N, 13, FALSE), 0)</f>
        <v>0</v>
      </c>
      <c r="M288">
        <f t="shared" si="34"/>
        <v>10692</v>
      </c>
      <c r="N288" s="2">
        <f t="shared" si="40"/>
        <v>0</v>
      </c>
      <c r="O288" t="str">
        <f>IF(COUNTIFS(CA_Feed!B:B, B288)=0, "No Action Announced", IF(COUNTIFS(CA_Feed!B:B, B288, CA_Feed!D:D, "&gt;="&amp;C288)&gt;0, "Processed (Eligible)", "Ineligible (Post Ex-Date)"))</f>
        <v>Processed (Eligible)</v>
      </c>
    </row>
    <row r="289" spans="1:15" x14ac:dyDescent="0.3">
      <c r="A289" t="s">
        <v>821</v>
      </c>
      <c r="B289" t="s">
        <v>12</v>
      </c>
      <c r="C289" s="5">
        <v>45262</v>
      </c>
      <c r="D289" s="2">
        <v>900</v>
      </c>
      <c r="E289">
        <f>SUMIFS(CA_Feed!F:F, CA_Feed!B:B, B289, CA_Feed!E:E, "*DIVIDEND*", CA_Feed!D:D, "&gt;="&amp;C289)</f>
        <v>19</v>
      </c>
      <c r="F289">
        <f t="shared" si="35"/>
        <v>17100</v>
      </c>
      <c r="G289">
        <f t="shared" si="36"/>
        <v>1710</v>
      </c>
      <c r="H289">
        <f t="shared" si="37"/>
        <v>15390</v>
      </c>
      <c r="I289">
        <f>D289 * SUMIFS(CA_Feed!G:G, CA_Feed!B:B, B289, CA_Feed!E:E, "*BONUS*", CA_Feed!D:D, "&gt;="&amp;C289)</f>
        <v>0</v>
      </c>
      <c r="J289">
        <f t="shared" si="38"/>
        <v>0</v>
      </c>
      <c r="K289">
        <f t="shared" si="39"/>
        <v>0</v>
      </c>
      <c r="L289">
        <f>IF(K289&gt;0, K289 * VLOOKUP(B289, CA_Feed!B:N, 13, FALSE), 0)</f>
        <v>0</v>
      </c>
      <c r="M289">
        <f t="shared" si="34"/>
        <v>15390</v>
      </c>
      <c r="N289" s="2">
        <f t="shared" si="40"/>
        <v>0</v>
      </c>
      <c r="O289" t="str">
        <f>IF(COUNTIFS(CA_Feed!B:B, B289)=0, "No Action Announced", IF(COUNTIFS(CA_Feed!B:B, B289, CA_Feed!D:D, "&gt;="&amp;C289)&gt;0, "Processed (Eligible)", "Ineligible (Post Ex-Date)"))</f>
        <v>Processed (Eligible)</v>
      </c>
    </row>
    <row r="290" spans="1:15" x14ac:dyDescent="0.3">
      <c r="A290" t="s">
        <v>366</v>
      </c>
      <c r="B290" t="s">
        <v>43</v>
      </c>
      <c r="C290" s="5">
        <v>43506</v>
      </c>
      <c r="D290" s="2">
        <v>9800</v>
      </c>
      <c r="E290">
        <f>SUMIFS(CA_Feed!F:F, CA_Feed!B:B, B290, CA_Feed!E:E, "*DIVIDEND*", CA_Feed!D:D, "&gt;="&amp;C290)</f>
        <v>1.35</v>
      </c>
      <c r="F290">
        <f t="shared" si="35"/>
        <v>13230</v>
      </c>
      <c r="G290">
        <f t="shared" si="36"/>
        <v>1323</v>
      </c>
      <c r="H290">
        <f t="shared" si="37"/>
        <v>11907</v>
      </c>
      <c r="I290">
        <f>D290 * SUMIFS(CA_Feed!G:G, CA_Feed!B:B, B290, CA_Feed!E:E, "*BONUS*", CA_Feed!D:D, "&gt;="&amp;C290)</f>
        <v>0</v>
      </c>
      <c r="J290">
        <f t="shared" si="38"/>
        <v>0</v>
      </c>
      <c r="K290">
        <f t="shared" si="39"/>
        <v>0</v>
      </c>
      <c r="L290">
        <f>IF(K290&gt;0, K290 * VLOOKUP(B290, CA_Feed!B:N, 13, FALSE), 0)</f>
        <v>0</v>
      </c>
      <c r="M290">
        <f t="shared" si="34"/>
        <v>11907</v>
      </c>
      <c r="N290" s="2">
        <f t="shared" si="40"/>
        <v>0</v>
      </c>
      <c r="O290" t="str">
        <f>IF(COUNTIFS(CA_Feed!B:B, B290)=0, "No Action Announced", IF(COUNTIFS(CA_Feed!B:B, B290, CA_Feed!D:D, "&gt;="&amp;C290)&gt;0, "Processed (Eligible)", "Ineligible (Post Ex-Date)"))</f>
        <v>Processed (Eligible)</v>
      </c>
    </row>
    <row r="291" spans="1:15" x14ac:dyDescent="0.3">
      <c r="A291" t="s">
        <v>367</v>
      </c>
      <c r="B291" t="s">
        <v>16</v>
      </c>
      <c r="C291" s="5">
        <v>42310</v>
      </c>
      <c r="D291" s="2">
        <v>4050</v>
      </c>
      <c r="E291">
        <f>SUMIFS(CA_Feed!F:F, CA_Feed!B:B, B291, CA_Feed!E:E, "*DIVIDEND*", CA_Feed!D:D, "&gt;="&amp;C291)</f>
        <v>3.75</v>
      </c>
      <c r="F291">
        <f t="shared" si="35"/>
        <v>15187.5</v>
      </c>
      <c r="G291">
        <f t="shared" si="36"/>
        <v>1518.75</v>
      </c>
      <c r="H291">
        <f t="shared" si="37"/>
        <v>13668.75</v>
      </c>
      <c r="I291">
        <f>D291 * SUMIFS(CA_Feed!G:G, CA_Feed!B:B, B291, CA_Feed!E:E, "*BONUS*", CA_Feed!D:D, "&gt;="&amp;C291)</f>
        <v>0</v>
      </c>
      <c r="J291">
        <f t="shared" si="38"/>
        <v>0</v>
      </c>
      <c r="K291">
        <f t="shared" si="39"/>
        <v>0</v>
      </c>
      <c r="L291">
        <f>IF(K291&gt;0, K291 * VLOOKUP(B291, CA_Feed!B:N, 13, FALSE), 0)</f>
        <v>0</v>
      </c>
      <c r="M291">
        <f t="shared" si="34"/>
        <v>13668.75</v>
      </c>
      <c r="N291" s="2">
        <f t="shared" si="40"/>
        <v>0</v>
      </c>
      <c r="O291" t="str">
        <f>IF(COUNTIFS(CA_Feed!B:B, B291)=0, "No Action Announced", IF(COUNTIFS(CA_Feed!B:B, B291, CA_Feed!D:D, "&gt;="&amp;C291)&gt;0, "Processed (Eligible)", "Ineligible (Post Ex-Date)"))</f>
        <v>Processed (Eligible)</v>
      </c>
    </row>
    <row r="292" spans="1:15" x14ac:dyDescent="0.3">
      <c r="A292" t="s">
        <v>368</v>
      </c>
      <c r="B292" t="s">
        <v>25</v>
      </c>
      <c r="C292" s="5">
        <v>44066</v>
      </c>
      <c r="D292" s="2">
        <v>7700</v>
      </c>
      <c r="E292">
        <f>SUMIFS(CA_Feed!F:F, CA_Feed!B:B, B292, CA_Feed!E:E, "*DIVIDEND*", CA_Feed!D:D, "&gt;="&amp;C292)</f>
        <v>2.5</v>
      </c>
      <c r="F292">
        <f t="shared" si="35"/>
        <v>19250</v>
      </c>
      <c r="G292">
        <f t="shared" si="36"/>
        <v>1925</v>
      </c>
      <c r="H292">
        <f t="shared" si="37"/>
        <v>17325</v>
      </c>
      <c r="I292">
        <f>D292 * SUMIFS(CA_Feed!G:G, CA_Feed!B:B, B292, CA_Feed!E:E, "*BONUS*", CA_Feed!D:D, "&gt;="&amp;C292)</f>
        <v>0</v>
      </c>
      <c r="J292">
        <f t="shared" si="38"/>
        <v>0</v>
      </c>
      <c r="K292">
        <f t="shared" si="39"/>
        <v>0</v>
      </c>
      <c r="L292">
        <f>IF(K292&gt;0, K292 * VLOOKUP(B292, CA_Feed!B:N, 13, FALSE), 0)</f>
        <v>0</v>
      </c>
      <c r="M292">
        <f t="shared" si="34"/>
        <v>17325</v>
      </c>
      <c r="N292" s="2">
        <f t="shared" si="40"/>
        <v>0</v>
      </c>
      <c r="O292" t="str">
        <f>IF(COUNTIFS(CA_Feed!B:B, B292)=0, "No Action Announced", IF(COUNTIFS(CA_Feed!B:B, B292, CA_Feed!D:D, "&gt;="&amp;C292)&gt;0, "Processed (Eligible)", "Ineligible (Post Ex-Date)"))</f>
        <v>Processed (Eligible)</v>
      </c>
    </row>
    <row r="293" spans="1:15" x14ac:dyDescent="0.3">
      <c r="A293" t="s">
        <v>369</v>
      </c>
      <c r="B293" t="s">
        <v>29</v>
      </c>
      <c r="C293" s="5">
        <v>43468</v>
      </c>
      <c r="D293" s="2">
        <v>4650</v>
      </c>
      <c r="E293">
        <f>SUMIFS(CA_Feed!F:F, CA_Feed!B:B, B293, CA_Feed!E:E, "*DIVIDEND*", CA_Feed!D:D, "&gt;="&amp;C293)</f>
        <v>3</v>
      </c>
      <c r="F293">
        <f t="shared" si="35"/>
        <v>13950</v>
      </c>
      <c r="G293">
        <f t="shared" si="36"/>
        <v>1395</v>
      </c>
      <c r="H293">
        <f t="shared" si="37"/>
        <v>12555</v>
      </c>
      <c r="I293">
        <f>D293 * SUMIFS(CA_Feed!G:G, CA_Feed!B:B, B293, CA_Feed!E:E, "*BONUS*", CA_Feed!D:D, "&gt;="&amp;C293)</f>
        <v>0</v>
      </c>
      <c r="J293">
        <f t="shared" si="38"/>
        <v>0</v>
      </c>
      <c r="K293">
        <f t="shared" si="39"/>
        <v>0</v>
      </c>
      <c r="L293">
        <f>IF(K293&gt;0, K293 * VLOOKUP(B293, CA_Feed!B:N, 13, FALSE), 0)</f>
        <v>0</v>
      </c>
      <c r="M293">
        <f t="shared" si="34"/>
        <v>12555</v>
      </c>
      <c r="N293" s="2">
        <f t="shared" si="40"/>
        <v>0</v>
      </c>
      <c r="O293" t="str">
        <f>IF(COUNTIFS(CA_Feed!B:B, B293)=0, "No Action Announced", IF(COUNTIFS(CA_Feed!B:B, B293, CA_Feed!D:D, "&gt;="&amp;C293)&gt;0, "Processed (Eligible)", "Ineligible (Post Ex-Date)"))</f>
        <v>Processed (Eligible)</v>
      </c>
    </row>
    <row r="294" spans="1:15" x14ac:dyDescent="0.3">
      <c r="A294" t="s">
        <v>370</v>
      </c>
      <c r="B294" t="s">
        <v>43</v>
      </c>
      <c r="C294" s="5">
        <v>42140</v>
      </c>
      <c r="D294" s="2">
        <v>6200</v>
      </c>
      <c r="E294">
        <f>SUMIFS(CA_Feed!F:F, CA_Feed!B:B, B294, CA_Feed!E:E, "*DIVIDEND*", CA_Feed!D:D, "&gt;="&amp;C294)</f>
        <v>1.35</v>
      </c>
      <c r="F294">
        <f t="shared" si="35"/>
        <v>8370</v>
      </c>
      <c r="G294">
        <f t="shared" si="36"/>
        <v>837</v>
      </c>
      <c r="H294">
        <f t="shared" si="37"/>
        <v>7533</v>
      </c>
      <c r="I294">
        <f>D294 * SUMIFS(CA_Feed!G:G, CA_Feed!B:B, B294, CA_Feed!E:E, "*BONUS*", CA_Feed!D:D, "&gt;="&amp;C294)</f>
        <v>0</v>
      </c>
      <c r="J294">
        <f t="shared" si="38"/>
        <v>0</v>
      </c>
      <c r="K294">
        <f t="shared" si="39"/>
        <v>0</v>
      </c>
      <c r="L294">
        <f>IF(K294&gt;0, K294 * VLOOKUP(B294, CA_Feed!B:N, 13, FALSE), 0)</f>
        <v>0</v>
      </c>
      <c r="M294">
        <f t="shared" si="34"/>
        <v>7533</v>
      </c>
      <c r="N294" s="2">
        <f t="shared" si="40"/>
        <v>0</v>
      </c>
      <c r="O294" t="str">
        <f>IF(COUNTIFS(CA_Feed!B:B, B294)=0, "No Action Announced", IF(COUNTIFS(CA_Feed!B:B, B294, CA_Feed!D:D, "&gt;="&amp;C294)&gt;0, "Processed (Eligible)", "Ineligible (Post Ex-Date)"))</f>
        <v>Processed (Eligible)</v>
      </c>
    </row>
    <row r="295" spans="1:15" x14ac:dyDescent="0.3">
      <c r="A295" t="s">
        <v>371</v>
      </c>
      <c r="B295" t="s">
        <v>27</v>
      </c>
      <c r="C295" s="5">
        <v>44412</v>
      </c>
      <c r="D295" s="2">
        <v>2250</v>
      </c>
      <c r="E295">
        <f>SUMIFS(CA_Feed!F:F, CA_Feed!B:B, B295, CA_Feed!E:E, "*DIVIDEND*", CA_Feed!D:D, "&gt;="&amp;C295)</f>
        <v>3.25</v>
      </c>
      <c r="F295">
        <f t="shared" si="35"/>
        <v>7312.5</v>
      </c>
      <c r="G295">
        <f t="shared" si="36"/>
        <v>731.25</v>
      </c>
      <c r="H295">
        <f t="shared" si="37"/>
        <v>6581.25</v>
      </c>
      <c r="I295">
        <f>D295 * SUMIFS(CA_Feed!G:G, CA_Feed!B:B, B295, CA_Feed!E:E, "*BONUS*", CA_Feed!D:D, "&gt;="&amp;C295)</f>
        <v>0</v>
      </c>
      <c r="J295">
        <f t="shared" si="38"/>
        <v>0</v>
      </c>
      <c r="K295">
        <f t="shared" si="39"/>
        <v>0</v>
      </c>
      <c r="L295">
        <f>IF(K295&gt;0, K295 * VLOOKUP(B295, CA_Feed!B:N, 13, FALSE), 0)</f>
        <v>0</v>
      </c>
      <c r="M295">
        <f t="shared" si="34"/>
        <v>6581.25</v>
      </c>
      <c r="N295" s="2">
        <f t="shared" si="40"/>
        <v>0</v>
      </c>
      <c r="O295" t="str">
        <f>IF(COUNTIFS(CA_Feed!B:B, B295)=0, "No Action Announced", IF(COUNTIFS(CA_Feed!B:B, B295, CA_Feed!D:D, "&gt;="&amp;C295)&gt;0, "Processed (Eligible)", "Ineligible (Post Ex-Date)"))</f>
        <v>Processed (Eligible)</v>
      </c>
    </row>
    <row r="296" spans="1:15" x14ac:dyDescent="0.3">
      <c r="A296" t="s">
        <v>372</v>
      </c>
      <c r="B296" t="s">
        <v>27</v>
      </c>
      <c r="C296" s="5">
        <v>43749</v>
      </c>
      <c r="D296" s="2">
        <v>9050</v>
      </c>
      <c r="E296">
        <f>SUMIFS(CA_Feed!F:F, CA_Feed!B:B, B296, CA_Feed!E:E, "*DIVIDEND*", CA_Feed!D:D, "&gt;="&amp;C296)</f>
        <v>3.25</v>
      </c>
      <c r="F296">
        <f t="shared" si="35"/>
        <v>29412.5</v>
      </c>
      <c r="G296">
        <f t="shared" si="36"/>
        <v>2941.25</v>
      </c>
      <c r="H296">
        <f t="shared" si="37"/>
        <v>26471.25</v>
      </c>
      <c r="I296">
        <f>D296 * SUMIFS(CA_Feed!G:G, CA_Feed!B:B, B296, CA_Feed!E:E, "*BONUS*", CA_Feed!D:D, "&gt;="&amp;C296)</f>
        <v>0</v>
      </c>
      <c r="J296">
        <f t="shared" si="38"/>
        <v>0</v>
      </c>
      <c r="K296">
        <f t="shared" si="39"/>
        <v>0</v>
      </c>
      <c r="L296">
        <f>IF(K296&gt;0, K296 * VLOOKUP(B296, CA_Feed!B:N, 13, FALSE), 0)</f>
        <v>0</v>
      </c>
      <c r="M296">
        <f t="shared" si="34"/>
        <v>26471.25</v>
      </c>
      <c r="N296" s="2">
        <f t="shared" si="40"/>
        <v>0</v>
      </c>
      <c r="O296" t="str">
        <f>IF(COUNTIFS(CA_Feed!B:B, B296)=0, "No Action Announced", IF(COUNTIFS(CA_Feed!B:B, B296, CA_Feed!D:D, "&gt;="&amp;C296)&gt;0, "Processed (Eligible)", "Ineligible (Post Ex-Date)"))</f>
        <v>Processed (Eligible)</v>
      </c>
    </row>
    <row r="297" spans="1:15" x14ac:dyDescent="0.3">
      <c r="A297" t="s">
        <v>373</v>
      </c>
      <c r="B297" t="s">
        <v>43</v>
      </c>
      <c r="C297" s="5">
        <v>44348</v>
      </c>
      <c r="D297" s="2">
        <v>9550</v>
      </c>
      <c r="E297">
        <f>SUMIFS(CA_Feed!F:F, CA_Feed!B:B, B297, CA_Feed!E:E, "*DIVIDEND*", CA_Feed!D:D, "&gt;="&amp;C297)</f>
        <v>1.35</v>
      </c>
      <c r="F297">
        <f t="shared" si="35"/>
        <v>12892.5</v>
      </c>
      <c r="G297">
        <f t="shared" si="36"/>
        <v>1289.25</v>
      </c>
      <c r="H297">
        <f t="shared" si="37"/>
        <v>11603.25</v>
      </c>
      <c r="I297">
        <f>D297 * SUMIFS(CA_Feed!G:G, CA_Feed!B:B, B297, CA_Feed!E:E, "*BONUS*", CA_Feed!D:D, "&gt;="&amp;C297)</f>
        <v>0</v>
      </c>
      <c r="J297">
        <f t="shared" si="38"/>
        <v>0</v>
      </c>
      <c r="K297">
        <f t="shared" si="39"/>
        <v>0</v>
      </c>
      <c r="L297">
        <f>IF(K297&gt;0, K297 * VLOOKUP(B297, CA_Feed!B:N, 13, FALSE), 0)</f>
        <v>0</v>
      </c>
      <c r="M297">
        <f t="shared" si="34"/>
        <v>11603.25</v>
      </c>
      <c r="N297" s="2">
        <f t="shared" si="40"/>
        <v>0</v>
      </c>
      <c r="O297" t="str">
        <f>IF(COUNTIFS(CA_Feed!B:B, B297)=0, "No Action Announced", IF(COUNTIFS(CA_Feed!B:B, B297, CA_Feed!D:D, "&gt;="&amp;C297)&gt;0, "Processed (Eligible)", "Ineligible (Post Ex-Date)"))</f>
        <v>Processed (Eligible)</v>
      </c>
    </row>
    <row r="298" spans="1:15" x14ac:dyDescent="0.3">
      <c r="A298" t="s">
        <v>374</v>
      </c>
      <c r="B298" t="s">
        <v>66</v>
      </c>
      <c r="C298" s="5">
        <v>43739</v>
      </c>
      <c r="D298" s="2">
        <v>7800</v>
      </c>
      <c r="E298">
        <f>SUMIFS(CA_Feed!F:F, CA_Feed!B:B, B298, CA_Feed!E:E, "*DIVIDEND*", CA_Feed!D:D, "&gt;="&amp;C298)</f>
        <v>0</v>
      </c>
      <c r="F298">
        <f t="shared" si="35"/>
        <v>0</v>
      </c>
      <c r="G298">
        <f t="shared" si="36"/>
        <v>0</v>
      </c>
      <c r="H298">
        <f t="shared" si="37"/>
        <v>0</v>
      </c>
      <c r="I298">
        <f>D298 * SUMIFS(CA_Feed!G:G, CA_Feed!B:B, B298, CA_Feed!E:E, "*BONUS*", CA_Feed!D:D, "&gt;="&amp;C298)</f>
        <v>1560</v>
      </c>
      <c r="J298">
        <f t="shared" si="38"/>
        <v>1560</v>
      </c>
      <c r="K298">
        <f t="shared" si="39"/>
        <v>0</v>
      </c>
      <c r="L298">
        <f>IF(K298&gt;0, K298 * VLOOKUP(B298, CA_Feed!B:N, 13, FALSE), 0)</f>
        <v>0</v>
      </c>
      <c r="M298">
        <f t="shared" si="34"/>
        <v>0</v>
      </c>
      <c r="N298" s="2">
        <f t="shared" si="40"/>
        <v>9360</v>
      </c>
      <c r="O298" t="str">
        <f>IF(COUNTIFS(CA_Feed!B:B, B298)=0, "No Action Announced", IF(COUNTIFS(CA_Feed!B:B, B298, CA_Feed!D:D, "&gt;="&amp;C298)&gt;0, "Processed (Eligible)", "Ineligible (Post Ex-Date)"))</f>
        <v>Processed (Eligible)</v>
      </c>
    </row>
    <row r="299" spans="1:15" x14ac:dyDescent="0.3">
      <c r="A299" t="s">
        <v>375</v>
      </c>
      <c r="B299" t="s">
        <v>31</v>
      </c>
      <c r="C299" s="5">
        <v>43843</v>
      </c>
      <c r="D299" s="2">
        <v>6800</v>
      </c>
      <c r="E299">
        <f>SUMIFS(CA_Feed!F:F, CA_Feed!B:B, B299, CA_Feed!E:E, "*DIVIDEND*", CA_Feed!D:D, "&gt;="&amp;C299)</f>
        <v>3</v>
      </c>
      <c r="F299">
        <f t="shared" si="35"/>
        <v>20400</v>
      </c>
      <c r="G299">
        <f t="shared" si="36"/>
        <v>2040</v>
      </c>
      <c r="H299">
        <f t="shared" si="37"/>
        <v>18360</v>
      </c>
      <c r="I299">
        <f>D299 * SUMIFS(CA_Feed!G:G, CA_Feed!B:B, B299, CA_Feed!E:E, "*BONUS*", CA_Feed!D:D, "&gt;="&amp;C299)</f>
        <v>0</v>
      </c>
      <c r="J299">
        <f t="shared" si="38"/>
        <v>0</v>
      </c>
      <c r="K299">
        <f t="shared" si="39"/>
        <v>0</v>
      </c>
      <c r="L299">
        <f>IF(K299&gt;0, K299 * VLOOKUP(B299, CA_Feed!B:N, 13, FALSE), 0)</f>
        <v>0</v>
      </c>
      <c r="M299">
        <f t="shared" si="34"/>
        <v>18360</v>
      </c>
      <c r="N299" s="2">
        <f t="shared" si="40"/>
        <v>0</v>
      </c>
      <c r="O299" t="str">
        <f>IF(COUNTIFS(CA_Feed!B:B, B299)=0, "No Action Announced", IF(COUNTIFS(CA_Feed!B:B, B299, CA_Feed!D:D, "&gt;="&amp;C299)&gt;0, "Processed (Eligible)", "Ineligible (Post Ex-Date)"))</f>
        <v>Processed (Eligible)</v>
      </c>
    </row>
    <row r="300" spans="1:15" x14ac:dyDescent="0.3">
      <c r="A300" t="s">
        <v>376</v>
      </c>
      <c r="B300" t="s">
        <v>31</v>
      </c>
      <c r="C300" s="5">
        <v>44430</v>
      </c>
      <c r="D300" s="2">
        <v>2900</v>
      </c>
      <c r="E300">
        <f>SUMIFS(CA_Feed!F:F, CA_Feed!B:B, B300, CA_Feed!E:E, "*DIVIDEND*", CA_Feed!D:D, "&gt;="&amp;C300)</f>
        <v>3</v>
      </c>
      <c r="F300">
        <f t="shared" si="35"/>
        <v>8700</v>
      </c>
      <c r="G300">
        <f t="shared" si="36"/>
        <v>870</v>
      </c>
      <c r="H300">
        <f t="shared" si="37"/>
        <v>7830</v>
      </c>
      <c r="I300">
        <f>D300 * SUMIFS(CA_Feed!G:G, CA_Feed!B:B, B300, CA_Feed!E:E, "*BONUS*", CA_Feed!D:D, "&gt;="&amp;C300)</f>
        <v>0</v>
      </c>
      <c r="J300">
        <f t="shared" si="38"/>
        <v>0</v>
      </c>
      <c r="K300">
        <f t="shared" si="39"/>
        <v>0</v>
      </c>
      <c r="L300">
        <f>IF(K300&gt;0, K300 * VLOOKUP(B300, CA_Feed!B:N, 13, FALSE), 0)</f>
        <v>0</v>
      </c>
      <c r="M300">
        <f t="shared" si="34"/>
        <v>7830</v>
      </c>
      <c r="N300" s="2">
        <f t="shared" si="40"/>
        <v>0</v>
      </c>
      <c r="O300" t="str">
        <f>IF(COUNTIFS(CA_Feed!B:B, B300)=0, "No Action Announced", IF(COUNTIFS(CA_Feed!B:B, B300, CA_Feed!D:D, "&gt;="&amp;C300)&gt;0, "Processed (Eligible)", "Ineligible (Post Ex-Date)"))</f>
        <v>Processed (Eligible)</v>
      </c>
    </row>
    <row r="301" spans="1:15" x14ac:dyDescent="0.3">
      <c r="A301" t="s">
        <v>377</v>
      </c>
      <c r="B301" t="s">
        <v>31</v>
      </c>
      <c r="C301" s="5">
        <v>43935</v>
      </c>
      <c r="D301" s="2">
        <v>2950</v>
      </c>
      <c r="E301">
        <f>SUMIFS(CA_Feed!F:F, CA_Feed!B:B, B301, CA_Feed!E:E, "*DIVIDEND*", CA_Feed!D:D, "&gt;="&amp;C301)</f>
        <v>3</v>
      </c>
      <c r="F301">
        <f t="shared" si="35"/>
        <v>8850</v>
      </c>
      <c r="G301">
        <f t="shared" si="36"/>
        <v>885</v>
      </c>
      <c r="H301">
        <f t="shared" si="37"/>
        <v>7965</v>
      </c>
      <c r="I301">
        <f>D301 * SUMIFS(CA_Feed!G:G, CA_Feed!B:B, B301, CA_Feed!E:E, "*BONUS*", CA_Feed!D:D, "&gt;="&amp;C301)</f>
        <v>0</v>
      </c>
      <c r="J301">
        <f t="shared" si="38"/>
        <v>0</v>
      </c>
      <c r="K301">
        <f t="shared" si="39"/>
        <v>0</v>
      </c>
      <c r="L301">
        <f>IF(K301&gt;0, K301 * VLOOKUP(B301, CA_Feed!B:N, 13, FALSE), 0)</f>
        <v>0</v>
      </c>
      <c r="M301">
        <f t="shared" si="34"/>
        <v>7965</v>
      </c>
      <c r="N301" s="2">
        <f t="shared" si="40"/>
        <v>0</v>
      </c>
      <c r="O301" t="str">
        <f>IF(COUNTIFS(CA_Feed!B:B, B301)=0, "No Action Announced", IF(COUNTIFS(CA_Feed!B:B, B301, CA_Feed!D:D, "&gt;="&amp;C301)&gt;0, "Processed (Eligible)", "Ineligible (Post Ex-Date)"))</f>
        <v>Processed (Eligible)</v>
      </c>
    </row>
    <row r="302" spans="1:15" x14ac:dyDescent="0.3">
      <c r="A302" t="s">
        <v>378</v>
      </c>
      <c r="B302" t="s">
        <v>31</v>
      </c>
      <c r="C302" s="5">
        <v>43422</v>
      </c>
      <c r="D302" s="2">
        <v>7650</v>
      </c>
      <c r="E302">
        <f>SUMIFS(CA_Feed!F:F, CA_Feed!B:B, B302, CA_Feed!E:E, "*DIVIDEND*", CA_Feed!D:D, "&gt;="&amp;C302)</f>
        <v>3</v>
      </c>
      <c r="F302">
        <f t="shared" si="35"/>
        <v>22950</v>
      </c>
      <c r="G302">
        <f t="shared" si="36"/>
        <v>2295</v>
      </c>
      <c r="H302">
        <f t="shared" si="37"/>
        <v>20655</v>
      </c>
      <c r="I302">
        <f>D302 * SUMIFS(CA_Feed!G:G, CA_Feed!B:B, B302, CA_Feed!E:E, "*BONUS*", CA_Feed!D:D, "&gt;="&amp;C302)</f>
        <v>0</v>
      </c>
      <c r="J302">
        <f t="shared" si="38"/>
        <v>0</v>
      </c>
      <c r="K302">
        <f t="shared" si="39"/>
        <v>0</v>
      </c>
      <c r="L302">
        <f>IF(K302&gt;0, K302 * VLOOKUP(B302, CA_Feed!B:N, 13, FALSE), 0)</f>
        <v>0</v>
      </c>
      <c r="M302">
        <f t="shared" si="34"/>
        <v>20655</v>
      </c>
      <c r="N302" s="2">
        <f t="shared" si="40"/>
        <v>0</v>
      </c>
      <c r="O302" t="str">
        <f>IF(COUNTIFS(CA_Feed!B:B, B302)=0, "No Action Announced", IF(COUNTIFS(CA_Feed!B:B, B302, CA_Feed!D:D, "&gt;="&amp;C302)&gt;0, "Processed (Eligible)", "Ineligible (Post Ex-Date)"))</f>
        <v>Processed (Eligible)</v>
      </c>
    </row>
    <row r="303" spans="1:15" x14ac:dyDescent="0.3">
      <c r="A303" t="s">
        <v>379</v>
      </c>
      <c r="B303" t="s">
        <v>19</v>
      </c>
      <c r="C303" s="5">
        <v>44416</v>
      </c>
      <c r="D303" s="2">
        <v>4900</v>
      </c>
      <c r="E303">
        <f>SUMIFS(CA_Feed!F:F, CA_Feed!B:B, B303, CA_Feed!E:E, "*DIVIDEND*", CA_Feed!D:D, "&gt;="&amp;C303)</f>
        <v>1.5</v>
      </c>
      <c r="F303">
        <f t="shared" si="35"/>
        <v>7350</v>
      </c>
      <c r="G303">
        <f t="shared" si="36"/>
        <v>735</v>
      </c>
      <c r="H303">
        <f t="shared" si="37"/>
        <v>6615</v>
      </c>
      <c r="I303">
        <f>D303 * SUMIFS(CA_Feed!G:G, CA_Feed!B:B, B303, CA_Feed!E:E, "*BONUS*", CA_Feed!D:D, "&gt;="&amp;C303)</f>
        <v>0</v>
      </c>
      <c r="J303">
        <f t="shared" si="38"/>
        <v>0</v>
      </c>
      <c r="K303">
        <f t="shared" si="39"/>
        <v>0</v>
      </c>
      <c r="L303">
        <f>IF(K303&gt;0, K303 * VLOOKUP(B303, CA_Feed!B:N, 13, FALSE), 0)</f>
        <v>0</v>
      </c>
      <c r="M303">
        <f t="shared" si="34"/>
        <v>6615</v>
      </c>
      <c r="N303" s="2">
        <f t="shared" si="40"/>
        <v>0</v>
      </c>
      <c r="O303" t="str">
        <f>IF(COUNTIFS(CA_Feed!B:B, B303)=0, "No Action Announced", IF(COUNTIFS(CA_Feed!B:B, B303, CA_Feed!D:D, "&gt;="&amp;C303)&gt;0, "Processed (Eligible)", "Ineligible (Post Ex-Date)"))</f>
        <v>Processed (Eligible)</v>
      </c>
    </row>
    <row r="304" spans="1:15" x14ac:dyDescent="0.3">
      <c r="A304" t="s">
        <v>380</v>
      </c>
      <c r="B304" t="s">
        <v>25</v>
      </c>
      <c r="C304" s="5">
        <v>42676</v>
      </c>
      <c r="D304" s="2">
        <v>8050</v>
      </c>
      <c r="E304">
        <f>SUMIFS(CA_Feed!F:F, CA_Feed!B:B, B304, CA_Feed!E:E, "*DIVIDEND*", CA_Feed!D:D, "&gt;="&amp;C304)</f>
        <v>2.5</v>
      </c>
      <c r="F304">
        <f t="shared" si="35"/>
        <v>20125</v>
      </c>
      <c r="G304">
        <f t="shared" si="36"/>
        <v>2012.5</v>
      </c>
      <c r="H304">
        <f t="shared" si="37"/>
        <v>18112.5</v>
      </c>
      <c r="I304">
        <f>D304 * SUMIFS(CA_Feed!G:G, CA_Feed!B:B, B304, CA_Feed!E:E, "*BONUS*", CA_Feed!D:D, "&gt;="&amp;C304)</f>
        <v>0</v>
      </c>
      <c r="J304">
        <f t="shared" si="38"/>
        <v>0</v>
      </c>
      <c r="K304">
        <f t="shared" si="39"/>
        <v>0</v>
      </c>
      <c r="L304">
        <f>IF(K304&gt;0, K304 * VLOOKUP(B304, CA_Feed!B:N, 13, FALSE), 0)</f>
        <v>0</v>
      </c>
      <c r="M304">
        <f t="shared" si="34"/>
        <v>18112.5</v>
      </c>
      <c r="N304" s="2">
        <f t="shared" si="40"/>
        <v>0</v>
      </c>
      <c r="O304" t="str">
        <f>IF(COUNTIFS(CA_Feed!B:B, B304)=0, "No Action Announced", IF(COUNTIFS(CA_Feed!B:B, B304, CA_Feed!D:D, "&gt;="&amp;C304)&gt;0, "Processed (Eligible)", "Ineligible (Post Ex-Date)"))</f>
        <v>Processed (Eligible)</v>
      </c>
    </row>
    <row r="305" spans="1:15" x14ac:dyDescent="0.3">
      <c r="A305" t="s">
        <v>381</v>
      </c>
      <c r="B305" t="s">
        <v>21</v>
      </c>
      <c r="C305" s="5">
        <v>44832</v>
      </c>
      <c r="D305" s="2">
        <v>3950</v>
      </c>
      <c r="E305">
        <f>SUMIFS(CA_Feed!F:F, CA_Feed!B:B, B305, CA_Feed!E:E, "*DIVIDEND*", CA_Feed!D:D, "&gt;="&amp;C305)</f>
        <v>1</v>
      </c>
      <c r="F305">
        <f t="shared" si="35"/>
        <v>3950</v>
      </c>
      <c r="G305">
        <f t="shared" si="36"/>
        <v>395</v>
      </c>
      <c r="H305">
        <f t="shared" si="37"/>
        <v>3555</v>
      </c>
      <c r="I305">
        <f>D305 * SUMIFS(CA_Feed!G:G, CA_Feed!B:B, B305, CA_Feed!E:E, "*BONUS*", CA_Feed!D:D, "&gt;="&amp;C305)</f>
        <v>0</v>
      </c>
      <c r="J305">
        <f t="shared" si="38"/>
        <v>0</v>
      </c>
      <c r="K305">
        <f t="shared" si="39"/>
        <v>0</v>
      </c>
      <c r="L305">
        <f>IF(K305&gt;0, K305 * VLOOKUP(B305, CA_Feed!B:N, 13, FALSE), 0)</f>
        <v>0</v>
      </c>
      <c r="M305">
        <f t="shared" si="34"/>
        <v>3555</v>
      </c>
      <c r="N305" s="2">
        <f t="shared" si="40"/>
        <v>0</v>
      </c>
      <c r="O305" t="str">
        <f>IF(COUNTIFS(CA_Feed!B:B, B305)=0, "No Action Announced", IF(COUNTIFS(CA_Feed!B:B, B305, CA_Feed!D:D, "&gt;="&amp;C305)&gt;0, "Processed (Eligible)", "Ineligible (Post Ex-Date)"))</f>
        <v>Processed (Eligible)</v>
      </c>
    </row>
    <row r="306" spans="1:15" x14ac:dyDescent="0.3">
      <c r="A306" t="s">
        <v>382</v>
      </c>
      <c r="B306" t="s">
        <v>16</v>
      </c>
      <c r="C306" s="5">
        <v>42846</v>
      </c>
      <c r="D306" s="2">
        <v>2550</v>
      </c>
      <c r="E306">
        <f>SUMIFS(CA_Feed!F:F, CA_Feed!B:B, B306, CA_Feed!E:E, "*DIVIDEND*", CA_Feed!D:D, "&gt;="&amp;C306)</f>
        <v>3.75</v>
      </c>
      <c r="F306">
        <f t="shared" si="35"/>
        <v>9562.5</v>
      </c>
      <c r="G306">
        <f t="shared" si="36"/>
        <v>956.25</v>
      </c>
      <c r="H306">
        <f t="shared" si="37"/>
        <v>8606.25</v>
      </c>
      <c r="I306">
        <f>D306 * SUMIFS(CA_Feed!G:G, CA_Feed!B:B, B306, CA_Feed!E:E, "*BONUS*", CA_Feed!D:D, "&gt;="&amp;C306)</f>
        <v>0</v>
      </c>
      <c r="J306">
        <f t="shared" si="38"/>
        <v>0</v>
      </c>
      <c r="K306">
        <f t="shared" si="39"/>
        <v>0</v>
      </c>
      <c r="L306">
        <f>IF(K306&gt;0, K306 * VLOOKUP(B306, CA_Feed!B:N, 13, FALSE), 0)</f>
        <v>0</v>
      </c>
      <c r="M306">
        <f t="shared" si="34"/>
        <v>8606.25</v>
      </c>
      <c r="N306" s="2">
        <f t="shared" si="40"/>
        <v>0</v>
      </c>
      <c r="O306" t="str">
        <f>IF(COUNTIFS(CA_Feed!B:B, B306)=0, "No Action Announced", IF(COUNTIFS(CA_Feed!B:B, B306, CA_Feed!D:D, "&gt;="&amp;C306)&gt;0, "Processed (Eligible)", "Ineligible (Post Ex-Date)"))</f>
        <v>Processed (Eligible)</v>
      </c>
    </row>
    <row r="307" spans="1:15" x14ac:dyDescent="0.3">
      <c r="A307" t="s">
        <v>558</v>
      </c>
      <c r="B307" t="s">
        <v>12</v>
      </c>
      <c r="C307" s="5">
        <v>45236</v>
      </c>
      <c r="D307" s="2">
        <v>900</v>
      </c>
      <c r="E307">
        <f>SUMIFS(CA_Feed!F:F, CA_Feed!B:B, B307, CA_Feed!E:E, "*DIVIDEND*", CA_Feed!D:D, "&gt;="&amp;C307)</f>
        <v>19</v>
      </c>
      <c r="F307">
        <f t="shared" si="35"/>
        <v>17100</v>
      </c>
      <c r="G307">
        <f t="shared" si="36"/>
        <v>1710</v>
      </c>
      <c r="H307">
        <f t="shared" si="37"/>
        <v>15390</v>
      </c>
      <c r="I307">
        <f>D307 * SUMIFS(CA_Feed!G:G, CA_Feed!B:B, B307, CA_Feed!E:E, "*BONUS*", CA_Feed!D:D, "&gt;="&amp;C307)</f>
        <v>0</v>
      </c>
      <c r="J307">
        <f t="shared" si="38"/>
        <v>0</v>
      </c>
      <c r="K307">
        <f t="shared" si="39"/>
        <v>0</v>
      </c>
      <c r="L307">
        <f>IF(K307&gt;0, K307 * VLOOKUP(B307, CA_Feed!B:N, 13, FALSE), 0)</f>
        <v>0</v>
      </c>
      <c r="M307">
        <f t="shared" si="34"/>
        <v>15390</v>
      </c>
      <c r="N307" s="2">
        <f t="shared" si="40"/>
        <v>0</v>
      </c>
      <c r="O307" t="str">
        <f>IF(COUNTIFS(CA_Feed!B:B, B307)=0, "No Action Announced", IF(COUNTIFS(CA_Feed!B:B, B307, CA_Feed!D:D, "&gt;="&amp;C307)&gt;0, "Processed (Eligible)", "Ineligible (Post Ex-Date)"))</f>
        <v>Processed (Eligible)</v>
      </c>
    </row>
    <row r="308" spans="1:15" x14ac:dyDescent="0.3">
      <c r="A308" t="s">
        <v>384</v>
      </c>
      <c r="B308" t="s">
        <v>29</v>
      </c>
      <c r="C308" s="5">
        <v>44253</v>
      </c>
      <c r="D308" s="2">
        <v>4100</v>
      </c>
      <c r="E308">
        <f>SUMIFS(CA_Feed!F:F, CA_Feed!B:B, B308, CA_Feed!E:E, "*DIVIDEND*", CA_Feed!D:D, "&gt;="&amp;C308)</f>
        <v>3</v>
      </c>
      <c r="F308">
        <f t="shared" ref="F308:F357" si="41">D308 * E308</f>
        <v>12300</v>
      </c>
      <c r="G308">
        <f t="shared" ref="G308:G357" si="42">F308 * 0.1</f>
        <v>1230</v>
      </c>
      <c r="H308">
        <f t="shared" ref="H308:H357" si="43">F308 - G308</f>
        <v>11070</v>
      </c>
      <c r="I308">
        <f>D308 * SUMIFS(CA_Feed!G:G, CA_Feed!B:B, B308, CA_Feed!E:E, "*BONUS*", CA_Feed!D:D, "&gt;="&amp;C308)</f>
        <v>0</v>
      </c>
      <c r="J308">
        <f t="shared" ref="J308:J357" si="44">INT(I308)</f>
        <v>0</v>
      </c>
      <c r="K308">
        <f t="shared" ref="K308:K357" si="45">I308-J308</f>
        <v>0</v>
      </c>
      <c r="L308">
        <f>IF(K308&gt;0, K308 * VLOOKUP(B308, CA_Feed!B:N, 13, FALSE), 0)</f>
        <v>0</v>
      </c>
      <c r="M308">
        <f t="shared" ref="M308:M356" si="46">H308 + L308</f>
        <v>11070</v>
      </c>
      <c r="N308" s="2">
        <f t="shared" si="40"/>
        <v>0</v>
      </c>
      <c r="O308" t="str">
        <f>IF(COUNTIFS(CA_Feed!B:B, B308)=0, "No Action Announced", IF(COUNTIFS(CA_Feed!B:B, B308, CA_Feed!D:D, "&gt;="&amp;C308)&gt;0, "Processed (Eligible)", "Ineligible (Post Ex-Date)"))</f>
        <v>Processed (Eligible)</v>
      </c>
    </row>
    <row r="309" spans="1:15" x14ac:dyDescent="0.3">
      <c r="A309" t="s">
        <v>385</v>
      </c>
      <c r="B309" t="s">
        <v>37</v>
      </c>
      <c r="C309" s="5">
        <v>45000</v>
      </c>
      <c r="D309" s="2">
        <v>5400</v>
      </c>
      <c r="E309">
        <f>SUMIFS(CA_Feed!F:F, CA_Feed!B:B, B309, CA_Feed!E:E, "*DIVIDEND*", CA_Feed!D:D, "&gt;="&amp;C309)</f>
        <v>6.5</v>
      </c>
      <c r="F309">
        <f t="shared" si="41"/>
        <v>35100</v>
      </c>
      <c r="G309">
        <f t="shared" si="42"/>
        <v>3510</v>
      </c>
      <c r="H309">
        <f t="shared" si="43"/>
        <v>31590</v>
      </c>
      <c r="I309">
        <f>D309 * SUMIFS(CA_Feed!G:G, CA_Feed!B:B, B309, CA_Feed!E:E, "*BONUS*", CA_Feed!D:D, "&gt;="&amp;C309)</f>
        <v>0</v>
      </c>
      <c r="J309">
        <f t="shared" si="44"/>
        <v>0</v>
      </c>
      <c r="K309">
        <f t="shared" si="45"/>
        <v>0</v>
      </c>
      <c r="L309">
        <f>IF(K309&gt;0, K309 * VLOOKUP(B309, CA_Feed!B:N, 13, FALSE), 0)</f>
        <v>0</v>
      </c>
      <c r="M309">
        <f t="shared" si="46"/>
        <v>31590</v>
      </c>
      <c r="N309" s="2">
        <f t="shared" si="40"/>
        <v>0</v>
      </c>
      <c r="O309" t="str">
        <f>IF(COUNTIFS(CA_Feed!B:B, B309)=0, "No Action Announced", IF(COUNTIFS(CA_Feed!B:B, B309, CA_Feed!D:D, "&gt;="&amp;C309)&gt;0, "Processed (Eligible)", "Ineligible (Post Ex-Date)"))</f>
        <v>Processed (Eligible)</v>
      </c>
    </row>
    <row r="310" spans="1:15" x14ac:dyDescent="0.3">
      <c r="A310" t="s">
        <v>386</v>
      </c>
      <c r="B310" t="s">
        <v>27</v>
      </c>
      <c r="C310" s="5">
        <v>45294</v>
      </c>
      <c r="D310" s="2">
        <v>8350</v>
      </c>
      <c r="E310">
        <f>SUMIFS(CA_Feed!F:F, CA_Feed!B:B, B310, CA_Feed!E:E, "*DIVIDEND*", CA_Feed!D:D, "&gt;="&amp;C310)</f>
        <v>3.25</v>
      </c>
      <c r="F310">
        <f t="shared" si="41"/>
        <v>27137.5</v>
      </c>
      <c r="G310">
        <f t="shared" si="42"/>
        <v>2713.75</v>
      </c>
      <c r="H310">
        <f t="shared" si="43"/>
        <v>24423.75</v>
      </c>
      <c r="I310">
        <f>D310 * SUMIFS(CA_Feed!G:G, CA_Feed!B:B, B310, CA_Feed!E:E, "*BONUS*", CA_Feed!D:D, "&gt;="&amp;C310)</f>
        <v>0</v>
      </c>
      <c r="J310">
        <f t="shared" si="44"/>
        <v>0</v>
      </c>
      <c r="K310">
        <f t="shared" si="45"/>
        <v>0</v>
      </c>
      <c r="L310">
        <f>IF(K310&gt;0, K310 * VLOOKUP(B310, CA_Feed!B:N, 13, FALSE), 0)</f>
        <v>0</v>
      </c>
      <c r="M310">
        <f t="shared" si="46"/>
        <v>24423.75</v>
      </c>
      <c r="N310" s="2">
        <f t="shared" si="40"/>
        <v>0</v>
      </c>
      <c r="O310" t="str">
        <f>IF(COUNTIFS(CA_Feed!B:B, B310)=0, "No Action Announced", IF(COUNTIFS(CA_Feed!B:B, B310, CA_Feed!D:D, "&gt;="&amp;C310)&gt;0, "Processed (Eligible)", "Ineligible (Post Ex-Date)"))</f>
        <v>Processed (Eligible)</v>
      </c>
    </row>
    <row r="311" spans="1:15" x14ac:dyDescent="0.3">
      <c r="A311" t="s">
        <v>387</v>
      </c>
      <c r="B311" t="s">
        <v>16</v>
      </c>
      <c r="C311" s="5">
        <v>44255</v>
      </c>
      <c r="D311" s="2">
        <v>3350</v>
      </c>
      <c r="E311">
        <f>SUMIFS(CA_Feed!F:F, CA_Feed!B:B, B311, CA_Feed!E:E, "*DIVIDEND*", CA_Feed!D:D, "&gt;="&amp;C311)</f>
        <v>3.75</v>
      </c>
      <c r="F311">
        <f t="shared" si="41"/>
        <v>12562.5</v>
      </c>
      <c r="G311">
        <f t="shared" si="42"/>
        <v>1256.25</v>
      </c>
      <c r="H311">
        <f t="shared" si="43"/>
        <v>11306.25</v>
      </c>
      <c r="I311">
        <f>D311 * SUMIFS(CA_Feed!G:G, CA_Feed!B:B, B311, CA_Feed!E:E, "*BONUS*", CA_Feed!D:D, "&gt;="&amp;C311)</f>
        <v>0</v>
      </c>
      <c r="J311">
        <f t="shared" si="44"/>
        <v>0</v>
      </c>
      <c r="K311">
        <f t="shared" si="45"/>
        <v>0</v>
      </c>
      <c r="L311">
        <f>IF(K311&gt;0, K311 * VLOOKUP(B311, CA_Feed!B:N, 13, FALSE), 0)</f>
        <v>0</v>
      </c>
      <c r="M311">
        <f t="shared" si="46"/>
        <v>11306.25</v>
      </c>
      <c r="N311" s="2">
        <f t="shared" si="40"/>
        <v>0</v>
      </c>
      <c r="O311" t="str">
        <f>IF(COUNTIFS(CA_Feed!B:B, B311)=0, "No Action Announced", IF(COUNTIFS(CA_Feed!B:B, B311, CA_Feed!D:D, "&gt;="&amp;C311)&gt;0, "Processed (Eligible)", "Ineligible (Post Ex-Date)"))</f>
        <v>Processed (Eligible)</v>
      </c>
    </row>
    <row r="312" spans="1:15" x14ac:dyDescent="0.3">
      <c r="A312" t="s">
        <v>388</v>
      </c>
      <c r="B312" t="s">
        <v>25</v>
      </c>
      <c r="C312" s="5">
        <v>45602</v>
      </c>
      <c r="D312" s="2">
        <v>7250</v>
      </c>
      <c r="E312">
        <f>SUMIFS(CA_Feed!F:F, CA_Feed!B:B, B312, CA_Feed!E:E, "*DIVIDEND*", CA_Feed!D:D, "&gt;="&amp;C312)</f>
        <v>1</v>
      </c>
      <c r="F312">
        <f t="shared" si="41"/>
        <v>7250</v>
      </c>
      <c r="G312">
        <f t="shared" si="42"/>
        <v>725</v>
      </c>
      <c r="H312">
        <f t="shared" si="43"/>
        <v>6525</v>
      </c>
      <c r="I312">
        <f>D312 * SUMIFS(CA_Feed!G:G, CA_Feed!B:B, B312, CA_Feed!E:E, "*BONUS*", CA_Feed!D:D, "&gt;="&amp;C312)</f>
        <v>0</v>
      </c>
      <c r="J312">
        <f t="shared" si="44"/>
        <v>0</v>
      </c>
      <c r="K312">
        <f t="shared" si="45"/>
        <v>0</v>
      </c>
      <c r="L312">
        <f>IF(K312&gt;0, K312 * VLOOKUP(B312, CA_Feed!B:N, 13, FALSE), 0)</f>
        <v>0</v>
      </c>
      <c r="M312">
        <f t="shared" si="46"/>
        <v>6525</v>
      </c>
      <c r="N312" s="2">
        <f t="shared" si="40"/>
        <v>0</v>
      </c>
      <c r="O312" t="str">
        <f>IF(COUNTIFS(CA_Feed!B:B, B312)=0, "No Action Announced", IF(COUNTIFS(CA_Feed!B:B, B312, CA_Feed!D:D, "&gt;="&amp;C312)&gt;0, "Processed (Eligible)", "Ineligible (Post Ex-Date)"))</f>
        <v>Processed (Eligible)</v>
      </c>
    </row>
    <row r="313" spans="1:15" x14ac:dyDescent="0.3">
      <c r="A313" t="s">
        <v>389</v>
      </c>
      <c r="B313" t="s">
        <v>23</v>
      </c>
      <c r="C313" s="5">
        <v>42364</v>
      </c>
      <c r="D313" s="2">
        <v>2400</v>
      </c>
      <c r="E313">
        <f>SUMIFS(CA_Feed!F:F, CA_Feed!B:B, B313, CA_Feed!E:E, "*DIVIDEND*", CA_Feed!D:D, "&gt;="&amp;C313)</f>
        <v>1.5000000000000002</v>
      </c>
      <c r="F313">
        <f t="shared" si="41"/>
        <v>3600.0000000000005</v>
      </c>
      <c r="G313">
        <f t="shared" si="42"/>
        <v>360.00000000000006</v>
      </c>
      <c r="H313">
        <f t="shared" si="43"/>
        <v>3240.0000000000005</v>
      </c>
      <c r="I313">
        <f>D313 * SUMIFS(CA_Feed!G:G, CA_Feed!B:B, B313, CA_Feed!E:E, "*BONUS*", CA_Feed!D:D, "&gt;="&amp;C313)</f>
        <v>0</v>
      </c>
      <c r="J313">
        <f t="shared" si="44"/>
        <v>0</v>
      </c>
      <c r="K313">
        <f t="shared" si="45"/>
        <v>0</v>
      </c>
      <c r="L313">
        <f>IF(K313&gt;0, K313 * VLOOKUP(B313, CA_Feed!B:N, 13, FALSE), 0)</f>
        <v>0</v>
      </c>
      <c r="M313">
        <f t="shared" si="46"/>
        <v>3240.0000000000005</v>
      </c>
      <c r="N313" s="2">
        <f t="shared" si="40"/>
        <v>0</v>
      </c>
      <c r="O313" t="str">
        <f>IF(COUNTIFS(CA_Feed!B:B, B313)=0, "No Action Announced", IF(COUNTIFS(CA_Feed!B:B, B313, CA_Feed!D:D, "&gt;="&amp;C313)&gt;0, "Processed (Eligible)", "Ineligible (Post Ex-Date)"))</f>
        <v>Processed (Eligible)</v>
      </c>
    </row>
    <row r="314" spans="1:15" x14ac:dyDescent="0.3">
      <c r="A314" t="s">
        <v>390</v>
      </c>
      <c r="B314" t="s">
        <v>35</v>
      </c>
      <c r="C314" s="5">
        <v>43806</v>
      </c>
      <c r="D314" s="2">
        <v>8800</v>
      </c>
      <c r="E314">
        <f>SUMIFS(CA_Feed!F:F, CA_Feed!B:B, B314, CA_Feed!E:E, "*DIVIDEND*", CA_Feed!D:D, "&gt;="&amp;C314)</f>
        <v>1</v>
      </c>
      <c r="F314">
        <f t="shared" si="41"/>
        <v>8800</v>
      </c>
      <c r="G314">
        <f t="shared" si="42"/>
        <v>880</v>
      </c>
      <c r="H314">
        <f t="shared" si="43"/>
        <v>7920</v>
      </c>
      <c r="I314">
        <f>D314 * SUMIFS(CA_Feed!G:G, CA_Feed!B:B, B314, CA_Feed!E:E, "*BONUS*", CA_Feed!D:D, "&gt;="&amp;C314)</f>
        <v>0</v>
      </c>
      <c r="J314">
        <f t="shared" si="44"/>
        <v>0</v>
      </c>
      <c r="K314">
        <f t="shared" si="45"/>
        <v>0</v>
      </c>
      <c r="L314">
        <f>IF(K314&gt;0, K314 * VLOOKUP(B314, CA_Feed!B:N, 13, FALSE), 0)</f>
        <v>0</v>
      </c>
      <c r="M314">
        <f t="shared" si="46"/>
        <v>7920</v>
      </c>
      <c r="N314" s="2">
        <f t="shared" si="40"/>
        <v>0</v>
      </c>
      <c r="O314" t="str">
        <f>IF(COUNTIFS(CA_Feed!B:B, B314)=0, "No Action Announced", IF(COUNTIFS(CA_Feed!B:B, B314, CA_Feed!D:D, "&gt;="&amp;C314)&gt;0, "Processed (Eligible)", "Ineligible (Post Ex-Date)"))</f>
        <v>Processed (Eligible)</v>
      </c>
    </row>
    <row r="315" spans="1:15" x14ac:dyDescent="0.3">
      <c r="A315" t="s">
        <v>391</v>
      </c>
      <c r="B315" t="s">
        <v>29</v>
      </c>
      <c r="C315" s="5">
        <v>44660</v>
      </c>
      <c r="D315" s="2">
        <v>4200</v>
      </c>
      <c r="E315">
        <f>SUMIFS(CA_Feed!F:F, CA_Feed!B:B, B315, CA_Feed!E:E, "*DIVIDEND*", CA_Feed!D:D, "&gt;="&amp;C315)</f>
        <v>3</v>
      </c>
      <c r="F315">
        <f t="shared" si="41"/>
        <v>12600</v>
      </c>
      <c r="G315">
        <f t="shared" si="42"/>
        <v>1260</v>
      </c>
      <c r="H315">
        <f t="shared" si="43"/>
        <v>11340</v>
      </c>
      <c r="I315">
        <f>D315 * SUMIFS(CA_Feed!G:G, CA_Feed!B:B, B315, CA_Feed!E:E, "*BONUS*", CA_Feed!D:D, "&gt;="&amp;C315)</f>
        <v>0</v>
      </c>
      <c r="J315">
        <f t="shared" si="44"/>
        <v>0</v>
      </c>
      <c r="K315">
        <f t="shared" si="45"/>
        <v>0</v>
      </c>
      <c r="L315">
        <f>IF(K315&gt;0, K315 * VLOOKUP(B315, CA_Feed!B:N, 13, FALSE), 0)</f>
        <v>0</v>
      </c>
      <c r="M315">
        <f t="shared" si="46"/>
        <v>11340</v>
      </c>
      <c r="N315" s="2">
        <f t="shared" si="40"/>
        <v>0</v>
      </c>
      <c r="O315" t="str">
        <f>IF(COUNTIFS(CA_Feed!B:B, B315)=0, "No Action Announced", IF(COUNTIFS(CA_Feed!B:B, B315, CA_Feed!D:D, "&gt;="&amp;C315)&gt;0, "Processed (Eligible)", "Ineligible (Post Ex-Date)"))</f>
        <v>Processed (Eligible)</v>
      </c>
    </row>
    <row r="316" spans="1:15" x14ac:dyDescent="0.3">
      <c r="A316" t="s">
        <v>392</v>
      </c>
      <c r="B316" t="s">
        <v>16</v>
      </c>
      <c r="C316" s="5">
        <v>44330</v>
      </c>
      <c r="D316" s="2">
        <v>3200</v>
      </c>
      <c r="E316">
        <f>SUMIFS(CA_Feed!F:F, CA_Feed!B:B, B316, CA_Feed!E:E, "*DIVIDEND*", CA_Feed!D:D, "&gt;="&amp;C316)</f>
        <v>3.75</v>
      </c>
      <c r="F316">
        <f t="shared" si="41"/>
        <v>12000</v>
      </c>
      <c r="G316">
        <f t="shared" si="42"/>
        <v>1200</v>
      </c>
      <c r="H316">
        <f t="shared" si="43"/>
        <v>10800</v>
      </c>
      <c r="I316">
        <f>D316 * SUMIFS(CA_Feed!G:G, CA_Feed!B:B, B316, CA_Feed!E:E, "*BONUS*", CA_Feed!D:D, "&gt;="&amp;C316)</f>
        <v>0</v>
      </c>
      <c r="J316">
        <f t="shared" si="44"/>
        <v>0</v>
      </c>
      <c r="K316">
        <f t="shared" si="45"/>
        <v>0</v>
      </c>
      <c r="L316">
        <f>IF(K316&gt;0, K316 * VLOOKUP(B316, CA_Feed!B:N, 13, FALSE), 0)</f>
        <v>0</v>
      </c>
      <c r="M316">
        <f t="shared" si="46"/>
        <v>10800</v>
      </c>
      <c r="N316" s="2">
        <f t="shared" si="40"/>
        <v>0</v>
      </c>
      <c r="O316" t="str">
        <f>IF(COUNTIFS(CA_Feed!B:B, B316)=0, "No Action Announced", IF(COUNTIFS(CA_Feed!B:B, B316, CA_Feed!D:D, "&gt;="&amp;C316)&gt;0, "Processed (Eligible)", "Ineligible (Post Ex-Date)"))</f>
        <v>Processed (Eligible)</v>
      </c>
    </row>
    <row r="317" spans="1:15" x14ac:dyDescent="0.3">
      <c r="A317" t="s">
        <v>245</v>
      </c>
      <c r="B317" t="s">
        <v>12</v>
      </c>
      <c r="C317" s="5">
        <v>45201</v>
      </c>
      <c r="D317" s="2">
        <v>900</v>
      </c>
      <c r="E317">
        <f>SUMIFS(CA_Feed!F:F, CA_Feed!B:B, B317, CA_Feed!E:E, "*DIVIDEND*", CA_Feed!D:D, "&gt;="&amp;C317)</f>
        <v>19</v>
      </c>
      <c r="F317">
        <f t="shared" si="41"/>
        <v>17100</v>
      </c>
      <c r="G317">
        <f t="shared" si="42"/>
        <v>1710</v>
      </c>
      <c r="H317">
        <f t="shared" si="43"/>
        <v>15390</v>
      </c>
      <c r="I317">
        <f>D317 * SUMIFS(CA_Feed!G:G, CA_Feed!B:B, B317, CA_Feed!E:E, "*BONUS*", CA_Feed!D:D, "&gt;="&amp;C317)</f>
        <v>0</v>
      </c>
      <c r="J317">
        <f t="shared" si="44"/>
        <v>0</v>
      </c>
      <c r="K317">
        <f t="shared" si="45"/>
        <v>0</v>
      </c>
      <c r="L317">
        <f>IF(K317&gt;0, K317 * VLOOKUP(B317, CA_Feed!B:N, 13, FALSE), 0)</f>
        <v>0</v>
      </c>
      <c r="M317">
        <f t="shared" si="46"/>
        <v>15390</v>
      </c>
      <c r="N317" s="2">
        <f t="shared" si="40"/>
        <v>0</v>
      </c>
      <c r="O317" t="str">
        <f>IF(COUNTIFS(CA_Feed!B:B, B317)=0, "No Action Announced", IF(COUNTIFS(CA_Feed!B:B, B317, CA_Feed!D:D, "&gt;="&amp;C317)&gt;0, "Processed (Eligible)", "Ineligible (Post Ex-Date)"))</f>
        <v>Processed (Eligible)</v>
      </c>
    </row>
    <row r="318" spans="1:15" x14ac:dyDescent="0.3">
      <c r="A318" t="s">
        <v>394</v>
      </c>
      <c r="B318" t="s">
        <v>21</v>
      </c>
      <c r="C318" s="5">
        <v>44974</v>
      </c>
      <c r="D318" s="2">
        <v>9450</v>
      </c>
      <c r="E318">
        <f>SUMIFS(CA_Feed!F:F, CA_Feed!B:B, B318, CA_Feed!E:E, "*DIVIDEND*", CA_Feed!D:D, "&gt;="&amp;C318)</f>
        <v>1</v>
      </c>
      <c r="F318">
        <f t="shared" si="41"/>
        <v>9450</v>
      </c>
      <c r="G318">
        <f t="shared" si="42"/>
        <v>945</v>
      </c>
      <c r="H318">
        <f t="shared" si="43"/>
        <v>8505</v>
      </c>
      <c r="I318">
        <f>D318 * SUMIFS(CA_Feed!G:G, CA_Feed!B:B, B318, CA_Feed!E:E, "*BONUS*", CA_Feed!D:D, "&gt;="&amp;C318)</f>
        <v>0</v>
      </c>
      <c r="J318">
        <f t="shared" si="44"/>
        <v>0</v>
      </c>
      <c r="K318">
        <f t="shared" si="45"/>
        <v>0</v>
      </c>
      <c r="L318">
        <f>IF(K318&gt;0, K318 * VLOOKUP(B318, CA_Feed!B:N, 13, FALSE), 0)</f>
        <v>0</v>
      </c>
      <c r="M318">
        <f t="shared" si="46"/>
        <v>8505</v>
      </c>
      <c r="N318" s="2">
        <f t="shared" si="40"/>
        <v>0</v>
      </c>
      <c r="O318" t="str">
        <f>IF(COUNTIFS(CA_Feed!B:B, B318)=0, "No Action Announced", IF(COUNTIFS(CA_Feed!B:B, B318, CA_Feed!D:D, "&gt;="&amp;C318)&gt;0, "Processed (Eligible)", "Ineligible (Post Ex-Date)"))</f>
        <v>Processed (Eligible)</v>
      </c>
    </row>
    <row r="319" spans="1:15" x14ac:dyDescent="0.3">
      <c r="A319" t="s">
        <v>395</v>
      </c>
      <c r="B319" t="s">
        <v>45</v>
      </c>
      <c r="C319" s="5">
        <v>44090</v>
      </c>
      <c r="D319" s="2">
        <v>7600</v>
      </c>
      <c r="E319">
        <f>SUMIFS(CA_Feed!F:F, CA_Feed!B:B, B319, CA_Feed!E:E, "*DIVIDEND*", CA_Feed!D:D, "&gt;="&amp;C319)</f>
        <v>2.5</v>
      </c>
      <c r="F319">
        <f t="shared" si="41"/>
        <v>19000</v>
      </c>
      <c r="G319">
        <f t="shared" si="42"/>
        <v>1900</v>
      </c>
      <c r="H319">
        <f t="shared" si="43"/>
        <v>17100</v>
      </c>
      <c r="I319">
        <f>D319 * SUMIFS(CA_Feed!G:G, CA_Feed!B:B, B319, CA_Feed!E:E, "*BONUS*", CA_Feed!D:D, "&gt;="&amp;C319)</f>
        <v>0</v>
      </c>
      <c r="J319">
        <f t="shared" si="44"/>
        <v>0</v>
      </c>
      <c r="K319">
        <f t="shared" si="45"/>
        <v>0</v>
      </c>
      <c r="L319">
        <f>IF(K319&gt;0, K319 * VLOOKUP(B319, CA_Feed!B:N, 13, FALSE), 0)</f>
        <v>0</v>
      </c>
      <c r="M319">
        <f t="shared" si="46"/>
        <v>17100</v>
      </c>
      <c r="N319" s="2">
        <f t="shared" si="40"/>
        <v>0</v>
      </c>
      <c r="O319" t="str">
        <f>IF(COUNTIFS(CA_Feed!B:B, B319)=0, "No Action Announced", IF(COUNTIFS(CA_Feed!B:B, B319, CA_Feed!D:D, "&gt;="&amp;C319)&gt;0, "Processed (Eligible)", "Ineligible (Post Ex-Date)"))</f>
        <v>Processed (Eligible)</v>
      </c>
    </row>
    <row r="320" spans="1:15" x14ac:dyDescent="0.3">
      <c r="A320" t="s">
        <v>396</v>
      </c>
      <c r="B320" t="s">
        <v>29</v>
      </c>
      <c r="C320" s="5">
        <v>44505</v>
      </c>
      <c r="D320" s="2">
        <v>750</v>
      </c>
      <c r="E320">
        <f>SUMIFS(CA_Feed!F:F, CA_Feed!B:B, B320, CA_Feed!E:E, "*DIVIDEND*", CA_Feed!D:D, "&gt;="&amp;C320)</f>
        <v>3</v>
      </c>
      <c r="F320">
        <f t="shared" si="41"/>
        <v>2250</v>
      </c>
      <c r="G320">
        <f t="shared" si="42"/>
        <v>225</v>
      </c>
      <c r="H320">
        <f t="shared" si="43"/>
        <v>2025</v>
      </c>
      <c r="I320">
        <f>D320 * SUMIFS(CA_Feed!G:G, CA_Feed!B:B, B320, CA_Feed!E:E, "*BONUS*", CA_Feed!D:D, "&gt;="&amp;C320)</f>
        <v>0</v>
      </c>
      <c r="J320">
        <f t="shared" si="44"/>
        <v>0</v>
      </c>
      <c r="K320">
        <f t="shared" si="45"/>
        <v>0</v>
      </c>
      <c r="L320">
        <f>IF(K320&gt;0, K320 * VLOOKUP(B320, CA_Feed!B:N, 13, FALSE), 0)</f>
        <v>0</v>
      </c>
      <c r="M320">
        <f t="shared" si="46"/>
        <v>2025</v>
      </c>
      <c r="N320" s="2">
        <f t="shared" si="40"/>
        <v>0</v>
      </c>
      <c r="O320" t="str">
        <f>IF(COUNTIFS(CA_Feed!B:B, B320)=0, "No Action Announced", IF(COUNTIFS(CA_Feed!B:B, B320, CA_Feed!D:D, "&gt;="&amp;C320)&gt;0, "Processed (Eligible)", "Ineligible (Post Ex-Date)"))</f>
        <v>Processed (Eligible)</v>
      </c>
    </row>
    <row r="321" spans="1:15" x14ac:dyDescent="0.3">
      <c r="A321" t="s">
        <v>397</v>
      </c>
      <c r="B321" t="s">
        <v>16</v>
      </c>
      <c r="C321" s="5">
        <v>42646</v>
      </c>
      <c r="D321" s="2">
        <v>3450</v>
      </c>
      <c r="E321">
        <f>SUMIFS(CA_Feed!F:F, CA_Feed!B:B, B321, CA_Feed!E:E, "*DIVIDEND*", CA_Feed!D:D, "&gt;="&amp;C321)</f>
        <v>3.75</v>
      </c>
      <c r="F321">
        <f t="shared" si="41"/>
        <v>12937.5</v>
      </c>
      <c r="G321">
        <f t="shared" si="42"/>
        <v>1293.75</v>
      </c>
      <c r="H321">
        <f t="shared" si="43"/>
        <v>11643.75</v>
      </c>
      <c r="I321">
        <f>D321 * SUMIFS(CA_Feed!G:G, CA_Feed!B:B, B321, CA_Feed!E:E, "*BONUS*", CA_Feed!D:D, "&gt;="&amp;C321)</f>
        <v>0</v>
      </c>
      <c r="J321">
        <f t="shared" si="44"/>
        <v>0</v>
      </c>
      <c r="K321">
        <f t="shared" si="45"/>
        <v>0</v>
      </c>
      <c r="L321">
        <f>IF(K321&gt;0, K321 * VLOOKUP(B321, CA_Feed!B:N, 13, FALSE), 0)</f>
        <v>0</v>
      </c>
      <c r="M321">
        <f t="shared" si="46"/>
        <v>11643.75</v>
      </c>
      <c r="N321" s="2">
        <f t="shared" si="40"/>
        <v>0</v>
      </c>
      <c r="O321" t="str">
        <f>IF(COUNTIFS(CA_Feed!B:B, B321)=0, "No Action Announced", IF(COUNTIFS(CA_Feed!B:B, B321, CA_Feed!D:D, "&gt;="&amp;C321)&gt;0, "Processed (Eligible)", "Ineligible (Post Ex-Date)"))</f>
        <v>Processed (Eligible)</v>
      </c>
    </row>
    <row r="322" spans="1:15" x14ac:dyDescent="0.3">
      <c r="A322" t="s">
        <v>398</v>
      </c>
      <c r="B322" t="s">
        <v>39</v>
      </c>
      <c r="C322" s="5">
        <v>43334</v>
      </c>
      <c r="D322" s="2">
        <v>4350</v>
      </c>
      <c r="E322">
        <f>SUMIFS(CA_Feed!F:F, CA_Feed!B:B, B322, CA_Feed!E:E, "*DIVIDEND*", CA_Feed!D:D, "&gt;="&amp;C322)</f>
        <v>1.2</v>
      </c>
      <c r="F322">
        <f t="shared" si="41"/>
        <v>5220</v>
      </c>
      <c r="G322">
        <f t="shared" si="42"/>
        <v>522</v>
      </c>
      <c r="H322">
        <f t="shared" si="43"/>
        <v>4698</v>
      </c>
      <c r="I322">
        <f>D322 * SUMIFS(CA_Feed!G:G, CA_Feed!B:B, B322, CA_Feed!E:E, "*BONUS*", CA_Feed!D:D, "&gt;="&amp;C322)</f>
        <v>0</v>
      </c>
      <c r="J322">
        <f t="shared" si="44"/>
        <v>0</v>
      </c>
      <c r="K322">
        <f t="shared" si="45"/>
        <v>0</v>
      </c>
      <c r="L322">
        <f>IF(K322&gt;0, K322 * VLOOKUP(B322, CA_Feed!B:N, 13, FALSE), 0)</f>
        <v>0</v>
      </c>
      <c r="M322">
        <f t="shared" si="46"/>
        <v>4698</v>
      </c>
      <c r="N322" s="2">
        <f t="shared" si="40"/>
        <v>0</v>
      </c>
      <c r="O322" t="str">
        <f>IF(COUNTIFS(CA_Feed!B:B, B322)=0, "No Action Announced", IF(COUNTIFS(CA_Feed!B:B, B322, CA_Feed!D:D, "&gt;="&amp;C322)&gt;0, "Processed (Eligible)", "Ineligible (Post Ex-Date)"))</f>
        <v>Processed (Eligible)</v>
      </c>
    </row>
    <row r="323" spans="1:15" x14ac:dyDescent="0.3">
      <c r="A323" t="s">
        <v>536</v>
      </c>
      <c r="B323" t="s">
        <v>12</v>
      </c>
      <c r="C323" s="5">
        <v>45180</v>
      </c>
      <c r="D323" s="2">
        <v>900</v>
      </c>
      <c r="E323">
        <f>SUMIFS(CA_Feed!F:F, CA_Feed!B:B, B323, CA_Feed!E:E, "*DIVIDEND*", CA_Feed!D:D, "&gt;="&amp;C323)</f>
        <v>19</v>
      </c>
      <c r="F323">
        <f t="shared" si="41"/>
        <v>17100</v>
      </c>
      <c r="G323">
        <f t="shared" si="42"/>
        <v>1710</v>
      </c>
      <c r="H323">
        <f t="shared" si="43"/>
        <v>15390</v>
      </c>
      <c r="I323">
        <f>D323 * SUMIFS(CA_Feed!G:G, CA_Feed!B:B, B323, CA_Feed!E:E, "*BONUS*", CA_Feed!D:D, "&gt;="&amp;C323)</f>
        <v>0</v>
      </c>
      <c r="J323">
        <f t="shared" si="44"/>
        <v>0</v>
      </c>
      <c r="K323">
        <f t="shared" si="45"/>
        <v>0</v>
      </c>
      <c r="L323">
        <f>IF(K323&gt;0, K323 * VLOOKUP(B323, CA_Feed!B:N, 13, FALSE), 0)</f>
        <v>0</v>
      </c>
      <c r="M323">
        <f t="shared" si="46"/>
        <v>15390</v>
      </c>
      <c r="N323" s="2">
        <f t="shared" ref="N323:N386" si="47">IF(J323&gt;0,D323 +J323,0)</f>
        <v>0</v>
      </c>
      <c r="O323" t="str">
        <f>IF(COUNTIFS(CA_Feed!B:B, B323)=0, "No Action Announced", IF(COUNTIFS(CA_Feed!B:B, B323, CA_Feed!D:D, "&gt;="&amp;C323)&gt;0, "Processed (Eligible)", "Ineligible (Post Ex-Date)"))</f>
        <v>Processed (Eligible)</v>
      </c>
    </row>
    <row r="324" spans="1:15" x14ac:dyDescent="0.3">
      <c r="A324" t="s">
        <v>630</v>
      </c>
      <c r="B324" t="s">
        <v>12</v>
      </c>
      <c r="C324" s="5">
        <v>45032</v>
      </c>
      <c r="D324" s="2">
        <v>900</v>
      </c>
      <c r="E324">
        <f>SUMIFS(CA_Feed!F:F, CA_Feed!B:B, B324, CA_Feed!E:E, "*DIVIDEND*", CA_Feed!D:D, "&gt;="&amp;C324)</f>
        <v>19</v>
      </c>
      <c r="F324">
        <f t="shared" si="41"/>
        <v>17100</v>
      </c>
      <c r="G324">
        <f t="shared" si="42"/>
        <v>1710</v>
      </c>
      <c r="H324">
        <f t="shared" si="43"/>
        <v>15390</v>
      </c>
      <c r="I324">
        <f>D324 * SUMIFS(CA_Feed!G:G, CA_Feed!B:B, B324, CA_Feed!E:E, "*BONUS*", CA_Feed!D:D, "&gt;="&amp;C324)</f>
        <v>0</v>
      </c>
      <c r="J324">
        <f t="shared" si="44"/>
        <v>0</v>
      </c>
      <c r="K324">
        <f t="shared" si="45"/>
        <v>0</v>
      </c>
      <c r="L324">
        <f>IF(K324&gt;0, K324 * VLOOKUP(B324, CA_Feed!B:N, 13, FALSE), 0)</f>
        <v>0</v>
      </c>
      <c r="M324">
        <f t="shared" si="46"/>
        <v>15390</v>
      </c>
      <c r="N324" s="2">
        <f t="shared" si="47"/>
        <v>0</v>
      </c>
      <c r="O324" t="str">
        <f>IF(COUNTIFS(CA_Feed!B:B, B324)=0, "No Action Announced", IF(COUNTIFS(CA_Feed!B:B, B324, CA_Feed!D:D, "&gt;="&amp;C324)&gt;0, "Processed (Eligible)", "Ineligible (Post Ex-Date)"))</f>
        <v>Processed (Eligible)</v>
      </c>
    </row>
    <row r="325" spans="1:15" x14ac:dyDescent="0.3">
      <c r="A325" t="s">
        <v>401</v>
      </c>
      <c r="B325" t="s">
        <v>23</v>
      </c>
      <c r="C325" s="5">
        <v>44760</v>
      </c>
      <c r="D325" s="2">
        <v>6000</v>
      </c>
      <c r="E325">
        <f>SUMIFS(CA_Feed!F:F, CA_Feed!B:B, B325, CA_Feed!E:E, "*DIVIDEND*", CA_Feed!D:D, "&gt;="&amp;C325)</f>
        <v>1.5000000000000002</v>
      </c>
      <c r="F325">
        <f t="shared" si="41"/>
        <v>9000.0000000000018</v>
      </c>
      <c r="G325">
        <f t="shared" si="42"/>
        <v>900.00000000000023</v>
      </c>
      <c r="H325">
        <f t="shared" si="43"/>
        <v>8100.0000000000018</v>
      </c>
      <c r="I325">
        <f>D325 * SUMIFS(CA_Feed!G:G, CA_Feed!B:B, B325, CA_Feed!E:E, "*BONUS*", CA_Feed!D:D, "&gt;="&amp;C325)</f>
        <v>0</v>
      </c>
      <c r="J325">
        <f t="shared" si="44"/>
        <v>0</v>
      </c>
      <c r="K325">
        <f t="shared" si="45"/>
        <v>0</v>
      </c>
      <c r="L325">
        <f>IF(K325&gt;0, K325 * VLOOKUP(B325, CA_Feed!B:N, 13, FALSE), 0)</f>
        <v>0</v>
      </c>
      <c r="M325">
        <f t="shared" si="46"/>
        <v>8100.0000000000018</v>
      </c>
      <c r="N325" s="2">
        <f t="shared" si="47"/>
        <v>0</v>
      </c>
      <c r="O325" t="str">
        <f>IF(COUNTIFS(CA_Feed!B:B, B325)=0, "No Action Announced", IF(COUNTIFS(CA_Feed!B:B, B325, CA_Feed!D:D, "&gt;="&amp;C325)&gt;0, "Processed (Eligible)", "Ineligible (Post Ex-Date)"))</f>
        <v>Processed (Eligible)</v>
      </c>
    </row>
    <row r="326" spans="1:15" x14ac:dyDescent="0.3">
      <c r="A326" t="s">
        <v>402</v>
      </c>
      <c r="B326" t="s">
        <v>29</v>
      </c>
      <c r="C326" s="5">
        <v>42298</v>
      </c>
      <c r="D326" s="2">
        <v>4300</v>
      </c>
      <c r="E326">
        <f>SUMIFS(CA_Feed!F:F, CA_Feed!B:B, B326, CA_Feed!E:E, "*DIVIDEND*", CA_Feed!D:D, "&gt;="&amp;C326)</f>
        <v>3</v>
      </c>
      <c r="F326">
        <f t="shared" si="41"/>
        <v>12900</v>
      </c>
      <c r="G326">
        <f t="shared" si="42"/>
        <v>1290</v>
      </c>
      <c r="H326">
        <f t="shared" si="43"/>
        <v>11610</v>
      </c>
      <c r="I326">
        <f>D326 * SUMIFS(CA_Feed!G:G, CA_Feed!B:B, B326, CA_Feed!E:E, "*BONUS*", CA_Feed!D:D, "&gt;="&amp;C326)</f>
        <v>0</v>
      </c>
      <c r="J326">
        <f t="shared" si="44"/>
        <v>0</v>
      </c>
      <c r="K326">
        <f t="shared" si="45"/>
        <v>0</v>
      </c>
      <c r="L326">
        <f>IF(K326&gt;0, K326 * VLOOKUP(B326, CA_Feed!B:N, 13, FALSE), 0)</f>
        <v>0</v>
      </c>
      <c r="M326">
        <f t="shared" si="46"/>
        <v>11610</v>
      </c>
      <c r="N326" s="2">
        <f t="shared" si="47"/>
        <v>0</v>
      </c>
      <c r="O326" t="str">
        <f>IF(COUNTIFS(CA_Feed!B:B, B326)=0, "No Action Announced", IF(COUNTIFS(CA_Feed!B:B, B326, CA_Feed!D:D, "&gt;="&amp;C326)&gt;0, "Processed (Eligible)", "Ineligible (Post Ex-Date)"))</f>
        <v>Processed (Eligible)</v>
      </c>
    </row>
    <row r="327" spans="1:15" x14ac:dyDescent="0.3">
      <c r="A327" t="s">
        <v>403</v>
      </c>
      <c r="B327" t="s">
        <v>57</v>
      </c>
      <c r="C327" s="5">
        <v>42727</v>
      </c>
      <c r="D327" s="2">
        <v>6750</v>
      </c>
      <c r="E327">
        <f>SUMIFS(CA_Feed!F:F, CA_Feed!B:B, B327, CA_Feed!E:E, "*DIVIDEND*", CA_Feed!D:D, "&gt;="&amp;C327)</f>
        <v>0.02</v>
      </c>
      <c r="F327">
        <f t="shared" si="41"/>
        <v>135</v>
      </c>
      <c r="G327">
        <f t="shared" si="42"/>
        <v>13.5</v>
      </c>
      <c r="H327">
        <f t="shared" si="43"/>
        <v>121.5</v>
      </c>
      <c r="I327">
        <f>D327 * SUMIFS(CA_Feed!G:G, CA_Feed!B:B, B327, CA_Feed!E:E, "*BONUS*", CA_Feed!D:D, "&gt;="&amp;C327)</f>
        <v>0</v>
      </c>
      <c r="J327">
        <f t="shared" si="44"/>
        <v>0</v>
      </c>
      <c r="K327">
        <f t="shared" si="45"/>
        <v>0</v>
      </c>
      <c r="L327">
        <f>IF(K327&gt;0, K327 * VLOOKUP(B327, CA_Feed!B:N, 13, FALSE), 0)</f>
        <v>0</v>
      </c>
      <c r="M327">
        <f t="shared" si="46"/>
        <v>121.5</v>
      </c>
      <c r="N327" s="2">
        <f t="shared" si="47"/>
        <v>0</v>
      </c>
      <c r="O327" t="str">
        <f>IF(COUNTIFS(CA_Feed!B:B, B327)=0, "No Action Announced", IF(COUNTIFS(CA_Feed!B:B, B327, CA_Feed!D:D, "&gt;="&amp;C327)&gt;0, "Processed (Eligible)", "Ineligible (Post Ex-Date)"))</f>
        <v>Processed (Eligible)</v>
      </c>
    </row>
    <row r="328" spans="1:15" x14ac:dyDescent="0.3">
      <c r="A328" t="s">
        <v>404</v>
      </c>
      <c r="B328" t="s">
        <v>37</v>
      </c>
      <c r="C328" s="5">
        <v>43473</v>
      </c>
      <c r="D328" s="2">
        <v>3400</v>
      </c>
      <c r="E328">
        <f>SUMIFS(CA_Feed!F:F, CA_Feed!B:B, B328, CA_Feed!E:E, "*DIVIDEND*", CA_Feed!D:D, "&gt;="&amp;C328)</f>
        <v>6.5</v>
      </c>
      <c r="F328">
        <f t="shared" si="41"/>
        <v>22100</v>
      </c>
      <c r="G328">
        <f t="shared" si="42"/>
        <v>2210</v>
      </c>
      <c r="H328">
        <f t="shared" si="43"/>
        <v>19890</v>
      </c>
      <c r="I328">
        <f>D328 * SUMIFS(CA_Feed!G:G, CA_Feed!B:B, B328, CA_Feed!E:E, "*BONUS*", CA_Feed!D:D, "&gt;="&amp;C328)</f>
        <v>0</v>
      </c>
      <c r="J328">
        <f t="shared" si="44"/>
        <v>0</v>
      </c>
      <c r="K328">
        <f t="shared" si="45"/>
        <v>0</v>
      </c>
      <c r="L328">
        <f>IF(K328&gt;0, K328 * VLOOKUP(B328, CA_Feed!B:N, 13, FALSE), 0)</f>
        <v>0</v>
      </c>
      <c r="M328">
        <f t="shared" si="46"/>
        <v>19890</v>
      </c>
      <c r="N328" s="2">
        <f t="shared" si="47"/>
        <v>0</v>
      </c>
      <c r="O328" t="str">
        <f>IF(COUNTIFS(CA_Feed!B:B, B328)=0, "No Action Announced", IF(COUNTIFS(CA_Feed!B:B, B328, CA_Feed!D:D, "&gt;="&amp;C328)&gt;0, "Processed (Eligible)", "Ineligible (Post Ex-Date)"))</f>
        <v>Processed (Eligible)</v>
      </c>
    </row>
    <row r="329" spans="1:15" x14ac:dyDescent="0.3">
      <c r="A329" t="s">
        <v>203</v>
      </c>
      <c r="B329" t="s">
        <v>12</v>
      </c>
      <c r="C329" s="5">
        <v>44964</v>
      </c>
      <c r="D329" s="2">
        <v>900</v>
      </c>
      <c r="E329">
        <f>SUMIFS(CA_Feed!F:F, CA_Feed!B:B, B329, CA_Feed!E:E, "*DIVIDEND*", CA_Feed!D:D, "&gt;="&amp;C329)</f>
        <v>19</v>
      </c>
      <c r="F329">
        <f t="shared" si="41"/>
        <v>17100</v>
      </c>
      <c r="G329">
        <f t="shared" si="42"/>
        <v>1710</v>
      </c>
      <c r="H329">
        <f t="shared" si="43"/>
        <v>15390</v>
      </c>
      <c r="I329">
        <f>D329 * SUMIFS(CA_Feed!G:G, CA_Feed!B:B, B329, CA_Feed!E:E, "*BONUS*", CA_Feed!D:D, "&gt;="&amp;C329)</f>
        <v>0</v>
      </c>
      <c r="J329">
        <f t="shared" si="44"/>
        <v>0</v>
      </c>
      <c r="K329">
        <f t="shared" si="45"/>
        <v>0</v>
      </c>
      <c r="L329">
        <f>IF(K329&gt;0, K329 * VLOOKUP(B329, CA_Feed!B:N, 13, FALSE), 0)</f>
        <v>0</v>
      </c>
      <c r="M329">
        <f t="shared" si="46"/>
        <v>15390</v>
      </c>
      <c r="N329" s="2">
        <f t="shared" si="47"/>
        <v>0</v>
      </c>
      <c r="O329" t="str">
        <f>IF(COUNTIFS(CA_Feed!B:B, B329)=0, "No Action Announced", IF(COUNTIFS(CA_Feed!B:B, B329, CA_Feed!D:D, "&gt;="&amp;C329)&gt;0, "Processed (Eligible)", "Ineligible (Post Ex-Date)"))</f>
        <v>Processed (Eligible)</v>
      </c>
    </row>
    <row r="330" spans="1:15" x14ac:dyDescent="0.3">
      <c r="A330" t="s">
        <v>406</v>
      </c>
      <c r="B330" t="s">
        <v>43</v>
      </c>
      <c r="C330" s="5">
        <v>43964</v>
      </c>
      <c r="D330" s="2">
        <v>9900</v>
      </c>
      <c r="E330">
        <f>SUMIFS(CA_Feed!F:F, CA_Feed!B:B, B330, CA_Feed!E:E, "*DIVIDEND*", CA_Feed!D:D, "&gt;="&amp;C330)</f>
        <v>1.35</v>
      </c>
      <c r="F330">
        <f t="shared" si="41"/>
        <v>13365</v>
      </c>
      <c r="G330">
        <f t="shared" si="42"/>
        <v>1336.5</v>
      </c>
      <c r="H330">
        <f t="shared" si="43"/>
        <v>12028.5</v>
      </c>
      <c r="I330">
        <f>D330 * SUMIFS(CA_Feed!G:G, CA_Feed!B:B, B330, CA_Feed!E:E, "*BONUS*", CA_Feed!D:D, "&gt;="&amp;C330)</f>
        <v>0</v>
      </c>
      <c r="J330">
        <f t="shared" si="44"/>
        <v>0</v>
      </c>
      <c r="K330">
        <f t="shared" si="45"/>
        <v>0</v>
      </c>
      <c r="L330">
        <f>IF(K330&gt;0, K330 * VLOOKUP(B330, CA_Feed!B:N, 13, FALSE), 0)</f>
        <v>0</v>
      </c>
      <c r="M330">
        <f t="shared" si="46"/>
        <v>12028.5</v>
      </c>
      <c r="N330" s="2">
        <f t="shared" si="47"/>
        <v>0</v>
      </c>
      <c r="O330" t="str">
        <f>IF(COUNTIFS(CA_Feed!B:B, B330)=0, "No Action Announced", IF(COUNTIFS(CA_Feed!B:B, B330, CA_Feed!D:D, "&gt;="&amp;C330)&gt;0, "Processed (Eligible)", "Ineligible (Post Ex-Date)"))</f>
        <v>Processed (Eligible)</v>
      </c>
    </row>
    <row r="331" spans="1:15" x14ac:dyDescent="0.3">
      <c r="A331" t="s">
        <v>407</v>
      </c>
      <c r="B331" t="s">
        <v>25</v>
      </c>
      <c r="C331" s="5">
        <v>43872</v>
      </c>
      <c r="D331" s="2">
        <v>9600</v>
      </c>
      <c r="E331">
        <f>SUMIFS(CA_Feed!F:F, CA_Feed!B:B, B331, CA_Feed!E:E, "*DIVIDEND*", CA_Feed!D:D, "&gt;="&amp;C331)</f>
        <v>2.5</v>
      </c>
      <c r="F331">
        <f t="shared" si="41"/>
        <v>24000</v>
      </c>
      <c r="G331">
        <f t="shared" si="42"/>
        <v>2400</v>
      </c>
      <c r="H331">
        <f t="shared" si="43"/>
        <v>21600</v>
      </c>
      <c r="I331">
        <f>D331 * SUMIFS(CA_Feed!G:G, CA_Feed!B:B, B331, CA_Feed!E:E, "*BONUS*", CA_Feed!D:D, "&gt;="&amp;C331)</f>
        <v>0</v>
      </c>
      <c r="J331">
        <f t="shared" si="44"/>
        <v>0</v>
      </c>
      <c r="K331">
        <f t="shared" si="45"/>
        <v>0</v>
      </c>
      <c r="L331">
        <f>IF(K331&gt;0, K331 * VLOOKUP(B331, CA_Feed!B:N, 13, FALSE), 0)</f>
        <v>0</v>
      </c>
      <c r="M331">
        <f t="shared" si="46"/>
        <v>21600</v>
      </c>
      <c r="N331" s="2">
        <f t="shared" si="47"/>
        <v>0</v>
      </c>
      <c r="O331" t="str">
        <f>IF(COUNTIFS(CA_Feed!B:B, B331)=0, "No Action Announced", IF(COUNTIFS(CA_Feed!B:B, B331, CA_Feed!D:D, "&gt;="&amp;C331)&gt;0, "Processed (Eligible)", "Ineligible (Post Ex-Date)"))</f>
        <v>Processed (Eligible)</v>
      </c>
    </row>
    <row r="332" spans="1:15" x14ac:dyDescent="0.3">
      <c r="A332" t="s">
        <v>408</v>
      </c>
      <c r="B332" t="s">
        <v>39</v>
      </c>
      <c r="C332" s="5">
        <v>43268</v>
      </c>
      <c r="D332" s="2">
        <v>8450</v>
      </c>
      <c r="E332">
        <f>SUMIFS(CA_Feed!F:F, CA_Feed!B:B, B332, CA_Feed!E:E, "*DIVIDEND*", CA_Feed!D:D, "&gt;="&amp;C332)</f>
        <v>1.2</v>
      </c>
      <c r="F332">
        <f t="shared" si="41"/>
        <v>10140</v>
      </c>
      <c r="G332">
        <f t="shared" si="42"/>
        <v>1014</v>
      </c>
      <c r="H332">
        <f t="shared" si="43"/>
        <v>9126</v>
      </c>
      <c r="I332">
        <f>D332 * SUMIFS(CA_Feed!G:G, CA_Feed!B:B, B332, CA_Feed!E:E, "*BONUS*", CA_Feed!D:D, "&gt;="&amp;C332)</f>
        <v>0</v>
      </c>
      <c r="J332">
        <f t="shared" si="44"/>
        <v>0</v>
      </c>
      <c r="K332">
        <f t="shared" si="45"/>
        <v>0</v>
      </c>
      <c r="L332">
        <f>IF(K332&gt;0, K332 * VLOOKUP(B332, CA_Feed!B:N, 13, FALSE), 0)</f>
        <v>0</v>
      </c>
      <c r="M332">
        <f t="shared" si="46"/>
        <v>9126</v>
      </c>
      <c r="N332" s="2">
        <f t="shared" si="47"/>
        <v>0</v>
      </c>
      <c r="O332" t="str">
        <f>IF(COUNTIFS(CA_Feed!B:B, B332)=0, "No Action Announced", IF(COUNTIFS(CA_Feed!B:B, B332, CA_Feed!D:D, "&gt;="&amp;C332)&gt;0, "Processed (Eligible)", "Ineligible (Post Ex-Date)"))</f>
        <v>Processed (Eligible)</v>
      </c>
    </row>
    <row r="333" spans="1:15" x14ac:dyDescent="0.3">
      <c r="A333" t="s">
        <v>409</v>
      </c>
      <c r="B333" t="s">
        <v>19</v>
      </c>
      <c r="C333" s="5">
        <v>42148</v>
      </c>
      <c r="D333" s="2">
        <v>8850</v>
      </c>
      <c r="E333">
        <f>SUMIFS(CA_Feed!F:F, CA_Feed!B:B, B333, CA_Feed!E:E, "*DIVIDEND*", CA_Feed!D:D, "&gt;="&amp;C333)</f>
        <v>1.5</v>
      </c>
      <c r="F333">
        <f t="shared" si="41"/>
        <v>13275</v>
      </c>
      <c r="G333">
        <f t="shared" si="42"/>
        <v>1327.5</v>
      </c>
      <c r="H333">
        <f t="shared" si="43"/>
        <v>11947.5</v>
      </c>
      <c r="I333">
        <f>D333 * SUMIFS(CA_Feed!G:G, CA_Feed!B:B, B333, CA_Feed!E:E, "*BONUS*", CA_Feed!D:D, "&gt;="&amp;C333)</f>
        <v>0</v>
      </c>
      <c r="J333">
        <f t="shared" si="44"/>
        <v>0</v>
      </c>
      <c r="K333">
        <f t="shared" si="45"/>
        <v>0</v>
      </c>
      <c r="L333">
        <f>IF(K333&gt;0, K333 * VLOOKUP(B333, CA_Feed!B:N, 13, FALSE), 0)</f>
        <v>0</v>
      </c>
      <c r="M333">
        <f t="shared" si="46"/>
        <v>11947.5</v>
      </c>
      <c r="N333" s="2">
        <f t="shared" si="47"/>
        <v>0</v>
      </c>
      <c r="O333" t="str">
        <f>IF(COUNTIFS(CA_Feed!B:B, B333)=0, "No Action Announced", IF(COUNTIFS(CA_Feed!B:B, B333, CA_Feed!D:D, "&gt;="&amp;C333)&gt;0, "Processed (Eligible)", "Ineligible (Post Ex-Date)"))</f>
        <v>Processed (Eligible)</v>
      </c>
    </row>
    <row r="334" spans="1:15" x14ac:dyDescent="0.3">
      <c r="A334" t="s">
        <v>410</v>
      </c>
      <c r="B334" t="s">
        <v>59</v>
      </c>
      <c r="C334" s="5">
        <v>45508</v>
      </c>
      <c r="D334" s="2">
        <v>1000</v>
      </c>
      <c r="E334">
        <f>SUMIFS(CA_Feed!F:F, CA_Feed!B:B, B334, CA_Feed!E:E, "*DIVIDEND*", CA_Feed!D:D, "&gt;="&amp;C334)</f>
        <v>0.30000000000000004</v>
      </c>
      <c r="F334">
        <f t="shared" si="41"/>
        <v>300.00000000000006</v>
      </c>
      <c r="G334">
        <f t="shared" si="42"/>
        <v>30.000000000000007</v>
      </c>
      <c r="H334">
        <f t="shared" si="43"/>
        <v>270.00000000000006</v>
      </c>
      <c r="I334">
        <f>D334 * SUMIFS(CA_Feed!G:G, CA_Feed!B:B, B334, CA_Feed!E:E, "*BONUS*", CA_Feed!D:D, "&gt;="&amp;C334)</f>
        <v>0</v>
      </c>
      <c r="J334">
        <f t="shared" si="44"/>
        <v>0</v>
      </c>
      <c r="K334">
        <f t="shared" si="45"/>
        <v>0</v>
      </c>
      <c r="L334">
        <f>IF(K334&gt;0, K334 * VLOOKUP(B334, CA_Feed!B:N, 13, FALSE), 0)</f>
        <v>0</v>
      </c>
      <c r="M334">
        <f t="shared" si="46"/>
        <v>270.00000000000006</v>
      </c>
      <c r="N334" s="2">
        <f t="shared" si="47"/>
        <v>0</v>
      </c>
      <c r="O334" t="str">
        <f>IF(COUNTIFS(CA_Feed!B:B, B334)=0, "No Action Announced", IF(COUNTIFS(CA_Feed!B:B, B334, CA_Feed!D:D, "&gt;="&amp;C334)&gt;0, "Processed (Eligible)", "Ineligible (Post Ex-Date)"))</f>
        <v>Processed (Eligible)</v>
      </c>
    </row>
    <row r="335" spans="1:15" x14ac:dyDescent="0.3">
      <c r="A335" t="s">
        <v>411</v>
      </c>
      <c r="B335" t="s">
        <v>16</v>
      </c>
      <c r="C335" s="5">
        <v>43953</v>
      </c>
      <c r="D335" s="2">
        <v>6400</v>
      </c>
      <c r="E335">
        <f>SUMIFS(CA_Feed!F:F, CA_Feed!B:B, B335, CA_Feed!E:E, "*DIVIDEND*", CA_Feed!D:D, "&gt;="&amp;C335)</f>
        <v>3.75</v>
      </c>
      <c r="F335">
        <f t="shared" si="41"/>
        <v>24000</v>
      </c>
      <c r="G335">
        <f t="shared" si="42"/>
        <v>2400</v>
      </c>
      <c r="H335">
        <f t="shared" si="43"/>
        <v>21600</v>
      </c>
      <c r="I335">
        <f>D335 * SUMIFS(CA_Feed!G:G, CA_Feed!B:B, B335, CA_Feed!E:E, "*BONUS*", CA_Feed!D:D, "&gt;="&amp;C335)</f>
        <v>0</v>
      </c>
      <c r="J335">
        <f t="shared" si="44"/>
        <v>0</v>
      </c>
      <c r="K335">
        <f t="shared" si="45"/>
        <v>0</v>
      </c>
      <c r="L335">
        <f>IF(K335&gt;0, K335 * VLOOKUP(B335, CA_Feed!B:N, 13, FALSE), 0)</f>
        <v>0</v>
      </c>
      <c r="M335">
        <f t="shared" si="46"/>
        <v>21600</v>
      </c>
      <c r="N335" s="2">
        <f t="shared" si="47"/>
        <v>0</v>
      </c>
      <c r="O335" t="str">
        <f>IF(COUNTIFS(CA_Feed!B:B, B335)=0, "No Action Announced", IF(COUNTIFS(CA_Feed!B:B, B335, CA_Feed!D:D, "&gt;="&amp;C335)&gt;0, "Processed (Eligible)", "Ineligible (Post Ex-Date)"))</f>
        <v>Processed (Eligible)</v>
      </c>
    </row>
    <row r="336" spans="1:15" x14ac:dyDescent="0.3">
      <c r="A336" t="s">
        <v>412</v>
      </c>
      <c r="B336" t="s">
        <v>19</v>
      </c>
      <c r="C336" s="5">
        <v>44716</v>
      </c>
      <c r="D336" s="2">
        <v>8650</v>
      </c>
      <c r="E336">
        <f>SUMIFS(CA_Feed!F:F, CA_Feed!B:B, B336, CA_Feed!E:E, "*DIVIDEND*", CA_Feed!D:D, "&gt;="&amp;C336)</f>
        <v>1.5</v>
      </c>
      <c r="F336">
        <f t="shared" si="41"/>
        <v>12975</v>
      </c>
      <c r="G336">
        <f t="shared" si="42"/>
        <v>1297.5</v>
      </c>
      <c r="H336">
        <f t="shared" si="43"/>
        <v>11677.5</v>
      </c>
      <c r="I336">
        <f>D336 * SUMIFS(CA_Feed!G:G, CA_Feed!B:B, B336, CA_Feed!E:E, "*BONUS*", CA_Feed!D:D, "&gt;="&amp;C336)</f>
        <v>0</v>
      </c>
      <c r="J336">
        <f t="shared" si="44"/>
        <v>0</v>
      </c>
      <c r="K336">
        <f t="shared" si="45"/>
        <v>0</v>
      </c>
      <c r="L336">
        <f>IF(K336&gt;0, K336 * VLOOKUP(B336, CA_Feed!B:N, 13, FALSE), 0)</f>
        <v>0</v>
      </c>
      <c r="M336">
        <f t="shared" si="46"/>
        <v>11677.5</v>
      </c>
      <c r="N336" s="2">
        <f t="shared" si="47"/>
        <v>0</v>
      </c>
      <c r="O336" t="str">
        <f>IF(COUNTIFS(CA_Feed!B:B, B336)=0, "No Action Announced", IF(COUNTIFS(CA_Feed!B:B, B336, CA_Feed!D:D, "&gt;="&amp;C336)&gt;0, "Processed (Eligible)", "Ineligible (Post Ex-Date)"))</f>
        <v>Processed (Eligible)</v>
      </c>
    </row>
    <row r="337" spans="1:15" x14ac:dyDescent="0.3">
      <c r="A337" t="s">
        <v>413</v>
      </c>
      <c r="B337" t="s">
        <v>49</v>
      </c>
      <c r="C337" s="5">
        <v>43653</v>
      </c>
      <c r="D337" s="2">
        <v>6400</v>
      </c>
      <c r="E337">
        <f>SUMIFS(CA_Feed!F:F, CA_Feed!B:B, B337, CA_Feed!E:E, "*DIVIDEND*", CA_Feed!D:D, "&gt;="&amp;C337)</f>
        <v>1.1000000000000001</v>
      </c>
      <c r="F337">
        <f t="shared" si="41"/>
        <v>7040.0000000000009</v>
      </c>
      <c r="G337">
        <f t="shared" si="42"/>
        <v>704.00000000000011</v>
      </c>
      <c r="H337">
        <f t="shared" si="43"/>
        <v>6336.0000000000009</v>
      </c>
      <c r="I337">
        <f>D337 * SUMIFS(CA_Feed!G:G, CA_Feed!B:B, B337, CA_Feed!E:E, "*BONUS*", CA_Feed!D:D, "&gt;="&amp;C337)</f>
        <v>0</v>
      </c>
      <c r="J337">
        <f t="shared" si="44"/>
        <v>0</v>
      </c>
      <c r="K337">
        <f t="shared" si="45"/>
        <v>0</v>
      </c>
      <c r="L337">
        <f>IF(K337&gt;0, K337 * VLOOKUP(B337, CA_Feed!B:N, 13, FALSE), 0)</f>
        <v>0</v>
      </c>
      <c r="M337">
        <f t="shared" si="46"/>
        <v>6336.0000000000009</v>
      </c>
      <c r="N337" s="2">
        <f t="shared" si="47"/>
        <v>0</v>
      </c>
      <c r="O337" t="str">
        <f>IF(COUNTIFS(CA_Feed!B:B, B337)=0, "No Action Announced", IF(COUNTIFS(CA_Feed!B:B, B337, CA_Feed!D:D, "&gt;="&amp;C337)&gt;0, "Processed (Eligible)", "Ineligible (Post Ex-Date)"))</f>
        <v>Processed (Eligible)</v>
      </c>
    </row>
    <row r="338" spans="1:15" x14ac:dyDescent="0.3">
      <c r="A338" t="s">
        <v>414</v>
      </c>
      <c r="B338" t="s">
        <v>45</v>
      </c>
      <c r="C338" s="5">
        <v>43564</v>
      </c>
      <c r="D338" s="2">
        <v>5750</v>
      </c>
      <c r="E338">
        <f>SUMIFS(CA_Feed!F:F, CA_Feed!B:B, B338, CA_Feed!E:E, "*DIVIDEND*", CA_Feed!D:D, "&gt;="&amp;C338)</f>
        <v>2.5</v>
      </c>
      <c r="F338">
        <f t="shared" si="41"/>
        <v>14375</v>
      </c>
      <c r="G338">
        <f t="shared" si="42"/>
        <v>1437.5</v>
      </c>
      <c r="H338">
        <f t="shared" si="43"/>
        <v>12937.5</v>
      </c>
      <c r="I338">
        <f>D338 * SUMIFS(CA_Feed!G:G, CA_Feed!B:B, B338, CA_Feed!E:E, "*BONUS*", CA_Feed!D:D, "&gt;="&amp;C338)</f>
        <v>0</v>
      </c>
      <c r="J338">
        <f t="shared" si="44"/>
        <v>0</v>
      </c>
      <c r="K338">
        <f t="shared" si="45"/>
        <v>0</v>
      </c>
      <c r="L338">
        <f>IF(K338&gt;0, K338 * VLOOKUP(B338, CA_Feed!B:N, 13, FALSE), 0)</f>
        <v>0</v>
      </c>
      <c r="M338">
        <f t="shared" si="46"/>
        <v>12937.5</v>
      </c>
      <c r="N338" s="2">
        <f t="shared" si="47"/>
        <v>0</v>
      </c>
      <c r="O338" t="str">
        <f>IF(COUNTIFS(CA_Feed!B:B, B338)=0, "No Action Announced", IF(COUNTIFS(CA_Feed!B:B, B338, CA_Feed!D:D, "&gt;="&amp;C338)&gt;0, "Processed (Eligible)", "Ineligible (Post Ex-Date)"))</f>
        <v>Processed (Eligible)</v>
      </c>
    </row>
    <row r="339" spans="1:15" x14ac:dyDescent="0.3">
      <c r="A339" t="s">
        <v>415</v>
      </c>
      <c r="B339" t="s">
        <v>19</v>
      </c>
      <c r="C339" s="5">
        <v>42260</v>
      </c>
      <c r="D339" s="2">
        <v>5500</v>
      </c>
      <c r="E339">
        <f>SUMIFS(CA_Feed!F:F, CA_Feed!B:B, B339, CA_Feed!E:E, "*DIVIDEND*", CA_Feed!D:D, "&gt;="&amp;C339)</f>
        <v>1.5</v>
      </c>
      <c r="F339">
        <f t="shared" si="41"/>
        <v>8250</v>
      </c>
      <c r="G339">
        <f t="shared" si="42"/>
        <v>825</v>
      </c>
      <c r="H339">
        <f t="shared" si="43"/>
        <v>7425</v>
      </c>
      <c r="I339">
        <f>D339 * SUMIFS(CA_Feed!G:G, CA_Feed!B:B, B339, CA_Feed!E:E, "*BONUS*", CA_Feed!D:D, "&gt;="&amp;C339)</f>
        <v>0</v>
      </c>
      <c r="J339">
        <f t="shared" si="44"/>
        <v>0</v>
      </c>
      <c r="K339">
        <f t="shared" si="45"/>
        <v>0</v>
      </c>
      <c r="L339">
        <f>IF(K339&gt;0, K339 * VLOOKUP(B339, CA_Feed!B:N, 13, FALSE), 0)</f>
        <v>0</v>
      </c>
      <c r="M339">
        <f t="shared" si="46"/>
        <v>7425</v>
      </c>
      <c r="N339" s="2">
        <f t="shared" si="47"/>
        <v>0</v>
      </c>
      <c r="O339" t="str">
        <f>IF(COUNTIFS(CA_Feed!B:B, B339)=0, "No Action Announced", IF(COUNTIFS(CA_Feed!B:B, B339, CA_Feed!D:D, "&gt;="&amp;C339)&gt;0, "Processed (Eligible)", "Ineligible (Post Ex-Date)"))</f>
        <v>Processed (Eligible)</v>
      </c>
    </row>
    <row r="340" spans="1:15" x14ac:dyDescent="0.3">
      <c r="A340" t="s">
        <v>721</v>
      </c>
      <c r="B340" t="s">
        <v>12</v>
      </c>
      <c r="C340" s="5">
        <v>44960</v>
      </c>
      <c r="D340" s="2">
        <v>900</v>
      </c>
      <c r="E340">
        <f>SUMIFS(CA_Feed!F:F, CA_Feed!B:B, B340, CA_Feed!E:E, "*DIVIDEND*", CA_Feed!D:D, "&gt;="&amp;C340)</f>
        <v>19</v>
      </c>
      <c r="F340">
        <f t="shared" si="41"/>
        <v>17100</v>
      </c>
      <c r="G340">
        <f t="shared" si="42"/>
        <v>1710</v>
      </c>
      <c r="H340">
        <f t="shared" si="43"/>
        <v>15390</v>
      </c>
      <c r="I340">
        <f>D340 * SUMIFS(CA_Feed!G:G, CA_Feed!B:B, B340, CA_Feed!E:E, "*BONUS*", CA_Feed!D:D, "&gt;="&amp;C340)</f>
        <v>0</v>
      </c>
      <c r="J340">
        <f t="shared" si="44"/>
        <v>0</v>
      </c>
      <c r="K340">
        <f t="shared" si="45"/>
        <v>0</v>
      </c>
      <c r="L340">
        <f>IF(K340&gt;0, K340 * VLOOKUP(B340, CA_Feed!B:N, 13, FALSE), 0)</f>
        <v>0</v>
      </c>
      <c r="M340">
        <f t="shared" si="46"/>
        <v>15390</v>
      </c>
      <c r="N340" s="2">
        <f t="shared" si="47"/>
        <v>0</v>
      </c>
      <c r="O340" t="str">
        <f>IF(COUNTIFS(CA_Feed!B:B, B340)=0, "No Action Announced", IF(COUNTIFS(CA_Feed!B:B, B340, CA_Feed!D:D, "&gt;="&amp;C340)&gt;0, "Processed (Eligible)", "Ineligible (Post Ex-Date)"))</f>
        <v>Processed (Eligible)</v>
      </c>
    </row>
    <row r="341" spans="1:15" x14ac:dyDescent="0.3">
      <c r="A341" t="s">
        <v>417</v>
      </c>
      <c r="B341" t="s">
        <v>29</v>
      </c>
      <c r="C341" s="5">
        <v>43270</v>
      </c>
      <c r="D341" s="2">
        <v>8550</v>
      </c>
      <c r="E341">
        <f>SUMIFS(CA_Feed!F:F, CA_Feed!B:B, B341, CA_Feed!E:E, "*DIVIDEND*", CA_Feed!D:D, "&gt;="&amp;C341)</f>
        <v>3</v>
      </c>
      <c r="F341">
        <f t="shared" si="41"/>
        <v>25650</v>
      </c>
      <c r="G341">
        <f t="shared" si="42"/>
        <v>2565</v>
      </c>
      <c r="H341">
        <f t="shared" si="43"/>
        <v>23085</v>
      </c>
      <c r="I341">
        <f>D341 * SUMIFS(CA_Feed!G:G, CA_Feed!B:B, B341, CA_Feed!E:E, "*BONUS*", CA_Feed!D:D, "&gt;="&amp;C341)</f>
        <v>0</v>
      </c>
      <c r="J341">
        <f t="shared" si="44"/>
        <v>0</v>
      </c>
      <c r="K341">
        <f t="shared" si="45"/>
        <v>0</v>
      </c>
      <c r="L341">
        <f>IF(K341&gt;0, K341 * VLOOKUP(B341, CA_Feed!B:N, 13, FALSE), 0)</f>
        <v>0</v>
      </c>
      <c r="M341">
        <f t="shared" si="46"/>
        <v>23085</v>
      </c>
      <c r="N341" s="2">
        <f t="shared" si="47"/>
        <v>0</v>
      </c>
      <c r="O341" t="str">
        <f>IF(COUNTIFS(CA_Feed!B:B, B341)=0, "No Action Announced", IF(COUNTIFS(CA_Feed!B:B, B341, CA_Feed!D:D, "&gt;="&amp;C341)&gt;0, "Processed (Eligible)", "Ineligible (Post Ex-Date)"))</f>
        <v>Processed (Eligible)</v>
      </c>
    </row>
    <row r="342" spans="1:15" x14ac:dyDescent="0.3">
      <c r="A342" t="s">
        <v>545</v>
      </c>
      <c r="B342" t="s">
        <v>12</v>
      </c>
      <c r="C342" s="5">
        <v>44937</v>
      </c>
      <c r="D342" s="2">
        <v>900</v>
      </c>
      <c r="E342">
        <f>SUMIFS(CA_Feed!F:F, CA_Feed!B:B, B342, CA_Feed!E:E, "*DIVIDEND*", CA_Feed!D:D, "&gt;="&amp;C342)</f>
        <v>19</v>
      </c>
      <c r="F342">
        <f t="shared" si="41"/>
        <v>17100</v>
      </c>
      <c r="G342">
        <f t="shared" si="42"/>
        <v>1710</v>
      </c>
      <c r="H342">
        <f t="shared" si="43"/>
        <v>15390</v>
      </c>
      <c r="I342">
        <f>D342 * SUMIFS(CA_Feed!G:G, CA_Feed!B:B, B342, CA_Feed!E:E, "*BONUS*", CA_Feed!D:D, "&gt;="&amp;C342)</f>
        <v>0</v>
      </c>
      <c r="J342">
        <f t="shared" si="44"/>
        <v>0</v>
      </c>
      <c r="K342">
        <f t="shared" si="45"/>
        <v>0</v>
      </c>
      <c r="L342">
        <f>IF(K342&gt;0, K342 * VLOOKUP(B342, CA_Feed!B:N, 13, FALSE), 0)</f>
        <v>0</v>
      </c>
      <c r="M342">
        <f t="shared" si="46"/>
        <v>15390</v>
      </c>
      <c r="N342" s="2">
        <f t="shared" si="47"/>
        <v>0</v>
      </c>
      <c r="O342" t="str">
        <f>IF(COUNTIFS(CA_Feed!B:B, B342)=0, "No Action Announced", IF(COUNTIFS(CA_Feed!B:B, B342, CA_Feed!D:D, "&gt;="&amp;C342)&gt;0, "Processed (Eligible)", "Ineligible (Post Ex-Date)"))</f>
        <v>Processed (Eligible)</v>
      </c>
    </row>
    <row r="343" spans="1:15" x14ac:dyDescent="0.3">
      <c r="A343" t="s">
        <v>419</v>
      </c>
      <c r="B343" t="s">
        <v>39</v>
      </c>
      <c r="C343" s="5">
        <v>42544</v>
      </c>
      <c r="D343" s="2">
        <v>3250</v>
      </c>
      <c r="E343">
        <f>SUMIFS(CA_Feed!F:F, CA_Feed!B:B, B343, CA_Feed!E:E, "*DIVIDEND*", CA_Feed!D:D, "&gt;="&amp;C343)</f>
        <v>1.2</v>
      </c>
      <c r="F343">
        <f t="shared" si="41"/>
        <v>3900</v>
      </c>
      <c r="G343">
        <f t="shared" si="42"/>
        <v>390</v>
      </c>
      <c r="H343">
        <f t="shared" si="43"/>
        <v>3510</v>
      </c>
      <c r="I343">
        <f>D343 * SUMIFS(CA_Feed!G:G, CA_Feed!B:B, B343, CA_Feed!E:E, "*BONUS*", CA_Feed!D:D, "&gt;="&amp;C343)</f>
        <v>0</v>
      </c>
      <c r="J343">
        <f t="shared" si="44"/>
        <v>0</v>
      </c>
      <c r="K343">
        <f t="shared" si="45"/>
        <v>0</v>
      </c>
      <c r="L343">
        <f>IF(K343&gt;0, K343 * VLOOKUP(B343, CA_Feed!B:N, 13, FALSE), 0)</f>
        <v>0</v>
      </c>
      <c r="M343">
        <f t="shared" si="46"/>
        <v>3510</v>
      </c>
      <c r="N343" s="2">
        <f t="shared" si="47"/>
        <v>0</v>
      </c>
      <c r="O343" t="str">
        <f>IF(COUNTIFS(CA_Feed!B:B, B343)=0, "No Action Announced", IF(COUNTIFS(CA_Feed!B:B, B343, CA_Feed!D:D, "&gt;="&amp;C343)&gt;0, "Processed (Eligible)", "Ineligible (Post Ex-Date)"))</f>
        <v>Processed (Eligible)</v>
      </c>
    </row>
    <row r="344" spans="1:15" x14ac:dyDescent="0.3">
      <c r="A344" t="s">
        <v>420</v>
      </c>
      <c r="B344" t="s">
        <v>19</v>
      </c>
      <c r="C344" s="5">
        <v>43374</v>
      </c>
      <c r="D344" s="2">
        <v>2550</v>
      </c>
      <c r="E344">
        <f>SUMIFS(CA_Feed!F:F, CA_Feed!B:B, B344, CA_Feed!E:E, "*DIVIDEND*", CA_Feed!D:D, "&gt;="&amp;C344)</f>
        <v>1.5</v>
      </c>
      <c r="F344">
        <f t="shared" si="41"/>
        <v>3825</v>
      </c>
      <c r="G344">
        <f t="shared" si="42"/>
        <v>382.5</v>
      </c>
      <c r="H344">
        <f t="shared" si="43"/>
        <v>3442.5</v>
      </c>
      <c r="I344">
        <f>D344 * SUMIFS(CA_Feed!G:G, CA_Feed!B:B, B344, CA_Feed!E:E, "*BONUS*", CA_Feed!D:D, "&gt;="&amp;C344)</f>
        <v>0</v>
      </c>
      <c r="J344">
        <f t="shared" si="44"/>
        <v>0</v>
      </c>
      <c r="K344">
        <f t="shared" si="45"/>
        <v>0</v>
      </c>
      <c r="L344">
        <f>IF(K344&gt;0, K344 * VLOOKUP(B344, CA_Feed!B:N, 13, FALSE), 0)</f>
        <v>0</v>
      </c>
      <c r="M344">
        <f t="shared" si="46"/>
        <v>3442.5</v>
      </c>
      <c r="N344" s="2">
        <f t="shared" si="47"/>
        <v>0</v>
      </c>
      <c r="O344" t="str">
        <f>IF(COUNTIFS(CA_Feed!B:B, B344)=0, "No Action Announced", IF(COUNTIFS(CA_Feed!B:B, B344, CA_Feed!D:D, "&gt;="&amp;C344)&gt;0, "Processed (Eligible)", "Ineligible (Post Ex-Date)"))</f>
        <v>Processed (Eligible)</v>
      </c>
    </row>
    <row r="345" spans="1:15" x14ac:dyDescent="0.3">
      <c r="A345" t="s">
        <v>421</v>
      </c>
      <c r="B345" t="s">
        <v>45</v>
      </c>
      <c r="C345" s="5">
        <v>43531</v>
      </c>
      <c r="D345" s="2">
        <v>8950</v>
      </c>
      <c r="E345">
        <f>SUMIFS(CA_Feed!F:F, CA_Feed!B:B, B345, CA_Feed!E:E, "*DIVIDEND*", CA_Feed!D:D, "&gt;="&amp;C345)</f>
        <v>2.5</v>
      </c>
      <c r="F345">
        <f t="shared" si="41"/>
        <v>22375</v>
      </c>
      <c r="G345">
        <f t="shared" si="42"/>
        <v>2237.5</v>
      </c>
      <c r="H345">
        <f t="shared" si="43"/>
        <v>20137.5</v>
      </c>
      <c r="I345">
        <f>D345 * SUMIFS(CA_Feed!G:G, CA_Feed!B:B, B345, CA_Feed!E:E, "*BONUS*", CA_Feed!D:D, "&gt;="&amp;C345)</f>
        <v>0</v>
      </c>
      <c r="J345">
        <f t="shared" si="44"/>
        <v>0</v>
      </c>
      <c r="K345">
        <f t="shared" si="45"/>
        <v>0</v>
      </c>
      <c r="L345">
        <f>IF(K345&gt;0, K345 * VLOOKUP(B345, CA_Feed!B:N, 13, FALSE), 0)</f>
        <v>0</v>
      </c>
      <c r="M345">
        <f t="shared" si="46"/>
        <v>20137.5</v>
      </c>
      <c r="N345" s="2">
        <f t="shared" si="47"/>
        <v>0</v>
      </c>
      <c r="O345" t="str">
        <f>IF(COUNTIFS(CA_Feed!B:B, B345)=0, "No Action Announced", IF(COUNTIFS(CA_Feed!B:B, B345, CA_Feed!D:D, "&gt;="&amp;C345)&gt;0, "Processed (Eligible)", "Ineligible (Post Ex-Date)"))</f>
        <v>Processed (Eligible)</v>
      </c>
    </row>
    <row r="346" spans="1:15" x14ac:dyDescent="0.3">
      <c r="A346" t="s">
        <v>422</v>
      </c>
      <c r="B346" t="s">
        <v>31</v>
      </c>
      <c r="C346" s="5">
        <v>43963</v>
      </c>
      <c r="D346" s="2">
        <v>9900</v>
      </c>
      <c r="E346">
        <f>SUMIFS(CA_Feed!F:F, CA_Feed!B:B, B346, CA_Feed!E:E, "*DIVIDEND*", CA_Feed!D:D, "&gt;="&amp;C346)</f>
        <v>3</v>
      </c>
      <c r="F346">
        <f t="shared" si="41"/>
        <v>29700</v>
      </c>
      <c r="G346">
        <f t="shared" si="42"/>
        <v>2970</v>
      </c>
      <c r="H346">
        <f t="shared" si="43"/>
        <v>26730</v>
      </c>
      <c r="I346">
        <f>D346 * SUMIFS(CA_Feed!G:G, CA_Feed!B:B, B346, CA_Feed!E:E, "*BONUS*", CA_Feed!D:D, "&gt;="&amp;C346)</f>
        <v>0</v>
      </c>
      <c r="J346">
        <f t="shared" si="44"/>
        <v>0</v>
      </c>
      <c r="K346">
        <f t="shared" si="45"/>
        <v>0</v>
      </c>
      <c r="L346">
        <f>IF(K346&gt;0, K346 * VLOOKUP(B346, CA_Feed!B:N, 13, FALSE), 0)</f>
        <v>0</v>
      </c>
      <c r="M346">
        <f t="shared" si="46"/>
        <v>26730</v>
      </c>
      <c r="N346" s="2">
        <f t="shared" si="47"/>
        <v>0</v>
      </c>
      <c r="O346" t="str">
        <f>IF(COUNTIFS(CA_Feed!B:B, B346)=0, "No Action Announced", IF(COUNTIFS(CA_Feed!B:B, B346, CA_Feed!D:D, "&gt;="&amp;C346)&gt;0, "Processed (Eligible)", "Ineligible (Post Ex-Date)"))</f>
        <v>Processed (Eligible)</v>
      </c>
    </row>
    <row r="347" spans="1:15" x14ac:dyDescent="0.3">
      <c r="A347" t="s">
        <v>423</v>
      </c>
      <c r="B347" t="s">
        <v>37</v>
      </c>
      <c r="C347" s="5">
        <v>43061</v>
      </c>
      <c r="D347" s="2">
        <v>750</v>
      </c>
      <c r="E347">
        <f>SUMIFS(CA_Feed!F:F, CA_Feed!B:B, B347, CA_Feed!E:E, "*DIVIDEND*", CA_Feed!D:D, "&gt;="&amp;C347)</f>
        <v>6.5</v>
      </c>
      <c r="F347">
        <f t="shared" si="41"/>
        <v>4875</v>
      </c>
      <c r="G347">
        <f t="shared" si="42"/>
        <v>487.5</v>
      </c>
      <c r="H347">
        <f t="shared" si="43"/>
        <v>4387.5</v>
      </c>
      <c r="I347">
        <f>D347 * SUMIFS(CA_Feed!G:G, CA_Feed!B:B, B347, CA_Feed!E:E, "*BONUS*", CA_Feed!D:D, "&gt;="&amp;C347)</f>
        <v>0</v>
      </c>
      <c r="J347">
        <f t="shared" si="44"/>
        <v>0</v>
      </c>
      <c r="K347">
        <f t="shared" si="45"/>
        <v>0</v>
      </c>
      <c r="L347">
        <f>IF(K347&gt;0, K347 * VLOOKUP(B347, CA_Feed!B:N, 13, FALSE), 0)</f>
        <v>0</v>
      </c>
      <c r="M347">
        <f t="shared" si="46"/>
        <v>4387.5</v>
      </c>
      <c r="N347" s="2">
        <f t="shared" si="47"/>
        <v>0</v>
      </c>
      <c r="O347" t="str">
        <f>IF(COUNTIFS(CA_Feed!B:B, B347)=0, "No Action Announced", IF(COUNTIFS(CA_Feed!B:B, B347, CA_Feed!D:D, "&gt;="&amp;C347)&gt;0, "Processed (Eligible)", "Ineligible (Post Ex-Date)"))</f>
        <v>Processed (Eligible)</v>
      </c>
    </row>
    <row r="348" spans="1:15" x14ac:dyDescent="0.3">
      <c r="A348" t="s">
        <v>424</v>
      </c>
      <c r="B348" t="s">
        <v>29</v>
      </c>
      <c r="C348" s="5">
        <v>44136</v>
      </c>
      <c r="D348" s="2">
        <v>3450</v>
      </c>
      <c r="E348">
        <f>SUMIFS(CA_Feed!F:F, CA_Feed!B:B, B348, CA_Feed!E:E, "*DIVIDEND*", CA_Feed!D:D, "&gt;="&amp;C348)</f>
        <v>3</v>
      </c>
      <c r="F348">
        <f t="shared" si="41"/>
        <v>10350</v>
      </c>
      <c r="G348">
        <f t="shared" si="42"/>
        <v>1035</v>
      </c>
      <c r="H348">
        <f t="shared" si="43"/>
        <v>9315</v>
      </c>
      <c r="I348">
        <f>D348 * SUMIFS(CA_Feed!G:G, CA_Feed!B:B, B348, CA_Feed!E:E, "*BONUS*", CA_Feed!D:D, "&gt;="&amp;C348)</f>
        <v>0</v>
      </c>
      <c r="J348">
        <f t="shared" si="44"/>
        <v>0</v>
      </c>
      <c r="K348">
        <f t="shared" si="45"/>
        <v>0</v>
      </c>
      <c r="L348">
        <f>IF(K348&gt;0, K348 * VLOOKUP(B348, CA_Feed!B:N, 13, FALSE), 0)</f>
        <v>0</v>
      </c>
      <c r="M348">
        <f t="shared" si="46"/>
        <v>9315</v>
      </c>
      <c r="N348" s="2">
        <f t="shared" si="47"/>
        <v>0</v>
      </c>
      <c r="O348" t="str">
        <f>IF(COUNTIFS(CA_Feed!B:B, B348)=0, "No Action Announced", IF(COUNTIFS(CA_Feed!B:B, B348, CA_Feed!D:D, "&gt;="&amp;C348)&gt;0, "Processed (Eligible)", "Ineligible (Post Ex-Date)"))</f>
        <v>Processed (Eligible)</v>
      </c>
    </row>
    <row r="349" spans="1:15" x14ac:dyDescent="0.3">
      <c r="A349" t="s">
        <v>425</v>
      </c>
      <c r="B349" t="s">
        <v>23</v>
      </c>
      <c r="C349" s="5">
        <v>43218</v>
      </c>
      <c r="D349" s="2">
        <v>7850</v>
      </c>
      <c r="E349">
        <f>SUMIFS(CA_Feed!F:F, CA_Feed!B:B, B349, CA_Feed!E:E, "*DIVIDEND*", CA_Feed!D:D, "&gt;="&amp;C349)</f>
        <v>1.5000000000000002</v>
      </c>
      <c r="F349">
        <f t="shared" si="41"/>
        <v>11775.000000000002</v>
      </c>
      <c r="G349">
        <f t="shared" si="42"/>
        <v>1177.5000000000002</v>
      </c>
      <c r="H349">
        <f t="shared" si="43"/>
        <v>10597.500000000002</v>
      </c>
      <c r="I349">
        <f>D349 * SUMIFS(CA_Feed!G:G, CA_Feed!B:B, B349, CA_Feed!E:E, "*BONUS*", CA_Feed!D:D, "&gt;="&amp;C349)</f>
        <v>0</v>
      </c>
      <c r="J349">
        <f t="shared" si="44"/>
        <v>0</v>
      </c>
      <c r="K349">
        <f t="shared" si="45"/>
        <v>0</v>
      </c>
      <c r="L349">
        <f>IF(K349&gt;0, K349 * VLOOKUP(B349, CA_Feed!B:N, 13, FALSE), 0)</f>
        <v>0</v>
      </c>
      <c r="M349">
        <f t="shared" si="46"/>
        <v>10597.500000000002</v>
      </c>
      <c r="N349" s="2">
        <f t="shared" si="47"/>
        <v>0</v>
      </c>
      <c r="O349" t="str">
        <f>IF(COUNTIFS(CA_Feed!B:B, B349)=0, "No Action Announced", IF(COUNTIFS(CA_Feed!B:B, B349, CA_Feed!D:D, "&gt;="&amp;C349)&gt;0, "Processed (Eligible)", "Ineligible (Post Ex-Date)"))</f>
        <v>Processed (Eligible)</v>
      </c>
    </row>
    <row r="350" spans="1:15" x14ac:dyDescent="0.3">
      <c r="A350" t="s">
        <v>426</v>
      </c>
      <c r="B350" t="s">
        <v>43</v>
      </c>
      <c r="C350" s="5">
        <v>44206</v>
      </c>
      <c r="D350" s="2">
        <v>9650</v>
      </c>
      <c r="E350">
        <f>SUMIFS(CA_Feed!F:F, CA_Feed!B:B, B350, CA_Feed!E:E, "*DIVIDEND*", CA_Feed!D:D, "&gt;="&amp;C350)</f>
        <v>1.35</v>
      </c>
      <c r="F350">
        <f t="shared" si="41"/>
        <v>13027.5</v>
      </c>
      <c r="G350">
        <f t="shared" si="42"/>
        <v>1302.75</v>
      </c>
      <c r="H350">
        <f t="shared" si="43"/>
        <v>11724.75</v>
      </c>
      <c r="I350">
        <f>D350 * SUMIFS(CA_Feed!G:G, CA_Feed!B:B, B350, CA_Feed!E:E, "*BONUS*", CA_Feed!D:D, "&gt;="&amp;C350)</f>
        <v>0</v>
      </c>
      <c r="J350">
        <f t="shared" si="44"/>
        <v>0</v>
      </c>
      <c r="K350">
        <f t="shared" si="45"/>
        <v>0</v>
      </c>
      <c r="L350">
        <f>IF(K350&gt;0, K350 * VLOOKUP(B350, CA_Feed!B:N, 13, FALSE), 0)</f>
        <v>0</v>
      </c>
      <c r="M350">
        <f t="shared" si="46"/>
        <v>11724.75</v>
      </c>
      <c r="N350" s="2">
        <f t="shared" si="47"/>
        <v>0</v>
      </c>
      <c r="O350" t="str">
        <f>IF(COUNTIFS(CA_Feed!B:B, B350)=0, "No Action Announced", IF(COUNTIFS(CA_Feed!B:B, B350, CA_Feed!D:D, "&gt;="&amp;C350)&gt;0, "Processed (Eligible)", "Ineligible (Post Ex-Date)"))</f>
        <v>Processed (Eligible)</v>
      </c>
    </row>
    <row r="351" spans="1:15" x14ac:dyDescent="0.3">
      <c r="A351" t="s">
        <v>816</v>
      </c>
      <c r="B351" t="s">
        <v>12</v>
      </c>
      <c r="C351" s="5">
        <v>44935</v>
      </c>
      <c r="D351" s="2">
        <v>900</v>
      </c>
      <c r="E351">
        <f>SUMIFS(CA_Feed!F:F, CA_Feed!B:B, B351, CA_Feed!E:E, "*DIVIDEND*", CA_Feed!D:D, "&gt;="&amp;C351)</f>
        <v>19</v>
      </c>
      <c r="F351">
        <f t="shared" si="41"/>
        <v>17100</v>
      </c>
      <c r="G351">
        <f t="shared" si="42"/>
        <v>1710</v>
      </c>
      <c r="H351">
        <f t="shared" si="43"/>
        <v>15390</v>
      </c>
      <c r="I351">
        <f>D351 * SUMIFS(CA_Feed!G:G, CA_Feed!B:B, B351, CA_Feed!E:E, "*BONUS*", CA_Feed!D:D, "&gt;="&amp;C351)</f>
        <v>0</v>
      </c>
      <c r="J351">
        <f t="shared" si="44"/>
        <v>0</v>
      </c>
      <c r="K351">
        <f t="shared" si="45"/>
        <v>0</v>
      </c>
      <c r="L351">
        <f>IF(K351&gt;0, K351 * VLOOKUP(B351, CA_Feed!B:N, 13, FALSE), 0)</f>
        <v>0</v>
      </c>
      <c r="M351">
        <f t="shared" si="46"/>
        <v>15390</v>
      </c>
      <c r="N351" s="2">
        <f t="shared" si="47"/>
        <v>0</v>
      </c>
      <c r="O351" t="str">
        <f>IF(COUNTIFS(CA_Feed!B:B, B351)=0, "No Action Announced", IF(COUNTIFS(CA_Feed!B:B, B351, CA_Feed!D:D, "&gt;="&amp;C351)&gt;0, "Processed (Eligible)", "Ineligible (Post Ex-Date)"))</f>
        <v>Processed (Eligible)</v>
      </c>
    </row>
    <row r="352" spans="1:15" x14ac:dyDescent="0.3">
      <c r="A352" t="s">
        <v>461</v>
      </c>
      <c r="B352" t="s">
        <v>12</v>
      </c>
      <c r="C352" s="5">
        <v>46235</v>
      </c>
      <c r="D352" s="2">
        <v>900</v>
      </c>
      <c r="E352">
        <f>SUMIFS(CA_Feed!F:F, CA_Feed!B:B, B352, CA_Feed!E:E, "*DIVIDEND*", CA_Feed!D:D, "&gt;="&amp;C352)</f>
        <v>0</v>
      </c>
      <c r="F352">
        <f t="shared" si="41"/>
        <v>0</v>
      </c>
      <c r="G352">
        <f t="shared" si="42"/>
        <v>0</v>
      </c>
      <c r="H352">
        <f t="shared" si="43"/>
        <v>0</v>
      </c>
      <c r="I352">
        <f>D352 * SUMIFS(CA_Feed!G:G, CA_Feed!B:B, B352, CA_Feed!E:E, "*BONUS*", CA_Feed!D:D, "&gt;="&amp;C352)</f>
        <v>0</v>
      </c>
      <c r="J352">
        <f t="shared" si="44"/>
        <v>0</v>
      </c>
      <c r="K352">
        <f t="shared" si="45"/>
        <v>0</v>
      </c>
      <c r="L352">
        <f>IF(K352&gt;0, K352 * VLOOKUP(B352, CA_Feed!B:N, 13, FALSE), 0)</f>
        <v>0</v>
      </c>
      <c r="M352">
        <f t="shared" si="46"/>
        <v>0</v>
      </c>
      <c r="N352" s="2">
        <f t="shared" si="47"/>
        <v>0</v>
      </c>
      <c r="O352" t="str">
        <f>IF(COUNTIFS(CA_Feed!B:B, B352)=0, "No Action Announced", IF(COUNTIFS(CA_Feed!B:B, B352, CA_Feed!D:D, "&gt;="&amp;C352)&gt;0, "Processed (Eligible)", "Ineligible (Post Ex-Date)"))</f>
        <v>Ineligible (Post Ex-Date)</v>
      </c>
    </row>
    <row r="353" spans="1:15" x14ac:dyDescent="0.3">
      <c r="A353" t="s">
        <v>429</v>
      </c>
      <c r="B353" t="s">
        <v>39</v>
      </c>
      <c r="C353" s="5">
        <v>43450</v>
      </c>
      <c r="D353" s="2">
        <v>3650</v>
      </c>
      <c r="E353">
        <f>SUMIFS(CA_Feed!F:F, CA_Feed!B:B, B353, CA_Feed!E:E, "*DIVIDEND*", CA_Feed!D:D, "&gt;="&amp;C353)</f>
        <v>1.2</v>
      </c>
      <c r="F353">
        <f t="shared" si="41"/>
        <v>4380</v>
      </c>
      <c r="G353">
        <f t="shared" si="42"/>
        <v>438</v>
      </c>
      <c r="H353">
        <f t="shared" si="43"/>
        <v>3942</v>
      </c>
      <c r="I353">
        <f>D353 * SUMIFS(CA_Feed!G:G, CA_Feed!B:B, B353, CA_Feed!E:E, "*BONUS*", CA_Feed!D:D, "&gt;="&amp;C353)</f>
        <v>0</v>
      </c>
      <c r="J353">
        <f t="shared" si="44"/>
        <v>0</v>
      </c>
      <c r="K353">
        <f t="shared" si="45"/>
        <v>0</v>
      </c>
      <c r="L353">
        <f>IF(K353&gt;0, K353 * VLOOKUP(B353, CA_Feed!B:N, 13, FALSE), 0)</f>
        <v>0</v>
      </c>
      <c r="M353">
        <f t="shared" si="46"/>
        <v>3942</v>
      </c>
      <c r="N353" s="2">
        <f t="shared" si="47"/>
        <v>0</v>
      </c>
      <c r="O353" t="str">
        <f>IF(COUNTIFS(CA_Feed!B:B, B353)=0, "No Action Announced", IF(COUNTIFS(CA_Feed!B:B, B353, CA_Feed!D:D, "&gt;="&amp;C353)&gt;0, "Processed (Eligible)", "Ineligible (Post Ex-Date)"))</f>
        <v>Processed (Eligible)</v>
      </c>
    </row>
    <row r="354" spans="1:15" x14ac:dyDescent="0.3">
      <c r="A354" t="s">
        <v>430</v>
      </c>
      <c r="B354" t="s">
        <v>39</v>
      </c>
      <c r="C354" s="5">
        <v>43242</v>
      </c>
      <c r="D354" s="2">
        <v>9400</v>
      </c>
      <c r="E354">
        <f>SUMIFS(CA_Feed!F:F, CA_Feed!B:B, B354, CA_Feed!E:E, "*DIVIDEND*", CA_Feed!D:D, "&gt;="&amp;C354)</f>
        <v>1.2</v>
      </c>
      <c r="F354">
        <f t="shared" si="41"/>
        <v>11280</v>
      </c>
      <c r="G354">
        <f t="shared" si="42"/>
        <v>1128</v>
      </c>
      <c r="H354">
        <f t="shared" si="43"/>
        <v>10152</v>
      </c>
      <c r="I354">
        <f>D354 * SUMIFS(CA_Feed!G:G, CA_Feed!B:B, B354, CA_Feed!E:E, "*BONUS*", CA_Feed!D:D, "&gt;="&amp;C354)</f>
        <v>0</v>
      </c>
      <c r="J354">
        <f t="shared" si="44"/>
        <v>0</v>
      </c>
      <c r="K354">
        <f t="shared" si="45"/>
        <v>0</v>
      </c>
      <c r="L354">
        <f>IF(K354&gt;0, K354 * VLOOKUP(B354, CA_Feed!B:N, 13, FALSE), 0)</f>
        <v>0</v>
      </c>
      <c r="M354">
        <f t="shared" si="46"/>
        <v>10152</v>
      </c>
      <c r="N354" s="2">
        <f t="shared" si="47"/>
        <v>0</v>
      </c>
      <c r="O354" t="str">
        <f>IF(COUNTIFS(CA_Feed!B:B, B354)=0, "No Action Announced", IF(COUNTIFS(CA_Feed!B:B, B354, CA_Feed!D:D, "&gt;="&amp;C354)&gt;0, "Processed (Eligible)", "Ineligible (Post Ex-Date)"))</f>
        <v>Processed (Eligible)</v>
      </c>
    </row>
    <row r="355" spans="1:15" x14ac:dyDescent="0.3">
      <c r="A355" t="s">
        <v>186</v>
      </c>
      <c r="B355" t="s">
        <v>12</v>
      </c>
      <c r="C355" s="5">
        <v>44668</v>
      </c>
      <c r="D355" s="2">
        <v>900</v>
      </c>
      <c r="E355">
        <f>SUMIFS(CA_Feed!F:F, CA_Feed!B:B, B355, CA_Feed!E:E, "*DIVIDEND*", CA_Feed!D:D, "&gt;="&amp;C355)</f>
        <v>19</v>
      </c>
      <c r="F355">
        <f t="shared" si="41"/>
        <v>17100</v>
      </c>
      <c r="G355">
        <f t="shared" si="42"/>
        <v>1710</v>
      </c>
      <c r="H355">
        <f t="shared" si="43"/>
        <v>15390</v>
      </c>
      <c r="I355">
        <f>D355 * SUMIFS(CA_Feed!G:G, CA_Feed!B:B, B355, CA_Feed!E:E, "*BONUS*", CA_Feed!D:D, "&gt;="&amp;C355)</f>
        <v>0</v>
      </c>
      <c r="J355">
        <f t="shared" si="44"/>
        <v>0</v>
      </c>
      <c r="K355">
        <f t="shared" si="45"/>
        <v>0</v>
      </c>
      <c r="L355">
        <f>IF(K355&gt;0, K355 * VLOOKUP(B355, CA_Feed!B:N, 13, FALSE), 0)</f>
        <v>0</v>
      </c>
      <c r="M355">
        <f t="shared" si="46"/>
        <v>15390</v>
      </c>
      <c r="N355" s="2">
        <f t="shared" si="47"/>
        <v>0</v>
      </c>
      <c r="O355" t="str">
        <f>IF(COUNTIFS(CA_Feed!B:B, B355)=0, "No Action Announced", IF(COUNTIFS(CA_Feed!B:B, B355, CA_Feed!D:D, "&gt;="&amp;C355)&gt;0, "Processed (Eligible)", "Ineligible (Post Ex-Date)"))</f>
        <v>Processed (Eligible)</v>
      </c>
    </row>
    <row r="356" spans="1:15" x14ac:dyDescent="0.3">
      <c r="A356" t="s">
        <v>432</v>
      </c>
      <c r="B356" t="s">
        <v>59</v>
      </c>
      <c r="C356" s="5">
        <v>43476</v>
      </c>
      <c r="D356" s="2">
        <v>4500</v>
      </c>
      <c r="E356">
        <f>SUMIFS(CA_Feed!F:F, CA_Feed!B:B, B356, CA_Feed!E:E, "*DIVIDEND*", CA_Feed!D:D, "&gt;="&amp;C356)</f>
        <v>0.30000000000000004</v>
      </c>
      <c r="F356">
        <f t="shared" si="41"/>
        <v>1350.0000000000002</v>
      </c>
      <c r="G356">
        <f t="shared" si="42"/>
        <v>135.00000000000003</v>
      </c>
      <c r="H356">
        <f t="shared" si="43"/>
        <v>1215.0000000000002</v>
      </c>
      <c r="I356">
        <f>D356 * SUMIFS(CA_Feed!G:G, CA_Feed!B:B, B356, CA_Feed!E:E, "*BONUS*", CA_Feed!D:D, "&gt;="&amp;C356)</f>
        <v>0</v>
      </c>
      <c r="J356">
        <f t="shared" si="44"/>
        <v>0</v>
      </c>
      <c r="K356">
        <f t="shared" si="45"/>
        <v>0</v>
      </c>
      <c r="L356">
        <f>IF(K356&gt;0, K356 * VLOOKUP(B356, CA_Feed!B:N, 13, FALSE), 0)</f>
        <v>0</v>
      </c>
      <c r="M356">
        <f t="shared" si="46"/>
        <v>1215.0000000000002</v>
      </c>
      <c r="N356" s="2">
        <f t="shared" si="47"/>
        <v>0</v>
      </c>
      <c r="O356" t="str">
        <f>IF(COUNTIFS(CA_Feed!B:B, B356)=0, "No Action Announced", IF(COUNTIFS(CA_Feed!B:B, B356, CA_Feed!D:D, "&gt;="&amp;C356)&gt;0, "Processed (Eligible)", "Ineligible (Post Ex-Date)"))</f>
        <v>Processed (Eligible)</v>
      </c>
    </row>
    <row r="357" spans="1:15" x14ac:dyDescent="0.3">
      <c r="A357" t="s">
        <v>433</v>
      </c>
      <c r="B357" t="s">
        <v>23</v>
      </c>
      <c r="C357" s="5">
        <v>45628</v>
      </c>
      <c r="D357" s="2">
        <v>3000</v>
      </c>
      <c r="E357">
        <f>SUMIFS(CA_Feed!F:F, CA_Feed!B:B, B357, CA_Feed!E:E, "*DIVIDEND*", CA_Feed!D:D, "&gt;="&amp;C357)</f>
        <v>0.90000000000000013</v>
      </c>
      <c r="F357">
        <f t="shared" si="41"/>
        <v>2700.0000000000005</v>
      </c>
      <c r="G357">
        <f t="shared" si="42"/>
        <v>270.00000000000006</v>
      </c>
      <c r="H357">
        <f t="shared" si="43"/>
        <v>2430.0000000000005</v>
      </c>
      <c r="I357">
        <f>D357 * SUMIFS(CA_Feed!G:G, CA_Feed!B:B, B357, CA_Feed!E:E, "*BONUS*", CA_Feed!D:D, "&gt;="&amp;C357)</f>
        <v>0</v>
      </c>
      <c r="J357">
        <f t="shared" si="44"/>
        <v>0</v>
      </c>
      <c r="K357">
        <f t="shared" si="45"/>
        <v>0</v>
      </c>
      <c r="L357">
        <f>IF(K357&gt;0, K357 * VLOOKUP(B357, CA_Feed!B:N, 13, FALSE), 0)</f>
        <v>0</v>
      </c>
      <c r="M357">
        <f t="shared" ref="M357:M406" si="48">H357 + L357</f>
        <v>2430.0000000000005</v>
      </c>
      <c r="N357" s="2">
        <f t="shared" si="47"/>
        <v>0</v>
      </c>
      <c r="O357" t="str">
        <f>IF(COUNTIFS(CA_Feed!B:B, B357)=0, "No Action Announced", IF(COUNTIFS(CA_Feed!B:B, B357, CA_Feed!D:D, "&gt;="&amp;C357)&gt;0, "Processed (Eligible)", "Ineligible (Post Ex-Date)"))</f>
        <v>Processed (Eligible)</v>
      </c>
    </row>
    <row r="358" spans="1:15" x14ac:dyDescent="0.3">
      <c r="A358" t="s">
        <v>434</v>
      </c>
      <c r="B358" t="s">
        <v>33</v>
      </c>
      <c r="C358" s="5">
        <v>42210</v>
      </c>
      <c r="D358" s="2">
        <v>9900</v>
      </c>
      <c r="E358">
        <f>SUMIFS(CA_Feed!F:F, CA_Feed!B:B, B358, CA_Feed!E:E, "*DIVIDEND*", CA_Feed!D:D, "&gt;="&amp;C358)</f>
        <v>1.5</v>
      </c>
      <c r="F358">
        <f t="shared" ref="F358:F407" si="49">D358 * E358</f>
        <v>14850</v>
      </c>
      <c r="G358">
        <f t="shared" ref="G358:G407" si="50">F358 * 0.1</f>
        <v>1485</v>
      </c>
      <c r="H358">
        <f t="shared" ref="H358:H407" si="51">F358 - G358</f>
        <v>13365</v>
      </c>
      <c r="I358">
        <f>D358 * SUMIFS(CA_Feed!G:G, CA_Feed!B:B, B358, CA_Feed!E:E, "*BONUS*", CA_Feed!D:D, "&gt;="&amp;C358)</f>
        <v>0</v>
      </c>
      <c r="J358">
        <f t="shared" ref="J358:J407" si="52">INT(I358)</f>
        <v>0</v>
      </c>
      <c r="K358">
        <f t="shared" ref="K358:K407" si="53">I358-J358</f>
        <v>0</v>
      </c>
      <c r="L358">
        <f>IF(K358&gt;0, K358 * VLOOKUP(B358, CA_Feed!B:N, 13, FALSE), 0)</f>
        <v>0</v>
      </c>
      <c r="M358">
        <f t="shared" si="48"/>
        <v>13365</v>
      </c>
      <c r="N358" s="2">
        <f t="shared" si="47"/>
        <v>0</v>
      </c>
      <c r="O358" t="str">
        <f>IF(COUNTIFS(CA_Feed!B:B, B358)=0, "No Action Announced", IF(COUNTIFS(CA_Feed!B:B, B358, CA_Feed!D:D, "&gt;="&amp;C358)&gt;0, "Processed (Eligible)", "Ineligible (Post Ex-Date)"))</f>
        <v>Processed (Eligible)</v>
      </c>
    </row>
    <row r="359" spans="1:15" x14ac:dyDescent="0.3">
      <c r="A359" t="s">
        <v>435</v>
      </c>
      <c r="B359" t="s">
        <v>45</v>
      </c>
      <c r="C359" s="5">
        <v>43995</v>
      </c>
      <c r="D359" s="2">
        <v>3500</v>
      </c>
      <c r="E359">
        <f>SUMIFS(CA_Feed!F:F, CA_Feed!B:B, B359, CA_Feed!E:E, "*DIVIDEND*", CA_Feed!D:D, "&gt;="&amp;C359)</f>
        <v>2.5</v>
      </c>
      <c r="F359">
        <f t="shared" si="49"/>
        <v>8750</v>
      </c>
      <c r="G359">
        <f t="shared" si="50"/>
        <v>875</v>
      </c>
      <c r="H359">
        <f t="shared" si="51"/>
        <v>7875</v>
      </c>
      <c r="I359">
        <f>D359 * SUMIFS(CA_Feed!G:G, CA_Feed!B:B, B359, CA_Feed!E:E, "*BONUS*", CA_Feed!D:D, "&gt;="&amp;C359)</f>
        <v>0</v>
      </c>
      <c r="J359">
        <f t="shared" si="52"/>
        <v>0</v>
      </c>
      <c r="K359">
        <f t="shared" si="53"/>
        <v>0</v>
      </c>
      <c r="L359">
        <f>IF(K359&gt;0, K359 * VLOOKUP(B359, CA_Feed!B:N, 13, FALSE), 0)</f>
        <v>0</v>
      </c>
      <c r="M359">
        <f t="shared" si="48"/>
        <v>7875</v>
      </c>
      <c r="N359" s="2">
        <f t="shared" si="47"/>
        <v>0</v>
      </c>
      <c r="O359" t="str">
        <f>IF(COUNTIFS(CA_Feed!B:B, B359)=0, "No Action Announced", IF(COUNTIFS(CA_Feed!B:B, B359, CA_Feed!D:D, "&gt;="&amp;C359)&gt;0, "Processed (Eligible)", "Ineligible (Post Ex-Date)"))</f>
        <v>Processed (Eligible)</v>
      </c>
    </row>
    <row r="360" spans="1:15" x14ac:dyDescent="0.3">
      <c r="A360" t="s">
        <v>436</v>
      </c>
      <c r="B360" t="s">
        <v>16</v>
      </c>
      <c r="C360" s="5">
        <v>44811</v>
      </c>
      <c r="D360" s="2">
        <v>350</v>
      </c>
      <c r="E360">
        <f>SUMIFS(CA_Feed!F:F, CA_Feed!B:B, B360, CA_Feed!E:E, "*DIVIDEND*", CA_Feed!D:D, "&gt;="&amp;C360)</f>
        <v>3.75</v>
      </c>
      <c r="F360">
        <f t="shared" si="49"/>
        <v>1312.5</v>
      </c>
      <c r="G360">
        <f t="shared" si="50"/>
        <v>131.25</v>
      </c>
      <c r="H360">
        <f t="shared" si="51"/>
        <v>1181.25</v>
      </c>
      <c r="I360">
        <f>D360 * SUMIFS(CA_Feed!G:G, CA_Feed!B:B, B360, CA_Feed!E:E, "*BONUS*", CA_Feed!D:D, "&gt;="&amp;C360)</f>
        <v>0</v>
      </c>
      <c r="J360">
        <f t="shared" si="52"/>
        <v>0</v>
      </c>
      <c r="K360">
        <f t="shared" si="53"/>
        <v>0</v>
      </c>
      <c r="L360">
        <f>IF(K360&gt;0, K360 * VLOOKUP(B360, CA_Feed!B:N, 13, FALSE), 0)</f>
        <v>0</v>
      </c>
      <c r="M360">
        <f t="shared" si="48"/>
        <v>1181.25</v>
      </c>
      <c r="N360" s="2">
        <f t="shared" si="47"/>
        <v>0</v>
      </c>
      <c r="O360" t="str">
        <f>IF(COUNTIFS(CA_Feed!B:B, B360)=0, "No Action Announced", IF(COUNTIFS(CA_Feed!B:B, B360, CA_Feed!D:D, "&gt;="&amp;C360)&gt;0, "Processed (Eligible)", "Ineligible (Post Ex-Date)"))</f>
        <v>Processed (Eligible)</v>
      </c>
    </row>
    <row r="361" spans="1:15" x14ac:dyDescent="0.3">
      <c r="A361" t="s">
        <v>437</v>
      </c>
      <c r="B361" t="s">
        <v>19</v>
      </c>
      <c r="C361" s="5">
        <v>45098</v>
      </c>
      <c r="D361" s="2">
        <v>5750</v>
      </c>
      <c r="E361">
        <f>SUMIFS(CA_Feed!F:F, CA_Feed!B:B, B361, CA_Feed!E:E, "*DIVIDEND*", CA_Feed!D:D, "&gt;="&amp;C361)</f>
        <v>1.5</v>
      </c>
      <c r="F361">
        <f t="shared" si="49"/>
        <v>8625</v>
      </c>
      <c r="G361">
        <f t="shared" si="50"/>
        <v>862.5</v>
      </c>
      <c r="H361">
        <f t="shared" si="51"/>
        <v>7762.5</v>
      </c>
      <c r="I361">
        <f>D361 * SUMIFS(CA_Feed!G:G, CA_Feed!B:B, B361, CA_Feed!E:E, "*BONUS*", CA_Feed!D:D, "&gt;="&amp;C361)</f>
        <v>0</v>
      </c>
      <c r="J361">
        <f t="shared" si="52"/>
        <v>0</v>
      </c>
      <c r="K361">
        <f t="shared" si="53"/>
        <v>0</v>
      </c>
      <c r="L361">
        <f>IF(K361&gt;0, K361 * VLOOKUP(B361, CA_Feed!B:N, 13, FALSE), 0)</f>
        <v>0</v>
      </c>
      <c r="M361">
        <f t="shared" si="48"/>
        <v>7762.5</v>
      </c>
      <c r="N361" s="2">
        <f t="shared" si="47"/>
        <v>0</v>
      </c>
      <c r="O361" t="str">
        <f>IF(COUNTIFS(CA_Feed!B:B, B361)=0, "No Action Announced", IF(COUNTIFS(CA_Feed!B:B, B361, CA_Feed!D:D, "&gt;="&amp;C361)&gt;0, "Processed (Eligible)", "Ineligible (Post Ex-Date)"))</f>
        <v>Processed (Eligible)</v>
      </c>
    </row>
    <row r="362" spans="1:15" x14ac:dyDescent="0.3">
      <c r="A362" t="s">
        <v>400</v>
      </c>
      <c r="B362" t="s">
        <v>12</v>
      </c>
      <c r="C362" s="5">
        <v>44658</v>
      </c>
      <c r="D362" s="2">
        <v>900</v>
      </c>
      <c r="E362">
        <f>SUMIFS(CA_Feed!F:F, CA_Feed!B:B, B362, CA_Feed!E:E, "*DIVIDEND*", CA_Feed!D:D, "&gt;="&amp;C362)</f>
        <v>19</v>
      </c>
      <c r="F362">
        <f t="shared" si="49"/>
        <v>17100</v>
      </c>
      <c r="G362">
        <f t="shared" si="50"/>
        <v>1710</v>
      </c>
      <c r="H362">
        <f t="shared" si="51"/>
        <v>15390</v>
      </c>
      <c r="I362">
        <f>D362 * SUMIFS(CA_Feed!G:G, CA_Feed!B:B, B362, CA_Feed!E:E, "*BONUS*", CA_Feed!D:D, "&gt;="&amp;C362)</f>
        <v>0</v>
      </c>
      <c r="J362">
        <f t="shared" si="52"/>
        <v>0</v>
      </c>
      <c r="K362">
        <f t="shared" si="53"/>
        <v>0</v>
      </c>
      <c r="L362">
        <f>IF(K362&gt;0, K362 * VLOOKUP(B362, CA_Feed!B:N, 13, FALSE), 0)</f>
        <v>0</v>
      </c>
      <c r="M362">
        <f t="shared" si="48"/>
        <v>15390</v>
      </c>
      <c r="N362" s="2">
        <f t="shared" si="47"/>
        <v>0</v>
      </c>
      <c r="O362" t="str">
        <f>IF(COUNTIFS(CA_Feed!B:B, B362)=0, "No Action Announced", IF(COUNTIFS(CA_Feed!B:B, B362, CA_Feed!D:D, "&gt;="&amp;C362)&gt;0, "Processed (Eligible)", "Ineligible (Post Ex-Date)"))</f>
        <v>Processed (Eligible)</v>
      </c>
    </row>
    <row r="363" spans="1:15" x14ac:dyDescent="0.3">
      <c r="A363" t="s">
        <v>439</v>
      </c>
      <c r="B363" t="s">
        <v>41</v>
      </c>
      <c r="C363" s="5">
        <v>43863</v>
      </c>
      <c r="D363" s="2">
        <v>4000</v>
      </c>
      <c r="E363">
        <f>SUMIFS(CA_Feed!F:F, CA_Feed!B:B, B363, CA_Feed!E:E, "*DIVIDEND*", CA_Feed!D:D, "&gt;="&amp;C363)</f>
        <v>0.2</v>
      </c>
      <c r="F363">
        <f t="shared" si="49"/>
        <v>800</v>
      </c>
      <c r="G363">
        <f t="shared" si="50"/>
        <v>80</v>
      </c>
      <c r="H363">
        <f t="shared" si="51"/>
        <v>720</v>
      </c>
      <c r="I363">
        <f>D363 * SUMIFS(CA_Feed!G:G, CA_Feed!B:B, B363, CA_Feed!E:E, "*BONUS*", CA_Feed!D:D, "&gt;="&amp;C363)</f>
        <v>0</v>
      </c>
      <c r="J363">
        <f t="shared" si="52"/>
        <v>0</v>
      </c>
      <c r="K363">
        <f t="shared" si="53"/>
        <v>0</v>
      </c>
      <c r="L363">
        <f>IF(K363&gt;0, K363 * VLOOKUP(B363, CA_Feed!B:N, 13, FALSE), 0)</f>
        <v>0</v>
      </c>
      <c r="M363">
        <f t="shared" si="48"/>
        <v>720</v>
      </c>
      <c r="N363" s="2">
        <f t="shared" si="47"/>
        <v>0</v>
      </c>
      <c r="O363" t="str">
        <f>IF(COUNTIFS(CA_Feed!B:B, B363)=0, "No Action Announced", IF(COUNTIFS(CA_Feed!B:B, B363, CA_Feed!D:D, "&gt;="&amp;C363)&gt;0, "Processed (Eligible)", "Ineligible (Post Ex-Date)"))</f>
        <v>Processed (Eligible)</v>
      </c>
    </row>
    <row r="364" spans="1:15" x14ac:dyDescent="0.3">
      <c r="A364" t="s">
        <v>440</v>
      </c>
      <c r="B364" t="s">
        <v>31</v>
      </c>
      <c r="C364" s="5">
        <v>42901</v>
      </c>
      <c r="D364" s="2">
        <v>2900</v>
      </c>
      <c r="E364">
        <f>SUMIFS(CA_Feed!F:F, CA_Feed!B:B, B364, CA_Feed!E:E, "*DIVIDEND*", CA_Feed!D:D, "&gt;="&amp;C364)</f>
        <v>3</v>
      </c>
      <c r="F364">
        <f t="shared" si="49"/>
        <v>8700</v>
      </c>
      <c r="G364">
        <f t="shared" si="50"/>
        <v>870</v>
      </c>
      <c r="H364">
        <f t="shared" si="51"/>
        <v>7830</v>
      </c>
      <c r="I364">
        <f>D364 * SUMIFS(CA_Feed!G:G, CA_Feed!B:B, B364, CA_Feed!E:E, "*BONUS*", CA_Feed!D:D, "&gt;="&amp;C364)</f>
        <v>0</v>
      </c>
      <c r="J364">
        <f t="shared" si="52"/>
        <v>0</v>
      </c>
      <c r="K364">
        <f t="shared" si="53"/>
        <v>0</v>
      </c>
      <c r="L364">
        <f>IF(K364&gt;0, K364 * VLOOKUP(B364, CA_Feed!B:N, 13, FALSE), 0)</f>
        <v>0</v>
      </c>
      <c r="M364">
        <f t="shared" si="48"/>
        <v>7830</v>
      </c>
      <c r="N364" s="2">
        <f t="shared" si="47"/>
        <v>0</v>
      </c>
      <c r="O364" t="str">
        <f>IF(COUNTIFS(CA_Feed!B:B, B364)=0, "No Action Announced", IF(COUNTIFS(CA_Feed!B:B, B364, CA_Feed!D:D, "&gt;="&amp;C364)&gt;0, "Processed (Eligible)", "Ineligible (Post Ex-Date)"))</f>
        <v>Processed (Eligible)</v>
      </c>
    </row>
    <row r="365" spans="1:15" x14ac:dyDescent="0.3">
      <c r="A365" t="s">
        <v>441</v>
      </c>
      <c r="B365" t="s">
        <v>23</v>
      </c>
      <c r="C365" s="5">
        <v>45396</v>
      </c>
      <c r="D365" s="2">
        <v>250</v>
      </c>
      <c r="E365">
        <f>SUMIFS(CA_Feed!F:F, CA_Feed!B:B, B365, CA_Feed!E:E, "*DIVIDEND*", CA_Feed!D:D, "&gt;="&amp;C365)</f>
        <v>1.5000000000000002</v>
      </c>
      <c r="F365">
        <f t="shared" si="49"/>
        <v>375.00000000000006</v>
      </c>
      <c r="G365">
        <f t="shared" si="50"/>
        <v>37.500000000000007</v>
      </c>
      <c r="H365">
        <f t="shared" si="51"/>
        <v>337.50000000000006</v>
      </c>
      <c r="I365">
        <f>D365 * SUMIFS(CA_Feed!G:G, CA_Feed!B:B, B365, CA_Feed!E:E, "*BONUS*", CA_Feed!D:D, "&gt;="&amp;C365)</f>
        <v>0</v>
      </c>
      <c r="J365">
        <f t="shared" si="52"/>
        <v>0</v>
      </c>
      <c r="K365">
        <f t="shared" si="53"/>
        <v>0</v>
      </c>
      <c r="L365">
        <f>IF(K365&gt;0, K365 * VLOOKUP(B365, CA_Feed!B:N, 13, FALSE), 0)</f>
        <v>0</v>
      </c>
      <c r="M365">
        <f t="shared" si="48"/>
        <v>337.50000000000006</v>
      </c>
      <c r="N365" s="2">
        <f t="shared" si="47"/>
        <v>0</v>
      </c>
      <c r="O365" t="str">
        <f>IF(COUNTIFS(CA_Feed!B:B, B365)=0, "No Action Announced", IF(COUNTIFS(CA_Feed!B:B, B365, CA_Feed!D:D, "&gt;="&amp;C365)&gt;0, "Processed (Eligible)", "Ineligible (Post Ex-Date)"))</f>
        <v>Processed (Eligible)</v>
      </c>
    </row>
    <row r="366" spans="1:15" x14ac:dyDescent="0.3">
      <c r="A366" t="s">
        <v>442</v>
      </c>
      <c r="B366" t="s">
        <v>33</v>
      </c>
      <c r="C366" s="5">
        <v>43443</v>
      </c>
      <c r="D366" s="2">
        <v>9000</v>
      </c>
      <c r="E366">
        <f>SUMIFS(CA_Feed!F:F, CA_Feed!B:B, B366, CA_Feed!E:E, "*DIVIDEND*", CA_Feed!D:D, "&gt;="&amp;C366)</f>
        <v>1.5</v>
      </c>
      <c r="F366">
        <f t="shared" si="49"/>
        <v>13500</v>
      </c>
      <c r="G366">
        <f t="shared" si="50"/>
        <v>1350</v>
      </c>
      <c r="H366">
        <f t="shared" si="51"/>
        <v>12150</v>
      </c>
      <c r="I366">
        <f>D366 * SUMIFS(CA_Feed!G:G, CA_Feed!B:B, B366, CA_Feed!E:E, "*BONUS*", CA_Feed!D:D, "&gt;="&amp;C366)</f>
        <v>0</v>
      </c>
      <c r="J366">
        <f t="shared" si="52"/>
        <v>0</v>
      </c>
      <c r="K366">
        <f t="shared" si="53"/>
        <v>0</v>
      </c>
      <c r="L366">
        <f>IF(K366&gt;0, K366 * VLOOKUP(B366, CA_Feed!B:N, 13, FALSE), 0)</f>
        <v>0</v>
      </c>
      <c r="M366">
        <f t="shared" si="48"/>
        <v>12150</v>
      </c>
      <c r="N366" s="2">
        <f t="shared" si="47"/>
        <v>0</v>
      </c>
      <c r="O366" t="str">
        <f>IF(COUNTIFS(CA_Feed!B:B, B366)=0, "No Action Announced", IF(COUNTIFS(CA_Feed!B:B, B366, CA_Feed!D:D, "&gt;="&amp;C366)&gt;0, "Processed (Eligible)", "Ineligible (Post Ex-Date)"))</f>
        <v>Processed (Eligible)</v>
      </c>
    </row>
    <row r="367" spans="1:15" x14ac:dyDescent="0.3">
      <c r="A367" t="s">
        <v>443</v>
      </c>
      <c r="B367" t="s">
        <v>39</v>
      </c>
      <c r="C367" s="5">
        <v>45494</v>
      </c>
      <c r="D367" s="2">
        <v>6400</v>
      </c>
      <c r="E367">
        <f>SUMIFS(CA_Feed!F:F, CA_Feed!B:B, B367, CA_Feed!E:E, "*DIVIDEND*", CA_Feed!D:D, "&gt;="&amp;C367)</f>
        <v>1.2</v>
      </c>
      <c r="F367">
        <f t="shared" si="49"/>
        <v>7680</v>
      </c>
      <c r="G367">
        <f t="shared" si="50"/>
        <v>768</v>
      </c>
      <c r="H367">
        <f t="shared" si="51"/>
        <v>6912</v>
      </c>
      <c r="I367">
        <f>D367 * SUMIFS(CA_Feed!G:G, CA_Feed!B:B, B367, CA_Feed!E:E, "*BONUS*", CA_Feed!D:D, "&gt;="&amp;C367)</f>
        <v>0</v>
      </c>
      <c r="J367">
        <f t="shared" si="52"/>
        <v>0</v>
      </c>
      <c r="K367">
        <f t="shared" si="53"/>
        <v>0</v>
      </c>
      <c r="L367">
        <f>IF(K367&gt;0, K367 * VLOOKUP(B367, CA_Feed!B:N, 13, FALSE), 0)</f>
        <v>0</v>
      </c>
      <c r="M367">
        <f t="shared" si="48"/>
        <v>6912</v>
      </c>
      <c r="N367" s="2">
        <f t="shared" si="47"/>
        <v>0</v>
      </c>
      <c r="O367" t="str">
        <f>IF(COUNTIFS(CA_Feed!B:B, B367)=0, "No Action Announced", IF(COUNTIFS(CA_Feed!B:B, B367, CA_Feed!D:D, "&gt;="&amp;C367)&gt;0, "Processed (Eligible)", "Ineligible (Post Ex-Date)"))</f>
        <v>Processed (Eligible)</v>
      </c>
    </row>
    <row r="368" spans="1:15" x14ac:dyDescent="0.3">
      <c r="A368" t="s">
        <v>444</v>
      </c>
      <c r="B368" t="s">
        <v>61</v>
      </c>
      <c r="C368" s="5">
        <v>43427</v>
      </c>
      <c r="D368" s="2">
        <v>7300</v>
      </c>
      <c r="E368">
        <f>SUMIFS(CA_Feed!F:F, CA_Feed!B:B, B368, CA_Feed!E:E, "*DIVIDEND*", CA_Feed!D:D, "&gt;="&amp;C368)</f>
        <v>8</v>
      </c>
      <c r="F368">
        <f t="shared" si="49"/>
        <v>58400</v>
      </c>
      <c r="G368">
        <f t="shared" si="50"/>
        <v>5840</v>
      </c>
      <c r="H368">
        <f t="shared" si="51"/>
        <v>52560</v>
      </c>
      <c r="I368">
        <f>D368 * SUMIFS(CA_Feed!G:G, CA_Feed!B:B, B368, CA_Feed!E:E, "*BONUS*", CA_Feed!D:D, "&gt;="&amp;C368)</f>
        <v>0</v>
      </c>
      <c r="J368">
        <f t="shared" si="52"/>
        <v>0</v>
      </c>
      <c r="K368">
        <f t="shared" si="53"/>
        <v>0</v>
      </c>
      <c r="L368">
        <f>IF(K368&gt;0, K368 * VLOOKUP(B368, CA_Feed!B:N, 13, FALSE), 0)</f>
        <v>0</v>
      </c>
      <c r="M368">
        <f t="shared" si="48"/>
        <v>52560</v>
      </c>
      <c r="N368" s="2">
        <f t="shared" si="47"/>
        <v>0</v>
      </c>
      <c r="O368" t="str">
        <f>IF(COUNTIFS(CA_Feed!B:B, B368)=0, "No Action Announced", IF(COUNTIFS(CA_Feed!B:B, B368, CA_Feed!D:D, "&gt;="&amp;C368)&gt;0, "Processed (Eligible)", "Ineligible (Post Ex-Date)"))</f>
        <v>Processed (Eligible)</v>
      </c>
    </row>
    <row r="369" spans="1:15" x14ac:dyDescent="0.3">
      <c r="A369" t="s">
        <v>445</v>
      </c>
      <c r="B369" t="s">
        <v>45</v>
      </c>
      <c r="C369" s="5">
        <v>42244</v>
      </c>
      <c r="D369" s="2">
        <v>1700</v>
      </c>
      <c r="E369">
        <f>SUMIFS(CA_Feed!F:F, CA_Feed!B:B, B369, CA_Feed!E:E, "*DIVIDEND*", CA_Feed!D:D, "&gt;="&amp;C369)</f>
        <v>2.5</v>
      </c>
      <c r="F369">
        <f t="shared" si="49"/>
        <v>4250</v>
      </c>
      <c r="G369">
        <f t="shared" si="50"/>
        <v>425</v>
      </c>
      <c r="H369">
        <f t="shared" si="51"/>
        <v>3825</v>
      </c>
      <c r="I369">
        <f>D369 * SUMIFS(CA_Feed!G:G, CA_Feed!B:B, B369, CA_Feed!E:E, "*BONUS*", CA_Feed!D:D, "&gt;="&amp;C369)</f>
        <v>0</v>
      </c>
      <c r="J369">
        <f t="shared" si="52"/>
        <v>0</v>
      </c>
      <c r="K369">
        <f t="shared" si="53"/>
        <v>0</v>
      </c>
      <c r="L369">
        <f>IF(K369&gt;0, K369 * VLOOKUP(B369, CA_Feed!B:N, 13, FALSE), 0)</f>
        <v>0</v>
      </c>
      <c r="M369">
        <f t="shared" si="48"/>
        <v>3825</v>
      </c>
      <c r="N369" s="2">
        <f t="shared" si="47"/>
        <v>0</v>
      </c>
      <c r="O369" t="str">
        <f>IF(COUNTIFS(CA_Feed!B:B, B369)=0, "No Action Announced", IF(COUNTIFS(CA_Feed!B:B, B369, CA_Feed!D:D, "&gt;="&amp;C369)&gt;0, "Processed (Eligible)", "Ineligible (Post Ex-Date)"))</f>
        <v>Processed (Eligible)</v>
      </c>
    </row>
    <row r="370" spans="1:15" x14ac:dyDescent="0.3">
      <c r="A370" t="s">
        <v>312</v>
      </c>
      <c r="B370" t="s">
        <v>12</v>
      </c>
      <c r="C370" s="5">
        <v>44209</v>
      </c>
      <c r="D370" s="2">
        <v>900</v>
      </c>
      <c r="E370">
        <f>SUMIFS(CA_Feed!F:F, CA_Feed!B:B, B370, CA_Feed!E:E, "*DIVIDEND*", CA_Feed!D:D, "&gt;="&amp;C370)</f>
        <v>19</v>
      </c>
      <c r="F370">
        <f t="shared" si="49"/>
        <v>17100</v>
      </c>
      <c r="G370">
        <f t="shared" si="50"/>
        <v>1710</v>
      </c>
      <c r="H370">
        <f t="shared" si="51"/>
        <v>15390</v>
      </c>
      <c r="I370">
        <f>D370 * SUMIFS(CA_Feed!G:G, CA_Feed!B:B, B370, CA_Feed!E:E, "*BONUS*", CA_Feed!D:D, "&gt;="&amp;C370)</f>
        <v>0</v>
      </c>
      <c r="J370">
        <f t="shared" si="52"/>
        <v>0</v>
      </c>
      <c r="K370">
        <f t="shared" si="53"/>
        <v>0</v>
      </c>
      <c r="L370">
        <f>IF(K370&gt;0, K370 * VLOOKUP(B370, CA_Feed!B:N, 13, FALSE), 0)</f>
        <v>0</v>
      </c>
      <c r="M370">
        <f t="shared" si="48"/>
        <v>15390</v>
      </c>
      <c r="N370" s="2">
        <f t="shared" si="47"/>
        <v>0</v>
      </c>
      <c r="O370" t="str">
        <f>IF(COUNTIFS(CA_Feed!B:B, B370)=0, "No Action Announced", IF(COUNTIFS(CA_Feed!B:B, B370, CA_Feed!D:D, "&gt;="&amp;C370)&gt;0, "Processed (Eligible)", "Ineligible (Post Ex-Date)"))</f>
        <v>Processed (Eligible)</v>
      </c>
    </row>
    <row r="371" spans="1:15" x14ac:dyDescent="0.3">
      <c r="A371" t="s">
        <v>447</v>
      </c>
      <c r="B371" t="s">
        <v>47</v>
      </c>
      <c r="C371" s="5">
        <v>44503</v>
      </c>
      <c r="D371" s="2">
        <v>100</v>
      </c>
      <c r="E371">
        <f>SUMIFS(CA_Feed!F:F, CA_Feed!B:B, B371, CA_Feed!E:E, "*DIVIDEND*", CA_Feed!D:D, "&gt;="&amp;C371)</f>
        <v>0.1</v>
      </c>
      <c r="F371">
        <f t="shared" si="49"/>
        <v>10</v>
      </c>
      <c r="G371">
        <f t="shared" si="50"/>
        <v>1</v>
      </c>
      <c r="H371">
        <f t="shared" si="51"/>
        <v>9</v>
      </c>
      <c r="I371">
        <f>D371 * SUMIFS(CA_Feed!G:G, CA_Feed!B:B, B371, CA_Feed!E:E, "*BONUS*", CA_Feed!D:D, "&gt;="&amp;C371)</f>
        <v>0</v>
      </c>
      <c r="J371">
        <f t="shared" si="52"/>
        <v>0</v>
      </c>
      <c r="K371">
        <f t="shared" si="53"/>
        <v>0</v>
      </c>
      <c r="L371">
        <f>IF(K371&gt;0, K371 * VLOOKUP(B371, CA_Feed!B:N, 13, FALSE), 0)</f>
        <v>0</v>
      </c>
      <c r="M371">
        <f t="shared" si="48"/>
        <v>9</v>
      </c>
      <c r="N371" s="2">
        <f t="shared" si="47"/>
        <v>0</v>
      </c>
      <c r="O371" t="str">
        <f>IF(COUNTIFS(CA_Feed!B:B, B371)=0, "No Action Announced", IF(COUNTIFS(CA_Feed!B:B, B371, CA_Feed!D:D, "&gt;="&amp;C371)&gt;0, "Processed (Eligible)", "Ineligible (Post Ex-Date)"))</f>
        <v>Processed (Eligible)</v>
      </c>
    </row>
    <row r="372" spans="1:15" x14ac:dyDescent="0.3">
      <c r="A372" t="s">
        <v>448</v>
      </c>
      <c r="B372" t="s">
        <v>16</v>
      </c>
      <c r="C372" s="5">
        <v>42453</v>
      </c>
      <c r="D372" s="2">
        <v>3200</v>
      </c>
      <c r="E372">
        <f>SUMIFS(CA_Feed!F:F, CA_Feed!B:B, B372, CA_Feed!E:E, "*DIVIDEND*", CA_Feed!D:D, "&gt;="&amp;C372)</f>
        <v>3.75</v>
      </c>
      <c r="F372">
        <f t="shared" si="49"/>
        <v>12000</v>
      </c>
      <c r="G372">
        <f t="shared" si="50"/>
        <v>1200</v>
      </c>
      <c r="H372">
        <f t="shared" si="51"/>
        <v>10800</v>
      </c>
      <c r="I372">
        <f>D372 * SUMIFS(CA_Feed!G:G, CA_Feed!B:B, B372, CA_Feed!E:E, "*BONUS*", CA_Feed!D:D, "&gt;="&amp;C372)</f>
        <v>0</v>
      </c>
      <c r="J372">
        <f t="shared" si="52"/>
        <v>0</v>
      </c>
      <c r="K372">
        <f t="shared" si="53"/>
        <v>0</v>
      </c>
      <c r="L372">
        <f>IF(K372&gt;0, K372 * VLOOKUP(B372, CA_Feed!B:N, 13, FALSE), 0)</f>
        <v>0</v>
      </c>
      <c r="M372">
        <f t="shared" si="48"/>
        <v>10800</v>
      </c>
      <c r="N372" s="2">
        <f t="shared" si="47"/>
        <v>0</v>
      </c>
      <c r="O372" t="str">
        <f>IF(COUNTIFS(CA_Feed!B:B, B372)=0, "No Action Announced", IF(COUNTIFS(CA_Feed!B:B, B372, CA_Feed!D:D, "&gt;="&amp;C372)&gt;0, "Processed (Eligible)", "Ineligible (Post Ex-Date)"))</f>
        <v>Processed (Eligible)</v>
      </c>
    </row>
    <row r="373" spans="1:15" x14ac:dyDescent="0.3">
      <c r="A373" t="s">
        <v>449</v>
      </c>
      <c r="B373" t="s">
        <v>25</v>
      </c>
      <c r="C373" s="5">
        <v>42281</v>
      </c>
      <c r="D373" s="2">
        <v>6700</v>
      </c>
      <c r="E373">
        <f>SUMIFS(CA_Feed!F:F, CA_Feed!B:B, B373, CA_Feed!E:E, "*DIVIDEND*", CA_Feed!D:D, "&gt;="&amp;C373)</f>
        <v>2.5</v>
      </c>
      <c r="F373">
        <f t="shared" si="49"/>
        <v>16750</v>
      </c>
      <c r="G373">
        <f t="shared" si="50"/>
        <v>1675</v>
      </c>
      <c r="H373">
        <f t="shared" si="51"/>
        <v>15075</v>
      </c>
      <c r="I373">
        <f>D373 * SUMIFS(CA_Feed!G:G, CA_Feed!B:B, B373, CA_Feed!E:E, "*BONUS*", CA_Feed!D:D, "&gt;="&amp;C373)</f>
        <v>0</v>
      </c>
      <c r="J373">
        <f t="shared" si="52"/>
        <v>0</v>
      </c>
      <c r="K373">
        <f t="shared" si="53"/>
        <v>0</v>
      </c>
      <c r="L373">
        <f>IF(K373&gt;0, K373 * VLOOKUP(B373, CA_Feed!B:N, 13, FALSE), 0)</f>
        <v>0</v>
      </c>
      <c r="M373">
        <f t="shared" si="48"/>
        <v>15075</v>
      </c>
      <c r="N373" s="2">
        <f t="shared" si="47"/>
        <v>0</v>
      </c>
      <c r="O373" t="str">
        <f>IF(COUNTIFS(CA_Feed!B:B, B373)=0, "No Action Announced", IF(COUNTIFS(CA_Feed!B:B, B373, CA_Feed!D:D, "&gt;="&amp;C373)&gt;0, "Processed (Eligible)", "Ineligible (Post Ex-Date)"))</f>
        <v>Processed (Eligible)</v>
      </c>
    </row>
    <row r="374" spans="1:15" x14ac:dyDescent="0.3">
      <c r="A374" t="s">
        <v>126</v>
      </c>
      <c r="B374" t="s">
        <v>12</v>
      </c>
      <c r="C374" s="5">
        <v>43915</v>
      </c>
      <c r="D374" s="2">
        <v>800</v>
      </c>
      <c r="E374">
        <f>SUMIFS(CA_Feed!F:F, CA_Feed!B:B, B374, CA_Feed!E:E, "*DIVIDEND*", CA_Feed!D:D, "&gt;="&amp;C374)</f>
        <v>19</v>
      </c>
      <c r="F374">
        <f t="shared" si="49"/>
        <v>15200</v>
      </c>
      <c r="G374">
        <f t="shared" si="50"/>
        <v>1520</v>
      </c>
      <c r="H374">
        <f t="shared" si="51"/>
        <v>13680</v>
      </c>
      <c r="I374">
        <f>D374 * SUMIFS(CA_Feed!G:G, CA_Feed!B:B, B374, CA_Feed!E:E, "*BONUS*", CA_Feed!D:D, "&gt;="&amp;C374)</f>
        <v>0</v>
      </c>
      <c r="J374">
        <f t="shared" si="52"/>
        <v>0</v>
      </c>
      <c r="K374">
        <f t="shared" si="53"/>
        <v>0</v>
      </c>
      <c r="L374">
        <f>IF(K374&gt;0, K374 * VLOOKUP(B374, CA_Feed!B:N, 13, FALSE), 0)</f>
        <v>0</v>
      </c>
      <c r="M374">
        <f t="shared" si="48"/>
        <v>13680</v>
      </c>
      <c r="N374" s="2">
        <f t="shared" si="47"/>
        <v>0</v>
      </c>
      <c r="O374" t="str">
        <f>IF(COUNTIFS(CA_Feed!B:B, B374)=0, "No Action Announced", IF(COUNTIFS(CA_Feed!B:B, B374, CA_Feed!D:D, "&gt;="&amp;C374)&gt;0, "Processed (Eligible)", "Ineligible (Post Ex-Date)"))</f>
        <v>Processed (Eligible)</v>
      </c>
    </row>
    <row r="375" spans="1:15" x14ac:dyDescent="0.3">
      <c r="A375" t="s">
        <v>383</v>
      </c>
      <c r="B375" t="s">
        <v>12</v>
      </c>
      <c r="C375" s="5">
        <v>42827</v>
      </c>
      <c r="D375" s="2">
        <v>800</v>
      </c>
      <c r="E375">
        <f>SUMIFS(CA_Feed!F:F, CA_Feed!B:B, B375, CA_Feed!E:E, "*DIVIDEND*", CA_Feed!D:D, "&gt;="&amp;C375)</f>
        <v>19</v>
      </c>
      <c r="F375">
        <f t="shared" si="49"/>
        <v>15200</v>
      </c>
      <c r="G375">
        <f t="shared" si="50"/>
        <v>1520</v>
      </c>
      <c r="H375">
        <f t="shared" si="51"/>
        <v>13680</v>
      </c>
      <c r="I375">
        <f>D375 * SUMIFS(CA_Feed!G:G, CA_Feed!B:B, B375, CA_Feed!E:E, "*BONUS*", CA_Feed!D:D, "&gt;="&amp;C375)</f>
        <v>0</v>
      </c>
      <c r="J375">
        <f t="shared" si="52"/>
        <v>0</v>
      </c>
      <c r="K375">
        <f t="shared" si="53"/>
        <v>0</v>
      </c>
      <c r="L375">
        <f>IF(K375&gt;0, K375 * VLOOKUP(B375, CA_Feed!B:N, 13, FALSE), 0)</f>
        <v>0</v>
      </c>
      <c r="M375">
        <f t="shared" si="48"/>
        <v>13680</v>
      </c>
      <c r="N375" s="2">
        <f t="shared" si="47"/>
        <v>0</v>
      </c>
      <c r="O375" t="str">
        <f>IF(COUNTIFS(CA_Feed!B:B, B375)=0, "No Action Announced", IF(COUNTIFS(CA_Feed!B:B, B375, CA_Feed!D:D, "&gt;="&amp;C375)&gt;0, "Processed (Eligible)", "Ineligible (Post Ex-Date)"))</f>
        <v>Processed (Eligible)</v>
      </c>
    </row>
    <row r="376" spans="1:15" x14ac:dyDescent="0.3">
      <c r="A376" t="s">
        <v>452</v>
      </c>
      <c r="B376" t="s">
        <v>25</v>
      </c>
      <c r="C376" s="5">
        <v>42328</v>
      </c>
      <c r="D376" s="2">
        <v>5700</v>
      </c>
      <c r="E376">
        <f>SUMIFS(CA_Feed!F:F, CA_Feed!B:B, B376, CA_Feed!E:E, "*DIVIDEND*", CA_Feed!D:D, "&gt;="&amp;C376)</f>
        <v>2.5</v>
      </c>
      <c r="F376">
        <f t="shared" si="49"/>
        <v>14250</v>
      </c>
      <c r="G376">
        <f t="shared" si="50"/>
        <v>1425</v>
      </c>
      <c r="H376">
        <f t="shared" si="51"/>
        <v>12825</v>
      </c>
      <c r="I376">
        <f>D376 * SUMIFS(CA_Feed!G:G, CA_Feed!B:B, B376, CA_Feed!E:E, "*BONUS*", CA_Feed!D:D, "&gt;="&amp;C376)</f>
        <v>0</v>
      </c>
      <c r="J376">
        <f t="shared" si="52"/>
        <v>0</v>
      </c>
      <c r="K376">
        <f t="shared" si="53"/>
        <v>0</v>
      </c>
      <c r="L376">
        <f>IF(K376&gt;0, K376 * VLOOKUP(B376, CA_Feed!B:N, 13, FALSE), 0)</f>
        <v>0</v>
      </c>
      <c r="M376">
        <f t="shared" si="48"/>
        <v>12825</v>
      </c>
      <c r="N376" s="2">
        <f t="shared" si="47"/>
        <v>0</v>
      </c>
      <c r="O376" t="str">
        <f>IF(COUNTIFS(CA_Feed!B:B, B376)=0, "No Action Announced", IF(COUNTIFS(CA_Feed!B:B, B376, CA_Feed!D:D, "&gt;="&amp;C376)&gt;0, "Processed (Eligible)", "Ineligible (Post Ex-Date)"))</f>
        <v>Processed (Eligible)</v>
      </c>
    </row>
    <row r="377" spans="1:15" x14ac:dyDescent="0.3">
      <c r="A377" t="s">
        <v>453</v>
      </c>
      <c r="B377" t="s">
        <v>29</v>
      </c>
      <c r="C377" s="5">
        <v>44852</v>
      </c>
      <c r="D377" s="2">
        <v>6900</v>
      </c>
      <c r="E377">
        <f>SUMIFS(CA_Feed!F:F, CA_Feed!B:B, B377, CA_Feed!E:E, "*DIVIDEND*", CA_Feed!D:D, "&gt;="&amp;C377)</f>
        <v>3</v>
      </c>
      <c r="F377">
        <f t="shared" si="49"/>
        <v>20700</v>
      </c>
      <c r="G377">
        <f t="shared" si="50"/>
        <v>2070</v>
      </c>
      <c r="H377">
        <f t="shared" si="51"/>
        <v>18630</v>
      </c>
      <c r="I377">
        <f>D377 * SUMIFS(CA_Feed!G:G, CA_Feed!B:B, B377, CA_Feed!E:E, "*BONUS*", CA_Feed!D:D, "&gt;="&amp;C377)</f>
        <v>0</v>
      </c>
      <c r="J377">
        <f t="shared" si="52"/>
        <v>0</v>
      </c>
      <c r="K377">
        <f t="shared" si="53"/>
        <v>0</v>
      </c>
      <c r="L377">
        <f>IF(K377&gt;0, K377 * VLOOKUP(B377, CA_Feed!B:N, 13, FALSE), 0)</f>
        <v>0</v>
      </c>
      <c r="M377">
        <f t="shared" si="48"/>
        <v>18630</v>
      </c>
      <c r="N377" s="2">
        <f t="shared" si="47"/>
        <v>0</v>
      </c>
      <c r="O377" t="str">
        <f>IF(COUNTIFS(CA_Feed!B:B, B377)=0, "No Action Announced", IF(COUNTIFS(CA_Feed!B:B, B377, CA_Feed!D:D, "&gt;="&amp;C377)&gt;0, "Processed (Eligible)", "Ineligible (Post Ex-Date)"))</f>
        <v>Processed (Eligible)</v>
      </c>
    </row>
    <row r="378" spans="1:15" x14ac:dyDescent="0.3">
      <c r="A378" t="s">
        <v>454</v>
      </c>
      <c r="B378" t="s">
        <v>37</v>
      </c>
      <c r="C378" s="5">
        <v>42723</v>
      </c>
      <c r="D378" s="2">
        <v>3400</v>
      </c>
      <c r="E378">
        <f>SUMIFS(CA_Feed!F:F, CA_Feed!B:B, B378, CA_Feed!E:E, "*DIVIDEND*", CA_Feed!D:D, "&gt;="&amp;C378)</f>
        <v>6.5</v>
      </c>
      <c r="F378">
        <f t="shared" si="49"/>
        <v>22100</v>
      </c>
      <c r="G378">
        <f t="shared" si="50"/>
        <v>2210</v>
      </c>
      <c r="H378">
        <f t="shared" si="51"/>
        <v>19890</v>
      </c>
      <c r="I378">
        <f>D378 * SUMIFS(CA_Feed!G:G, CA_Feed!B:B, B378, CA_Feed!E:E, "*BONUS*", CA_Feed!D:D, "&gt;="&amp;C378)</f>
        <v>0</v>
      </c>
      <c r="J378">
        <f t="shared" si="52"/>
        <v>0</v>
      </c>
      <c r="K378">
        <f t="shared" si="53"/>
        <v>0</v>
      </c>
      <c r="L378">
        <f>IF(K378&gt;0, K378 * VLOOKUP(B378, CA_Feed!B:N, 13, FALSE), 0)</f>
        <v>0</v>
      </c>
      <c r="M378">
        <f t="shared" si="48"/>
        <v>19890</v>
      </c>
      <c r="N378" s="2">
        <f t="shared" si="47"/>
        <v>0</v>
      </c>
      <c r="O378" t="str">
        <f>IF(COUNTIFS(CA_Feed!B:B, B378)=0, "No Action Announced", IF(COUNTIFS(CA_Feed!B:B, B378, CA_Feed!D:D, "&gt;="&amp;C378)&gt;0, "Processed (Eligible)", "Ineligible (Post Ex-Date)"))</f>
        <v>Processed (Eligible)</v>
      </c>
    </row>
    <row r="379" spans="1:15" x14ac:dyDescent="0.3">
      <c r="A379" t="s">
        <v>455</v>
      </c>
      <c r="B379" t="s">
        <v>27</v>
      </c>
      <c r="C379" s="5">
        <v>42175</v>
      </c>
      <c r="D379" s="2">
        <v>3550</v>
      </c>
      <c r="E379">
        <f>SUMIFS(CA_Feed!F:F, CA_Feed!B:B, B379, CA_Feed!E:E, "*DIVIDEND*", CA_Feed!D:D, "&gt;="&amp;C379)</f>
        <v>3.25</v>
      </c>
      <c r="F379">
        <f t="shared" si="49"/>
        <v>11537.5</v>
      </c>
      <c r="G379">
        <f t="shared" si="50"/>
        <v>1153.75</v>
      </c>
      <c r="H379">
        <f t="shared" si="51"/>
        <v>10383.75</v>
      </c>
      <c r="I379">
        <f>D379 * SUMIFS(CA_Feed!G:G, CA_Feed!B:B, B379, CA_Feed!E:E, "*BONUS*", CA_Feed!D:D, "&gt;="&amp;C379)</f>
        <v>0</v>
      </c>
      <c r="J379">
        <f t="shared" si="52"/>
        <v>0</v>
      </c>
      <c r="K379">
        <f t="shared" si="53"/>
        <v>0</v>
      </c>
      <c r="L379">
        <f>IF(K379&gt;0, K379 * VLOOKUP(B379, CA_Feed!B:N, 13, FALSE), 0)</f>
        <v>0</v>
      </c>
      <c r="M379">
        <f t="shared" si="48"/>
        <v>10383.75</v>
      </c>
      <c r="N379" s="2">
        <f t="shared" si="47"/>
        <v>0</v>
      </c>
      <c r="O379" t="str">
        <f>IF(COUNTIFS(CA_Feed!B:B, B379)=0, "No Action Announced", IF(COUNTIFS(CA_Feed!B:B, B379, CA_Feed!D:D, "&gt;="&amp;C379)&gt;0, "Processed (Eligible)", "Ineligible (Post Ex-Date)"))</f>
        <v>Processed (Eligible)</v>
      </c>
    </row>
    <row r="380" spans="1:15" x14ac:dyDescent="0.3">
      <c r="A380" t="s">
        <v>456</v>
      </c>
      <c r="B380" t="s">
        <v>39</v>
      </c>
      <c r="C380" s="5">
        <v>44096</v>
      </c>
      <c r="D380" s="2">
        <v>6350</v>
      </c>
      <c r="E380">
        <f>SUMIFS(CA_Feed!F:F, CA_Feed!B:B, B380, CA_Feed!E:E, "*DIVIDEND*", CA_Feed!D:D, "&gt;="&amp;C380)</f>
        <v>1.2</v>
      </c>
      <c r="F380">
        <f t="shared" si="49"/>
        <v>7620</v>
      </c>
      <c r="G380">
        <f t="shared" si="50"/>
        <v>762</v>
      </c>
      <c r="H380">
        <f t="shared" si="51"/>
        <v>6858</v>
      </c>
      <c r="I380">
        <f>D380 * SUMIFS(CA_Feed!G:G, CA_Feed!B:B, B380, CA_Feed!E:E, "*BONUS*", CA_Feed!D:D, "&gt;="&amp;C380)</f>
        <v>0</v>
      </c>
      <c r="J380">
        <f t="shared" si="52"/>
        <v>0</v>
      </c>
      <c r="K380">
        <f t="shared" si="53"/>
        <v>0</v>
      </c>
      <c r="L380">
        <f>IF(K380&gt;0, K380 * VLOOKUP(B380, CA_Feed!B:N, 13, FALSE), 0)</f>
        <v>0</v>
      </c>
      <c r="M380">
        <f t="shared" si="48"/>
        <v>6858</v>
      </c>
      <c r="N380" s="2">
        <f t="shared" si="47"/>
        <v>0</v>
      </c>
      <c r="O380" t="str">
        <f>IF(COUNTIFS(CA_Feed!B:B, B380)=0, "No Action Announced", IF(COUNTIFS(CA_Feed!B:B, B380, CA_Feed!D:D, "&gt;="&amp;C380)&gt;0, "Processed (Eligible)", "Ineligible (Post Ex-Date)"))</f>
        <v>Processed (Eligible)</v>
      </c>
    </row>
    <row r="381" spans="1:15" x14ac:dyDescent="0.3">
      <c r="A381" t="s">
        <v>457</v>
      </c>
      <c r="B381" t="s">
        <v>19</v>
      </c>
      <c r="C381" s="5">
        <v>44685</v>
      </c>
      <c r="D381" s="2">
        <v>4100</v>
      </c>
      <c r="E381">
        <f>SUMIFS(CA_Feed!F:F, CA_Feed!B:B, B381, CA_Feed!E:E, "*DIVIDEND*", CA_Feed!D:D, "&gt;="&amp;C381)</f>
        <v>1.5</v>
      </c>
      <c r="F381">
        <f t="shared" si="49"/>
        <v>6150</v>
      </c>
      <c r="G381">
        <f t="shared" si="50"/>
        <v>615</v>
      </c>
      <c r="H381">
        <f t="shared" si="51"/>
        <v>5535</v>
      </c>
      <c r="I381">
        <f>D381 * SUMIFS(CA_Feed!G:G, CA_Feed!B:B, B381, CA_Feed!E:E, "*BONUS*", CA_Feed!D:D, "&gt;="&amp;C381)</f>
        <v>0</v>
      </c>
      <c r="J381">
        <f t="shared" si="52"/>
        <v>0</v>
      </c>
      <c r="K381">
        <f t="shared" si="53"/>
        <v>0</v>
      </c>
      <c r="L381">
        <f>IF(K381&gt;0, K381 * VLOOKUP(B381, CA_Feed!B:N, 13, FALSE), 0)</f>
        <v>0</v>
      </c>
      <c r="M381">
        <f t="shared" si="48"/>
        <v>5535</v>
      </c>
      <c r="N381" s="2">
        <f t="shared" si="47"/>
        <v>0</v>
      </c>
      <c r="O381" t="str">
        <f>IF(COUNTIFS(CA_Feed!B:B, B381)=0, "No Action Announced", IF(COUNTIFS(CA_Feed!B:B, B381, CA_Feed!D:D, "&gt;="&amp;C381)&gt;0, "Processed (Eligible)", "Ineligible (Post Ex-Date)"))</f>
        <v>Processed (Eligible)</v>
      </c>
    </row>
    <row r="382" spans="1:15" x14ac:dyDescent="0.3">
      <c r="A382" t="s">
        <v>458</v>
      </c>
      <c r="B382" t="s">
        <v>31</v>
      </c>
      <c r="C382" s="5">
        <v>42776</v>
      </c>
      <c r="D382" s="2">
        <v>5800</v>
      </c>
      <c r="E382">
        <f>SUMIFS(CA_Feed!F:F, CA_Feed!B:B, B382, CA_Feed!E:E, "*DIVIDEND*", CA_Feed!D:D, "&gt;="&amp;C382)</f>
        <v>3</v>
      </c>
      <c r="F382">
        <f t="shared" si="49"/>
        <v>17400</v>
      </c>
      <c r="G382">
        <f t="shared" si="50"/>
        <v>1740</v>
      </c>
      <c r="H382">
        <f t="shared" si="51"/>
        <v>15660</v>
      </c>
      <c r="I382">
        <f>D382 * SUMIFS(CA_Feed!G:G, CA_Feed!B:B, B382, CA_Feed!E:E, "*BONUS*", CA_Feed!D:D, "&gt;="&amp;C382)</f>
        <v>0</v>
      </c>
      <c r="J382">
        <f t="shared" si="52"/>
        <v>0</v>
      </c>
      <c r="K382">
        <f t="shared" si="53"/>
        <v>0</v>
      </c>
      <c r="L382">
        <f>IF(K382&gt;0, K382 * VLOOKUP(B382, CA_Feed!B:N, 13, FALSE), 0)</f>
        <v>0</v>
      </c>
      <c r="M382">
        <f t="shared" si="48"/>
        <v>15660</v>
      </c>
      <c r="N382" s="2">
        <f t="shared" si="47"/>
        <v>0</v>
      </c>
      <c r="O382" t="str">
        <f>IF(COUNTIFS(CA_Feed!B:B, B382)=0, "No Action Announced", IF(COUNTIFS(CA_Feed!B:B, B382, CA_Feed!D:D, "&gt;="&amp;C382)&gt;0, "Processed (Eligible)", "Ineligible (Post Ex-Date)"))</f>
        <v>Processed (Eligible)</v>
      </c>
    </row>
    <row r="383" spans="1:15" x14ac:dyDescent="0.3">
      <c r="A383" t="s">
        <v>459</v>
      </c>
      <c r="B383" t="s">
        <v>39</v>
      </c>
      <c r="C383" s="5">
        <v>43838</v>
      </c>
      <c r="D383" s="2">
        <v>2100</v>
      </c>
      <c r="E383">
        <f>SUMIFS(CA_Feed!F:F, CA_Feed!B:B, B383, CA_Feed!E:E, "*DIVIDEND*", CA_Feed!D:D, "&gt;="&amp;C383)</f>
        <v>1.2</v>
      </c>
      <c r="F383">
        <f t="shared" si="49"/>
        <v>2520</v>
      </c>
      <c r="G383">
        <f t="shared" si="50"/>
        <v>252</v>
      </c>
      <c r="H383">
        <f t="shared" si="51"/>
        <v>2268</v>
      </c>
      <c r="I383">
        <f>D383 * SUMIFS(CA_Feed!G:G, CA_Feed!B:B, B383, CA_Feed!E:E, "*BONUS*", CA_Feed!D:D, "&gt;="&amp;C383)</f>
        <v>0</v>
      </c>
      <c r="J383">
        <f t="shared" si="52"/>
        <v>0</v>
      </c>
      <c r="K383">
        <f t="shared" si="53"/>
        <v>0</v>
      </c>
      <c r="L383">
        <f>IF(K383&gt;0, K383 * VLOOKUP(B383, CA_Feed!B:N, 13, FALSE), 0)</f>
        <v>0</v>
      </c>
      <c r="M383">
        <f t="shared" si="48"/>
        <v>2268</v>
      </c>
      <c r="N383" s="2">
        <f t="shared" si="47"/>
        <v>0</v>
      </c>
      <c r="O383" t="str">
        <f>IF(COUNTIFS(CA_Feed!B:B, B383)=0, "No Action Announced", IF(COUNTIFS(CA_Feed!B:B, B383, CA_Feed!D:D, "&gt;="&amp;C383)&gt;0, "Processed (Eligible)", "Ineligible (Post Ex-Date)"))</f>
        <v>Processed (Eligible)</v>
      </c>
    </row>
    <row r="384" spans="1:15" x14ac:dyDescent="0.3">
      <c r="A384" t="s">
        <v>460</v>
      </c>
      <c r="B384" t="s">
        <v>39</v>
      </c>
      <c r="C384" s="5">
        <v>42496</v>
      </c>
      <c r="D384" s="2">
        <v>5750</v>
      </c>
      <c r="E384">
        <f>SUMIFS(CA_Feed!F:F, CA_Feed!B:B, B384, CA_Feed!E:E, "*DIVIDEND*", CA_Feed!D:D, "&gt;="&amp;C384)</f>
        <v>1.2</v>
      </c>
      <c r="F384">
        <f t="shared" si="49"/>
        <v>6900</v>
      </c>
      <c r="G384">
        <f t="shared" si="50"/>
        <v>690</v>
      </c>
      <c r="H384">
        <f t="shared" si="51"/>
        <v>6210</v>
      </c>
      <c r="I384">
        <f>D384 * SUMIFS(CA_Feed!G:G, CA_Feed!B:B, B384, CA_Feed!E:E, "*BONUS*", CA_Feed!D:D, "&gt;="&amp;C384)</f>
        <v>0</v>
      </c>
      <c r="J384">
        <f t="shared" si="52"/>
        <v>0</v>
      </c>
      <c r="K384">
        <f t="shared" si="53"/>
        <v>0</v>
      </c>
      <c r="L384">
        <f>IF(K384&gt;0, K384 * VLOOKUP(B384, CA_Feed!B:N, 13, FALSE), 0)</f>
        <v>0</v>
      </c>
      <c r="M384">
        <f t="shared" si="48"/>
        <v>6210</v>
      </c>
      <c r="N384" s="2">
        <f t="shared" si="47"/>
        <v>0</v>
      </c>
      <c r="O384" t="str">
        <f>IF(COUNTIFS(CA_Feed!B:B, B384)=0, "No Action Announced", IF(COUNTIFS(CA_Feed!B:B, B384, CA_Feed!D:D, "&gt;="&amp;C384)&gt;0, "Processed (Eligible)", "Ineligible (Post Ex-Date)"))</f>
        <v>Processed (Eligible)</v>
      </c>
    </row>
    <row r="385" spans="1:15" x14ac:dyDescent="0.3">
      <c r="A385" t="s">
        <v>195</v>
      </c>
      <c r="B385" t="s">
        <v>12</v>
      </c>
      <c r="C385" s="5">
        <v>45275</v>
      </c>
      <c r="D385" s="2">
        <v>750</v>
      </c>
      <c r="E385">
        <f>SUMIFS(CA_Feed!F:F, CA_Feed!B:B, B385, CA_Feed!E:E, "*DIVIDEND*", CA_Feed!D:D, "&gt;="&amp;C385)</f>
        <v>19</v>
      </c>
      <c r="F385">
        <f t="shared" si="49"/>
        <v>14250</v>
      </c>
      <c r="G385">
        <f t="shared" si="50"/>
        <v>1425</v>
      </c>
      <c r="H385">
        <f t="shared" si="51"/>
        <v>12825</v>
      </c>
      <c r="I385">
        <f>D385 * SUMIFS(CA_Feed!G:G, CA_Feed!B:B, B385, CA_Feed!E:E, "*BONUS*", CA_Feed!D:D, "&gt;="&amp;C385)</f>
        <v>0</v>
      </c>
      <c r="J385">
        <f t="shared" si="52"/>
        <v>0</v>
      </c>
      <c r="K385">
        <f t="shared" si="53"/>
        <v>0</v>
      </c>
      <c r="L385">
        <f>IF(K385&gt;0, K385 * VLOOKUP(B385, CA_Feed!B:N, 13, FALSE), 0)</f>
        <v>0</v>
      </c>
      <c r="M385">
        <f t="shared" si="48"/>
        <v>12825</v>
      </c>
      <c r="N385" s="2">
        <f t="shared" si="47"/>
        <v>0</v>
      </c>
      <c r="O385" t="str">
        <f>IF(COUNTIFS(CA_Feed!B:B, B385)=0, "No Action Announced", IF(COUNTIFS(CA_Feed!B:B, B385, CA_Feed!D:D, "&gt;="&amp;C385)&gt;0, "Processed (Eligible)", "Ineligible (Post Ex-Date)"))</f>
        <v>Processed (Eligible)</v>
      </c>
    </row>
    <row r="386" spans="1:15" x14ac:dyDescent="0.3">
      <c r="A386" t="s">
        <v>462</v>
      </c>
      <c r="B386" t="s">
        <v>49</v>
      </c>
      <c r="C386" s="5">
        <v>45091</v>
      </c>
      <c r="D386" s="2">
        <v>1300</v>
      </c>
      <c r="E386">
        <f>SUMIFS(CA_Feed!F:F, CA_Feed!B:B, B386, CA_Feed!E:E, "*DIVIDEND*", CA_Feed!D:D, "&gt;="&amp;C386)</f>
        <v>1.1000000000000001</v>
      </c>
      <c r="F386">
        <f t="shared" si="49"/>
        <v>1430.0000000000002</v>
      </c>
      <c r="G386">
        <f t="shared" si="50"/>
        <v>143.00000000000003</v>
      </c>
      <c r="H386">
        <f t="shared" si="51"/>
        <v>1287.0000000000002</v>
      </c>
      <c r="I386">
        <f>D386 * SUMIFS(CA_Feed!G:G, CA_Feed!B:B, B386, CA_Feed!E:E, "*BONUS*", CA_Feed!D:D, "&gt;="&amp;C386)</f>
        <v>0</v>
      </c>
      <c r="J386">
        <f t="shared" si="52"/>
        <v>0</v>
      </c>
      <c r="K386">
        <f t="shared" si="53"/>
        <v>0</v>
      </c>
      <c r="L386">
        <f>IF(K386&gt;0, K386 * VLOOKUP(B386, CA_Feed!B:N, 13, FALSE), 0)</f>
        <v>0</v>
      </c>
      <c r="M386">
        <f t="shared" si="48"/>
        <v>1287.0000000000002</v>
      </c>
      <c r="N386" s="2">
        <f t="shared" si="47"/>
        <v>0</v>
      </c>
      <c r="O386" t="str">
        <f>IF(COUNTIFS(CA_Feed!B:B, B386)=0, "No Action Announced", IF(COUNTIFS(CA_Feed!B:B, B386, CA_Feed!D:D, "&gt;="&amp;C386)&gt;0, "Processed (Eligible)", "Ineligible (Post Ex-Date)"))</f>
        <v>Processed (Eligible)</v>
      </c>
    </row>
    <row r="387" spans="1:15" x14ac:dyDescent="0.3">
      <c r="A387" t="s">
        <v>463</v>
      </c>
      <c r="B387" t="s">
        <v>23</v>
      </c>
      <c r="C387" s="5">
        <v>43870</v>
      </c>
      <c r="D387" s="2">
        <v>7550</v>
      </c>
      <c r="E387">
        <f>SUMIFS(CA_Feed!F:F, CA_Feed!B:B, B387, CA_Feed!E:E, "*DIVIDEND*", CA_Feed!D:D, "&gt;="&amp;C387)</f>
        <v>1.5000000000000002</v>
      </c>
      <c r="F387">
        <f t="shared" si="49"/>
        <v>11325.000000000002</v>
      </c>
      <c r="G387">
        <f t="shared" si="50"/>
        <v>1132.5000000000002</v>
      </c>
      <c r="H387">
        <f t="shared" si="51"/>
        <v>10192.500000000002</v>
      </c>
      <c r="I387">
        <f>D387 * SUMIFS(CA_Feed!G:G, CA_Feed!B:B, B387, CA_Feed!E:E, "*BONUS*", CA_Feed!D:D, "&gt;="&amp;C387)</f>
        <v>0</v>
      </c>
      <c r="J387">
        <f t="shared" si="52"/>
        <v>0</v>
      </c>
      <c r="K387">
        <f t="shared" si="53"/>
        <v>0</v>
      </c>
      <c r="L387">
        <f>IF(K387&gt;0, K387 * VLOOKUP(B387, CA_Feed!B:N, 13, FALSE), 0)</f>
        <v>0</v>
      </c>
      <c r="M387">
        <f t="shared" si="48"/>
        <v>10192.500000000002</v>
      </c>
      <c r="N387" s="2">
        <f t="shared" ref="N387:N450" si="54">IF(J387&gt;0,D387 +J387,0)</f>
        <v>0</v>
      </c>
      <c r="O387" t="str">
        <f>IF(COUNTIFS(CA_Feed!B:B, B387)=0, "No Action Announced", IF(COUNTIFS(CA_Feed!B:B, B387, CA_Feed!D:D, "&gt;="&amp;C387)&gt;0, "Processed (Eligible)", "Ineligible (Post Ex-Date)"))</f>
        <v>Processed (Eligible)</v>
      </c>
    </row>
    <row r="388" spans="1:15" x14ac:dyDescent="0.3">
      <c r="A388" t="s">
        <v>464</v>
      </c>
      <c r="B388" t="s">
        <v>23</v>
      </c>
      <c r="C388" s="5">
        <v>44403</v>
      </c>
      <c r="D388" s="2">
        <v>1650</v>
      </c>
      <c r="E388">
        <f>SUMIFS(CA_Feed!F:F, CA_Feed!B:B, B388, CA_Feed!E:E, "*DIVIDEND*", CA_Feed!D:D, "&gt;="&amp;C388)</f>
        <v>1.5000000000000002</v>
      </c>
      <c r="F388">
        <f t="shared" si="49"/>
        <v>2475.0000000000005</v>
      </c>
      <c r="G388">
        <f t="shared" si="50"/>
        <v>247.50000000000006</v>
      </c>
      <c r="H388">
        <f t="shared" si="51"/>
        <v>2227.5000000000005</v>
      </c>
      <c r="I388">
        <f>D388 * SUMIFS(CA_Feed!G:G, CA_Feed!B:B, B388, CA_Feed!E:E, "*BONUS*", CA_Feed!D:D, "&gt;="&amp;C388)</f>
        <v>0</v>
      </c>
      <c r="J388">
        <f t="shared" si="52"/>
        <v>0</v>
      </c>
      <c r="K388">
        <f t="shared" si="53"/>
        <v>0</v>
      </c>
      <c r="L388">
        <f>IF(K388&gt;0, K388 * VLOOKUP(B388, CA_Feed!B:N, 13, FALSE), 0)</f>
        <v>0</v>
      </c>
      <c r="M388">
        <f t="shared" si="48"/>
        <v>2227.5000000000005</v>
      </c>
      <c r="N388" s="2">
        <f t="shared" si="54"/>
        <v>0</v>
      </c>
      <c r="O388" t="str">
        <f>IF(COUNTIFS(CA_Feed!B:B, B388)=0, "No Action Announced", IF(COUNTIFS(CA_Feed!B:B, B388, CA_Feed!D:D, "&gt;="&amp;C388)&gt;0, "Processed (Eligible)", "Ineligible (Post Ex-Date)"))</f>
        <v>Processed (Eligible)</v>
      </c>
    </row>
    <row r="389" spans="1:15" x14ac:dyDescent="0.3">
      <c r="A389" t="s">
        <v>465</v>
      </c>
      <c r="B389" t="s">
        <v>59</v>
      </c>
      <c r="C389" s="5">
        <v>43198</v>
      </c>
      <c r="D389" s="2">
        <v>2750</v>
      </c>
      <c r="E389">
        <f>SUMIFS(CA_Feed!F:F, CA_Feed!B:B, B389, CA_Feed!E:E, "*DIVIDEND*", CA_Feed!D:D, "&gt;="&amp;C389)</f>
        <v>0.30000000000000004</v>
      </c>
      <c r="F389">
        <f t="shared" si="49"/>
        <v>825.00000000000011</v>
      </c>
      <c r="G389">
        <f t="shared" si="50"/>
        <v>82.500000000000014</v>
      </c>
      <c r="H389">
        <f t="shared" si="51"/>
        <v>742.50000000000011</v>
      </c>
      <c r="I389">
        <f>D389 * SUMIFS(CA_Feed!G:G, CA_Feed!B:B, B389, CA_Feed!E:E, "*BONUS*", CA_Feed!D:D, "&gt;="&amp;C389)</f>
        <v>0</v>
      </c>
      <c r="J389">
        <f t="shared" si="52"/>
        <v>0</v>
      </c>
      <c r="K389">
        <f t="shared" si="53"/>
        <v>0</v>
      </c>
      <c r="L389">
        <f>IF(K389&gt;0, K389 * VLOOKUP(B389, CA_Feed!B:N, 13, FALSE), 0)</f>
        <v>0</v>
      </c>
      <c r="M389">
        <f t="shared" si="48"/>
        <v>742.50000000000011</v>
      </c>
      <c r="N389" s="2">
        <f t="shared" si="54"/>
        <v>0</v>
      </c>
      <c r="O389" t="str">
        <f>IF(COUNTIFS(CA_Feed!B:B, B389)=0, "No Action Announced", IF(COUNTIFS(CA_Feed!B:B, B389, CA_Feed!D:D, "&gt;="&amp;C389)&gt;0, "Processed (Eligible)", "Ineligible (Post Ex-Date)"))</f>
        <v>Processed (Eligible)</v>
      </c>
    </row>
    <row r="390" spans="1:15" x14ac:dyDescent="0.3">
      <c r="A390" t="s">
        <v>466</v>
      </c>
      <c r="B390" t="s">
        <v>61</v>
      </c>
      <c r="C390" s="5">
        <v>43742</v>
      </c>
      <c r="D390" s="2">
        <v>5350</v>
      </c>
      <c r="E390">
        <f>SUMIFS(CA_Feed!F:F, CA_Feed!B:B, B390, CA_Feed!E:E, "*DIVIDEND*", CA_Feed!D:D, "&gt;="&amp;C390)</f>
        <v>8</v>
      </c>
      <c r="F390">
        <f t="shared" si="49"/>
        <v>42800</v>
      </c>
      <c r="G390">
        <f t="shared" si="50"/>
        <v>4280</v>
      </c>
      <c r="H390">
        <f t="shared" si="51"/>
        <v>38520</v>
      </c>
      <c r="I390">
        <f>D390 * SUMIFS(CA_Feed!G:G, CA_Feed!B:B, B390, CA_Feed!E:E, "*BONUS*", CA_Feed!D:D, "&gt;="&amp;C390)</f>
        <v>0</v>
      </c>
      <c r="J390">
        <f t="shared" si="52"/>
        <v>0</v>
      </c>
      <c r="K390">
        <f t="shared" si="53"/>
        <v>0</v>
      </c>
      <c r="L390">
        <f>IF(K390&gt;0, K390 * VLOOKUP(B390, CA_Feed!B:N, 13, FALSE), 0)</f>
        <v>0</v>
      </c>
      <c r="M390">
        <f t="shared" si="48"/>
        <v>38520</v>
      </c>
      <c r="N390" s="2">
        <f t="shared" si="54"/>
        <v>0</v>
      </c>
      <c r="O390" t="str">
        <f>IF(COUNTIFS(CA_Feed!B:B, B390)=0, "No Action Announced", IF(COUNTIFS(CA_Feed!B:B, B390, CA_Feed!D:D, "&gt;="&amp;C390)&gt;0, "Processed (Eligible)", "Ineligible (Post Ex-Date)"))</f>
        <v>Processed (Eligible)</v>
      </c>
    </row>
    <row r="391" spans="1:15" x14ac:dyDescent="0.3">
      <c r="A391" t="s">
        <v>467</v>
      </c>
      <c r="B391" t="s">
        <v>21</v>
      </c>
      <c r="C391" s="5">
        <v>42090</v>
      </c>
      <c r="D391" s="2">
        <v>1850</v>
      </c>
      <c r="E391">
        <f>SUMIFS(CA_Feed!F:F, CA_Feed!B:B, B391, CA_Feed!E:E, "*DIVIDEND*", CA_Feed!D:D, "&gt;="&amp;C391)</f>
        <v>1</v>
      </c>
      <c r="F391">
        <f t="shared" si="49"/>
        <v>1850</v>
      </c>
      <c r="G391">
        <f t="shared" si="50"/>
        <v>185</v>
      </c>
      <c r="H391">
        <f t="shared" si="51"/>
        <v>1665</v>
      </c>
      <c r="I391">
        <f>D391 * SUMIFS(CA_Feed!G:G, CA_Feed!B:B, B391, CA_Feed!E:E, "*BONUS*", CA_Feed!D:D, "&gt;="&amp;C391)</f>
        <v>0</v>
      </c>
      <c r="J391">
        <f t="shared" si="52"/>
        <v>0</v>
      </c>
      <c r="K391">
        <f t="shared" si="53"/>
        <v>0</v>
      </c>
      <c r="L391">
        <f>IF(K391&gt;0, K391 * VLOOKUP(B391, CA_Feed!B:N, 13, FALSE), 0)</f>
        <v>0</v>
      </c>
      <c r="M391">
        <f t="shared" si="48"/>
        <v>1665</v>
      </c>
      <c r="N391" s="2">
        <f t="shared" si="54"/>
        <v>0</v>
      </c>
      <c r="O391" t="str">
        <f>IF(COUNTIFS(CA_Feed!B:B, B391)=0, "No Action Announced", IF(COUNTIFS(CA_Feed!B:B, B391, CA_Feed!D:D, "&gt;="&amp;C391)&gt;0, "Processed (Eligible)", "Ineligible (Post Ex-Date)"))</f>
        <v>Processed (Eligible)</v>
      </c>
    </row>
    <row r="392" spans="1:15" x14ac:dyDescent="0.3">
      <c r="A392" t="s">
        <v>468</v>
      </c>
      <c r="B392" t="s">
        <v>19</v>
      </c>
      <c r="C392" s="5">
        <v>43176</v>
      </c>
      <c r="D392" s="2">
        <v>8550</v>
      </c>
      <c r="E392">
        <f>SUMIFS(CA_Feed!F:F, CA_Feed!B:B, B392, CA_Feed!E:E, "*DIVIDEND*", CA_Feed!D:D, "&gt;="&amp;C392)</f>
        <v>1.5</v>
      </c>
      <c r="F392">
        <f t="shared" si="49"/>
        <v>12825</v>
      </c>
      <c r="G392">
        <f t="shared" si="50"/>
        <v>1282.5</v>
      </c>
      <c r="H392">
        <f t="shared" si="51"/>
        <v>11542.5</v>
      </c>
      <c r="I392">
        <f>D392 * SUMIFS(CA_Feed!G:G, CA_Feed!B:B, B392, CA_Feed!E:E, "*BONUS*", CA_Feed!D:D, "&gt;="&amp;C392)</f>
        <v>0</v>
      </c>
      <c r="J392">
        <f t="shared" si="52"/>
        <v>0</v>
      </c>
      <c r="K392">
        <f t="shared" si="53"/>
        <v>0</v>
      </c>
      <c r="L392">
        <f>IF(K392&gt;0, K392 * VLOOKUP(B392, CA_Feed!B:N, 13, FALSE), 0)</f>
        <v>0</v>
      </c>
      <c r="M392">
        <f t="shared" si="48"/>
        <v>11542.5</v>
      </c>
      <c r="N392" s="2">
        <f t="shared" si="54"/>
        <v>0</v>
      </c>
      <c r="O392" t="str">
        <f>IF(COUNTIFS(CA_Feed!B:B, B392)=0, "No Action Announced", IF(COUNTIFS(CA_Feed!B:B, B392, CA_Feed!D:D, "&gt;="&amp;C392)&gt;0, "Processed (Eligible)", "Ineligible (Post Ex-Date)"))</f>
        <v>Processed (Eligible)</v>
      </c>
    </row>
    <row r="393" spans="1:15" x14ac:dyDescent="0.3">
      <c r="A393" t="s">
        <v>469</v>
      </c>
      <c r="B393" t="s">
        <v>25</v>
      </c>
      <c r="C393" s="5">
        <v>42364</v>
      </c>
      <c r="D393" s="2">
        <v>1900</v>
      </c>
      <c r="E393">
        <f>SUMIFS(CA_Feed!F:F, CA_Feed!B:B, B393, CA_Feed!E:E, "*DIVIDEND*", CA_Feed!D:D, "&gt;="&amp;C393)</f>
        <v>2.5</v>
      </c>
      <c r="F393">
        <f t="shared" si="49"/>
        <v>4750</v>
      </c>
      <c r="G393">
        <f t="shared" si="50"/>
        <v>475</v>
      </c>
      <c r="H393">
        <f t="shared" si="51"/>
        <v>4275</v>
      </c>
      <c r="I393">
        <f>D393 * SUMIFS(CA_Feed!G:G, CA_Feed!B:B, B393, CA_Feed!E:E, "*BONUS*", CA_Feed!D:D, "&gt;="&amp;C393)</f>
        <v>0</v>
      </c>
      <c r="J393">
        <f t="shared" si="52"/>
        <v>0</v>
      </c>
      <c r="K393">
        <f t="shared" si="53"/>
        <v>0</v>
      </c>
      <c r="L393">
        <f>IF(K393&gt;0, K393 * VLOOKUP(B393, CA_Feed!B:N, 13, FALSE), 0)</f>
        <v>0</v>
      </c>
      <c r="M393">
        <f t="shared" si="48"/>
        <v>4275</v>
      </c>
      <c r="N393" s="2">
        <f t="shared" si="54"/>
        <v>0</v>
      </c>
      <c r="O393" t="str">
        <f>IF(COUNTIFS(CA_Feed!B:B, B393)=0, "No Action Announced", IF(COUNTIFS(CA_Feed!B:B, B393, CA_Feed!D:D, "&gt;="&amp;C393)&gt;0, "Processed (Eligible)", "Ineligible (Post Ex-Date)"))</f>
        <v>Processed (Eligible)</v>
      </c>
    </row>
    <row r="394" spans="1:15" x14ac:dyDescent="0.3">
      <c r="A394" t="s">
        <v>470</v>
      </c>
      <c r="B394" t="s">
        <v>25</v>
      </c>
      <c r="C394" s="5">
        <v>45152</v>
      </c>
      <c r="D394" s="2">
        <v>5300</v>
      </c>
      <c r="E394">
        <f>SUMIFS(CA_Feed!F:F, CA_Feed!B:B, B394, CA_Feed!E:E, "*DIVIDEND*", CA_Feed!D:D, "&gt;="&amp;C394)</f>
        <v>2.5</v>
      </c>
      <c r="F394">
        <f t="shared" si="49"/>
        <v>13250</v>
      </c>
      <c r="G394">
        <f t="shared" si="50"/>
        <v>1325</v>
      </c>
      <c r="H394">
        <f t="shared" si="51"/>
        <v>11925</v>
      </c>
      <c r="I394">
        <f>D394 * SUMIFS(CA_Feed!G:G, CA_Feed!B:B, B394, CA_Feed!E:E, "*BONUS*", CA_Feed!D:D, "&gt;="&amp;C394)</f>
        <v>0</v>
      </c>
      <c r="J394">
        <f t="shared" si="52"/>
        <v>0</v>
      </c>
      <c r="K394">
        <f t="shared" si="53"/>
        <v>0</v>
      </c>
      <c r="L394">
        <f>IF(K394&gt;0, K394 * VLOOKUP(B394, CA_Feed!B:N, 13, FALSE), 0)</f>
        <v>0</v>
      </c>
      <c r="M394">
        <f t="shared" si="48"/>
        <v>11925</v>
      </c>
      <c r="N394" s="2">
        <f t="shared" si="54"/>
        <v>0</v>
      </c>
      <c r="O394" t="str">
        <f>IF(COUNTIFS(CA_Feed!B:B, B394)=0, "No Action Announced", IF(COUNTIFS(CA_Feed!B:B, B394, CA_Feed!D:D, "&gt;="&amp;C394)&gt;0, "Processed (Eligible)", "Ineligible (Post Ex-Date)"))</f>
        <v>Processed (Eligible)</v>
      </c>
    </row>
    <row r="395" spans="1:15" x14ac:dyDescent="0.3">
      <c r="A395" t="s">
        <v>673</v>
      </c>
      <c r="B395" t="s">
        <v>12</v>
      </c>
      <c r="C395" s="5">
        <v>44564</v>
      </c>
      <c r="D395" s="2">
        <v>700</v>
      </c>
      <c r="E395">
        <f>SUMIFS(CA_Feed!F:F, CA_Feed!B:B, B395, CA_Feed!E:E, "*DIVIDEND*", CA_Feed!D:D, "&gt;="&amp;C395)</f>
        <v>19</v>
      </c>
      <c r="F395">
        <f t="shared" si="49"/>
        <v>13300</v>
      </c>
      <c r="G395">
        <f t="shared" si="50"/>
        <v>1330</v>
      </c>
      <c r="H395">
        <f t="shared" si="51"/>
        <v>11970</v>
      </c>
      <c r="I395">
        <f>D395 * SUMIFS(CA_Feed!G:G, CA_Feed!B:B, B395, CA_Feed!E:E, "*BONUS*", CA_Feed!D:D, "&gt;="&amp;C395)</f>
        <v>0</v>
      </c>
      <c r="J395">
        <f t="shared" si="52"/>
        <v>0</v>
      </c>
      <c r="K395">
        <f t="shared" si="53"/>
        <v>0</v>
      </c>
      <c r="L395">
        <f>IF(K395&gt;0, K395 * VLOOKUP(B395, CA_Feed!B:N, 13, FALSE), 0)</f>
        <v>0</v>
      </c>
      <c r="M395">
        <f t="shared" si="48"/>
        <v>11970</v>
      </c>
      <c r="N395" s="2">
        <f t="shared" si="54"/>
        <v>0</v>
      </c>
      <c r="O395" t="str">
        <f>IF(COUNTIFS(CA_Feed!B:B, B395)=0, "No Action Announced", IF(COUNTIFS(CA_Feed!B:B, B395, CA_Feed!D:D, "&gt;="&amp;C395)&gt;0, "Processed (Eligible)", "Ineligible (Post Ex-Date)"))</f>
        <v>Processed (Eligible)</v>
      </c>
    </row>
    <row r="396" spans="1:15" x14ac:dyDescent="0.3">
      <c r="A396" t="s">
        <v>472</v>
      </c>
      <c r="B396" t="s">
        <v>29</v>
      </c>
      <c r="C396" s="5">
        <v>42943</v>
      </c>
      <c r="D396" s="2">
        <v>500</v>
      </c>
      <c r="E396">
        <f>SUMIFS(CA_Feed!F:F, CA_Feed!B:B, B396, CA_Feed!E:E, "*DIVIDEND*", CA_Feed!D:D, "&gt;="&amp;C396)</f>
        <v>3</v>
      </c>
      <c r="F396">
        <f t="shared" si="49"/>
        <v>1500</v>
      </c>
      <c r="G396">
        <f t="shared" si="50"/>
        <v>150</v>
      </c>
      <c r="H396">
        <f t="shared" si="51"/>
        <v>1350</v>
      </c>
      <c r="I396">
        <f>D396 * SUMIFS(CA_Feed!G:G, CA_Feed!B:B, B396, CA_Feed!E:E, "*BONUS*", CA_Feed!D:D, "&gt;="&amp;C396)</f>
        <v>0</v>
      </c>
      <c r="J396">
        <f t="shared" si="52"/>
        <v>0</v>
      </c>
      <c r="K396">
        <f t="shared" si="53"/>
        <v>0</v>
      </c>
      <c r="L396">
        <f>IF(K396&gt;0, K396 * VLOOKUP(B396, CA_Feed!B:N, 13, FALSE), 0)</f>
        <v>0</v>
      </c>
      <c r="M396">
        <f t="shared" si="48"/>
        <v>1350</v>
      </c>
      <c r="N396" s="2">
        <f t="shared" si="54"/>
        <v>0</v>
      </c>
      <c r="O396" t="str">
        <f>IF(COUNTIFS(CA_Feed!B:B, B396)=0, "No Action Announced", IF(COUNTIFS(CA_Feed!B:B, B396, CA_Feed!D:D, "&gt;="&amp;C396)&gt;0, "Processed (Eligible)", "Ineligible (Post Ex-Date)"))</f>
        <v>Processed (Eligible)</v>
      </c>
    </row>
    <row r="397" spans="1:15" x14ac:dyDescent="0.3">
      <c r="A397" t="s">
        <v>473</v>
      </c>
      <c r="B397" t="s">
        <v>31</v>
      </c>
      <c r="C397" s="5">
        <v>43292</v>
      </c>
      <c r="D397" s="2">
        <v>6550</v>
      </c>
      <c r="E397">
        <f>SUMIFS(CA_Feed!F:F, CA_Feed!B:B, B397, CA_Feed!E:E, "*DIVIDEND*", CA_Feed!D:D, "&gt;="&amp;C397)</f>
        <v>3</v>
      </c>
      <c r="F397">
        <f t="shared" si="49"/>
        <v>19650</v>
      </c>
      <c r="G397">
        <f t="shared" si="50"/>
        <v>1965</v>
      </c>
      <c r="H397">
        <f t="shared" si="51"/>
        <v>17685</v>
      </c>
      <c r="I397">
        <f>D397 * SUMIFS(CA_Feed!G:G, CA_Feed!B:B, B397, CA_Feed!E:E, "*BONUS*", CA_Feed!D:D, "&gt;="&amp;C397)</f>
        <v>0</v>
      </c>
      <c r="J397">
        <f t="shared" si="52"/>
        <v>0</v>
      </c>
      <c r="K397">
        <f t="shared" si="53"/>
        <v>0</v>
      </c>
      <c r="L397">
        <f>IF(K397&gt;0, K397 * VLOOKUP(B397, CA_Feed!B:N, 13, FALSE), 0)</f>
        <v>0</v>
      </c>
      <c r="M397">
        <f t="shared" si="48"/>
        <v>17685</v>
      </c>
      <c r="N397" s="2">
        <f t="shared" si="54"/>
        <v>0</v>
      </c>
      <c r="O397" t="str">
        <f>IF(COUNTIFS(CA_Feed!B:B, B397)=0, "No Action Announced", IF(COUNTIFS(CA_Feed!B:B, B397, CA_Feed!D:D, "&gt;="&amp;C397)&gt;0, "Processed (Eligible)", "Ineligible (Post Ex-Date)"))</f>
        <v>Processed (Eligible)</v>
      </c>
    </row>
    <row r="398" spans="1:15" x14ac:dyDescent="0.3">
      <c r="A398" t="s">
        <v>678</v>
      </c>
      <c r="B398" t="s">
        <v>12</v>
      </c>
      <c r="C398" s="5">
        <v>44539</v>
      </c>
      <c r="D398" s="2">
        <v>700</v>
      </c>
      <c r="E398">
        <f>SUMIFS(CA_Feed!F:F, CA_Feed!B:B, B398, CA_Feed!E:E, "*DIVIDEND*", CA_Feed!D:D, "&gt;="&amp;C398)</f>
        <v>19</v>
      </c>
      <c r="F398">
        <f t="shared" si="49"/>
        <v>13300</v>
      </c>
      <c r="G398">
        <f t="shared" si="50"/>
        <v>1330</v>
      </c>
      <c r="H398">
        <f t="shared" si="51"/>
        <v>11970</v>
      </c>
      <c r="I398">
        <f>D398 * SUMIFS(CA_Feed!G:G, CA_Feed!B:B, B398, CA_Feed!E:E, "*BONUS*", CA_Feed!D:D, "&gt;="&amp;C398)</f>
        <v>0</v>
      </c>
      <c r="J398">
        <f t="shared" si="52"/>
        <v>0</v>
      </c>
      <c r="K398">
        <f t="shared" si="53"/>
        <v>0</v>
      </c>
      <c r="L398">
        <f>IF(K398&gt;0, K398 * VLOOKUP(B398, CA_Feed!B:N, 13, FALSE), 0)</f>
        <v>0</v>
      </c>
      <c r="M398">
        <f t="shared" si="48"/>
        <v>11970</v>
      </c>
      <c r="N398" s="2">
        <f t="shared" si="54"/>
        <v>0</v>
      </c>
      <c r="O398" t="str">
        <f>IF(COUNTIFS(CA_Feed!B:B, B398)=0, "No Action Announced", IF(COUNTIFS(CA_Feed!B:B, B398, CA_Feed!D:D, "&gt;="&amp;C398)&gt;0, "Processed (Eligible)", "Ineligible (Post Ex-Date)"))</f>
        <v>Processed (Eligible)</v>
      </c>
    </row>
    <row r="399" spans="1:15" x14ac:dyDescent="0.3">
      <c r="A399" t="s">
        <v>475</v>
      </c>
      <c r="B399" t="s">
        <v>41</v>
      </c>
      <c r="C399" s="5">
        <v>45175</v>
      </c>
      <c r="D399" s="2">
        <v>6100</v>
      </c>
      <c r="E399">
        <f>SUMIFS(CA_Feed!F:F, CA_Feed!B:B, B399, CA_Feed!E:E, "*DIVIDEND*", CA_Feed!D:D, "&gt;="&amp;C399)</f>
        <v>0.2</v>
      </c>
      <c r="F399">
        <f t="shared" si="49"/>
        <v>1220</v>
      </c>
      <c r="G399">
        <f t="shared" si="50"/>
        <v>122</v>
      </c>
      <c r="H399">
        <f t="shared" si="51"/>
        <v>1098</v>
      </c>
      <c r="I399">
        <f>D399 * SUMIFS(CA_Feed!G:G, CA_Feed!B:B, B399, CA_Feed!E:E, "*BONUS*", CA_Feed!D:D, "&gt;="&amp;C399)</f>
        <v>0</v>
      </c>
      <c r="J399">
        <f t="shared" si="52"/>
        <v>0</v>
      </c>
      <c r="K399">
        <f t="shared" si="53"/>
        <v>0</v>
      </c>
      <c r="L399">
        <f>IF(K399&gt;0, K399 * VLOOKUP(B399, CA_Feed!B:N, 13, FALSE), 0)</f>
        <v>0</v>
      </c>
      <c r="M399">
        <f t="shared" si="48"/>
        <v>1098</v>
      </c>
      <c r="N399" s="2">
        <f t="shared" si="54"/>
        <v>0</v>
      </c>
      <c r="O399" t="str">
        <f>IF(COUNTIFS(CA_Feed!B:B, B399)=0, "No Action Announced", IF(COUNTIFS(CA_Feed!B:B, B399, CA_Feed!D:D, "&gt;="&amp;C399)&gt;0, "Processed (Eligible)", "Ineligible (Post Ex-Date)"))</f>
        <v>Processed (Eligible)</v>
      </c>
    </row>
    <row r="400" spans="1:15" x14ac:dyDescent="0.3">
      <c r="A400" t="s">
        <v>476</v>
      </c>
      <c r="B400" t="s">
        <v>39</v>
      </c>
      <c r="C400" s="5">
        <v>44037</v>
      </c>
      <c r="D400" s="2">
        <v>3750</v>
      </c>
      <c r="E400">
        <f>SUMIFS(CA_Feed!F:F, CA_Feed!B:B, B400, CA_Feed!E:E, "*DIVIDEND*", CA_Feed!D:D, "&gt;="&amp;C400)</f>
        <v>1.2</v>
      </c>
      <c r="F400">
        <f t="shared" si="49"/>
        <v>4500</v>
      </c>
      <c r="G400">
        <f t="shared" si="50"/>
        <v>450</v>
      </c>
      <c r="H400">
        <f t="shared" si="51"/>
        <v>4050</v>
      </c>
      <c r="I400">
        <f>D400 * SUMIFS(CA_Feed!G:G, CA_Feed!B:B, B400, CA_Feed!E:E, "*BONUS*", CA_Feed!D:D, "&gt;="&amp;C400)</f>
        <v>0</v>
      </c>
      <c r="J400">
        <f t="shared" si="52"/>
        <v>0</v>
      </c>
      <c r="K400">
        <f t="shared" si="53"/>
        <v>0</v>
      </c>
      <c r="L400">
        <f>IF(K400&gt;0, K400 * VLOOKUP(B400, CA_Feed!B:N, 13, FALSE), 0)</f>
        <v>0</v>
      </c>
      <c r="M400">
        <f t="shared" si="48"/>
        <v>4050</v>
      </c>
      <c r="N400" s="2">
        <f t="shared" si="54"/>
        <v>0</v>
      </c>
      <c r="O400" t="str">
        <f>IF(COUNTIFS(CA_Feed!B:B, B400)=0, "No Action Announced", IF(COUNTIFS(CA_Feed!B:B, B400, CA_Feed!D:D, "&gt;="&amp;C400)&gt;0, "Processed (Eligible)", "Ineligible (Post Ex-Date)"))</f>
        <v>Processed (Eligible)</v>
      </c>
    </row>
    <row r="401" spans="1:15" x14ac:dyDescent="0.3">
      <c r="A401" t="s">
        <v>477</v>
      </c>
      <c r="B401" t="s">
        <v>63</v>
      </c>
      <c r="C401" s="5">
        <v>42787</v>
      </c>
      <c r="D401" s="2">
        <v>2600</v>
      </c>
      <c r="E401">
        <f>SUMIFS(CA_Feed!F:F, CA_Feed!B:B, B401, CA_Feed!E:E, "*DIVIDEND*", CA_Feed!D:D, "&gt;="&amp;C401)</f>
        <v>0</v>
      </c>
      <c r="F401">
        <f t="shared" si="49"/>
        <v>0</v>
      </c>
      <c r="G401">
        <f t="shared" si="50"/>
        <v>0</v>
      </c>
      <c r="H401">
        <f t="shared" si="51"/>
        <v>0</v>
      </c>
      <c r="I401">
        <f>D401 * SUMIFS(CA_Feed!G:G, CA_Feed!B:B, B401, CA_Feed!E:E, "*BONUS*", CA_Feed!D:D, "&gt;="&amp;C401)</f>
        <v>433.33333333333331</v>
      </c>
      <c r="J401">
        <f t="shared" si="52"/>
        <v>433</v>
      </c>
      <c r="K401">
        <f t="shared" si="53"/>
        <v>0.33333333333331439</v>
      </c>
      <c r="L401">
        <f>IF(K401&gt;0, K401 * VLOOKUP(B401, CA_Feed!B:N, 13, FALSE), 0)</f>
        <v>83.333333333328596</v>
      </c>
      <c r="M401">
        <f t="shared" si="48"/>
        <v>83.333333333328596</v>
      </c>
      <c r="N401" s="2">
        <f t="shared" si="54"/>
        <v>3033</v>
      </c>
      <c r="O401" t="str">
        <f>IF(COUNTIFS(CA_Feed!B:B, B401)=0, "No Action Announced", IF(COUNTIFS(CA_Feed!B:B, B401, CA_Feed!D:D, "&gt;="&amp;C401)&gt;0, "Processed (Eligible)", "Ineligible (Post Ex-Date)"))</f>
        <v>Processed (Eligible)</v>
      </c>
    </row>
    <row r="402" spans="1:15" x14ac:dyDescent="0.3">
      <c r="A402" t="s">
        <v>478</v>
      </c>
      <c r="B402" t="s">
        <v>31</v>
      </c>
      <c r="C402" s="5">
        <v>44009</v>
      </c>
      <c r="D402" s="2">
        <v>9500</v>
      </c>
      <c r="E402">
        <f>SUMIFS(CA_Feed!F:F, CA_Feed!B:B, B402, CA_Feed!E:E, "*DIVIDEND*", CA_Feed!D:D, "&gt;="&amp;C402)</f>
        <v>3</v>
      </c>
      <c r="F402">
        <f t="shared" si="49"/>
        <v>28500</v>
      </c>
      <c r="G402">
        <f t="shared" si="50"/>
        <v>2850</v>
      </c>
      <c r="H402">
        <f t="shared" si="51"/>
        <v>25650</v>
      </c>
      <c r="I402">
        <f>D402 * SUMIFS(CA_Feed!G:G, CA_Feed!B:B, B402, CA_Feed!E:E, "*BONUS*", CA_Feed!D:D, "&gt;="&amp;C402)</f>
        <v>0</v>
      </c>
      <c r="J402">
        <f t="shared" si="52"/>
        <v>0</v>
      </c>
      <c r="K402">
        <f t="shared" si="53"/>
        <v>0</v>
      </c>
      <c r="L402">
        <f>IF(K402&gt;0, K402 * VLOOKUP(B402, CA_Feed!B:N, 13, FALSE), 0)</f>
        <v>0</v>
      </c>
      <c r="M402">
        <f t="shared" si="48"/>
        <v>25650</v>
      </c>
      <c r="N402" s="2">
        <f t="shared" si="54"/>
        <v>0</v>
      </c>
      <c r="O402" t="str">
        <f>IF(COUNTIFS(CA_Feed!B:B, B402)=0, "No Action Announced", IF(COUNTIFS(CA_Feed!B:B, B402, CA_Feed!D:D, "&gt;="&amp;C402)&gt;0, "Processed (Eligible)", "Ineligible (Post Ex-Date)"))</f>
        <v>Processed (Eligible)</v>
      </c>
    </row>
    <row r="403" spans="1:15" x14ac:dyDescent="0.3">
      <c r="A403" t="s">
        <v>479</v>
      </c>
      <c r="B403" t="s">
        <v>41</v>
      </c>
      <c r="C403" s="5">
        <v>43619</v>
      </c>
      <c r="D403" s="2">
        <v>8750</v>
      </c>
      <c r="E403">
        <f>SUMIFS(CA_Feed!F:F, CA_Feed!B:B, B403, CA_Feed!E:E, "*DIVIDEND*", CA_Feed!D:D, "&gt;="&amp;C403)</f>
        <v>0.2</v>
      </c>
      <c r="F403">
        <f t="shared" si="49"/>
        <v>1750</v>
      </c>
      <c r="G403">
        <f t="shared" si="50"/>
        <v>175</v>
      </c>
      <c r="H403">
        <f t="shared" si="51"/>
        <v>1575</v>
      </c>
      <c r="I403">
        <f>D403 * SUMIFS(CA_Feed!G:G, CA_Feed!B:B, B403, CA_Feed!E:E, "*BONUS*", CA_Feed!D:D, "&gt;="&amp;C403)</f>
        <v>0</v>
      </c>
      <c r="J403">
        <f t="shared" si="52"/>
        <v>0</v>
      </c>
      <c r="K403">
        <f t="shared" si="53"/>
        <v>0</v>
      </c>
      <c r="L403">
        <f>IF(K403&gt;0, K403 * VLOOKUP(B403, CA_Feed!B:N, 13, FALSE), 0)</f>
        <v>0</v>
      </c>
      <c r="M403">
        <f t="shared" si="48"/>
        <v>1575</v>
      </c>
      <c r="N403" s="2">
        <f t="shared" si="54"/>
        <v>0</v>
      </c>
      <c r="O403" t="str">
        <f>IF(COUNTIFS(CA_Feed!B:B, B403)=0, "No Action Announced", IF(COUNTIFS(CA_Feed!B:B, B403, CA_Feed!D:D, "&gt;="&amp;C403)&gt;0, "Processed (Eligible)", "Ineligible (Post Ex-Date)"))</f>
        <v>Processed (Eligible)</v>
      </c>
    </row>
    <row r="404" spans="1:15" x14ac:dyDescent="0.3">
      <c r="A404" t="s">
        <v>480</v>
      </c>
      <c r="B404" t="s">
        <v>16</v>
      </c>
      <c r="C404" s="5">
        <v>44984</v>
      </c>
      <c r="D404" s="2">
        <v>9950</v>
      </c>
      <c r="E404">
        <f>SUMIFS(CA_Feed!F:F, CA_Feed!B:B, B404, CA_Feed!E:E, "*DIVIDEND*", CA_Feed!D:D, "&gt;="&amp;C404)</f>
        <v>3.75</v>
      </c>
      <c r="F404">
        <f t="shared" si="49"/>
        <v>37312.5</v>
      </c>
      <c r="G404">
        <f t="shared" si="50"/>
        <v>3731.25</v>
      </c>
      <c r="H404">
        <f t="shared" si="51"/>
        <v>33581.25</v>
      </c>
      <c r="I404">
        <f>D404 * SUMIFS(CA_Feed!G:G, CA_Feed!B:B, B404, CA_Feed!E:E, "*BONUS*", CA_Feed!D:D, "&gt;="&amp;C404)</f>
        <v>0</v>
      </c>
      <c r="J404">
        <f t="shared" si="52"/>
        <v>0</v>
      </c>
      <c r="K404">
        <f t="shared" si="53"/>
        <v>0</v>
      </c>
      <c r="L404">
        <f>IF(K404&gt;0, K404 * VLOOKUP(B404, CA_Feed!B:N, 13, FALSE), 0)</f>
        <v>0</v>
      </c>
      <c r="M404">
        <f t="shared" si="48"/>
        <v>33581.25</v>
      </c>
      <c r="N404" s="2">
        <f t="shared" si="54"/>
        <v>0</v>
      </c>
      <c r="O404" t="str">
        <f>IF(COUNTIFS(CA_Feed!B:B, B404)=0, "No Action Announced", IF(COUNTIFS(CA_Feed!B:B, B404, CA_Feed!D:D, "&gt;="&amp;C404)&gt;0, "Processed (Eligible)", "Ineligible (Post Ex-Date)"))</f>
        <v>Processed (Eligible)</v>
      </c>
    </row>
    <row r="405" spans="1:15" x14ac:dyDescent="0.3">
      <c r="A405" t="s">
        <v>481</v>
      </c>
      <c r="B405" t="s">
        <v>31</v>
      </c>
      <c r="C405" s="5">
        <v>42192</v>
      </c>
      <c r="D405" s="2">
        <v>9650</v>
      </c>
      <c r="E405">
        <f>SUMIFS(CA_Feed!F:F, CA_Feed!B:B, B405, CA_Feed!E:E, "*DIVIDEND*", CA_Feed!D:D, "&gt;="&amp;C405)</f>
        <v>3</v>
      </c>
      <c r="F405">
        <f t="shared" si="49"/>
        <v>28950</v>
      </c>
      <c r="G405">
        <f t="shared" si="50"/>
        <v>2895</v>
      </c>
      <c r="H405">
        <f t="shared" si="51"/>
        <v>26055</v>
      </c>
      <c r="I405">
        <f>D405 * SUMIFS(CA_Feed!G:G, CA_Feed!B:B, B405, CA_Feed!E:E, "*BONUS*", CA_Feed!D:D, "&gt;="&amp;C405)</f>
        <v>0</v>
      </c>
      <c r="J405">
        <f t="shared" si="52"/>
        <v>0</v>
      </c>
      <c r="K405">
        <f t="shared" si="53"/>
        <v>0</v>
      </c>
      <c r="L405">
        <f>IF(K405&gt;0, K405 * VLOOKUP(B405, CA_Feed!B:N, 13, FALSE), 0)</f>
        <v>0</v>
      </c>
      <c r="M405">
        <f t="shared" si="48"/>
        <v>26055</v>
      </c>
      <c r="N405" s="2">
        <f t="shared" si="54"/>
        <v>0</v>
      </c>
      <c r="O405" t="str">
        <f>IF(COUNTIFS(CA_Feed!B:B, B405)=0, "No Action Announced", IF(COUNTIFS(CA_Feed!B:B, B405, CA_Feed!D:D, "&gt;="&amp;C405)&gt;0, "Processed (Eligible)", "Ineligible (Post Ex-Date)"))</f>
        <v>Processed (Eligible)</v>
      </c>
    </row>
    <row r="406" spans="1:15" x14ac:dyDescent="0.3">
      <c r="A406" t="s">
        <v>482</v>
      </c>
      <c r="B406" t="s">
        <v>51</v>
      </c>
      <c r="C406" s="5">
        <v>44948</v>
      </c>
      <c r="D406" s="2">
        <v>5050</v>
      </c>
      <c r="E406">
        <f>SUMIFS(CA_Feed!F:F, CA_Feed!B:B, B406, CA_Feed!E:E, "*DIVIDEND*", CA_Feed!D:D, "&gt;="&amp;C406)</f>
        <v>0.8</v>
      </c>
      <c r="F406">
        <f t="shared" si="49"/>
        <v>4040</v>
      </c>
      <c r="G406">
        <f t="shared" si="50"/>
        <v>404</v>
      </c>
      <c r="H406">
        <f t="shared" si="51"/>
        <v>3636</v>
      </c>
      <c r="I406">
        <f>D406 * SUMIFS(CA_Feed!G:G, CA_Feed!B:B, B406, CA_Feed!E:E, "*BONUS*", CA_Feed!D:D, "&gt;="&amp;C406)</f>
        <v>0</v>
      </c>
      <c r="J406">
        <f t="shared" si="52"/>
        <v>0</v>
      </c>
      <c r="K406">
        <f t="shared" si="53"/>
        <v>0</v>
      </c>
      <c r="L406">
        <f>IF(K406&gt;0, K406 * VLOOKUP(B406, CA_Feed!B:N, 13, FALSE), 0)</f>
        <v>0</v>
      </c>
      <c r="M406">
        <f t="shared" si="48"/>
        <v>3636</v>
      </c>
      <c r="N406" s="2">
        <f t="shared" si="54"/>
        <v>0</v>
      </c>
      <c r="O406" t="str">
        <f>IF(COUNTIFS(CA_Feed!B:B, B406)=0, "No Action Announced", IF(COUNTIFS(CA_Feed!B:B, B406, CA_Feed!D:D, "&gt;="&amp;C406)&gt;0, "Processed (Eligible)", "Ineligible (Post Ex-Date)"))</f>
        <v>Processed (Eligible)</v>
      </c>
    </row>
    <row r="407" spans="1:15" x14ac:dyDescent="0.3">
      <c r="A407" t="s">
        <v>483</v>
      </c>
      <c r="B407" t="s">
        <v>25</v>
      </c>
      <c r="C407" s="5">
        <v>43023</v>
      </c>
      <c r="D407" s="2">
        <v>250</v>
      </c>
      <c r="E407">
        <f>SUMIFS(CA_Feed!F:F, CA_Feed!B:B, B407, CA_Feed!E:E, "*DIVIDEND*", CA_Feed!D:D, "&gt;="&amp;C407)</f>
        <v>2.5</v>
      </c>
      <c r="F407">
        <f t="shared" si="49"/>
        <v>625</v>
      </c>
      <c r="G407">
        <f t="shared" si="50"/>
        <v>62.5</v>
      </c>
      <c r="H407">
        <f t="shared" si="51"/>
        <v>562.5</v>
      </c>
      <c r="I407">
        <f>D407 * SUMIFS(CA_Feed!G:G, CA_Feed!B:B, B407, CA_Feed!E:E, "*BONUS*", CA_Feed!D:D, "&gt;="&amp;C407)</f>
        <v>0</v>
      </c>
      <c r="J407">
        <f t="shared" si="52"/>
        <v>0</v>
      </c>
      <c r="K407">
        <f t="shared" si="53"/>
        <v>0</v>
      </c>
      <c r="L407">
        <f>IF(K407&gt;0, K407 * VLOOKUP(B407, CA_Feed!B:N, 13, FALSE), 0)</f>
        <v>0</v>
      </c>
      <c r="M407">
        <f t="shared" ref="M407:M453" si="55">H407 + L407</f>
        <v>562.5</v>
      </c>
      <c r="N407" s="2">
        <f t="shared" si="54"/>
        <v>0</v>
      </c>
      <c r="O407" t="str">
        <f>IF(COUNTIFS(CA_Feed!B:B, B407)=0, "No Action Announced", IF(COUNTIFS(CA_Feed!B:B, B407, CA_Feed!D:D, "&gt;="&amp;C407)&gt;0, "Processed (Eligible)", "Ineligible (Post Ex-Date)"))</f>
        <v>Processed (Eligible)</v>
      </c>
    </row>
    <row r="408" spans="1:15" x14ac:dyDescent="0.3">
      <c r="A408" t="s">
        <v>484</v>
      </c>
      <c r="B408" t="s">
        <v>37</v>
      </c>
      <c r="C408" s="5">
        <v>43450</v>
      </c>
      <c r="D408" s="2">
        <v>3100</v>
      </c>
      <c r="E408">
        <f>SUMIFS(CA_Feed!F:F, CA_Feed!B:B, B408, CA_Feed!E:E, "*DIVIDEND*", CA_Feed!D:D, "&gt;="&amp;C408)</f>
        <v>6.5</v>
      </c>
      <c r="F408">
        <f t="shared" ref="F408:F454" si="56">D408 * E408</f>
        <v>20150</v>
      </c>
      <c r="G408">
        <f t="shared" ref="G408:G454" si="57">F408 * 0.1</f>
        <v>2015</v>
      </c>
      <c r="H408">
        <f t="shared" ref="H408:H454" si="58">F408 - G408</f>
        <v>18135</v>
      </c>
      <c r="I408">
        <f>D408 * SUMIFS(CA_Feed!G:G, CA_Feed!B:B, B408, CA_Feed!E:E, "*BONUS*", CA_Feed!D:D, "&gt;="&amp;C408)</f>
        <v>0</v>
      </c>
      <c r="J408">
        <f t="shared" ref="J408:J454" si="59">INT(I408)</f>
        <v>0</v>
      </c>
      <c r="K408">
        <f t="shared" ref="K408:K454" si="60">I408-J408</f>
        <v>0</v>
      </c>
      <c r="L408">
        <f>IF(K408&gt;0, K408 * VLOOKUP(B408, CA_Feed!B:N, 13, FALSE), 0)</f>
        <v>0</v>
      </c>
      <c r="M408">
        <f t="shared" si="55"/>
        <v>18135</v>
      </c>
      <c r="N408" s="2">
        <f t="shared" si="54"/>
        <v>0</v>
      </c>
      <c r="O408" t="str">
        <f>IF(COUNTIFS(CA_Feed!B:B, B408)=0, "No Action Announced", IF(COUNTIFS(CA_Feed!B:B, B408, CA_Feed!D:D, "&gt;="&amp;C408)&gt;0, "Processed (Eligible)", "Ineligible (Post Ex-Date)"))</f>
        <v>Processed (Eligible)</v>
      </c>
    </row>
    <row r="409" spans="1:15" x14ac:dyDescent="0.3">
      <c r="A409" t="s">
        <v>485</v>
      </c>
      <c r="B409" t="s">
        <v>41</v>
      </c>
      <c r="C409" s="5">
        <v>45541</v>
      </c>
      <c r="D409" s="2">
        <v>200</v>
      </c>
      <c r="E409">
        <f>SUMIFS(CA_Feed!F:F, CA_Feed!B:B, B409, CA_Feed!E:E, "*DIVIDEND*", CA_Feed!D:D, "&gt;="&amp;C409)</f>
        <v>0.2</v>
      </c>
      <c r="F409">
        <f t="shared" si="56"/>
        <v>40</v>
      </c>
      <c r="G409">
        <f t="shared" si="57"/>
        <v>4</v>
      </c>
      <c r="H409">
        <f t="shared" si="58"/>
        <v>36</v>
      </c>
      <c r="I409">
        <f>D409 * SUMIFS(CA_Feed!G:G, CA_Feed!B:B, B409, CA_Feed!E:E, "*BONUS*", CA_Feed!D:D, "&gt;="&amp;C409)</f>
        <v>0</v>
      </c>
      <c r="J409">
        <f t="shared" si="59"/>
        <v>0</v>
      </c>
      <c r="K409">
        <f t="shared" si="60"/>
        <v>0</v>
      </c>
      <c r="L409">
        <f>IF(K409&gt;0, K409 * VLOOKUP(B409, CA_Feed!B:N, 13, FALSE), 0)</f>
        <v>0</v>
      </c>
      <c r="M409">
        <f t="shared" si="55"/>
        <v>36</v>
      </c>
      <c r="N409" s="2">
        <f t="shared" si="54"/>
        <v>0</v>
      </c>
      <c r="O409" t="str">
        <f>IF(COUNTIFS(CA_Feed!B:B, B409)=0, "No Action Announced", IF(COUNTIFS(CA_Feed!B:B, B409, CA_Feed!D:D, "&gt;="&amp;C409)&gt;0, "Processed (Eligible)", "Ineligible (Post Ex-Date)"))</f>
        <v>Processed (Eligible)</v>
      </c>
    </row>
    <row r="410" spans="1:15" x14ac:dyDescent="0.3">
      <c r="A410" t="s">
        <v>714</v>
      </c>
      <c r="B410" t="s">
        <v>12</v>
      </c>
      <c r="C410" s="5">
        <v>44537</v>
      </c>
      <c r="D410" s="2">
        <v>700</v>
      </c>
      <c r="E410">
        <f>SUMIFS(CA_Feed!F:F, CA_Feed!B:B, B410, CA_Feed!E:E, "*DIVIDEND*", CA_Feed!D:D, "&gt;="&amp;C410)</f>
        <v>19</v>
      </c>
      <c r="F410">
        <f t="shared" si="56"/>
        <v>13300</v>
      </c>
      <c r="G410">
        <f t="shared" si="57"/>
        <v>1330</v>
      </c>
      <c r="H410">
        <f t="shared" si="58"/>
        <v>11970</v>
      </c>
      <c r="I410">
        <f>D410 * SUMIFS(CA_Feed!G:G, CA_Feed!B:B, B410, CA_Feed!E:E, "*BONUS*", CA_Feed!D:D, "&gt;="&amp;C410)</f>
        <v>0</v>
      </c>
      <c r="J410">
        <f t="shared" si="59"/>
        <v>0</v>
      </c>
      <c r="K410">
        <f t="shared" si="60"/>
        <v>0</v>
      </c>
      <c r="L410">
        <f>IF(K410&gt;0, K410 * VLOOKUP(B410, CA_Feed!B:N, 13, FALSE), 0)</f>
        <v>0</v>
      </c>
      <c r="M410">
        <f t="shared" si="55"/>
        <v>11970</v>
      </c>
      <c r="N410" s="2">
        <f t="shared" si="54"/>
        <v>0</v>
      </c>
      <c r="O410" t="str">
        <f>IF(COUNTIFS(CA_Feed!B:B, B410)=0, "No Action Announced", IF(COUNTIFS(CA_Feed!B:B, B410, CA_Feed!D:D, "&gt;="&amp;C410)&gt;0, "Processed (Eligible)", "Ineligible (Post Ex-Date)"))</f>
        <v>Processed (Eligible)</v>
      </c>
    </row>
    <row r="411" spans="1:15" x14ac:dyDescent="0.3">
      <c r="A411" t="s">
        <v>487</v>
      </c>
      <c r="B411" t="s">
        <v>47</v>
      </c>
      <c r="C411" s="5">
        <v>44505</v>
      </c>
      <c r="D411" s="2">
        <v>5050</v>
      </c>
      <c r="E411">
        <f>SUMIFS(CA_Feed!F:F, CA_Feed!B:B, B411, CA_Feed!E:E, "*DIVIDEND*", CA_Feed!D:D, "&gt;="&amp;C411)</f>
        <v>0.1</v>
      </c>
      <c r="F411">
        <f t="shared" si="56"/>
        <v>505</v>
      </c>
      <c r="G411">
        <f t="shared" si="57"/>
        <v>50.5</v>
      </c>
      <c r="H411">
        <f t="shared" si="58"/>
        <v>454.5</v>
      </c>
      <c r="I411">
        <f>D411 * SUMIFS(CA_Feed!G:G, CA_Feed!B:B, B411, CA_Feed!E:E, "*BONUS*", CA_Feed!D:D, "&gt;="&amp;C411)</f>
        <v>0</v>
      </c>
      <c r="J411">
        <f t="shared" si="59"/>
        <v>0</v>
      </c>
      <c r="K411">
        <f t="shared" si="60"/>
        <v>0</v>
      </c>
      <c r="L411">
        <f>IF(K411&gt;0, K411 * VLOOKUP(B411, CA_Feed!B:N, 13, FALSE), 0)</f>
        <v>0</v>
      </c>
      <c r="M411">
        <f t="shared" si="55"/>
        <v>454.5</v>
      </c>
      <c r="N411" s="2">
        <f t="shared" si="54"/>
        <v>0</v>
      </c>
      <c r="O411" t="str">
        <f>IF(COUNTIFS(CA_Feed!B:B, B411)=0, "No Action Announced", IF(COUNTIFS(CA_Feed!B:B, B411, CA_Feed!D:D, "&gt;="&amp;C411)&gt;0, "Processed (Eligible)", "Ineligible (Post Ex-Date)"))</f>
        <v>Processed (Eligible)</v>
      </c>
    </row>
    <row r="412" spans="1:15" x14ac:dyDescent="0.3">
      <c r="A412" t="s">
        <v>488</v>
      </c>
      <c r="B412" t="s">
        <v>41</v>
      </c>
      <c r="C412" s="5">
        <v>44731</v>
      </c>
      <c r="D412" s="2">
        <v>4600</v>
      </c>
      <c r="E412">
        <f>SUMIFS(CA_Feed!F:F, CA_Feed!B:B, B412, CA_Feed!E:E, "*DIVIDEND*", CA_Feed!D:D, "&gt;="&amp;C412)</f>
        <v>0.2</v>
      </c>
      <c r="F412">
        <f t="shared" si="56"/>
        <v>920</v>
      </c>
      <c r="G412">
        <f t="shared" si="57"/>
        <v>92</v>
      </c>
      <c r="H412">
        <f t="shared" si="58"/>
        <v>828</v>
      </c>
      <c r="I412">
        <f>D412 * SUMIFS(CA_Feed!G:G, CA_Feed!B:B, B412, CA_Feed!E:E, "*BONUS*", CA_Feed!D:D, "&gt;="&amp;C412)</f>
        <v>0</v>
      </c>
      <c r="J412">
        <f t="shared" si="59"/>
        <v>0</v>
      </c>
      <c r="K412">
        <f t="shared" si="60"/>
        <v>0</v>
      </c>
      <c r="L412">
        <f>IF(K412&gt;0, K412 * VLOOKUP(B412, CA_Feed!B:N, 13, FALSE), 0)</f>
        <v>0</v>
      </c>
      <c r="M412">
        <f t="shared" si="55"/>
        <v>828</v>
      </c>
      <c r="N412" s="2">
        <f t="shared" si="54"/>
        <v>0</v>
      </c>
      <c r="O412" t="str">
        <f>IF(COUNTIFS(CA_Feed!B:B, B412)=0, "No Action Announced", IF(COUNTIFS(CA_Feed!B:B, B412, CA_Feed!D:D, "&gt;="&amp;C412)&gt;0, "Processed (Eligible)", "Ineligible (Post Ex-Date)"))</f>
        <v>Processed (Eligible)</v>
      </c>
    </row>
    <row r="413" spans="1:15" x14ac:dyDescent="0.3">
      <c r="A413" t="s">
        <v>405</v>
      </c>
      <c r="B413" t="s">
        <v>12</v>
      </c>
      <c r="C413" s="5">
        <v>44533</v>
      </c>
      <c r="D413" s="2">
        <v>700</v>
      </c>
      <c r="E413">
        <f>SUMIFS(CA_Feed!F:F, CA_Feed!B:B, B413, CA_Feed!E:E, "*DIVIDEND*", CA_Feed!D:D, "&gt;="&amp;C413)</f>
        <v>19</v>
      </c>
      <c r="F413">
        <f t="shared" si="56"/>
        <v>13300</v>
      </c>
      <c r="G413">
        <f t="shared" si="57"/>
        <v>1330</v>
      </c>
      <c r="H413">
        <f t="shared" si="58"/>
        <v>11970</v>
      </c>
      <c r="I413">
        <f>D413 * SUMIFS(CA_Feed!G:G, CA_Feed!B:B, B413, CA_Feed!E:E, "*BONUS*", CA_Feed!D:D, "&gt;="&amp;C413)</f>
        <v>0</v>
      </c>
      <c r="J413">
        <f t="shared" si="59"/>
        <v>0</v>
      </c>
      <c r="K413">
        <f t="shared" si="60"/>
        <v>0</v>
      </c>
      <c r="L413">
        <f>IF(K413&gt;0, K413 * VLOOKUP(B413, CA_Feed!B:N, 13, FALSE), 0)</f>
        <v>0</v>
      </c>
      <c r="M413">
        <f t="shared" si="55"/>
        <v>11970</v>
      </c>
      <c r="N413" s="2">
        <f t="shared" si="54"/>
        <v>0</v>
      </c>
      <c r="O413" t="str">
        <f>IF(COUNTIFS(CA_Feed!B:B, B413)=0, "No Action Announced", IF(COUNTIFS(CA_Feed!B:B, B413, CA_Feed!D:D, "&gt;="&amp;C413)&gt;0, "Processed (Eligible)", "Ineligible (Post Ex-Date)"))</f>
        <v>Processed (Eligible)</v>
      </c>
    </row>
    <row r="414" spans="1:15" x14ac:dyDescent="0.3">
      <c r="A414" t="s">
        <v>490</v>
      </c>
      <c r="B414" t="s">
        <v>27</v>
      </c>
      <c r="C414" s="5">
        <v>43666</v>
      </c>
      <c r="D414" s="2">
        <v>10050</v>
      </c>
      <c r="E414">
        <f>SUMIFS(CA_Feed!F:F, CA_Feed!B:B, B414, CA_Feed!E:E, "*DIVIDEND*", CA_Feed!D:D, "&gt;="&amp;C414)</f>
        <v>3.25</v>
      </c>
      <c r="F414">
        <f t="shared" si="56"/>
        <v>32662.5</v>
      </c>
      <c r="G414">
        <f t="shared" si="57"/>
        <v>3266.25</v>
      </c>
      <c r="H414">
        <f t="shared" si="58"/>
        <v>29396.25</v>
      </c>
      <c r="I414">
        <f>D414 * SUMIFS(CA_Feed!G:G, CA_Feed!B:B, B414, CA_Feed!E:E, "*BONUS*", CA_Feed!D:D, "&gt;="&amp;C414)</f>
        <v>0</v>
      </c>
      <c r="J414">
        <f t="shared" si="59"/>
        <v>0</v>
      </c>
      <c r="K414">
        <f t="shared" si="60"/>
        <v>0</v>
      </c>
      <c r="L414">
        <f>IF(K414&gt;0, K414 * VLOOKUP(B414, CA_Feed!B:N, 13, FALSE), 0)</f>
        <v>0</v>
      </c>
      <c r="M414">
        <f t="shared" si="55"/>
        <v>29396.25</v>
      </c>
      <c r="N414" s="2">
        <f t="shared" si="54"/>
        <v>0</v>
      </c>
      <c r="O414" t="str">
        <f>IF(COUNTIFS(CA_Feed!B:B, B414)=0, "No Action Announced", IF(COUNTIFS(CA_Feed!B:B, B414, CA_Feed!D:D, "&gt;="&amp;C414)&gt;0, "Processed (Eligible)", "Ineligible (Post Ex-Date)"))</f>
        <v>Processed (Eligible)</v>
      </c>
    </row>
    <row r="415" spans="1:15" x14ac:dyDescent="0.3">
      <c r="A415" t="s">
        <v>491</v>
      </c>
      <c r="B415" t="s">
        <v>25</v>
      </c>
      <c r="C415" s="5">
        <v>43758</v>
      </c>
      <c r="D415" s="2">
        <v>3750</v>
      </c>
      <c r="E415">
        <f>SUMIFS(CA_Feed!F:F, CA_Feed!B:B, B415, CA_Feed!E:E, "*DIVIDEND*", CA_Feed!D:D, "&gt;="&amp;C415)</f>
        <v>2.5</v>
      </c>
      <c r="F415">
        <f t="shared" si="56"/>
        <v>9375</v>
      </c>
      <c r="G415">
        <f t="shared" si="57"/>
        <v>937.5</v>
      </c>
      <c r="H415">
        <f t="shared" si="58"/>
        <v>8437.5</v>
      </c>
      <c r="I415">
        <f>D415 * SUMIFS(CA_Feed!G:G, CA_Feed!B:B, B415, CA_Feed!E:E, "*BONUS*", CA_Feed!D:D, "&gt;="&amp;C415)</f>
        <v>0</v>
      </c>
      <c r="J415">
        <f t="shared" si="59"/>
        <v>0</v>
      </c>
      <c r="K415">
        <f t="shared" si="60"/>
        <v>0</v>
      </c>
      <c r="L415">
        <f>IF(K415&gt;0, K415 * VLOOKUP(B415, CA_Feed!B:N, 13, FALSE), 0)</f>
        <v>0</v>
      </c>
      <c r="M415">
        <f t="shared" si="55"/>
        <v>8437.5</v>
      </c>
      <c r="N415" s="2">
        <f t="shared" si="54"/>
        <v>0</v>
      </c>
      <c r="O415" t="str">
        <f>IF(COUNTIFS(CA_Feed!B:B, B415)=0, "No Action Announced", IF(COUNTIFS(CA_Feed!B:B, B415, CA_Feed!D:D, "&gt;="&amp;C415)&gt;0, "Processed (Eligible)", "Ineligible (Post Ex-Date)"))</f>
        <v>Processed (Eligible)</v>
      </c>
    </row>
    <row r="416" spans="1:15" x14ac:dyDescent="0.3">
      <c r="A416" t="s">
        <v>492</v>
      </c>
      <c r="B416" t="s">
        <v>25</v>
      </c>
      <c r="C416" s="5">
        <v>44298</v>
      </c>
      <c r="D416" s="2">
        <v>8100</v>
      </c>
      <c r="E416">
        <f>SUMIFS(CA_Feed!F:F, CA_Feed!B:B, B416, CA_Feed!E:E, "*DIVIDEND*", CA_Feed!D:D, "&gt;="&amp;C416)</f>
        <v>2.5</v>
      </c>
      <c r="F416">
        <f t="shared" si="56"/>
        <v>20250</v>
      </c>
      <c r="G416">
        <f t="shared" si="57"/>
        <v>2025</v>
      </c>
      <c r="H416">
        <f t="shared" si="58"/>
        <v>18225</v>
      </c>
      <c r="I416">
        <f>D416 * SUMIFS(CA_Feed!G:G, CA_Feed!B:B, B416, CA_Feed!E:E, "*BONUS*", CA_Feed!D:D, "&gt;="&amp;C416)</f>
        <v>0</v>
      </c>
      <c r="J416">
        <f t="shared" si="59"/>
        <v>0</v>
      </c>
      <c r="K416">
        <f t="shared" si="60"/>
        <v>0</v>
      </c>
      <c r="L416">
        <f>IF(K416&gt;0, K416 * VLOOKUP(B416, CA_Feed!B:N, 13, FALSE), 0)</f>
        <v>0</v>
      </c>
      <c r="M416">
        <f t="shared" si="55"/>
        <v>18225</v>
      </c>
      <c r="N416" s="2">
        <f t="shared" si="54"/>
        <v>0</v>
      </c>
      <c r="O416" t="str">
        <f>IF(COUNTIFS(CA_Feed!B:B, B416)=0, "No Action Announced", IF(COUNTIFS(CA_Feed!B:B, B416, CA_Feed!D:D, "&gt;="&amp;C416)&gt;0, "Processed (Eligible)", "Ineligible (Post Ex-Date)"))</f>
        <v>Processed (Eligible)</v>
      </c>
    </row>
    <row r="417" spans="1:15" x14ac:dyDescent="0.3">
      <c r="A417" t="s">
        <v>249</v>
      </c>
      <c r="B417" t="s">
        <v>12</v>
      </c>
      <c r="C417" s="5">
        <v>44289</v>
      </c>
      <c r="D417" s="2">
        <v>700</v>
      </c>
      <c r="E417">
        <f>SUMIFS(CA_Feed!F:F, CA_Feed!B:B, B417, CA_Feed!E:E, "*DIVIDEND*", CA_Feed!D:D, "&gt;="&amp;C417)</f>
        <v>19</v>
      </c>
      <c r="F417">
        <f t="shared" si="56"/>
        <v>13300</v>
      </c>
      <c r="G417">
        <f t="shared" si="57"/>
        <v>1330</v>
      </c>
      <c r="H417">
        <f t="shared" si="58"/>
        <v>11970</v>
      </c>
      <c r="I417">
        <f>D417 * SUMIFS(CA_Feed!G:G, CA_Feed!B:B, B417, CA_Feed!E:E, "*BONUS*", CA_Feed!D:D, "&gt;="&amp;C417)</f>
        <v>0</v>
      </c>
      <c r="J417">
        <f t="shared" si="59"/>
        <v>0</v>
      </c>
      <c r="K417">
        <f t="shared" si="60"/>
        <v>0</v>
      </c>
      <c r="L417">
        <f>IF(K417&gt;0, K417 * VLOOKUP(B417, CA_Feed!B:N, 13, FALSE), 0)</f>
        <v>0</v>
      </c>
      <c r="M417">
        <f t="shared" si="55"/>
        <v>11970</v>
      </c>
      <c r="N417" s="2">
        <f t="shared" si="54"/>
        <v>0</v>
      </c>
      <c r="O417" t="str">
        <f>IF(COUNTIFS(CA_Feed!B:B, B417)=0, "No Action Announced", IF(COUNTIFS(CA_Feed!B:B, B417, CA_Feed!D:D, "&gt;="&amp;C417)&gt;0, "Processed (Eligible)", "Ineligible (Post Ex-Date)"))</f>
        <v>Processed (Eligible)</v>
      </c>
    </row>
    <row r="418" spans="1:15" x14ac:dyDescent="0.3">
      <c r="A418" t="s">
        <v>494</v>
      </c>
      <c r="B418" t="s">
        <v>25</v>
      </c>
      <c r="C418" s="5">
        <v>43258</v>
      </c>
      <c r="D418" s="2">
        <v>6450</v>
      </c>
      <c r="E418">
        <f>SUMIFS(CA_Feed!F:F, CA_Feed!B:B, B418, CA_Feed!E:E, "*DIVIDEND*", CA_Feed!D:D, "&gt;="&amp;C418)</f>
        <v>2.5</v>
      </c>
      <c r="F418">
        <f t="shared" si="56"/>
        <v>16125</v>
      </c>
      <c r="G418">
        <f t="shared" si="57"/>
        <v>1612.5</v>
      </c>
      <c r="H418">
        <f t="shared" si="58"/>
        <v>14512.5</v>
      </c>
      <c r="I418">
        <f>D418 * SUMIFS(CA_Feed!G:G, CA_Feed!B:B, B418, CA_Feed!E:E, "*BONUS*", CA_Feed!D:D, "&gt;="&amp;C418)</f>
        <v>0</v>
      </c>
      <c r="J418">
        <f t="shared" si="59"/>
        <v>0</v>
      </c>
      <c r="K418">
        <f t="shared" si="60"/>
        <v>0</v>
      </c>
      <c r="L418">
        <f>IF(K418&gt;0, K418 * VLOOKUP(B418, CA_Feed!B:N, 13, FALSE), 0)</f>
        <v>0</v>
      </c>
      <c r="M418">
        <f t="shared" si="55"/>
        <v>14512.5</v>
      </c>
      <c r="N418" s="2">
        <f t="shared" si="54"/>
        <v>0</v>
      </c>
      <c r="O418" t="str">
        <f>IF(COUNTIFS(CA_Feed!B:B, B418)=0, "No Action Announced", IF(COUNTIFS(CA_Feed!B:B, B418, CA_Feed!D:D, "&gt;="&amp;C418)&gt;0, "Processed (Eligible)", "Ineligible (Post Ex-Date)"))</f>
        <v>Processed (Eligible)</v>
      </c>
    </row>
    <row r="419" spans="1:15" x14ac:dyDescent="0.3">
      <c r="A419" t="s">
        <v>495</v>
      </c>
      <c r="B419" t="s">
        <v>31</v>
      </c>
      <c r="C419" s="5">
        <v>45348</v>
      </c>
      <c r="D419" s="2">
        <v>7750</v>
      </c>
      <c r="E419">
        <f>SUMIFS(CA_Feed!F:F, CA_Feed!B:B, B419, CA_Feed!E:E, "*DIVIDEND*", CA_Feed!D:D, "&gt;="&amp;C419)</f>
        <v>3</v>
      </c>
      <c r="F419">
        <f t="shared" si="56"/>
        <v>23250</v>
      </c>
      <c r="G419">
        <f t="shared" si="57"/>
        <v>2325</v>
      </c>
      <c r="H419">
        <f t="shared" si="58"/>
        <v>20925</v>
      </c>
      <c r="I419">
        <f>D419 * SUMIFS(CA_Feed!G:G, CA_Feed!B:B, B419, CA_Feed!E:E, "*BONUS*", CA_Feed!D:D, "&gt;="&amp;C419)</f>
        <v>0</v>
      </c>
      <c r="J419">
        <f t="shared" si="59"/>
        <v>0</v>
      </c>
      <c r="K419">
        <f t="shared" si="60"/>
        <v>0</v>
      </c>
      <c r="L419">
        <f>IF(K419&gt;0, K419 * VLOOKUP(B419, CA_Feed!B:N, 13, FALSE), 0)</f>
        <v>0</v>
      </c>
      <c r="M419">
        <f t="shared" si="55"/>
        <v>20925</v>
      </c>
      <c r="N419" s="2">
        <f t="shared" si="54"/>
        <v>0</v>
      </c>
      <c r="O419" t="str">
        <f>IF(COUNTIFS(CA_Feed!B:B, B419)=0, "No Action Announced", IF(COUNTIFS(CA_Feed!B:B, B419, CA_Feed!D:D, "&gt;="&amp;C419)&gt;0, "Processed (Eligible)", "Ineligible (Post Ex-Date)"))</f>
        <v>Processed (Eligible)</v>
      </c>
    </row>
    <row r="420" spans="1:15" x14ac:dyDescent="0.3">
      <c r="A420" t="s">
        <v>496</v>
      </c>
      <c r="B420" t="s">
        <v>19</v>
      </c>
      <c r="C420" s="5">
        <v>44577</v>
      </c>
      <c r="D420" s="2">
        <v>5300</v>
      </c>
      <c r="E420">
        <f>SUMIFS(CA_Feed!F:F, CA_Feed!B:B, B420, CA_Feed!E:E, "*DIVIDEND*", CA_Feed!D:D, "&gt;="&amp;C420)</f>
        <v>1.5</v>
      </c>
      <c r="F420">
        <f t="shared" si="56"/>
        <v>7950</v>
      </c>
      <c r="G420">
        <f t="shared" si="57"/>
        <v>795</v>
      </c>
      <c r="H420">
        <f t="shared" si="58"/>
        <v>7155</v>
      </c>
      <c r="I420">
        <f>D420 * SUMIFS(CA_Feed!G:G, CA_Feed!B:B, B420, CA_Feed!E:E, "*BONUS*", CA_Feed!D:D, "&gt;="&amp;C420)</f>
        <v>0</v>
      </c>
      <c r="J420">
        <f t="shared" si="59"/>
        <v>0</v>
      </c>
      <c r="K420">
        <f t="shared" si="60"/>
        <v>0</v>
      </c>
      <c r="L420">
        <f>IF(K420&gt;0, K420 * VLOOKUP(B420, CA_Feed!B:N, 13, FALSE), 0)</f>
        <v>0</v>
      </c>
      <c r="M420">
        <f t="shared" si="55"/>
        <v>7155</v>
      </c>
      <c r="N420" s="2">
        <f t="shared" si="54"/>
        <v>0</v>
      </c>
      <c r="O420" t="str">
        <f>IF(COUNTIFS(CA_Feed!B:B, B420)=0, "No Action Announced", IF(COUNTIFS(CA_Feed!B:B, B420, CA_Feed!D:D, "&gt;="&amp;C420)&gt;0, "Processed (Eligible)", "Ineligible (Post Ex-Date)"))</f>
        <v>Processed (Eligible)</v>
      </c>
    </row>
    <row r="421" spans="1:15" x14ac:dyDescent="0.3">
      <c r="A421" t="s">
        <v>497</v>
      </c>
      <c r="B421" t="s">
        <v>31</v>
      </c>
      <c r="C421" s="5">
        <v>42661</v>
      </c>
      <c r="D421" s="2">
        <v>1600</v>
      </c>
      <c r="E421">
        <f>SUMIFS(CA_Feed!F:F, CA_Feed!B:B, B421, CA_Feed!E:E, "*DIVIDEND*", CA_Feed!D:D, "&gt;="&amp;C421)</f>
        <v>3</v>
      </c>
      <c r="F421">
        <f t="shared" si="56"/>
        <v>4800</v>
      </c>
      <c r="G421">
        <f t="shared" si="57"/>
        <v>480</v>
      </c>
      <c r="H421">
        <f t="shared" si="58"/>
        <v>4320</v>
      </c>
      <c r="I421">
        <f>D421 * SUMIFS(CA_Feed!G:G, CA_Feed!B:B, B421, CA_Feed!E:E, "*BONUS*", CA_Feed!D:D, "&gt;="&amp;C421)</f>
        <v>0</v>
      </c>
      <c r="J421">
        <f t="shared" si="59"/>
        <v>0</v>
      </c>
      <c r="K421">
        <f t="shared" si="60"/>
        <v>0</v>
      </c>
      <c r="L421">
        <f>IF(K421&gt;0, K421 * VLOOKUP(B421, CA_Feed!B:N, 13, FALSE), 0)</f>
        <v>0</v>
      </c>
      <c r="M421">
        <f t="shared" si="55"/>
        <v>4320</v>
      </c>
      <c r="N421" s="2">
        <f t="shared" si="54"/>
        <v>0</v>
      </c>
      <c r="O421" t="str">
        <f>IF(COUNTIFS(CA_Feed!B:B, B421)=0, "No Action Announced", IF(COUNTIFS(CA_Feed!B:B, B421, CA_Feed!D:D, "&gt;="&amp;C421)&gt;0, "Processed (Eligible)", "Ineligible (Post Ex-Date)"))</f>
        <v>Processed (Eligible)</v>
      </c>
    </row>
    <row r="422" spans="1:15" x14ac:dyDescent="0.3">
      <c r="A422" t="s">
        <v>498</v>
      </c>
      <c r="B422" t="s">
        <v>31</v>
      </c>
      <c r="C422" s="5">
        <v>44405</v>
      </c>
      <c r="D422" s="2">
        <v>7900</v>
      </c>
      <c r="E422">
        <f>SUMIFS(CA_Feed!F:F, CA_Feed!B:B, B422, CA_Feed!E:E, "*DIVIDEND*", CA_Feed!D:D, "&gt;="&amp;C422)</f>
        <v>3</v>
      </c>
      <c r="F422">
        <f t="shared" si="56"/>
        <v>23700</v>
      </c>
      <c r="G422">
        <f t="shared" si="57"/>
        <v>2370</v>
      </c>
      <c r="H422">
        <f t="shared" si="58"/>
        <v>21330</v>
      </c>
      <c r="I422">
        <f>D422 * SUMIFS(CA_Feed!G:G, CA_Feed!B:B, B422, CA_Feed!E:E, "*BONUS*", CA_Feed!D:D, "&gt;="&amp;C422)</f>
        <v>0</v>
      </c>
      <c r="J422">
        <f t="shared" si="59"/>
        <v>0</v>
      </c>
      <c r="K422">
        <f t="shared" si="60"/>
        <v>0</v>
      </c>
      <c r="L422">
        <f>IF(K422&gt;0, K422 * VLOOKUP(B422, CA_Feed!B:N, 13, FALSE), 0)</f>
        <v>0</v>
      </c>
      <c r="M422">
        <f t="shared" si="55"/>
        <v>21330</v>
      </c>
      <c r="N422" s="2">
        <f t="shared" si="54"/>
        <v>0</v>
      </c>
      <c r="O422" t="str">
        <f>IF(COUNTIFS(CA_Feed!B:B, B422)=0, "No Action Announced", IF(COUNTIFS(CA_Feed!B:B, B422, CA_Feed!D:D, "&gt;="&amp;C422)&gt;0, "Processed (Eligible)", "Ineligible (Post Ex-Date)"))</f>
        <v>Processed (Eligible)</v>
      </c>
    </row>
    <row r="423" spans="1:15" x14ac:dyDescent="0.3">
      <c r="A423" t="s">
        <v>499</v>
      </c>
      <c r="B423" t="s">
        <v>31</v>
      </c>
      <c r="C423" s="5">
        <v>44353</v>
      </c>
      <c r="D423" s="2">
        <v>1400</v>
      </c>
      <c r="E423">
        <f>SUMIFS(CA_Feed!F:F, CA_Feed!B:B, B423, CA_Feed!E:E, "*DIVIDEND*", CA_Feed!D:D, "&gt;="&amp;C423)</f>
        <v>3</v>
      </c>
      <c r="F423">
        <f t="shared" si="56"/>
        <v>4200</v>
      </c>
      <c r="G423">
        <f t="shared" si="57"/>
        <v>420</v>
      </c>
      <c r="H423">
        <f t="shared" si="58"/>
        <v>3780</v>
      </c>
      <c r="I423">
        <f>D423 * SUMIFS(CA_Feed!G:G, CA_Feed!B:B, B423, CA_Feed!E:E, "*BONUS*", CA_Feed!D:D, "&gt;="&amp;C423)</f>
        <v>0</v>
      </c>
      <c r="J423">
        <f t="shared" si="59"/>
        <v>0</v>
      </c>
      <c r="K423">
        <f t="shared" si="60"/>
        <v>0</v>
      </c>
      <c r="L423">
        <f>IF(K423&gt;0, K423 * VLOOKUP(B423, CA_Feed!B:N, 13, FALSE), 0)</f>
        <v>0</v>
      </c>
      <c r="M423">
        <f t="shared" si="55"/>
        <v>3780</v>
      </c>
      <c r="N423" s="2">
        <f t="shared" si="54"/>
        <v>0</v>
      </c>
      <c r="O423" t="str">
        <f>IF(COUNTIFS(CA_Feed!B:B, B423)=0, "No Action Announced", IF(COUNTIFS(CA_Feed!B:B, B423, CA_Feed!D:D, "&gt;="&amp;C423)&gt;0, "Processed (Eligible)", "Ineligible (Post Ex-Date)"))</f>
        <v>Processed (Eligible)</v>
      </c>
    </row>
    <row r="424" spans="1:15" x14ac:dyDescent="0.3">
      <c r="A424" t="s">
        <v>500</v>
      </c>
      <c r="B424" t="s">
        <v>21</v>
      </c>
      <c r="C424" s="5">
        <v>43855</v>
      </c>
      <c r="D424" s="2">
        <v>4700</v>
      </c>
      <c r="E424">
        <f>SUMIFS(CA_Feed!F:F, CA_Feed!B:B, B424, CA_Feed!E:E, "*DIVIDEND*", CA_Feed!D:D, "&gt;="&amp;C424)</f>
        <v>1</v>
      </c>
      <c r="F424">
        <f t="shared" si="56"/>
        <v>4700</v>
      </c>
      <c r="G424">
        <f t="shared" si="57"/>
        <v>470</v>
      </c>
      <c r="H424">
        <f t="shared" si="58"/>
        <v>4230</v>
      </c>
      <c r="I424">
        <f>D424 * SUMIFS(CA_Feed!G:G, CA_Feed!B:B, B424, CA_Feed!E:E, "*BONUS*", CA_Feed!D:D, "&gt;="&amp;C424)</f>
        <v>0</v>
      </c>
      <c r="J424">
        <f t="shared" si="59"/>
        <v>0</v>
      </c>
      <c r="K424">
        <f t="shared" si="60"/>
        <v>0</v>
      </c>
      <c r="L424">
        <f>IF(K424&gt;0, K424 * VLOOKUP(B424, CA_Feed!B:N, 13, FALSE), 0)</f>
        <v>0</v>
      </c>
      <c r="M424">
        <f t="shared" si="55"/>
        <v>4230</v>
      </c>
      <c r="N424" s="2">
        <f t="shared" si="54"/>
        <v>0</v>
      </c>
      <c r="O424" t="str">
        <f>IF(COUNTIFS(CA_Feed!B:B, B424)=0, "No Action Announced", IF(COUNTIFS(CA_Feed!B:B, B424, CA_Feed!D:D, "&gt;="&amp;C424)&gt;0, "Processed (Eligible)", "Ineligible (Post Ex-Date)"))</f>
        <v>Processed (Eligible)</v>
      </c>
    </row>
    <row r="425" spans="1:15" x14ac:dyDescent="0.3">
      <c r="A425" t="s">
        <v>501</v>
      </c>
      <c r="B425" t="s">
        <v>39</v>
      </c>
      <c r="C425" s="5">
        <v>42955</v>
      </c>
      <c r="D425" s="2">
        <v>300</v>
      </c>
      <c r="E425">
        <f>SUMIFS(CA_Feed!F:F, CA_Feed!B:B, B425, CA_Feed!E:E, "*DIVIDEND*", CA_Feed!D:D, "&gt;="&amp;C425)</f>
        <v>1.2</v>
      </c>
      <c r="F425">
        <f t="shared" si="56"/>
        <v>360</v>
      </c>
      <c r="G425">
        <f t="shared" si="57"/>
        <v>36</v>
      </c>
      <c r="H425">
        <f t="shared" si="58"/>
        <v>324</v>
      </c>
      <c r="I425">
        <f>D425 * SUMIFS(CA_Feed!G:G, CA_Feed!B:B, B425, CA_Feed!E:E, "*BONUS*", CA_Feed!D:D, "&gt;="&amp;C425)</f>
        <v>0</v>
      </c>
      <c r="J425">
        <f t="shared" si="59"/>
        <v>0</v>
      </c>
      <c r="K425">
        <f t="shared" si="60"/>
        <v>0</v>
      </c>
      <c r="L425">
        <f>IF(K425&gt;0, K425 * VLOOKUP(B425, CA_Feed!B:N, 13, FALSE), 0)</f>
        <v>0</v>
      </c>
      <c r="M425">
        <f t="shared" si="55"/>
        <v>324</v>
      </c>
      <c r="N425" s="2">
        <f t="shared" si="54"/>
        <v>0</v>
      </c>
      <c r="O425" t="str">
        <f>IF(COUNTIFS(CA_Feed!B:B, B425)=0, "No Action Announced", IF(COUNTIFS(CA_Feed!B:B, B425, CA_Feed!D:D, "&gt;="&amp;C425)&gt;0, "Processed (Eligible)", "Ineligible (Post Ex-Date)"))</f>
        <v>Processed (Eligible)</v>
      </c>
    </row>
    <row r="426" spans="1:15" x14ac:dyDescent="0.3">
      <c r="A426" t="s">
        <v>682</v>
      </c>
      <c r="B426" t="s">
        <v>12</v>
      </c>
      <c r="C426" s="5">
        <v>44097</v>
      </c>
      <c r="D426" s="2">
        <v>700</v>
      </c>
      <c r="E426">
        <f>SUMIFS(CA_Feed!F:F, CA_Feed!B:B, B426, CA_Feed!E:E, "*DIVIDEND*", CA_Feed!D:D, "&gt;="&amp;C426)</f>
        <v>19</v>
      </c>
      <c r="F426">
        <f t="shared" si="56"/>
        <v>13300</v>
      </c>
      <c r="G426">
        <f t="shared" si="57"/>
        <v>1330</v>
      </c>
      <c r="H426">
        <f t="shared" si="58"/>
        <v>11970</v>
      </c>
      <c r="I426">
        <f>D426 * SUMIFS(CA_Feed!G:G, CA_Feed!B:B, B426, CA_Feed!E:E, "*BONUS*", CA_Feed!D:D, "&gt;="&amp;C426)</f>
        <v>0</v>
      </c>
      <c r="J426">
        <f t="shared" si="59"/>
        <v>0</v>
      </c>
      <c r="K426">
        <f t="shared" si="60"/>
        <v>0</v>
      </c>
      <c r="L426">
        <f>IF(K426&gt;0, K426 * VLOOKUP(B426, CA_Feed!B:N, 13, FALSE), 0)</f>
        <v>0</v>
      </c>
      <c r="M426">
        <f t="shared" si="55"/>
        <v>11970</v>
      </c>
      <c r="N426" s="2">
        <f t="shared" si="54"/>
        <v>0</v>
      </c>
      <c r="O426" t="str">
        <f>IF(COUNTIFS(CA_Feed!B:B, B426)=0, "No Action Announced", IF(COUNTIFS(CA_Feed!B:B, B426, CA_Feed!D:D, "&gt;="&amp;C426)&gt;0, "Processed (Eligible)", "Ineligible (Post Ex-Date)"))</f>
        <v>Processed (Eligible)</v>
      </c>
    </row>
    <row r="427" spans="1:15" x14ac:dyDescent="0.3">
      <c r="A427" t="s">
        <v>160</v>
      </c>
      <c r="B427" t="s">
        <v>12</v>
      </c>
      <c r="C427" s="5">
        <v>44047</v>
      </c>
      <c r="D427" s="2">
        <v>700</v>
      </c>
      <c r="E427">
        <f>SUMIFS(CA_Feed!F:F, CA_Feed!B:B, B427, CA_Feed!E:E, "*DIVIDEND*", CA_Feed!D:D, "&gt;="&amp;C427)</f>
        <v>19</v>
      </c>
      <c r="F427">
        <f t="shared" si="56"/>
        <v>13300</v>
      </c>
      <c r="G427">
        <f t="shared" si="57"/>
        <v>1330</v>
      </c>
      <c r="H427">
        <f t="shared" si="58"/>
        <v>11970</v>
      </c>
      <c r="I427">
        <f>D427 * SUMIFS(CA_Feed!G:G, CA_Feed!B:B, B427, CA_Feed!E:E, "*BONUS*", CA_Feed!D:D, "&gt;="&amp;C427)</f>
        <v>0</v>
      </c>
      <c r="J427">
        <f t="shared" si="59"/>
        <v>0</v>
      </c>
      <c r="K427">
        <f t="shared" si="60"/>
        <v>0</v>
      </c>
      <c r="L427">
        <f>IF(K427&gt;0, K427 * VLOOKUP(B427, CA_Feed!B:N, 13, FALSE), 0)</f>
        <v>0</v>
      </c>
      <c r="M427">
        <f t="shared" si="55"/>
        <v>11970</v>
      </c>
      <c r="N427" s="2">
        <f t="shared" si="54"/>
        <v>0</v>
      </c>
      <c r="O427" t="str">
        <f>IF(COUNTIFS(CA_Feed!B:B, B427)=0, "No Action Announced", IF(COUNTIFS(CA_Feed!B:B, B427, CA_Feed!D:D, "&gt;="&amp;C427)&gt;0, "Processed (Eligible)", "Ineligible (Post Ex-Date)"))</f>
        <v>Processed (Eligible)</v>
      </c>
    </row>
    <row r="428" spans="1:15" x14ac:dyDescent="0.3">
      <c r="A428" t="s">
        <v>504</v>
      </c>
      <c r="B428" t="s">
        <v>23</v>
      </c>
      <c r="C428" s="5">
        <v>43090</v>
      </c>
      <c r="D428" s="2">
        <v>3750</v>
      </c>
      <c r="E428">
        <f>SUMIFS(CA_Feed!F:F, CA_Feed!B:B, B428, CA_Feed!E:E, "*DIVIDEND*", CA_Feed!D:D, "&gt;="&amp;C428)</f>
        <v>1.5000000000000002</v>
      </c>
      <c r="F428">
        <f t="shared" si="56"/>
        <v>5625.0000000000009</v>
      </c>
      <c r="G428">
        <f t="shared" si="57"/>
        <v>562.50000000000011</v>
      </c>
      <c r="H428">
        <f t="shared" si="58"/>
        <v>5062.5000000000009</v>
      </c>
      <c r="I428">
        <f>D428 * SUMIFS(CA_Feed!G:G, CA_Feed!B:B, B428, CA_Feed!E:E, "*BONUS*", CA_Feed!D:D, "&gt;="&amp;C428)</f>
        <v>0</v>
      </c>
      <c r="J428">
        <f t="shared" si="59"/>
        <v>0</v>
      </c>
      <c r="K428">
        <f t="shared" si="60"/>
        <v>0</v>
      </c>
      <c r="L428">
        <f>IF(K428&gt;0, K428 * VLOOKUP(B428, CA_Feed!B:N, 13, FALSE), 0)</f>
        <v>0</v>
      </c>
      <c r="M428">
        <f t="shared" si="55"/>
        <v>5062.5000000000009</v>
      </c>
      <c r="N428" s="2">
        <f t="shared" si="54"/>
        <v>0</v>
      </c>
      <c r="O428" t="str">
        <f>IF(COUNTIFS(CA_Feed!B:B, B428)=0, "No Action Announced", IF(COUNTIFS(CA_Feed!B:B, B428, CA_Feed!D:D, "&gt;="&amp;C428)&gt;0, "Processed (Eligible)", "Ineligible (Post Ex-Date)"))</f>
        <v>Processed (Eligible)</v>
      </c>
    </row>
    <row r="429" spans="1:15" x14ac:dyDescent="0.3">
      <c r="A429" t="s">
        <v>505</v>
      </c>
      <c r="B429" t="s">
        <v>31</v>
      </c>
      <c r="C429" s="5">
        <v>42067</v>
      </c>
      <c r="D429" s="2">
        <v>6100</v>
      </c>
      <c r="E429">
        <f>SUMIFS(CA_Feed!F:F, CA_Feed!B:B, B429, CA_Feed!E:E, "*DIVIDEND*", CA_Feed!D:D, "&gt;="&amp;C429)</f>
        <v>3</v>
      </c>
      <c r="F429">
        <f t="shared" si="56"/>
        <v>18300</v>
      </c>
      <c r="G429">
        <f t="shared" si="57"/>
        <v>1830</v>
      </c>
      <c r="H429">
        <f t="shared" si="58"/>
        <v>16470</v>
      </c>
      <c r="I429">
        <f>D429 * SUMIFS(CA_Feed!G:G, CA_Feed!B:B, B429, CA_Feed!E:E, "*BONUS*", CA_Feed!D:D, "&gt;="&amp;C429)</f>
        <v>0</v>
      </c>
      <c r="J429">
        <f t="shared" si="59"/>
        <v>0</v>
      </c>
      <c r="K429">
        <f t="shared" si="60"/>
        <v>0</v>
      </c>
      <c r="L429">
        <f>IF(K429&gt;0, K429 * VLOOKUP(B429, CA_Feed!B:N, 13, FALSE), 0)</f>
        <v>0</v>
      </c>
      <c r="M429">
        <f t="shared" si="55"/>
        <v>16470</v>
      </c>
      <c r="N429" s="2">
        <f t="shared" si="54"/>
        <v>0</v>
      </c>
      <c r="O429" t="str">
        <f>IF(COUNTIFS(CA_Feed!B:B, B429)=0, "No Action Announced", IF(COUNTIFS(CA_Feed!B:B, B429, CA_Feed!D:D, "&gt;="&amp;C429)&gt;0, "Processed (Eligible)", "Ineligible (Post Ex-Date)"))</f>
        <v>Processed (Eligible)</v>
      </c>
    </row>
    <row r="430" spans="1:15" x14ac:dyDescent="0.3">
      <c r="A430" t="s">
        <v>506</v>
      </c>
      <c r="B430" t="s">
        <v>29</v>
      </c>
      <c r="C430" s="5">
        <v>42293</v>
      </c>
      <c r="D430" s="2">
        <v>500</v>
      </c>
      <c r="E430">
        <f>SUMIFS(CA_Feed!F:F, CA_Feed!B:B, B430, CA_Feed!E:E, "*DIVIDEND*", CA_Feed!D:D, "&gt;="&amp;C430)</f>
        <v>3</v>
      </c>
      <c r="F430">
        <f t="shared" si="56"/>
        <v>1500</v>
      </c>
      <c r="G430">
        <f t="shared" si="57"/>
        <v>150</v>
      </c>
      <c r="H430">
        <f t="shared" si="58"/>
        <v>1350</v>
      </c>
      <c r="I430">
        <f>D430 * SUMIFS(CA_Feed!G:G, CA_Feed!B:B, B430, CA_Feed!E:E, "*BONUS*", CA_Feed!D:D, "&gt;="&amp;C430)</f>
        <v>0</v>
      </c>
      <c r="J430">
        <f t="shared" si="59"/>
        <v>0</v>
      </c>
      <c r="K430">
        <f t="shared" si="60"/>
        <v>0</v>
      </c>
      <c r="L430">
        <f>IF(K430&gt;0, K430 * VLOOKUP(B430, CA_Feed!B:N, 13, FALSE), 0)</f>
        <v>0</v>
      </c>
      <c r="M430">
        <f t="shared" si="55"/>
        <v>1350</v>
      </c>
      <c r="N430" s="2">
        <f t="shared" si="54"/>
        <v>0</v>
      </c>
      <c r="O430" t="str">
        <f>IF(COUNTIFS(CA_Feed!B:B, B430)=0, "No Action Announced", IF(COUNTIFS(CA_Feed!B:B, B430, CA_Feed!D:D, "&gt;="&amp;C430)&gt;0, "Processed (Eligible)", "Ineligible (Post Ex-Date)"))</f>
        <v>Processed (Eligible)</v>
      </c>
    </row>
    <row r="431" spans="1:15" x14ac:dyDescent="0.3">
      <c r="A431" t="s">
        <v>507</v>
      </c>
      <c r="B431" t="s">
        <v>35</v>
      </c>
      <c r="C431" s="5">
        <v>45633</v>
      </c>
      <c r="D431" s="2">
        <v>300</v>
      </c>
      <c r="E431">
        <f>SUMIFS(CA_Feed!F:F, CA_Feed!B:B, B431, CA_Feed!E:E, "*DIVIDEND*", CA_Feed!D:D, "&gt;="&amp;C431)</f>
        <v>0.5</v>
      </c>
      <c r="F431">
        <f t="shared" si="56"/>
        <v>150</v>
      </c>
      <c r="G431">
        <f t="shared" si="57"/>
        <v>15</v>
      </c>
      <c r="H431">
        <f t="shared" si="58"/>
        <v>135</v>
      </c>
      <c r="I431">
        <f>D431 * SUMIFS(CA_Feed!G:G, CA_Feed!B:B, B431, CA_Feed!E:E, "*BONUS*", CA_Feed!D:D, "&gt;="&amp;C431)</f>
        <v>0</v>
      </c>
      <c r="J431">
        <f t="shared" si="59"/>
        <v>0</v>
      </c>
      <c r="K431">
        <f t="shared" si="60"/>
        <v>0</v>
      </c>
      <c r="L431">
        <f>IF(K431&gt;0, K431 * VLOOKUP(B431, CA_Feed!B:N, 13, FALSE), 0)</f>
        <v>0</v>
      </c>
      <c r="M431">
        <f t="shared" si="55"/>
        <v>135</v>
      </c>
      <c r="N431" s="2">
        <f t="shared" si="54"/>
        <v>0</v>
      </c>
      <c r="O431" t="str">
        <f>IF(COUNTIFS(CA_Feed!B:B, B431)=0, "No Action Announced", IF(COUNTIFS(CA_Feed!B:B, B431, CA_Feed!D:D, "&gt;="&amp;C431)&gt;0, "Processed (Eligible)", "Ineligible (Post Ex-Date)"))</f>
        <v>Processed (Eligible)</v>
      </c>
    </row>
    <row r="432" spans="1:15" x14ac:dyDescent="0.3">
      <c r="A432" t="s">
        <v>451</v>
      </c>
      <c r="B432" t="s">
        <v>12</v>
      </c>
      <c r="C432" s="5">
        <v>43928</v>
      </c>
      <c r="D432" s="2">
        <v>700</v>
      </c>
      <c r="E432">
        <f>SUMIFS(CA_Feed!F:F, CA_Feed!B:B, B432, CA_Feed!E:E, "*DIVIDEND*", CA_Feed!D:D, "&gt;="&amp;C432)</f>
        <v>19</v>
      </c>
      <c r="F432">
        <f t="shared" si="56"/>
        <v>13300</v>
      </c>
      <c r="G432">
        <f t="shared" si="57"/>
        <v>1330</v>
      </c>
      <c r="H432">
        <f t="shared" si="58"/>
        <v>11970</v>
      </c>
      <c r="I432">
        <f>D432 * SUMIFS(CA_Feed!G:G, CA_Feed!B:B, B432, CA_Feed!E:E, "*BONUS*", CA_Feed!D:D, "&gt;="&amp;C432)</f>
        <v>0</v>
      </c>
      <c r="J432">
        <f t="shared" si="59"/>
        <v>0</v>
      </c>
      <c r="K432">
        <f t="shared" si="60"/>
        <v>0</v>
      </c>
      <c r="L432">
        <f>IF(K432&gt;0, K432 * VLOOKUP(B432, CA_Feed!B:N, 13, FALSE), 0)</f>
        <v>0</v>
      </c>
      <c r="M432">
        <f t="shared" si="55"/>
        <v>11970</v>
      </c>
      <c r="N432" s="2">
        <f t="shared" si="54"/>
        <v>0</v>
      </c>
      <c r="O432" t="str">
        <f>IF(COUNTIFS(CA_Feed!B:B, B432)=0, "No Action Announced", IF(COUNTIFS(CA_Feed!B:B, B432, CA_Feed!D:D, "&gt;="&amp;C432)&gt;0, "Processed (Eligible)", "Ineligible (Post Ex-Date)"))</f>
        <v>Processed (Eligible)</v>
      </c>
    </row>
    <row r="433" spans="1:15" x14ac:dyDescent="0.3">
      <c r="A433" t="s">
        <v>509</v>
      </c>
      <c r="B433" t="s">
        <v>63</v>
      </c>
      <c r="C433" s="5">
        <v>42986</v>
      </c>
      <c r="D433" s="2">
        <v>3900</v>
      </c>
      <c r="E433">
        <f>SUMIFS(CA_Feed!F:F, CA_Feed!B:B, B433, CA_Feed!E:E, "*DIVIDEND*", CA_Feed!D:D, "&gt;="&amp;C433)</f>
        <v>0</v>
      </c>
      <c r="F433">
        <f t="shared" si="56"/>
        <v>0</v>
      </c>
      <c r="G433">
        <f t="shared" si="57"/>
        <v>0</v>
      </c>
      <c r="H433">
        <f t="shared" si="58"/>
        <v>0</v>
      </c>
      <c r="I433">
        <f>D433 * SUMIFS(CA_Feed!G:G, CA_Feed!B:B, B433, CA_Feed!E:E, "*BONUS*", CA_Feed!D:D, "&gt;="&amp;C433)</f>
        <v>650</v>
      </c>
      <c r="J433">
        <f t="shared" si="59"/>
        <v>650</v>
      </c>
      <c r="K433">
        <f t="shared" si="60"/>
        <v>0</v>
      </c>
      <c r="L433">
        <f>IF(K433&gt;0, K433 * VLOOKUP(B433, CA_Feed!B:N, 13, FALSE), 0)</f>
        <v>0</v>
      </c>
      <c r="M433">
        <f t="shared" si="55"/>
        <v>0</v>
      </c>
      <c r="N433" s="2">
        <f t="shared" si="54"/>
        <v>4550</v>
      </c>
      <c r="O433" t="str">
        <f>IF(COUNTIFS(CA_Feed!B:B, B433)=0, "No Action Announced", IF(COUNTIFS(CA_Feed!B:B, B433, CA_Feed!D:D, "&gt;="&amp;C433)&gt;0, "Processed (Eligible)", "Ineligible (Post Ex-Date)"))</f>
        <v>Processed (Eligible)</v>
      </c>
    </row>
    <row r="434" spans="1:15" x14ac:dyDescent="0.3">
      <c r="A434" t="s">
        <v>510</v>
      </c>
      <c r="B434" t="s">
        <v>37</v>
      </c>
      <c r="C434" s="5">
        <v>42212</v>
      </c>
      <c r="D434" s="2">
        <v>4350</v>
      </c>
      <c r="E434">
        <f>SUMIFS(CA_Feed!F:F, CA_Feed!B:B, B434, CA_Feed!E:E, "*DIVIDEND*", CA_Feed!D:D, "&gt;="&amp;C434)</f>
        <v>6.5</v>
      </c>
      <c r="F434">
        <f t="shared" si="56"/>
        <v>28275</v>
      </c>
      <c r="G434">
        <f t="shared" si="57"/>
        <v>2827.5</v>
      </c>
      <c r="H434">
        <f t="shared" si="58"/>
        <v>25447.5</v>
      </c>
      <c r="I434">
        <f>D434 * SUMIFS(CA_Feed!G:G, CA_Feed!B:B, B434, CA_Feed!E:E, "*BONUS*", CA_Feed!D:D, "&gt;="&amp;C434)</f>
        <v>0</v>
      </c>
      <c r="J434">
        <f t="shared" si="59"/>
        <v>0</v>
      </c>
      <c r="K434">
        <f t="shared" si="60"/>
        <v>0</v>
      </c>
      <c r="L434">
        <f>IF(K434&gt;0, K434 * VLOOKUP(B434, CA_Feed!B:N, 13, FALSE), 0)</f>
        <v>0</v>
      </c>
      <c r="M434">
        <f t="shared" si="55"/>
        <v>25447.5</v>
      </c>
      <c r="N434" s="2">
        <f t="shared" si="54"/>
        <v>0</v>
      </c>
      <c r="O434" t="str">
        <f>IF(COUNTIFS(CA_Feed!B:B, B434)=0, "No Action Announced", IF(COUNTIFS(CA_Feed!B:B, B434, CA_Feed!D:D, "&gt;="&amp;C434)&gt;0, "Processed (Eligible)", "Ineligible (Post Ex-Date)"))</f>
        <v>Processed (Eligible)</v>
      </c>
    </row>
    <row r="435" spans="1:15" x14ac:dyDescent="0.3">
      <c r="A435" t="s">
        <v>511</v>
      </c>
      <c r="B435" t="s">
        <v>41</v>
      </c>
      <c r="C435" s="5">
        <v>43352</v>
      </c>
      <c r="D435" s="2">
        <v>5700</v>
      </c>
      <c r="E435">
        <f>SUMIFS(CA_Feed!F:F, CA_Feed!B:B, B435, CA_Feed!E:E, "*DIVIDEND*", CA_Feed!D:D, "&gt;="&amp;C435)</f>
        <v>0.2</v>
      </c>
      <c r="F435">
        <f t="shared" si="56"/>
        <v>1140</v>
      </c>
      <c r="G435">
        <f t="shared" si="57"/>
        <v>114</v>
      </c>
      <c r="H435">
        <f t="shared" si="58"/>
        <v>1026</v>
      </c>
      <c r="I435">
        <f>D435 * SUMIFS(CA_Feed!G:G, CA_Feed!B:B, B435, CA_Feed!E:E, "*BONUS*", CA_Feed!D:D, "&gt;="&amp;C435)</f>
        <v>0</v>
      </c>
      <c r="J435">
        <f t="shared" si="59"/>
        <v>0</v>
      </c>
      <c r="K435">
        <f t="shared" si="60"/>
        <v>0</v>
      </c>
      <c r="L435">
        <f>IF(K435&gt;0, K435 * VLOOKUP(B435, CA_Feed!B:N, 13, FALSE), 0)</f>
        <v>0</v>
      </c>
      <c r="M435">
        <f t="shared" si="55"/>
        <v>1026</v>
      </c>
      <c r="N435" s="2">
        <f t="shared" si="54"/>
        <v>0</v>
      </c>
      <c r="O435" t="str">
        <f>IF(COUNTIFS(CA_Feed!B:B, B435)=0, "No Action Announced", IF(COUNTIFS(CA_Feed!B:B, B435, CA_Feed!D:D, "&gt;="&amp;C435)&gt;0, "Processed (Eligible)", "Ineligible (Post Ex-Date)"))</f>
        <v>Processed (Eligible)</v>
      </c>
    </row>
    <row r="436" spans="1:15" x14ac:dyDescent="0.3">
      <c r="A436" t="s">
        <v>512</v>
      </c>
      <c r="B436" t="s">
        <v>39</v>
      </c>
      <c r="C436" s="5">
        <v>43789</v>
      </c>
      <c r="D436" s="2">
        <v>300</v>
      </c>
      <c r="E436">
        <f>SUMIFS(CA_Feed!F:F, CA_Feed!B:B, B436, CA_Feed!E:E, "*DIVIDEND*", CA_Feed!D:D, "&gt;="&amp;C436)</f>
        <v>1.2</v>
      </c>
      <c r="F436">
        <f t="shared" si="56"/>
        <v>360</v>
      </c>
      <c r="G436">
        <f t="shared" si="57"/>
        <v>36</v>
      </c>
      <c r="H436">
        <f t="shared" si="58"/>
        <v>324</v>
      </c>
      <c r="I436">
        <f>D436 * SUMIFS(CA_Feed!G:G, CA_Feed!B:B, B436, CA_Feed!E:E, "*BONUS*", CA_Feed!D:D, "&gt;="&amp;C436)</f>
        <v>0</v>
      </c>
      <c r="J436">
        <f t="shared" si="59"/>
        <v>0</v>
      </c>
      <c r="K436">
        <f t="shared" si="60"/>
        <v>0</v>
      </c>
      <c r="L436">
        <f>IF(K436&gt;0, K436 * VLOOKUP(B436, CA_Feed!B:N, 13, FALSE), 0)</f>
        <v>0</v>
      </c>
      <c r="M436">
        <f t="shared" si="55"/>
        <v>324</v>
      </c>
      <c r="N436" s="2">
        <f t="shared" si="54"/>
        <v>0</v>
      </c>
      <c r="O436" t="str">
        <f>IF(COUNTIFS(CA_Feed!B:B, B436)=0, "No Action Announced", IF(COUNTIFS(CA_Feed!B:B, B436, CA_Feed!D:D, "&gt;="&amp;C436)&gt;0, "Processed (Eligible)", "Ineligible (Post Ex-Date)"))</f>
        <v>Processed (Eligible)</v>
      </c>
    </row>
    <row r="437" spans="1:15" x14ac:dyDescent="0.3">
      <c r="A437" t="s">
        <v>683</v>
      </c>
      <c r="B437" t="s">
        <v>12</v>
      </c>
      <c r="C437" s="5">
        <v>43504</v>
      </c>
      <c r="D437" s="2">
        <v>700</v>
      </c>
      <c r="E437">
        <f>SUMIFS(CA_Feed!F:F, CA_Feed!B:B, B437, CA_Feed!E:E, "*DIVIDEND*", CA_Feed!D:D, "&gt;="&amp;C437)</f>
        <v>19</v>
      </c>
      <c r="F437">
        <f t="shared" si="56"/>
        <v>13300</v>
      </c>
      <c r="G437">
        <f t="shared" si="57"/>
        <v>1330</v>
      </c>
      <c r="H437">
        <f t="shared" si="58"/>
        <v>11970</v>
      </c>
      <c r="I437">
        <f>D437 * SUMIFS(CA_Feed!G:G, CA_Feed!B:B, B437, CA_Feed!E:E, "*BONUS*", CA_Feed!D:D, "&gt;="&amp;C437)</f>
        <v>0</v>
      </c>
      <c r="J437">
        <f t="shared" si="59"/>
        <v>0</v>
      </c>
      <c r="K437">
        <f t="shared" si="60"/>
        <v>0</v>
      </c>
      <c r="L437">
        <f>IF(K437&gt;0, K437 * VLOOKUP(B437, CA_Feed!B:N, 13, FALSE), 0)</f>
        <v>0</v>
      </c>
      <c r="M437">
        <f t="shared" si="55"/>
        <v>11970</v>
      </c>
      <c r="N437" s="2">
        <f t="shared" si="54"/>
        <v>0</v>
      </c>
      <c r="O437" t="str">
        <f>IF(COUNTIFS(CA_Feed!B:B, B437)=0, "No Action Announced", IF(COUNTIFS(CA_Feed!B:B, B437, CA_Feed!D:D, "&gt;="&amp;C437)&gt;0, "Processed (Eligible)", "Ineligible (Post Ex-Date)"))</f>
        <v>Processed (Eligible)</v>
      </c>
    </row>
    <row r="438" spans="1:15" x14ac:dyDescent="0.3">
      <c r="A438" t="s">
        <v>514</v>
      </c>
      <c r="B438" t="s">
        <v>49</v>
      </c>
      <c r="C438" s="5">
        <v>43640</v>
      </c>
      <c r="D438" s="2">
        <v>4000</v>
      </c>
      <c r="E438">
        <f>SUMIFS(CA_Feed!F:F, CA_Feed!B:B, B438, CA_Feed!E:E, "*DIVIDEND*", CA_Feed!D:D, "&gt;="&amp;C438)</f>
        <v>1.1000000000000001</v>
      </c>
      <c r="F438">
        <f t="shared" si="56"/>
        <v>4400</v>
      </c>
      <c r="G438">
        <f t="shared" si="57"/>
        <v>440</v>
      </c>
      <c r="H438">
        <f t="shared" si="58"/>
        <v>3960</v>
      </c>
      <c r="I438">
        <f>D438 * SUMIFS(CA_Feed!G:G, CA_Feed!B:B, B438, CA_Feed!E:E, "*BONUS*", CA_Feed!D:D, "&gt;="&amp;C438)</f>
        <v>0</v>
      </c>
      <c r="J438">
        <f t="shared" si="59"/>
        <v>0</v>
      </c>
      <c r="K438">
        <f t="shared" si="60"/>
        <v>0</v>
      </c>
      <c r="L438">
        <f>IF(K438&gt;0, K438 * VLOOKUP(B438, CA_Feed!B:N, 13, FALSE), 0)</f>
        <v>0</v>
      </c>
      <c r="M438">
        <f t="shared" si="55"/>
        <v>3960</v>
      </c>
      <c r="N438" s="2">
        <f t="shared" si="54"/>
        <v>0</v>
      </c>
      <c r="O438" t="str">
        <f>IF(COUNTIFS(CA_Feed!B:B, B438)=0, "No Action Announced", IF(COUNTIFS(CA_Feed!B:B, B438, CA_Feed!D:D, "&gt;="&amp;C438)&gt;0, "Processed (Eligible)", "Ineligible (Post Ex-Date)"))</f>
        <v>Processed (Eligible)</v>
      </c>
    </row>
    <row r="439" spans="1:15" x14ac:dyDescent="0.3">
      <c r="A439" t="s">
        <v>283</v>
      </c>
      <c r="B439" t="s">
        <v>12</v>
      </c>
      <c r="C439" s="5">
        <v>44994</v>
      </c>
      <c r="D439" s="2">
        <v>550</v>
      </c>
      <c r="E439">
        <f>SUMIFS(CA_Feed!F:F, CA_Feed!B:B, B439, CA_Feed!E:E, "*DIVIDEND*", CA_Feed!D:D, "&gt;="&amp;C439)</f>
        <v>19</v>
      </c>
      <c r="F439">
        <f t="shared" si="56"/>
        <v>10450</v>
      </c>
      <c r="G439">
        <f t="shared" si="57"/>
        <v>1045</v>
      </c>
      <c r="H439">
        <f t="shared" si="58"/>
        <v>9405</v>
      </c>
      <c r="I439">
        <f>D439 * SUMIFS(CA_Feed!G:G, CA_Feed!B:B, B439, CA_Feed!E:E, "*BONUS*", CA_Feed!D:D, "&gt;="&amp;C439)</f>
        <v>0</v>
      </c>
      <c r="J439">
        <f t="shared" si="59"/>
        <v>0</v>
      </c>
      <c r="K439">
        <f t="shared" si="60"/>
        <v>0</v>
      </c>
      <c r="L439">
        <f>IF(K439&gt;0, K439 * VLOOKUP(B439, CA_Feed!B:N, 13, FALSE), 0)</f>
        <v>0</v>
      </c>
      <c r="M439">
        <f t="shared" si="55"/>
        <v>9405</v>
      </c>
      <c r="N439" s="2">
        <f t="shared" si="54"/>
        <v>0</v>
      </c>
      <c r="O439" t="str">
        <f>IF(COUNTIFS(CA_Feed!B:B, B439)=0, "No Action Announced", IF(COUNTIFS(CA_Feed!B:B, B439, CA_Feed!D:D, "&gt;="&amp;C439)&gt;0, "Processed (Eligible)", "Ineligible (Post Ex-Date)"))</f>
        <v>Processed (Eligible)</v>
      </c>
    </row>
    <row r="440" spans="1:15" x14ac:dyDescent="0.3">
      <c r="A440" t="s">
        <v>516</v>
      </c>
      <c r="B440" t="s">
        <v>31</v>
      </c>
      <c r="C440" s="5">
        <v>44380</v>
      </c>
      <c r="D440" s="2">
        <v>8600</v>
      </c>
      <c r="E440">
        <f>SUMIFS(CA_Feed!F:F, CA_Feed!B:B, B440, CA_Feed!E:E, "*DIVIDEND*", CA_Feed!D:D, "&gt;="&amp;C440)</f>
        <v>3</v>
      </c>
      <c r="F440">
        <f t="shared" si="56"/>
        <v>25800</v>
      </c>
      <c r="G440">
        <f t="shared" si="57"/>
        <v>2580</v>
      </c>
      <c r="H440">
        <f t="shared" si="58"/>
        <v>23220</v>
      </c>
      <c r="I440">
        <f>D440 * SUMIFS(CA_Feed!G:G, CA_Feed!B:B, B440, CA_Feed!E:E, "*BONUS*", CA_Feed!D:D, "&gt;="&amp;C440)</f>
        <v>0</v>
      </c>
      <c r="J440">
        <f t="shared" si="59"/>
        <v>0</v>
      </c>
      <c r="K440">
        <f t="shared" si="60"/>
        <v>0</v>
      </c>
      <c r="L440">
        <f>IF(K440&gt;0, K440 * VLOOKUP(B440, CA_Feed!B:N, 13, FALSE), 0)</f>
        <v>0</v>
      </c>
      <c r="M440">
        <f t="shared" si="55"/>
        <v>23220</v>
      </c>
      <c r="N440" s="2">
        <f t="shared" si="54"/>
        <v>0</v>
      </c>
      <c r="O440" t="str">
        <f>IF(COUNTIFS(CA_Feed!B:B, B440)=0, "No Action Announced", IF(COUNTIFS(CA_Feed!B:B, B440, CA_Feed!D:D, "&gt;="&amp;C440)&gt;0, "Processed (Eligible)", "Ineligible (Post Ex-Date)"))</f>
        <v>Processed (Eligible)</v>
      </c>
    </row>
    <row r="441" spans="1:15" x14ac:dyDescent="0.3">
      <c r="A441" t="s">
        <v>517</v>
      </c>
      <c r="B441" t="s">
        <v>19</v>
      </c>
      <c r="C441" s="5">
        <v>44799</v>
      </c>
      <c r="D441" s="2">
        <v>2000</v>
      </c>
      <c r="E441">
        <f>SUMIFS(CA_Feed!F:F, CA_Feed!B:B, B441, CA_Feed!E:E, "*DIVIDEND*", CA_Feed!D:D, "&gt;="&amp;C441)</f>
        <v>1.5</v>
      </c>
      <c r="F441">
        <f t="shared" si="56"/>
        <v>3000</v>
      </c>
      <c r="G441">
        <f t="shared" si="57"/>
        <v>300</v>
      </c>
      <c r="H441">
        <f t="shared" si="58"/>
        <v>2700</v>
      </c>
      <c r="I441">
        <f>D441 * SUMIFS(CA_Feed!G:G, CA_Feed!B:B, B441, CA_Feed!E:E, "*BONUS*", CA_Feed!D:D, "&gt;="&amp;C441)</f>
        <v>0</v>
      </c>
      <c r="J441">
        <f t="shared" si="59"/>
        <v>0</v>
      </c>
      <c r="K441">
        <f t="shared" si="60"/>
        <v>0</v>
      </c>
      <c r="L441">
        <f>IF(K441&gt;0, K441 * VLOOKUP(B441, CA_Feed!B:N, 13, FALSE), 0)</f>
        <v>0</v>
      </c>
      <c r="M441">
        <f t="shared" si="55"/>
        <v>2700</v>
      </c>
      <c r="N441" s="2">
        <f t="shared" si="54"/>
        <v>0</v>
      </c>
      <c r="O441" t="str">
        <f>IF(COUNTIFS(CA_Feed!B:B, B441)=0, "No Action Announced", IF(COUNTIFS(CA_Feed!B:B, B441, CA_Feed!D:D, "&gt;="&amp;C441)&gt;0, "Processed (Eligible)", "Ineligible (Post Ex-Date)"))</f>
        <v>Processed (Eligible)</v>
      </c>
    </row>
    <row r="442" spans="1:15" x14ac:dyDescent="0.3">
      <c r="A442" t="s">
        <v>518</v>
      </c>
      <c r="B442" t="s">
        <v>23</v>
      </c>
      <c r="C442" s="5">
        <v>42241</v>
      </c>
      <c r="D442" s="2">
        <v>4300</v>
      </c>
      <c r="E442">
        <f>SUMIFS(CA_Feed!F:F, CA_Feed!B:B, B442, CA_Feed!E:E, "*DIVIDEND*", CA_Feed!D:D, "&gt;="&amp;C442)</f>
        <v>1.5000000000000002</v>
      </c>
      <c r="F442">
        <f t="shared" si="56"/>
        <v>6450.0000000000009</v>
      </c>
      <c r="G442">
        <f t="shared" si="57"/>
        <v>645.00000000000011</v>
      </c>
      <c r="H442">
        <f t="shared" si="58"/>
        <v>5805.0000000000009</v>
      </c>
      <c r="I442">
        <f>D442 * SUMIFS(CA_Feed!G:G, CA_Feed!B:B, B442, CA_Feed!E:E, "*BONUS*", CA_Feed!D:D, "&gt;="&amp;C442)</f>
        <v>0</v>
      </c>
      <c r="J442">
        <f t="shared" si="59"/>
        <v>0</v>
      </c>
      <c r="K442">
        <f t="shared" si="60"/>
        <v>0</v>
      </c>
      <c r="L442">
        <f>IF(K442&gt;0, K442 * VLOOKUP(B442, CA_Feed!B:N, 13, FALSE), 0)</f>
        <v>0</v>
      </c>
      <c r="M442">
        <f t="shared" si="55"/>
        <v>5805.0000000000009</v>
      </c>
      <c r="N442" s="2">
        <f t="shared" si="54"/>
        <v>0</v>
      </c>
      <c r="O442" t="str">
        <f>IF(COUNTIFS(CA_Feed!B:B, B442)=0, "No Action Announced", IF(COUNTIFS(CA_Feed!B:B, B442, CA_Feed!D:D, "&gt;="&amp;C442)&gt;0, "Processed (Eligible)", "Ineligible (Post Ex-Date)"))</f>
        <v>Processed (Eligible)</v>
      </c>
    </row>
    <row r="443" spans="1:15" x14ac:dyDescent="0.3">
      <c r="A443" t="s">
        <v>519</v>
      </c>
      <c r="B443" t="s">
        <v>23</v>
      </c>
      <c r="C443" s="5">
        <v>45604</v>
      </c>
      <c r="D443" s="2">
        <v>6550</v>
      </c>
      <c r="E443">
        <f>SUMIFS(CA_Feed!F:F, CA_Feed!B:B, B443, CA_Feed!E:E, "*DIVIDEND*", CA_Feed!D:D, "&gt;="&amp;C443)</f>
        <v>1.2000000000000002</v>
      </c>
      <c r="F443">
        <f t="shared" si="56"/>
        <v>7860.0000000000009</v>
      </c>
      <c r="G443">
        <f t="shared" si="57"/>
        <v>786.00000000000011</v>
      </c>
      <c r="H443">
        <f t="shared" si="58"/>
        <v>7074.0000000000009</v>
      </c>
      <c r="I443">
        <f>D443 * SUMIFS(CA_Feed!G:G, CA_Feed!B:B, B443, CA_Feed!E:E, "*BONUS*", CA_Feed!D:D, "&gt;="&amp;C443)</f>
        <v>0</v>
      </c>
      <c r="J443">
        <f t="shared" si="59"/>
        <v>0</v>
      </c>
      <c r="K443">
        <f t="shared" si="60"/>
        <v>0</v>
      </c>
      <c r="L443">
        <f>IF(K443&gt;0, K443 * VLOOKUP(B443, CA_Feed!B:N, 13, FALSE), 0)</f>
        <v>0</v>
      </c>
      <c r="M443">
        <f t="shared" si="55"/>
        <v>7074.0000000000009</v>
      </c>
      <c r="N443" s="2">
        <f t="shared" si="54"/>
        <v>0</v>
      </c>
      <c r="O443" t="str">
        <f>IF(COUNTIFS(CA_Feed!B:B, B443)=0, "No Action Announced", IF(COUNTIFS(CA_Feed!B:B, B443, CA_Feed!D:D, "&gt;="&amp;C443)&gt;0, "Processed (Eligible)", "Ineligible (Post Ex-Date)"))</f>
        <v>Processed (Eligible)</v>
      </c>
    </row>
    <row r="444" spans="1:15" x14ac:dyDescent="0.3">
      <c r="A444" t="s">
        <v>520</v>
      </c>
      <c r="B444" t="s">
        <v>27</v>
      </c>
      <c r="C444" s="5">
        <v>43605</v>
      </c>
      <c r="D444" s="2">
        <v>5300</v>
      </c>
      <c r="E444">
        <f>SUMIFS(CA_Feed!F:F, CA_Feed!B:B, B444, CA_Feed!E:E, "*DIVIDEND*", CA_Feed!D:D, "&gt;="&amp;C444)</f>
        <v>3.25</v>
      </c>
      <c r="F444">
        <f t="shared" si="56"/>
        <v>17225</v>
      </c>
      <c r="G444">
        <f t="shared" si="57"/>
        <v>1722.5</v>
      </c>
      <c r="H444">
        <f t="shared" si="58"/>
        <v>15502.5</v>
      </c>
      <c r="I444">
        <f>D444 * SUMIFS(CA_Feed!G:G, CA_Feed!B:B, B444, CA_Feed!E:E, "*BONUS*", CA_Feed!D:D, "&gt;="&amp;C444)</f>
        <v>0</v>
      </c>
      <c r="J444">
        <f t="shared" si="59"/>
        <v>0</v>
      </c>
      <c r="K444">
        <f t="shared" si="60"/>
        <v>0</v>
      </c>
      <c r="L444">
        <f>IF(K444&gt;0, K444 * VLOOKUP(B444, CA_Feed!B:N, 13, FALSE), 0)</f>
        <v>0</v>
      </c>
      <c r="M444">
        <f t="shared" si="55"/>
        <v>15502.5</v>
      </c>
      <c r="N444" s="2">
        <f t="shared" si="54"/>
        <v>0</v>
      </c>
      <c r="O444" t="str">
        <f>IF(COUNTIFS(CA_Feed!B:B, B444)=0, "No Action Announced", IF(COUNTIFS(CA_Feed!B:B, B444, CA_Feed!D:D, "&gt;="&amp;C444)&gt;0, "Processed (Eligible)", "Ineligible (Post Ex-Date)"))</f>
        <v>Processed (Eligible)</v>
      </c>
    </row>
    <row r="445" spans="1:15" x14ac:dyDescent="0.3">
      <c r="A445" t="s">
        <v>521</v>
      </c>
      <c r="B445" t="s">
        <v>43</v>
      </c>
      <c r="C445" s="5">
        <v>45245</v>
      </c>
      <c r="D445" s="2">
        <v>6100</v>
      </c>
      <c r="E445">
        <f>SUMIFS(CA_Feed!F:F, CA_Feed!B:B, B445, CA_Feed!E:E, "*DIVIDEND*", CA_Feed!D:D, "&gt;="&amp;C445)</f>
        <v>1.35</v>
      </c>
      <c r="F445">
        <f t="shared" si="56"/>
        <v>8235</v>
      </c>
      <c r="G445">
        <f t="shared" si="57"/>
        <v>823.5</v>
      </c>
      <c r="H445">
        <f t="shared" si="58"/>
        <v>7411.5</v>
      </c>
      <c r="I445">
        <f>D445 * SUMIFS(CA_Feed!G:G, CA_Feed!B:B, B445, CA_Feed!E:E, "*BONUS*", CA_Feed!D:D, "&gt;="&amp;C445)</f>
        <v>0</v>
      </c>
      <c r="J445">
        <f t="shared" si="59"/>
        <v>0</v>
      </c>
      <c r="K445">
        <f t="shared" si="60"/>
        <v>0</v>
      </c>
      <c r="L445">
        <f>IF(K445&gt;0, K445 * VLOOKUP(B445, CA_Feed!B:N, 13, FALSE), 0)</f>
        <v>0</v>
      </c>
      <c r="M445">
        <f t="shared" si="55"/>
        <v>7411.5</v>
      </c>
      <c r="N445" s="2">
        <f t="shared" si="54"/>
        <v>0</v>
      </c>
      <c r="O445" t="str">
        <f>IF(COUNTIFS(CA_Feed!B:B, B445)=0, "No Action Announced", IF(COUNTIFS(CA_Feed!B:B, B445, CA_Feed!D:D, "&gt;="&amp;C445)&gt;0, "Processed (Eligible)", "Ineligible (Post Ex-Date)"))</f>
        <v>Processed (Eligible)</v>
      </c>
    </row>
    <row r="446" spans="1:15" x14ac:dyDescent="0.3">
      <c r="A446" t="s">
        <v>522</v>
      </c>
      <c r="B446" t="s">
        <v>37</v>
      </c>
      <c r="C446" s="5">
        <v>44791</v>
      </c>
      <c r="D446" s="2">
        <v>1900</v>
      </c>
      <c r="E446">
        <f>SUMIFS(CA_Feed!F:F, CA_Feed!B:B, B446, CA_Feed!E:E, "*DIVIDEND*", CA_Feed!D:D, "&gt;="&amp;C446)</f>
        <v>6.5</v>
      </c>
      <c r="F446">
        <f t="shared" si="56"/>
        <v>12350</v>
      </c>
      <c r="G446">
        <f t="shared" si="57"/>
        <v>1235</v>
      </c>
      <c r="H446">
        <f t="shared" si="58"/>
        <v>11115</v>
      </c>
      <c r="I446">
        <f>D446 * SUMIFS(CA_Feed!G:G, CA_Feed!B:B, B446, CA_Feed!E:E, "*BONUS*", CA_Feed!D:D, "&gt;="&amp;C446)</f>
        <v>0</v>
      </c>
      <c r="J446">
        <f t="shared" si="59"/>
        <v>0</v>
      </c>
      <c r="K446">
        <f t="shared" si="60"/>
        <v>0</v>
      </c>
      <c r="L446">
        <f>IF(K446&gt;0, K446 * VLOOKUP(B446, CA_Feed!B:N, 13, FALSE), 0)</f>
        <v>0</v>
      </c>
      <c r="M446">
        <f t="shared" si="55"/>
        <v>11115</v>
      </c>
      <c r="N446" s="2">
        <f t="shared" si="54"/>
        <v>0</v>
      </c>
      <c r="O446" t="str">
        <f>IF(COUNTIFS(CA_Feed!B:B, B446)=0, "No Action Announced", IF(COUNTIFS(CA_Feed!B:B, B446, CA_Feed!D:D, "&gt;="&amp;C446)&gt;0, "Processed (Eligible)", "Ineligible (Post Ex-Date)"))</f>
        <v>Processed (Eligible)</v>
      </c>
    </row>
    <row r="447" spans="1:15" x14ac:dyDescent="0.3">
      <c r="A447" t="s">
        <v>523</v>
      </c>
      <c r="B447" t="s">
        <v>49</v>
      </c>
      <c r="C447" s="5">
        <v>43978</v>
      </c>
      <c r="D447" s="2">
        <v>1500</v>
      </c>
      <c r="E447">
        <f>SUMIFS(CA_Feed!F:F, CA_Feed!B:B, B447, CA_Feed!E:E, "*DIVIDEND*", CA_Feed!D:D, "&gt;="&amp;C447)</f>
        <v>1.1000000000000001</v>
      </c>
      <c r="F447">
        <f t="shared" si="56"/>
        <v>1650.0000000000002</v>
      </c>
      <c r="G447">
        <f t="shared" si="57"/>
        <v>165.00000000000003</v>
      </c>
      <c r="H447">
        <f t="shared" si="58"/>
        <v>1485.0000000000002</v>
      </c>
      <c r="I447">
        <f>D447 * SUMIFS(CA_Feed!G:G, CA_Feed!B:B, B447, CA_Feed!E:E, "*BONUS*", CA_Feed!D:D, "&gt;="&amp;C447)</f>
        <v>0</v>
      </c>
      <c r="J447">
        <f t="shared" si="59"/>
        <v>0</v>
      </c>
      <c r="K447">
        <f t="shared" si="60"/>
        <v>0</v>
      </c>
      <c r="L447">
        <f>IF(K447&gt;0, K447 * VLOOKUP(B447, CA_Feed!B:N, 13, FALSE), 0)</f>
        <v>0</v>
      </c>
      <c r="M447">
        <f t="shared" si="55"/>
        <v>1485.0000000000002</v>
      </c>
      <c r="N447" s="2">
        <f t="shared" si="54"/>
        <v>0</v>
      </c>
      <c r="O447" t="str">
        <f>IF(COUNTIFS(CA_Feed!B:B, B447)=0, "No Action Announced", IF(COUNTIFS(CA_Feed!B:B, B447, CA_Feed!D:D, "&gt;="&amp;C447)&gt;0, "Processed (Eligible)", "Ineligible (Post Ex-Date)"))</f>
        <v>Processed (Eligible)</v>
      </c>
    </row>
    <row r="448" spans="1:15" x14ac:dyDescent="0.3">
      <c r="A448" t="s">
        <v>524</v>
      </c>
      <c r="B448" t="s">
        <v>39</v>
      </c>
      <c r="C448" s="5">
        <v>43703</v>
      </c>
      <c r="D448" s="2">
        <v>3450</v>
      </c>
      <c r="E448">
        <f>SUMIFS(CA_Feed!F:F, CA_Feed!B:B, B448, CA_Feed!E:E, "*DIVIDEND*", CA_Feed!D:D, "&gt;="&amp;C448)</f>
        <v>1.2</v>
      </c>
      <c r="F448">
        <f t="shared" si="56"/>
        <v>4140</v>
      </c>
      <c r="G448">
        <f t="shared" si="57"/>
        <v>414</v>
      </c>
      <c r="H448">
        <f t="shared" si="58"/>
        <v>3726</v>
      </c>
      <c r="I448">
        <f>D448 * SUMIFS(CA_Feed!G:G, CA_Feed!B:B, B448, CA_Feed!E:E, "*BONUS*", CA_Feed!D:D, "&gt;="&amp;C448)</f>
        <v>0</v>
      </c>
      <c r="J448">
        <f t="shared" si="59"/>
        <v>0</v>
      </c>
      <c r="K448">
        <f t="shared" si="60"/>
        <v>0</v>
      </c>
      <c r="L448">
        <f>IF(K448&gt;0, K448 * VLOOKUP(B448, CA_Feed!B:N, 13, FALSE), 0)</f>
        <v>0</v>
      </c>
      <c r="M448">
        <f t="shared" si="55"/>
        <v>3726</v>
      </c>
      <c r="N448" s="2">
        <f t="shared" si="54"/>
        <v>0</v>
      </c>
      <c r="O448" t="str">
        <f>IF(COUNTIFS(CA_Feed!B:B, B448)=0, "No Action Announced", IF(COUNTIFS(CA_Feed!B:B, B448, CA_Feed!D:D, "&gt;="&amp;C448)&gt;0, "Processed (Eligible)", "Ineligible (Post Ex-Date)"))</f>
        <v>Processed (Eligible)</v>
      </c>
    </row>
    <row r="449" spans="1:15" x14ac:dyDescent="0.3">
      <c r="A449" t="s">
        <v>525</v>
      </c>
      <c r="B449" t="s">
        <v>39</v>
      </c>
      <c r="C449" s="5">
        <v>44120</v>
      </c>
      <c r="D449" s="2">
        <v>9400</v>
      </c>
      <c r="E449">
        <f>SUMIFS(CA_Feed!F:F, CA_Feed!B:B, B449, CA_Feed!E:E, "*DIVIDEND*", CA_Feed!D:D, "&gt;="&amp;C449)</f>
        <v>1.2</v>
      </c>
      <c r="F449">
        <f t="shared" si="56"/>
        <v>11280</v>
      </c>
      <c r="G449">
        <f t="shared" si="57"/>
        <v>1128</v>
      </c>
      <c r="H449">
        <f t="shared" si="58"/>
        <v>10152</v>
      </c>
      <c r="I449">
        <f>D449 * SUMIFS(CA_Feed!G:G, CA_Feed!B:B, B449, CA_Feed!E:E, "*BONUS*", CA_Feed!D:D, "&gt;="&amp;C449)</f>
        <v>0</v>
      </c>
      <c r="J449">
        <f t="shared" si="59"/>
        <v>0</v>
      </c>
      <c r="K449">
        <f t="shared" si="60"/>
        <v>0</v>
      </c>
      <c r="L449">
        <f>IF(K449&gt;0, K449 * VLOOKUP(B449, CA_Feed!B:N, 13, FALSE), 0)</f>
        <v>0</v>
      </c>
      <c r="M449">
        <f t="shared" si="55"/>
        <v>10152</v>
      </c>
      <c r="N449" s="2">
        <f t="shared" si="54"/>
        <v>0</v>
      </c>
      <c r="O449" t="str">
        <f>IF(COUNTIFS(CA_Feed!B:B, B449)=0, "No Action Announced", IF(COUNTIFS(CA_Feed!B:B, B449, CA_Feed!D:D, "&gt;="&amp;C449)&gt;0, "Processed (Eligible)", "Ineligible (Post Ex-Date)"))</f>
        <v>Processed (Eligible)</v>
      </c>
    </row>
    <row r="450" spans="1:15" x14ac:dyDescent="0.3">
      <c r="A450" t="s">
        <v>513</v>
      </c>
      <c r="B450" t="s">
        <v>12</v>
      </c>
      <c r="C450" s="5">
        <v>44240</v>
      </c>
      <c r="D450" s="2">
        <v>550</v>
      </c>
      <c r="E450">
        <f>SUMIFS(CA_Feed!F:F, CA_Feed!B:B, B450, CA_Feed!E:E, "*DIVIDEND*", CA_Feed!D:D, "&gt;="&amp;C450)</f>
        <v>19</v>
      </c>
      <c r="F450">
        <f t="shared" si="56"/>
        <v>10450</v>
      </c>
      <c r="G450">
        <f t="shared" si="57"/>
        <v>1045</v>
      </c>
      <c r="H450">
        <f t="shared" si="58"/>
        <v>9405</v>
      </c>
      <c r="I450">
        <f>D450 * SUMIFS(CA_Feed!G:G, CA_Feed!B:B, B450, CA_Feed!E:E, "*BONUS*", CA_Feed!D:D, "&gt;="&amp;C450)</f>
        <v>0</v>
      </c>
      <c r="J450">
        <f t="shared" si="59"/>
        <v>0</v>
      </c>
      <c r="K450">
        <f t="shared" si="60"/>
        <v>0</v>
      </c>
      <c r="L450">
        <f>IF(K450&gt;0, K450 * VLOOKUP(B450, CA_Feed!B:N, 13, FALSE), 0)</f>
        <v>0</v>
      </c>
      <c r="M450">
        <f t="shared" si="55"/>
        <v>9405</v>
      </c>
      <c r="N450" s="2">
        <f t="shared" si="54"/>
        <v>0</v>
      </c>
      <c r="O450" t="str">
        <f>IF(COUNTIFS(CA_Feed!B:B, B450)=0, "No Action Announced", IF(COUNTIFS(CA_Feed!B:B, B450, CA_Feed!D:D, "&gt;="&amp;C450)&gt;0, "Processed (Eligible)", "Ineligible (Post Ex-Date)"))</f>
        <v>Processed (Eligible)</v>
      </c>
    </row>
    <row r="451" spans="1:15" x14ac:dyDescent="0.3">
      <c r="A451" t="s">
        <v>527</v>
      </c>
      <c r="B451" t="s">
        <v>19</v>
      </c>
      <c r="C451" s="5">
        <v>44551</v>
      </c>
      <c r="D451" s="2">
        <v>7850</v>
      </c>
      <c r="E451">
        <f>SUMIFS(CA_Feed!F:F, CA_Feed!B:B, B451, CA_Feed!E:E, "*DIVIDEND*", CA_Feed!D:D, "&gt;="&amp;C451)</f>
        <v>1.5</v>
      </c>
      <c r="F451">
        <f t="shared" si="56"/>
        <v>11775</v>
      </c>
      <c r="G451">
        <f t="shared" si="57"/>
        <v>1177.5</v>
      </c>
      <c r="H451">
        <f t="shared" si="58"/>
        <v>10597.5</v>
      </c>
      <c r="I451">
        <f>D451 * SUMIFS(CA_Feed!G:G, CA_Feed!B:B, B451, CA_Feed!E:E, "*BONUS*", CA_Feed!D:D, "&gt;="&amp;C451)</f>
        <v>0</v>
      </c>
      <c r="J451">
        <f t="shared" si="59"/>
        <v>0</v>
      </c>
      <c r="K451">
        <f t="shared" si="60"/>
        <v>0</v>
      </c>
      <c r="L451">
        <f>IF(K451&gt;0, K451 * VLOOKUP(B451, CA_Feed!B:N, 13, FALSE), 0)</f>
        <v>0</v>
      </c>
      <c r="M451">
        <f t="shared" si="55"/>
        <v>10597.5</v>
      </c>
      <c r="N451" s="2">
        <f t="shared" ref="N451:N514" si="61">IF(J451&gt;0,D451 +J451,0)</f>
        <v>0</v>
      </c>
      <c r="O451" t="str">
        <f>IF(COUNTIFS(CA_Feed!B:B, B451)=0, "No Action Announced", IF(COUNTIFS(CA_Feed!B:B, B451, CA_Feed!D:D, "&gt;="&amp;C451)&gt;0, "Processed (Eligible)", "Ineligible (Post Ex-Date)"))</f>
        <v>Processed (Eligible)</v>
      </c>
    </row>
    <row r="452" spans="1:15" x14ac:dyDescent="0.3">
      <c r="A452" t="s">
        <v>528</v>
      </c>
      <c r="B452" t="s">
        <v>37</v>
      </c>
      <c r="C452" s="5">
        <v>43009</v>
      </c>
      <c r="D452" s="2">
        <v>5600</v>
      </c>
      <c r="E452">
        <f>SUMIFS(CA_Feed!F:F, CA_Feed!B:B, B452, CA_Feed!E:E, "*DIVIDEND*", CA_Feed!D:D, "&gt;="&amp;C452)</f>
        <v>6.5</v>
      </c>
      <c r="F452">
        <f t="shared" si="56"/>
        <v>36400</v>
      </c>
      <c r="G452">
        <f t="shared" si="57"/>
        <v>3640</v>
      </c>
      <c r="H452">
        <f t="shared" si="58"/>
        <v>32760</v>
      </c>
      <c r="I452">
        <f>D452 * SUMIFS(CA_Feed!G:G, CA_Feed!B:B, B452, CA_Feed!E:E, "*BONUS*", CA_Feed!D:D, "&gt;="&amp;C452)</f>
        <v>0</v>
      </c>
      <c r="J452">
        <f t="shared" si="59"/>
        <v>0</v>
      </c>
      <c r="K452">
        <f t="shared" si="60"/>
        <v>0</v>
      </c>
      <c r="L452">
        <f>IF(K452&gt;0, K452 * VLOOKUP(B452, CA_Feed!B:N, 13, FALSE), 0)</f>
        <v>0</v>
      </c>
      <c r="M452">
        <f t="shared" si="55"/>
        <v>32760</v>
      </c>
      <c r="N452" s="2">
        <f t="shared" si="61"/>
        <v>0</v>
      </c>
      <c r="O452" t="str">
        <f>IF(COUNTIFS(CA_Feed!B:B, B452)=0, "No Action Announced", IF(COUNTIFS(CA_Feed!B:B, B452, CA_Feed!D:D, "&gt;="&amp;C452)&gt;0, "Processed (Eligible)", "Ineligible (Post Ex-Date)"))</f>
        <v>Processed (Eligible)</v>
      </c>
    </row>
    <row r="453" spans="1:15" x14ac:dyDescent="0.3">
      <c r="A453" t="s">
        <v>640</v>
      </c>
      <c r="B453" t="s">
        <v>12</v>
      </c>
      <c r="C453" s="5">
        <v>46234</v>
      </c>
      <c r="D453" s="2">
        <v>550</v>
      </c>
      <c r="E453">
        <f>SUMIFS(CA_Feed!F:F, CA_Feed!B:B, B453, CA_Feed!E:E, "*DIVIDEND*", CA_Feed!D:D, "&gt;="&amp;C453)</f>
        <v>0</v>
      </c>
      <c r="F453">
        <f t="shared" si="56"/>
        <v>0</v>
      </c>
      <c r="G453">
        <f t="shared" si="57"/>
        <v>0</v>
      </c>
      <c r="H453">
        <f t="shared" si="58"/>
        <v>0</v>
      </c>
      <c r="I453">
        <f>D453 * SUMIFS(CA_Feed!G:G, CA_Feed!B:B, B453, CA_Feed!E:E, "*BONUS*", CA_Feed!D:D, "&gt;="&amp;C453)</f>
        <v>0</v>
      </c>
      <c r="J453">
        <f t="shared" si="59"/>
        <v>0</v>
      </c>
      <c r="K453">
        <f t="shared" si="60"/>
        <v>0</v>
      </c>
      <c r="L453">
        <f>IF(K453&gt;0, K453 * VLOOKUP(B453, CA_Feed!B:N, 13, FALSE), 0)</f>
        <v>0</v>
      </c>
      <c r="M453">
        <f t="shared" si="55"/>
        <v>0</v>
      </c>
      <c r="N453" s="2">
        <f t="shared" si="61"/>
        <v>0</v>
      </c>
      <c r="O453" t="str">
        <f>IF(COUNTIFS(CA_Feed!B:B, B453)=0, "No Action Announced", IF(COUNTIFS(CA_Feed!B:B, B453, CA_Feed!D:D, "&gt;="&amp;C453)&gt;0, "Processed (Eligible)", "Ineligible (Post Ex-Date)"))</f>
        <v>Ineligible (Post Ex-Date)</v>
      </c>
    </row>
    <row r="454" spans="1:15" x14ac:dyDescent="0.3">
      <c r="A454" t="s">
        <v>530</v>
      </c>
      <c r="B454" t="s">
        <v>43</v>
      </c>
      <c r="C454" s="5">
        <v>45089</v>
      </c>
      <c r="D454" s="2">
        <v>5150</v>
      </c>
      <c r="E454">
        <f>SUMIFS(CA_Feed!F:F, CA_Feed!B:B, B454, CA_Feed!E:E, "*DIVIDEND*", CA_Feed!D:D, "&gt;="&amp;C454)</f>
        <v>1.35</v>
      </c>
      <c r="F454">
        <f t="shared" si="56"/>
        <v>6952.5000000000009</v>
      </c>
      <c r="G454">
        <f t="shared" si="57"/>
        <v>695.25000000000011</v>
      </c>
      <c r="H454">
        <f t="shared" si="58"/>
        <v>6257.2500000000009</v>
      </c>
      <c r="I454">
        <f>D454 * SUMIFS(CA_Feed!G:G, CA_Feed!B:B, B454, CA_Feed!E:E, "*BONUS*", CA_Feed!D:D, "&gt;="&amp;C454)</f>
        <v>0</v>
      </c>
      <c r="J454">
        <f t="shared" si="59"/>
        <v>0</v>
      </c>
      <c r="K454">
        <f t="shared" si="60"/>
        <v>0</v>
      </c>
      <c r="L454">
        <f>IF(K454&gt;0, K454 * VLOOKUP(B454, CA_Feed!B:N, 13, FALSE), 0)</f>
        <v>0</v>
      </c>
      <c r="M454">
        <f t="shared" ref="M454:M496" si="62">H454 + L454</f>
        <v>6257.2500000000009</v>
      </c>
      <c r="N454" s="2">
        <f t="shared" si="61"/>
        <v>0</v>
      </c>
      <c r="O454" t="str">
        <f>IF(COUNTIFS(CA_Feed!B:B, B454)=0, "No Action Announced", IF(COUNTIFS(CA_Feed!B:B, B454, CA_Feed!D:D, "&gt;="&amp;C454)&gt;0, "Processed (Eligible)", "Ineligible (Post Ex-Date)"))</f>
        <v>Processed (Eligible)</v>
      </c>
    </row>
    <row r="455" spans="1:15" x14ac:dyDescent="0.3">
      <c r="A455" t="s">
        <v>175</v>
      </c>
      <c r="B455" t="s">
        <v>12</v>
      </c>
      <c r="C455" s="5">
        <v>44046</v>
      </c>
      <c r="D455" s="2">
        <v>500</v>
      </c>
      <c r="E455">
        <f>SUMIFS(CA_Feed!F:F, CA_Feed!B:B, B455, CA_Feed!E:E, "*DIVIDEND*", CA_Feed!D:D, "&gt;="&amp;C455)</f>
        <v>19</v>
      </c>
      <c r="F455">
        <f t="shared" ref="F455:F497" si="63">D455 * E455</f>
        <v>9500</v>
      </c>
      <c r="G455">
        <f t="shared" ref="G455:G497" si="64">F455 * 0.1</f>
        <v>950</v>
      </c>
      <c r="H455">
        <f t="shared" ref="H455:H497" si="65">F455 - G455</f>
        <v>8550</v>
      </c>
      <c r="I455">
        <f>D455 * SUMIFS(CA_Feed!G:G, CA_Feed!B:B, B455, CA_Feed!E:E, "*BONUS*", CA_Feed!D:D, "&gt;="&amp;C455)</f>
        <v>0</v>
      </c>
      <c r="J455">
        <f t="shared" ref="J455:J497" si="66">INT(I455)</f>
        <v>0</v>
      </c>
      <c r="K455">
        <f t="shared" ref="K455:K497" si="67">I455-J455</f>
        <v>0</v>
      </c>
      <c r="L455">
        <f>IF(K455&gt;0, K455 * VLOOKUP(B455, CA_Feed!B:N, 13, FALSE), 0)</f>
        <v>0</v>
      </c>
      <c r="M455">
        <f t="shared" si="62"/>
        <v>8550</v>
      </c>
      <c r="N455" s="2">
        <f t="shared" si="61"/>
        <v>0</v>
      </c>
      <c r="O455" t="str">
        <f>IF(COUNTIFS(CA_Feed!B:B, B455)=0, "No Action Announced", IF(COUNTIFS(CA_Feed!B:B, B455, CA_Feed!D:D, "&gt;="&amp;C455)&gt;0, "Processed (Eligible)", "Ineligible (Post Ex-Date)"))</f>
        <v>Processed (Eligible)</v>
      </c>
    </row>
    <row r="456" spans="1:15" x14ac:dyDescent="0.3">
      <c r="A456" t="s">
        <v>532</v>
      </c>
      <c r="B456" t="s">
        <v>25</v>
      </c>
      <c r="C456" s="5">
        <v>42530</v>
      </c>
      <c r="D456" s="2">
        <v>8300</v>
      </c>
      <c r="E456">
        <f>SUMIFS(CA_Feed!F:F, CA_Feed!B:B, B456, CA_Feed!E:E, "*DIVIDEND*", CA_Feed!D:D, "&gt;="&amp;C456)</f>
        <v>2.5</v>
      </c>
      <c r="F456">
        <f t="shared" si="63"/>
        <v>20750</v>
      </c>
      <c r="G456">
        <f t="shared" si="64"/>
        <v>2075</v>
      </c>
      <c r="H456">
        <f t="shared" si="65"/>
        <v>18675</v>
      </c>
      <c r="I456">
        <f>D456 * SUMIFS(CA_Feed!G:G, CA_Feed!B:B, B456, CA_Feed!E:E, "*BONUS*", CA_Feed!D:D, "&gt;="&amp;C456)</f>
        <v>0</v>
      </c>
      <c r="J456">
        <f t="shared" si="66"/>
        <v>0</v>
      </c>
      <c r="K456">
        <f t="shared" si="67"/>
        <v>0</v>
      </c>
      <c r="L456">
        <f>IF(K456&gt;0, K456 * VLOOKUP(B456, CA_Feed!B:N, 13, FALSE), 0)</f>
        <v>0</v>
      </c>
      <c r="M456">
        <f t="shared" si="62"/>
        <v>18675</v>
      </c>
      <c r="N456" s="2">
        <f t="shared" si="61"/>
        <v>0</v>
      </c>
      <c r="O456" t="str">
        <f>IF(COUNTIFS(CA_Feed!B:B, B456)=0, "No Action Announced", IF(COUNTIFS(CA_Feed!B:B, B456, CA_Feed!D:D, "&gt;="&amp;C456)&gt;0, "Processed (Eligible)", "Ineligible (Post Ex-Date)"))</f>
        <v>Processed (Eligible)</v>
      </c>
    </row>
    <row r="457" spans="1:15" x14ac:dyDescent="0.3">
      <c r="A457" t="s">
        <v>533</v>
      </c>
      <c r="B457" t="s">
        <v>23</v>
      </c>
      <c r="C457" s="5">
        <v>42222</v>
      </c>
      <c r="D457" s="2">
        <v>8100</v>
      </c>
      <c r="E457">
        <f>SUMIFS(CA_Feed!F:F, CA_Feed!B:B, B457, CA_Feed!E:E, "*DIVIDEND*", CA_Feed!D:D, "&gt;="&amp;C457)</f>
        <v>1.5000000000000002</v>
      </c>
      <c r="F457">
        <f t="shared" si="63"/>
        <v>12150.000000000002</v>
      </c>
      <c r="G457">
        <f t="shared" si="64"/>
        <v>1215.0000000000002</v>
      </c>
      <c r="H457">
        <f t="shared" si="65"/>
        <v>10935.000000000002</v>
      </c>
      <c r="I457">
        <f>D457 * SUMIFS(CA_Feed!G:G, CA_Feed!B:B, B457, CA_Feed!E:E, "*BONUS*", CA_Feed!D:D, "&gt;="&amp;C457)</f>
        <v>0</v>
      </c>
      <c r="J457">
        <f t="shared" si="66"/>
        <v>0</v>
      </c>
      <c r="K457">
        <f t="shared" si="67"/>
        <v>0</v>
      </c>
      <c r="L457">
        <f>IF(K457&gt;0, K457 * VLOOKUP(B457, CA_Feed!B:N, 13, FALSE), 0)</f>
        <v>0</v>
      </c>
      <c r="M457">
        <f t="shared" si="62"/>
        <v>10935.000000000002</v>
      </c>
      <c r="N457" s="2">
        <f t="shared" si="61"/>
        <v>0</v>
      </c>
      <c r="O457" t="str">
        <f>IF(COUNTIFS(CA_Feed!B:B, B457)=0, "No Action Announced", IF(COUNTIFS(CA_Feed!B:B, B457, CA_Feed!D:D, "&gt;="&amp;C457)&gt;0, "Processed (Eligible)", "Ineligible (Post Ex-Date)"))</f>
        <v>Processed (Eligible)</v>
      </c>
    </row>
    <row r="458" spans="1:15" x14ac:dyDescent="0.3">
      <c r="A458" t="s">
        <v>791</v>
      </c>
      <c r="B458" t="s">
        <v>12</v>
      </c>
      <c r="C458" s="5">
        <v>44295</v>
      </c>
      <c r="D458" s="2">
        <v>400</v>
      </c>
      <c r="E458">
        <f>SUMIFS(CA_Feed!F:F, CA_Feed!B:B, B458, CA_Feed!E:E, "*DIVIDEND*", CA_Feed!D:D, "&gt;="&amp;C458)</f>
        <v>19</v>
      </c>
      <c r="F458">
        <f t="shared" si="63"/>
        <v>7600</v>
      </c>
      <c r="G458">
        <f t="shared" si="64"/>
        <v>760</v>
      </c>
      <c r="H458">
        <f t="shared" si="65"/>
        <v>6840</v>
      </c>
      <c r="I458">
        <f>D458 * SUMIFS(CA_Feed!G:G, CA_Feed!B:B, B458, CA_Feed!E:E, "*BONUS*", CA_Feed!D:D, "&gt;="&amp;C458)</f>
        <v>0</v>
      </c>
      <c r="J458">
        <f t="shared" si="66"/>
        <v>0</v>
      </c>
      <c r="K458">
        <f t="shared" si="67"/>
        <v>0</v>
      </c>
      <c r="L458">
        <f>IF(K458&gt;0, K458 * VLOOKUP(B458, CA_Feed!B:N, 13, FALSE), 0)</f>
        <v>0</v>
      </c>
      <c r="M458">
        <f t="shared" si="62"/>
        <v>6840</v>
      </c>
      <c r="N458" s="2">
        <f t="shared" si="61"/>
        <v>0</v>
      </c>
      <c r="O458" t="str">
        <f>IF(COUNTIFS(CA_Feed!B:B, B458)=0, "No Action Announced", IF(COUNTIFS(CA_Feed!B:B, B458, CA_Feed!D:D, "&gt;="&amp;C458)&gt;0, "Processed (Eligible)", "Ineligible (Post Ex-Date)"))</f>
        <v>Processed (Eligible)</v>
      </c>
    </row>
    <row r="459" spans="1:15" x14ac:dyDescent="0.3">
      <c r="A459" t="s">
        <v>632</v>
      </c>
      <c r="B459" t="s">
        <v>12</v>
      </c>
      <c r="C459" s="5">
        <v>42879</v>
      </c>
      <c r="D459" s="2">
        <v>400</v>
      </c>
      <c r="E459">
        <f>SUMIFS(CA_Feed!F:F, CA_Feed!B:B, B459, CA_Feed!E:E, "*DIVIDEND*", CA_Feed!D:D, "&gt;="&amp;C459)</f>
        <v>19</v>
      </c>
      <c r="F459">
        <f t="shared" si="63"/>
        <v>7600</v>
      </c>
      <c r="G459">
        <f t="shared" si="64"/>
        <v>760</v>
      </c>
      <c r="H459">
        <f t="shared" si="65"/>
        <v>6840</v>
      </c>
      <c r="I459">
        <f>D459 * SUMIFS(CA_Feed!G:G, CA_Feed!B:B, B459, CA_Feed!E:E, "*BONUS*", CA_Feed!D:D, "&gt;="&amp;C459)</f>
        <v>0</v>
      </c>
      <c r="J459">
        <f t="shared" si="66"/>
        <v>0</v>
      </c>
      <c r="K459">
        <f t="shared" si="67"/>
        <v>0</v>
      </c>
      <c r="L459">
        <f>IF(K459&gt;0, K459 * VLOOKUP(B459, CA_Feed!B:N, 13, FALSE), 0)</f>
        <v>0</v>
      </c>
      <c r="M459">
        <f t="shared" si="62"/>
        <v>6840</v>
      </c>
      <c r="N459" s="2">
        <f t="shared" si="61"/>
        <v>0</v>
      </c>
      <c r="O459" t="str">
        <f>IF(COUNTIFS(CA_Feed!B:B, B459)=0, "No Action Announced", IF(COUNTIFS(CA_Feed!B:B, B459, CA_Feed!D:D, "&gt;="&amp;C459)&gt;0, "Processed (Eligible)", "Ineligible (Post Ex-Date)"))</f>
        <v>Processed (Eligible)</v>
      </c>
    </row>
    <row r="460" spans="1:15" x14ac:dyDescent="0.3">
      <c r="A460" t="s">
        <v>438</v>
      </c>
      <c r="B460" t="s">
        <v>12</v>
      </c>
      <c r="C460" s="5">
        <v>42850</v>
      </c>
      <c r="D460" s="2">
        <v>400</v>
      </c>
      <c r="E460">
        <f>SUMIFS(CA_Feed!F:F, CA_Feed!B:B, B460, CA_Feed!E:E, "*DIVIDEND*", CA_Feed!D:D, "&gt;="&amp;C460)</f>
        <v>19</v>
      </c>
      <c r="F460">
        <f t="shared" si="63"/>
        <v>7600</v>
      </c>
      <c r="G460">
        <f t="shared" si="64"/>
        <v>760</v>
      </c>
      <c r="H460">
        <f t="shared" si="65"/>
        <v>6840</v>
      </c>
      <c r="I460">
        <f>D460 * SUMIFS(CA_Feed!G:G, CA_Feed!B:B, B460, CA_Feed!E:E, "*BONUS*", CA_Feed!D:D, "&gt;="&amp;C460)</f>
        <v>0</v>
      </c>
      <c r="J460">
        <f t="shared" si="66"/>
        <v>0</v>
      </c>
      <c r="K460">
        <f t="shared" si="67"/>
        <v>0</v>
      </c>
      <c r="L460">
        <f>IF(K460&gt;0, K460 * VLOOKUP(B460, CA_Feed!B:N, 13, FALSE), 0)</f>
        <v>0</v>
      </c>
      <c r="M460">
        <f t="shared" si="62"/>
        <v>6840</v>
      </c>
      <c r="N460" s="2">
        <f t="shared" si="61"/>
        <v>0</v>
      </c>
      <c r="O460" t="str">
        <f>IF(COUNTIFS(CA_Feed!B:B, B460)=0, "No Action Announced", IF(COUNTIFS(CA_Feed!B:B, B460, CA_Feed!D:D, "&gt;="&amp;C460)&gt;0, "Processed (Eligible)", "Ineligible (Post Ex-Date)"))</f>
        <v>Processed (Eligible)</v>
      </c>
    </row>
    <row r="461" spans="1:15" x14ac:dyDescent="0.3">
      <c r="A461" t="s">
        <v>537</v>
      </c>
      <c r="B461" t="s">
        <v>57</v>
      </c>
      <c r="C461" s="5">
        <v>42226</v>
      </c>
      <c r="D461" s="2">
        <v>4900</v>
      </c>
      <c r="E461">
        <f>SUMIFS(CA_Feed!F:F, CA_Feed!B:B, B461, CA_Feed!E:E, "*DIVIDEND*", CA_Feed!D:D, "&gt;="&amp;C461)</f>
        <v>0.02</v>
      </c>
      <c r="F461">
        <f t="shared" si="63"/>
        <v>98</v>
      </c>
      <c r="G461">
        <f t="shared" si="64"/>
        <v>9.8000000000000007</v>
      </c>
      <c r="H461">
        <f t="shared" si="65"/>
        <v>88.2</v>
      </c>
      <c r="I461">
        <f>D461 * SUMIFS(CA_Feed!G:G, CA_Feed!B:B, B461, CA_Feed!E:E, "*BONUS*", CA_Feed!D:D, "&gt;="&amp;C461)</f>
        <v>0</v>
      </c>
      <c r="J461">
        <f t="shared" si="66"/>
        <v>0</v>
      </c>
      <c r="K461">
        <f t="shared" si="67"/>
        <v>0</v>
      </c>
      <c r="L461">
        <f>IF(K461&gt;0, K461 * VLOOKUP(B461, CA_Feed!B:N, 13, FALSE), 0)</f>
        <v>0</v>
      </c>
      <c r="M461">
        <f t="shared" si="62"/>
        <v>88.2</v>
      </c>
      <c r="N461" s="2">
        <f t="shared" si="61"/>
        <v>0</v>
      </c>
      <c r="O461" t="str">
        <f>IF(COUNTIFS(CA_Feed!B:B, B461)=0, "No Action Announced", IF(COUNTIFS(CA_Feed!B:B, B461, CA_Feed!D:D, "&gt;="&amp;C461)&gt;0, "Processed (Eligible)", "Ineligible (Post Ex-Date)"))</f>
        <v>Processed (Eligible)</v>
      </c>
    </row>
    <row r="462" spans="1:15" x14ac:dyDescent="0.3">
      <c r="A462" t="s">
        <v>538</v>
      </c>
      <c r="B462" t="s">
        <v>16</v>
      </c>
      <c r="C462" s="5">
        <v>43262</v>
      </c>
      <c r="D462" s="2">
        <v>2400</v>
      </c>
      <c r="E462">
        <f>SUMIFS(CA_Feed!F:F, CA_Feed!B:B, B462, CA_Feed!E:E, "*DIVIDEND*", CA_Feed!D:D, "&gt;="&amp;C462)</f>
        <v>3.75</v>
      </c>
      <c r="F462">
        <f t="shared" si="63"/>
        <v>9000</v>
      </c>
      <c r="G462">
        <f t="shared" si="64"/>
        <v>900</v>
      </c>
      <c r="H462">
        <f t="shared" si="65"/>
        <v>8100</v>
      </c>
      <c r="I462">
        <f>D462 * SUMIFS(CA_Feed!G:G, CA_Feed!B:B, B462, CA_Feed!E:E, "*BONUS*", CA_Feed!D:D, "&gt;="&amp;C462)</f>
        <v>0</v>
      </c>
      <c r="J462">
        <f t="shared" si="66"/>
        <v>0</v>
      </c>
      <c r="K462">
        <f t="shared" si="67"/>
        <v>0</v>
      </c>
      <c r="L462">
        <f>IF(K462&gt;0, K462 * VLOOKUP(B462, CA_Feed!B:N, 13, FALSE), 0)</f>
        <v>0</v>
      </c>
      <c r="M462">
        <f t="shared" si="62"/>
        <v>8100</v>
      </c>
      <c r="N462" s="2">
        <f t="shared" si="61"/>
        <v>0</v>
      </c>
      <c r="O462" t="str">
        <f>IF(COUNTIFS(CA_Feed!B:B, B462)=0, "No Action Announced", IF(COUNTIFS(CA_Feed!B:B, B462, CA_Feed!D:D, "&gt;="&amp;C462)&gt;0, "Processed (Eligible)", "Ineligible (Post Ex-Date)"))</f>
        <v>Processed (Eligible)</v>
      </c>
    </row>
    <row r="463" spans="1:15" x14ac:dyDescent="0.3">
      <c r="A463" t="s">
        <v>539</v>
      </c>
      <c r="B463" t="s">
        <v>27</v>
      </c>
      <c r="C463" s="5">
        <v>45621</v>
      </c>
      <c r="D463" s="2">
        <v>9450</v>
      </c>
      <c r="E463">
        <f>SUMIFS(CA_Feed!F:F, CA_Feed!B:B, B463, CA_Feed!E:E, "*DIVIDEND*", CA_Feed!D:D, "&gt;="&amp;C463)</f>
        <v>3.25</v>
      </c>
      <c r="F463">
        <f t="shared" si="63"/>
        <v>30712.5</v>
      </c>
      <c r="G463">
        <f t="shared" si="64"/>
        <v>3071.25</v>
      </c>
      <c r="H463">
        <f t="shared" si="65"/>
        <v>27641.25</v>
      </c>
      <c r="I463">
        <f>D463 * SUMIFS(CA_Feed!G:G, CA_Feed!B:B, B463, CA_Feed!E:E, "*BONUS*", CA_Feed!D:D, "&gt;="&amp;C463)</f>
        <v>0</v>
      </c>
      <c r="J463">
        <f t="shared" si="66"/>
        <v>0</v>
      </c>
      <c r="K463">
        <f t="shared" si="67"/>
        <v>0</v>
      </c>
      <c r="L463">
        <f>IF(K463&gt;0, K463 * VLOOKUP(B463, CA_Feed!B:N, 13, FALSE), 0)</f>
        <v>0</v>
      </c>
      <c r="M463">
        <f t="shared" si="62"/>
        <v>27641.25</v>
      </c>
      <c r="N463" s="2">
        <f t="shared" si="61"/>
        <v>0</v>
      </c>
      <c r="O463" t="str">
        <f>IF(COUNTIFS(CA_Feed!B:B, B463)=0, "No Action Announced", IF(COUNTIFS(CA_Feed!B:B, B463, CA_Feed!D:D, "&gt;="&amp;C463)&gt;0, "Processed (Eligible)", "Ineligible (Post Ex-Date)"))</f>
        <v>Processed (Eligible)</v>
      </c>
    </row>
    <row r="464" spans="1:15" x14ac:dyDescent="0.3">
      <c r="A464" t="s">
        <v>540</v>
      </c>
      <c r="B464" t="s">
        <v>19</v>
      </c>
      <c r="C464" s="5">
        <v>42446</v>
      </c>
      <c r="D464" s="2">
        <v>9000</v>
      </c>
      <c r="E464">
        <f>SUMIFS(CA_Feed!F:F, CA_Feed!B:B, B464, CA_Feed!E:E, "*DIVIDEND*", CA_Feed!D:D, "&gt;="&amp;C464)</f>
        <v>1.5</v>
      </c>
      <c r="F464">
        <f t="shared" si="63"/>
        <v>13500</v>
      </c>
      <c r="G464">
        <f t="shared" si="64"/>
        <v>1350</v>
      </c>
      <c r="H464">
        <f t="shared" si="65"/>
        <v>12150</v>
      </c>
      <c r="I464">
        <f>D464 * SUMIFS(CA_Feed!G:G, CA_Feed!B:B, B464, CA_Feed!E:E, "*BONUS*", CA_Feed!D:D, "&gt;="&amp;C464)</f>
        <v>0</v>
      </c>
      <c r="J464">
        <f t="shared" si="66"/>
        <v>0</v>
      </c>
      <c r="K464">
        <f t="shared" si="67"/>
        <v>0</v>
      </c>
      <c r="L464">
        <f>IF(K464&gt;0, K464 * VLOOKUP(B464, CA_Feed!B:N, 13, FALSE), 0)</f>
        <v>0</v>
      </c>
      <c r="M464">
        <f t="shared" si="62"/>
        <v>12150</v>
      </c>
      <c r="N464" s="2">
        <f t="shared" si="61"/>
        <v>0</v>
      </c>
      <c r="O464" t="str">
        <f>IF(COUNTIFS(CA_Feed!B:B, B464)=0, "No Action Announced", IF(COUNTIFS(CA_Feed!B:B, B464, CA_Feed!D:D, "&gt;="&amp;C464)&gt;0, "Processed (Eligible)", "Ineligible (Post Ex-Date)"))</f>
        <v>Processed (Eligible)</v>
      </c>
    </row>
    <row r="465" spans="1:15" x14ac:dyDescent="0.3">
      <c r="A465" t="s">
        <v>541</v>
      </c>
      <c r="B465" t="s">
        <v>35</v>
      </c>
      <c r="C465" s="5">
        <v>45636</v>
      </c>
      <c r="D465" s="2">
        <v>6500</v>
      </c>
      <c r="E465">
        <f>SUMIFS(CA_Feed!F:F, CA_Feed!B:B, B465, CA_Feed!E:E, "*DIVIDEND*", CA_Feed!D:D, "&gt;="&amp;C465)</f>
        <v>0.5</v>
      </c>
      <c r="F465">
        <f t="shared" si="63"/>
        <v>3250</v>
      </c>
      <c r="G465">
        <f t="shared" si="64"/>
        <v>325</v>
      </c>
      <c r="H465">
        <f t="shared" si="65"/>
        <v>2925</v>
      </c>
      <c r="I465">
        <f>D465 * SUMIFS(CA_Feed!G:G, CA_Feed!B:B, B465, CA_Feed!E:E, "*BONUS*", CA_Feed!D:D, "&gt;="&amp;C465)</f>
        <v>0</v>
      </c>
      <c r="J465">
        <f t="shared" si="66"/>
        <v>0</v>
      </c>
      <c r="K465">
        <f t="shared" si="67"/>
        <v>0</v>
      </c>
      <c r="L465">
        <f>IF(K465&gt;0, K465 * VLOOKUP(B465, CA_Feed!B:N, 13, FALSE), 0)</f>
        <v>0</v>
      </c>
      <c r="M465">
        <f t="shared" si="62"/>
        <v>2925</v>
      </c>
      <c r="N465" s="2">
        <f t="shared" si="61"/>
        <v>0</v>
      </c>
      <c r="O465" t="str">
        <f>IF(COUNTIFS(CA_Feed!B:B, B465)=0, "No Action Announced", IF(COUNTIFS(CA_Feed!B:B, B465, CA_Feed!D:D, "&gt;="&amp;C465)&gt;0, "Processed (Eligible)", "Ineligible (Post Ex-Date)"))</f>
        <v>Processed (Eligible)</v>
      </c>
    </row>
    <row r="466" spans="1:15" x14ac:dyDescent="0.3">
      <c r="A466" t="s">
        <v>542</v>
      </c>
      <c r="B466" t="s">
        <v>25</v>
      </c>
      <c r="C466" s="5">
        <v>42576</v>
      </c>
      <c r="D466" s="2">
        <v>6400</v>
      </c>
      <c r="E466">
        <f>SUMIFS(CA_Feed!F:F, CA_Feed!B:B, B466, CA_Feed!E:E, "*DIVIDEND*", CA_Feed!D:D, "&gt;="&amp;C466)</f>
        <v>2.5</v>
      </c>
      <c r="F466">
        <f t="shared" si="63"/>
        <v>16000</v>
      </c>
      <c r="G466">
        <f t="shared" si="64"/>
        <v>1600</v>
      </c>
      <c r="H466">
        <f t="shared" si="65"/>
        <v>14400</v>
      </c>
      <c r="I466">
        <f>D466 * SUMIFS(CA_Feed!G:G, CA_Feed!B:B, B466, CA_Feed!E:E, "*BONUS*", CA_Feed!D:D, "&gt;="&amp;C466)</f>
        <v>0</v>
      </c>
      <c r="J466">
        <f t="shared" si="66"/>
        <v>0</v>
      </c>
      <c r="K466">
        <f t="shared" si="67"/>
        <v>0</v>
      </c>
      <c r="L466">
        <f>IF(K466&gt;0, K466 * VLOOKUP(B466, CA_Feed!B:N, 13, FALSE), 0)</f>
        <v>0</v>
      </c>
      <c r="M466">
        <f t="shared" si="62"/>
        <v>14400</v>
      </c>
      <c r="N466" s="2">
        <f t="shared" si="61"/>
        <v>0</v>
      </c>
      <c r="O466" t="str">
        <f>IF(COUNTIFS(CA_Feed!B:B, B466)=0, "No Action Announced", IF(COUNTIFS(CA_Feed!B:B, B466, CA_Feed!D:D, "&gt;="&amp;C466)&gt;0, "Processed (Eligible)", "Ineligible (Post Ex-Date)"))</f>
        <v>Processed (Eligible)</v>
      </c>
    </row>
    <row r="467" spans="1:15" x14ac:dyDescent="0.3">
      <c r="A467" t="s">
        <v>543</v>
      </c>
      <c r="B467" t="s">
        <v>23</v>
      </c>
      <c r="C467" s="5">
        <v>42660</v>
      </c>
      <c r="D467" s="2">
        <v>5300</v>
      </c>
      <c r="E467">
        <f>SUMIFS(CA_Feed!F:F, CA_Feed!B:B, B467, CA_Feed!E:E, "*DIVIDEND*", CA_Feed!D:D, "&gt;="&amp;C467)</f>
        <v>1.5000000000000002</v>
      </c>
      <c r="F467">
        <f t="shared" si="63"/>
        <v>7950.0000000000009</v>
      </c>
      <c r="G467">
        <f t="shared" si="64"/>
        <v>795.00000000000011</v>
      </c>
      <c r="H467">
        <f t="shared" si="65"/>
        <v>7155.0000000000009</v>
      </c>
      <c r="I467">
        <f>D467 * SUMIFS(CA_Feed!G:G, CA_Feed!B:B, B467, CA_Feed!E:E, "*BONUS*", CA_Feed!D:D, "&gt;="&amp;C467)</f>
        <v>0</v>
      </c>
      <c r="J467">
        <f t="shared" si="66"/>
        <v>0</v>
      </c>
      <c r="K467">
        <f t="shared" si="67"/>
        <v>0</v>
      </c>
      <c r="L467">
        <f>IF(K467&gt;0, K467 * VLOOKUP(B467, CA_Feed!B:N, 13, FALSE), 0)</f>
        <v>0</v>
      </c>
      <c r="M467">
        <f t="shared" si="62"/>
        <v>7155.0000000000009</v>
      </c>
      <c r="N467" s="2">
        <f t="shared" si="61"/>
        <v>0</v>
      </c>
      <c r="O467" t="str">
        <f>IF(COUNTIFS(CA_Feed!B:B, B467)=0, "No Action Announced", IF(COUNTIFS(CA_Feed!B:B, B467, CA_Feed!D:D, "&gt;="&amp;C467)&gt;0, "Processed (Eligible)", "Ineligible (Post Ex-Date)"))</f>
        <v>Processed (Eligible)</v>
      </c>
    </row>
    <row r="468" spans="1:15" x14ac:dyDescent="0.3">
      <c r="A468" t="s">
        <v>544</v>
      </c>
      <c r="B468" t="s">
        <v>53</v>
      </c>
      <c r="C468" s="5">
        <v>44157</v>
      </c>
      <c r="D468" s="2">
        <v>5800</v>
      </c>
      <c r="E468">
        <f>SUMIFS(CA_Feed!F:F, CA_Feed!B:B, B468, CA_Feed!E:E, "*DIVIDEND*", CA_Feed!D:D, "&gt;="&amp;C468)</f>
        <v>7.0000000000000007E-2</v>
      </c>
      <c r="F468">
        <f t="shared" si="63"/>
        <v>406.00000000000006</v>
      </c>
      <c r="G468">
        <f t="shared" si="64"/>
        <v>40.600000000000009</v>
      </c>
      <c r="H468">
        <f t="shared" si="65"/>
        <v>365.40000000000003</v>
      </c>
      <c r="I468">
        <f>D468 * SUMIFS(CA_Feed!G:G, CA_Feed!B:B, B468, CA_Feed!E:E, "*BONUS*", CA_Feed!D:D, "&gt;="&amp;C468)</f>
        <v>0</v>
      </c>
      <c r="J468">
        <f t="shared" si="66"/>
        <v>0</v>
      </c>
      <c r="K468">
        <f t="shared" si="67"/>
        <v>0</v>
      </c>
      <c r="L468">
        <f>IF(K468&gt;0, K468 * VLOOKUP(B468, CA_Feed!B:N, 13, FALSE), 0)</f>
        <v>0</v>
      </c>
      <c r="M468">
        <f t="shared" si="62"/>
        <v>365.40000000000003</v>
      </c>
      <c r="N468" s="2">
        <f t="shared" si="61"/>
        <v>0</v>
      </c>
      <c r="O468" t="str">
        <f>IF(COUNTIFS(CA_Feed!B:B, B468)=0, "No Action Announced", IF(COUNTIFS(CA_Feed!B:B, B468, CA_Feed!D:D, "&gt;="&amp;C468)&gt;0, "Processed (Eligible)", "Ineligible (Post Ex-Date)"))</f>
        <v>Processed (Eligible)</v>
      </c>
    </row>
    <row r="469" spans="1:15" x14ac:dyDescent="0.3">
      <c r="A469" t="s">
        <v>204</v>
      </c>
      <c r="B469" t="s">
        <v>12</v>
      </c>
      <c r="C469" s="5">
        <v>45500</v>
      </c>
      <c r="D469" s="2">
        <v>200</v>
      </c>
      <c r="E469">
        <f>SUMIFS(CA_Feed!F:F, CA_Feed!B:B, B469, CA_Feed!E:E, "*DIVIDEND*", CA_Feed!D:D, "&gt;="&amp;C469)</f>
        <v>19</v>
      </c>
      <c r="F469">
        <f t="shared" si="63"/>
        <v>3800</v>
      </c>
      <c r="G469">
        <f t="shared" si="64"/>
        <v>380</v>
      </c>
      <c r="H469">
        <f t="shared" si="65"/>
        <v>3420</v>
      </c>
      <c r="I469">
        <f>D469 * SUMIFS(CA_Feed!G:G, CA_Feed!B:B, B469, CA_Feed!E:E, "*BONUS*", CA_Feed!D:D, "&gt;="&amp;C469)</f>
        <v>0</v>
      </c>
      <c r="J469">
        <f t="shared" si="66"/>
        <v>0</v>
      </c>
      <c r="K469">
        <f t="shared" si="67"/>
        <v>0</v>
      </c>
      <c r="L469">
        <f>IF(K469&gt;0, K469 * VLOOKUP(B469, CA_Feed!B:N, 13, FALSE), 0)</f>
        <v>0</v>
      </c>
      <c r="M469">
        <f t="shared" si="62"/>
        <v>3420</v>
      </c>
      <c r="N469" s="2">
        <f t="shared" si="61"/>
        <v>0</v>
      </c>
      <c r="O469" t="str">
        <f>IF(COUNTIFS(CA_Feed!B:B, B469)=0, "No Action Announced", IF(COUNTIFS(CA_Feed!B:B, B469, CA_Feed!D:D, "&gt;="&amp;C469)&gt;0, "Processed (Eligible)", "Ineligible (Post Ex-Date)"))</f>
        <v>Processed (Eligible)</v>
      </c>
    </row>
    <row r="470" spans="1:15" x14ac:dyDescent="0.3">
      <c r="A470" t="s">
        <v>546</v>
      </c>
      <c r="B470" t="s">
        <v>31</v>
      </c>
      <c r="C470" s="5">
        <v>43524</v>
      </c>
      <c r="D470" s="2">
        <v>9800</v>
      </c>
      <c r="E470">
        <f>SUMIFS(CA_Feed!F:F, CA_Feed!B:B, B470, CA_Feed!E:E, "*DIVIDEND*", CA_Feed!D:D, "&gt;="&amp;C470)</f>
        <v>3</v>
      </c>
      <c r="F470">
        <f t="shared" si="63"/>
        <v>29400</v>
      </c>
      <c r="G470">
        <f t="shared" si="64"/>
        <v>2940</v>
      </c>
      <c r="H470">
        <f t="shared" si="65"/>
        <v>26460</v>
      </c>
      <c r="I470">
        <f>D470 * SUMIFS(CA_Feed!G:G, CA_Feed!B:B, B470, CA_Feed!E:E, "*BONUS*", CA_Feed!D:D, "&gt;="&amp;C470)</f>
        <v>0</v>
      </c>
      <c r="J470">
        <f t="shared" si="66"/>
        <v>0</v>
      </c>
      <c r="K470">
        <f t="shared" si="67"/>
        <v>0</v>
      </c>
      <c r="L470">
        <f>IF(K470&gt;0, K470 * VLOOKUP(B470, CA_Feed!B:N, 13, FALSE), 0)</f>
        <v>0</v>
      </c>
      <c r="M470">
        <f t="shared" si="62"/>
        <v>26460</v>
      </c>
      <c r="N470" s="2">
        <f t="shared" si="61"/>
        <v>0</v>
      </c>
      <c r="O470" t="str">
        <f>IF(COUNTIFS(CA_Feed!B:B, B470)=0, "No Action Announced", IF(COUNTIFS(CA_Feed!B:B, B470, CA_Feed!D:D, "&gt;="&amp;C470)&gt;0, "Processed (Eligible)", "Ineligible (Post Ex-Date)"))</f>
        <v>Processed (Eligible)</v>
      </c>
    </row>
    <row r="471" spans="1:15" x14ac:dyDescent="0.3">
      <c r="A471" t="s">
        <v>503</v>
      </c>
      <c r="B471" t="s">
        <v>12</v>
      </c>
      <c r="C471" s="5">
        <v>45418</v>
      </c>
      <c r="D471" s="2">
        <v>150</v>
      </c>
      <c r="E471">
        <f>SUMIFS(CA_Feed!F:F, CA_Feed!B:B, B471, CA_Feed!E:E, "*DIVIDEND*", CA_Feed!D:D, "&gt;="&amp;C471)</f>
        <v>19</v>
      </c>
      <c r="F471">
        <f t="shared" si="63"/>
        <v>2850</v>
      </c>
      <c r="G471">
        <f t="shared" si="64"/>
        <v>285</v>
      </c>
      <c r="H471">
        <f t="shared" si="65"/>
        <v>2565</v>
      </c>
      <c r="I471">
        <f>D471 * SUMIFS(CA_Feed!G:G, CA_Feed!B:B, B471, CA_Feed!E:E, "*BONUS*", CA_Feed!D:D, "&gt;="&amp;C471)</f>
        <v>0</v>
      </c>
      <c r="J471">
        <f t="shared" si="66"/>
        <v>0</v>
      </c>
      <c r="K471">
        <f t="shared" si="67"/>
        <v>0</v>
      </c>
      <c r="L471">
        <f>IF(K471&gt;0, K471 * VLOOKUP(B471, CA_Feed!B:N, 13, FALSE), 0)</f>
        <v>0</v>
      </c>
      <c r="M471">
        <f t="shared" si="62"/>
        <v>2565</v>
      </c>
      <c r="N471" s="2">
        <f t="shared" si="61"/>
        <v>0</v>
      </c>
      <c r="O471" t="str">
        <f>IF(COUNTIFS(CA_Feed!B:B, B471)=0, "No Action Announced", IF(COUNTIFS(CA_Feed!B:B, B471, CA_Feed!D:D, "&gt;="&amp;C471)&gt;0, "Processed (Eligible)", "Ineligible (Post Ex-Date)"))</f>
        <v>Processed (Eligible)</v>
      </c>
    </row>
    <row r="472" spans="1:15" x14ac:dyDescent="0.3">
      <c r="A472" t="s">
        <v>548</v>
      </c>
      <c r="B472" t="s">
        <v>41</v>
      </c>
      <c r="C472" s="5">
        <v>43971</v>
      </c>
      <c r="D472" s="2">
        <v>9850</v>
      </c>
      <c r="E472">
        <f>SUMIFS(CA_Feed!F:F, CA_Feed!B:B, B472, CA_Feed!E:E, "*DIVIDEND*", CA_Feed!D:D, "&gt;="&amp;C472)</f>
        <v>0.2</v>
      </c>
      <c r="F472">
        <f t="shared" si="63"/>
        <v>1970</v>
      </c>
      <c r="G472">
        <f t="shared" si="64"/>
        <v>197</v>
      </c>
      <c r="H472">
        <f t="shared" si="65"/>
        <v>1773</v>
      </c>
      <c r="I472">
        <f>D472 * SUMIFS(CA_Feed!G:G, CA_Feed!B:B, B472, CA_Feed!E:E, "*BONUS*", CA_Feed!D:D, "&gt;="&amp;C472)</f>
        <v>0</v>
      </c>
      <c r="J472">
        <f t="shared" si="66"/>
        <v>0</v>
      </c>
      <c r="K472">
        <f t="shared" si="67"/>
        <v>0</v>
      </c>
      <c r="L472">
        <f>IF(K472&gt;0, K472 * VLOOKUP(B472, CA_Feed!B:N, 13, FALSE), 0)</f>
        <v>0</v>
      </c>
      <c r="M472">
        <f t="shared" si="62"/>
        <v>1773</v>
      </c>
      <c r="N472" s="2">
        <f t="shared" si="61"/>
        <v>0</v>
      </c>
      <c r="O472" t="str">
        <f>IF(COUNTIFS(CA_Feed!B:B, B472)=0, "No Action Announced", IF(COUNTIFS(CA_Feed!B:B, B472, CA_Feed!D:D, "&gt;="&amp;C472)&gt;0, "Processed (Eligible)", "Ineligible (Post Ex-Date)"))</f>
        <v>Processed (Eligible)</v>
      </c>
    </row>
    <row r="473" spans="1:15" x14ac:dyDescent="0.3">
      <c r="A473" t="s">
        <v>549</v>
      </c>
      <c r="B473" t="s">
        <v>37</v>
      </c>
      <c r="C473" s="5">
        <v>43185</v>
      </c>
      <c r="D473" s="2">
        <v>1450</v>
      </c>
      <c r="E473">
        <f>SUMIFS(CA_Feed!F:F, CA_Feed!B:B, B473, CA_Feed!E:E, "*DIVIDEND*", CA_Feed!D:D, "&gt;="&amp;C473)</f>
        <v>6.5</v>
      </c>
      <c r="F473">
        <f t="shared" si="63"/>
        <v>9425</v>
      </c>
      <c r="G473">
        <f t="shared" si="64"/>
        <v>942.5</v>
      </c>
      <c r="H473">
        <f t="shared" si="65"/>
        <v>8482.5</v>
      </c>
      <c r="I473">
        <f>D473 * SUMIFS(CA_Feed!G:G, CA_Feed!B:B, B473, CA_Feed!E:E, "*BONUS*", CA_Feed!D:D, "&gt;="&amp;C473)</f>
        <v>0</v>
      </c>
      <c r="J473">
        <f t="shared" si="66"/>
        <v>0</v>
      </c>
      <c r="K473">
        <f t="shared" si="67"/>
        <v>0</v>
      </c>
      <c r="L473">
        <f>IF(K473&gt;0, K473 * VLOOKUP(B473, CA_Feed!B:N, 13, FALSE), 0)</f>
        <v>0</v>
      </c>
      <c r="M473">
        <f t="shared" si="62"/>
        <v>8482.5</v>
      </c>
      <c r="N473" s="2">
        <f t="shared" si="61"/>
        <v>0</v>
      </c>
      <c r="O473" t="str">
        <f>IF(COUNTIFS(CA_Feed!B:B, B473)=0, "No Action Announced", IF(COUNTIFS(CA_Feed!B:B, B473, CA_Feed!D:D, "&gt;="&amp;C473)&gt;0, "Processed (Eligible)", "Ineligible (Post Ex-Date)"))</f>
        <v>Processed (Eligible)</v>
      </c>
    </row>
    <row r="474" spans="1:15" x14ac:dyDescent="0.3">
      <c r="A474" t="s">
        <v>550</v>
      </c>
      <c r="B474" t="s">
        <v>31</v>
      </c>
      <c r="C474" s="5">
        <v>44356</v>
      </c>
      <c r="D474" s="2">
        <v>6600</v>
      </c>
      <c r="E474">
        <f>SUMIFS(CA_Feed!F:F, CA_Feed!B:B, B474, CA_Feed!E:E, "*DIVIDEND*", CA_Feed!D:D, "&gt;="&amp;C474)</f>
        <v>3</v>
      </c>
      <c r="F474">
        <f t="shared" si="63"/>
        <v>19800</v>
      </c>
      <c r="G474">
        <f t="shared" si="64"/>
        <v>1980</v>
      </c>
      <c r="H474">
        <f t="shared" si="65"/>
        <v>17820</v>
      </c>
      <c r="I474">
        <f>D474 * SUMIFS(CA_Feed!G:G, CA_Feed!B:B, B474, CA_Feed!E:E, "*BONUS*", CA_Feed!D:D, "&gt;="&amp;C474)</f>
        <v>0</v>
      </c>
      <c r="J474">
        <f t="shared" si="66"/>
        <v>0</v>
      </c>
      <c r="K474">
        <f t="shared" si="67"/>
        <v>0</v>
      </c>
      <c r="L474">
        <f>IF(K474&gt;0, K474 * VLOOKUP(B474, CA_Feed!B:N, 13, FALSE), 0)</f>
        <v>0</v>
      </c>
      <c r="M474">
        <f t="shared" si="62"/>
        <v>17820</v>
      </c>
      <c r="N474" s="2">
        <f t="shared" si="61"/>
        <v>0</v>
      </c>
      <c r="O474" t="str">
        <f>IF(COUNTIFS(CA_Feed!B:B, B474)=0, "No Action Announced", IF(COUNTIFS(CA_Feed!B:B, B474, CA_Feed!D:D, "&gt;="&amp;C474)&gt;0, "Processed (Eligible)", "Ineligible (Post Ex-Date)"))</f>
        <v>Processed (Eligible)</v>
      </c>
    </row>
    <row r="475" spans="1:15" x14ac:dyDescent="0.3">
      <c r="A475" t="s">
        <v>551</v>
      </c>
      <c r="B475" t="s">
        <v>43</v>
      </c>
      <c r="C475" s="5">
        <v>45191</v>
      </c>
      <c r="D475" s="2">
        <v>2650</v>
      </c>
      <c r="E475">
        <f>SUMIFS(CA_Feed!F:F, CA_Feed!B:B, B475, CA_Feed!E:E, "*DIVIDEND*", CA_Feed!D:D, "&gt;="&amp;C475)</f>
        <v>1.35</v>
      </c>
      <c r="F475">
        <f t="shared" si="63"/>
        <v>3577.5000000000005</v>
      </c>
      <c r="G475">
        <f t="shared" si="64"/>
        <v>357.75000000000006</v>
      </c>
      <c r="H475">
        <f t="shared" si="65"/>
        <v>3219.7500000000005</v>
      </c>
      <c r="I475">
        <f>D475 * SUMIFS(CA_Feed!G:G, CA_Feed!B:B, B475, CA_Feed!E:E, "*BONUS*", CA_Feed!D:D, "&gt;="&amp;C475)</f>
        <v>0</v>
      </c>
      <c r="J475">
        <f t="shared" si="66"/>
        <v>0</v>
      </c>
      <c r="K475">
        <f t="shared" si="67"/>
        <v>0</v>
      </c>
      <c r="L475">
        <f>IF(K475&gt;0, K475 * VLOOKUP(B475, CA_Feed!B:N, 13, FALSE), 0)</f>
        <v>0</v>
      </c>
      <c r="M475">
        <f t="shared" si="62"/>
        <v>3219.7500000000005</v>
      </c>
      <c r="N475" s="2">
        <f t="shared" si="61"/>
        <v>0</v>
      </c>
      <c r="O475" t="str">
        <f>IF(COUNTIFS(CA_Feed!B:B, B475)=0, "No Action Announced", IF(COUNTIFS(CA_Feed!B:B, B475, CA_Feed!D:D, "&gt;="&amp;C475)&gt;0, "Processed (Eligible)", "Ineligible (Post Ex-Date)"))</f>
        <v>Processed (Eligible)</v>
      </c>
    </row>
    <row r="476" spans="1:15" x14ac:dyDescent="0.3">
      <c r="A476" t="s">
        <v>552</v>
      </c>
      <c r="B476" t="s">
        <v>16</v>
      </c>
      <c r="C476" s="5">
        <v>42117</v>
      </c>
      <c r="D476" s="2">
        <v>7050</v>
      </c>
      <c r="E476">
        <f>SUMIFS(CA_Feed!F:F, CA_Feed!B:B, B476, CA_Feed!E:E, "*DIVIDEND*", CA_Feed!D:D, "&gt;="&amp;C476)</f>
        <v>3.75</v>
      </c>
      <c r="F476">
        <f t="shared" si="63"/>
        <v>26437.5</v>
      </c>
      <c r="G476">
        <f t="shared" si="64"/>
        <v>2643.75</v>
      </c>
      <c r="H476">
        <f t="shared" si="65"/>
        <v>23793.75</v>
      </c>
      <c r="I476">
        <f>D476 * SUMIFS(CA_Feed!G:G, CA_Feed!B:B, B476, CA_Feed!E:E, "*BONUS*", CA_Feed!D:D, "&gt;="&amp;C476)</f>
        <v>0</v>
      </c>
      <c r="J476">
        <f t="shared" si="66"/>
        <v>0</v>
      </c>
      <c r="K476">
        <f t="shared" si="67"/>
        <v>0</v>
      </c>
      <c r="L476">
        <f>IF(K476&gt;0, K476 * VLOOKUP(B476, CA_Feed!B:N, 13, FALSE), 0)</f>
        <v>0</v>
      </c>
      <c r="M476">
        <f t="shared" si="62"/>
        <v>23793.75</v>
      </c>
      <c r="N476" s="2">
        <f t="shared" si="61"/>
        <v>0</v>
      </c>
      <c r="O476" t="str">
        <f>IF(COUNTIFS(CA_Feed!B:B, B476)=0, "No Action Announced", IF(COUNTIFS(CA_Feed!B:B, B476, CA_Feed!D:D, "&gt;="&amp;C476)&gt;0, "Processed (Eligible)", "Ineligible (Post Ex-Date)"))</f>
        <v>Processed (Eligible)</v>
      </c>
    </row>
    <row r="477" spans="1:15" x14ac:dyDescent="0.3">
      <c r="A477" t="s">
        <v>553</v>
      </c>
      <c r="B477" t="s">
        <v>45</v>
      </c>
      <c r="C477" s="5">
        <v>44055</v>
      </c>
      <c r="D477" s="2">
        <v>7050</v>
      </c>
      <c r="E477">
        <f>SUMIFS(CA_Feed!F:F, CA_Feed!B:B, B477, CA_Feed!E:E, "*DIVIDEND*", CA_Feed!D:D, "&gt;="&amp;C477)</f>
        <v>2.5</v>
      </c>
      <c r="F477">
        <f t="shared" si="63"/>
        <v>17625</v>
      </c>
      <c r="G477">
        <f t="shared" si="64"/>
        <v>1762.5</v>
      </c>
      <c r="H477">
        <f t="shared" si="65"/>
        <v>15862.5</v>
      </c>
      <c r="I477">
        <f>D477 * SUMIFS(CA_Feed!G:G, CA_Feed!B:B, B477, CA_Feed!E:E, "*BONUS*", CA_Feed!D:D, "&gt;="&amp;C477)</f>
        <v>0</v>
      </c>
      <c r="J477">
        <f t="shared" si="66"/>
        <v>0</v>
      </c>
      <c r="K477">
        <f t="shared" si="67"/>
        <v>0</v>
      </c>
      <c r="L477">
        <f>IF(K477&gt;0, K477 * VLOOKUP(B477, CA_Feed!B:N, 13, FALSE), 0)</f>
        <v>0</v>
      </c>
      <c r="M477">
        <f t="shared" si="62"/>
        <v>15862.5</v>
      </c>
      <c r="N477" s="2">
        <f t="shared" si="61"/>
        <v>0</v>
      </c>
      <c r="O477" t="str">
        <f>IF(COUNTIFS(CA_Feed!B:B, B477)=0, "No Action Announced", IF(COUNTIFS(CA_Feed!B:B, B477, CA_Feed!D:D, "&gt;="&amp;C477)&gt;0, "Processed (Eligible)", "Ineligible (Post Ex-Date)"))</f>
        <v>Processed (Eligible)</v>
      </c>
    </row>
    <row r="478" spans="1:15" x14ac:dyDescent="0.3">
      <c r="A478" t="s">
        <v>554</v>
      </c>
      <c r="B478" t="s">
        <v>37</v>
      </c>
      <c r="C478" s="5">
        <v>45516</v>
      </c>
      <c r="D478" s="2">
        <v>6550</v>
      </c>
      <c r="E478">
        <f>SUMIFS(CA_Feed!F:F, CA_Feed!B:B, B478, CA_Feed!E:E, "*DIVIDEND*", CA_Feed!D:D, "&gt;="&amp;C478)</f>
        <v>4.5</v>
      </c>
      <c r="F478">
        <f t="shared" si="63"/>
        <v>29475</v>
      </c>
      <c r="G478">
        <f t="shared" si="64"/>
        <v>2947.5</v>
      </c>
      <c r="H478">
        <f t="shared" si="65"/>
        <v>26527.5</v>
      </c>
      <c r="I478">
        <f>D478 * SUMIFS(CA_Feed!G:G, CA_Feed!B:B, B478, CA_Feed!E:E, "*BONUS*", CA_Feed!D:D, "&gt;="&amp;C478)</f>
        <v>0</v>
      </c>
      <c r="J478">
        <f t="shared" si="66"/>
        <v>0</v>
      </c>
      <c r="K478">
        <f t="shared" si="67"/>
        <v>0</v>
      </c>
      <c r="L478">
        <f>IF(K478&gt;0, K478 * VLOOKUP(B478, CA_Feed!B:N, 13, FALSE), 0)</f>
        <v>0</v>
      </c>
      <c r="M478">
        <f t="shared" si="62"/>
        <v>26527.5</v>
      </c>
      <c r="N478" s="2">
        <f t="shared" si="61"/>
        <v>0</v>
      </c>
      <c r="O478" t="str">
        <f>IF(COUNTIFS(CA_Feed!B:B, B478)=0, "No Action Announced", IF(COUNTIFS(CA_Feed!B:B, B478, CA_Feed!D:D, "&gt;="&amp;C478)&gt;0, "Processed (Eligible)", "Ineligible (Post Ex-Date)"))</f>
        <v>Processed (Eligible)</v>
      </c>
    </row>
    <row r="479" spans="1:15" x14ac:dyDescent="0.3">
      <c r="A479" t="s">
        <v>555</v>
      </c>
      <c r="B479" t="s">
        <v>66</v>
      </c>
      <c r="C479" s="5">
        <v>43346</v>
      </c>
      <c r="D479" s="2">
        <v>7650</v>
      </c>
      <c r="E479">
        <f>SUMIFS(CA_Feed!F:F, CA_Feed!B:B, B479, CA_Feed!E:E, "*DIVIDEND*", CA_Feed!D:D, "&gt;="&amp;C479)</f>
        <v>0</v>
      </c>
      <c r="F479">
        <f t="shared" si="63"/>
        <v>0</v>
      </c>
      <c r="G479">
        <f t="shared" si="64"/>
        <v>0</v>
      </c>
      <c r="H479">
        <f t="shared" si="65"/>
        <v>0</v>
      </c>
      <c r="I479">
        <f>D479 * SUMIFS(CA_Feed!G:G, CA_Feed!B:B, B479, CA_Feed!E:E, "*BONUS*", CA_Feed!D:D, "&gt;="&amp;C479)</f>
        <v>1530</v>
      </c>
      <c r="J479">
        <f t="shared" si="66"/>
        <v>1530</v>
      </c>
      <c r="K479">
        <f t="shared" si="67"/>
        <v>0</v>
      </c>
      <c r="L479">
        <f>IF(K479&gt;0, K479 * VLOOKUP(B479, CA_Feed!B:N, 13, FALSE), 0)</f>
        <v>0</v>
      </c>
      <c r="M479">
        <f t="shared" si="62"/>
        <v>0</v>
      </c>
      <c r="N479" s="2">
        <f t="shared" si="61"/>
        <v>9180</v>
      </c>
      <c r="O479" t="str">
        <f>IF(COUNTIFS(CA_Feed!B:B, B479)=0, "No Action Announced", IF(COUNTIFS(CA_Feed!B:B, B479, CA_Feed!D:D, "&gt;="&amp;C479)&gt;0, "Processed (Eligible)", "Ineligible (Post Ex-Date)"))</f>
        <v>Processed (Eligible)</v>
      </c>
    </row>
    <row r="480" spans="1:15" x14ac:dyDescent="0.3">
      <c r="A480" t="s">
        <v>556</v>
      </c>
      <c r="B480" t="s">
        <v>16</v>
      </c>
      <c r="C480" s="5">
        <v>43298</v>
      </c>
      <c r="D480" s="2">
        <v>9450</v>
      </c>
      <c r="E480">
        <f>SUMIFS(CA_Feed!F:F, CA_Feed!B:B, B480, CA_Feed!E:E, "*DIVIDEND*", CA_Feed!D:D, "&gt;="&amp;C480)</f>
        <v>3.75</v>
      </c>
      <c r="F480">
        <f t="shared" si="63"/>
        <v>35437.5</v>
      </c>
      <c r="G480">
        <f t="shared" si="64"/>
        <v>3543.75</v>
      </c>
      <c r="H480">
        <f t="shared" si="65"/>
        <v>31893.75</v>
      </c>
      <c r="I480">
        <f>D480 * SUMIFS(CA_Feed!G:G, CA_Feed!B:B, B480, CA_Feed!E:E, "*BONUS*", CA_Feed!D:D, "&gt;="&amp;C480)</f>
        <v>0</v>
      </c>
      <c r="J480">
        <f t="shared" si="66"/>
        <v>0</v>
      </c>
      <c r="K480">
        <f t="shared" si="67"/>
        <v>0</v>
      </c>
      <c r="L480">
        <f>IF(K480&gt;0, K480 * VLOOKUP(B480, CA_Feed!B:N, 13, FALSE), 0)</f>
        <v>0</v>
      </c>
      <c r="M480">
        <f t="shared" si="62"/>
        <v>31893.75</v>
      </c>
      <c r="N480" s="2">
        <f t="shared" si="61"/>
        <v>0</v>
      </c>
      <c r="O480" t="str">
        <f>IF(COUNTIFS(CA_Feed!B:B, B480)=0, "No Action Announced", IF(COUNTIFS(CA_Feed!B:B, B480, CA_Feed!D:D, "&gt;="&amp;C480)&gt;0, "Processed (Eligible)", "Ineligible (Post Ex-Date)"))</f>
        <v>Processed (Eligible)</v>
      </c>
    </row>
    <row r="481" spans="1:15" x14ac:dyDescent="0.3">
      <c r="A481" t="s">
        <v>557</v>
      </c>
      <c r="B481" t="s">
        <v>47</v>
      </c>
      <c r="C481" s="5">
        <v>43267</v>
      </c>
      <c r="D481" s="2">
        <v>500</v>
      </c>
      <c r="E481">
        <f>SUMIFS(CA_Feed!F:F, CA_Feed!B:B, B481, CA_Feed!E:E, "*DIVIDEND*", CA_Feed!D:D, "&gt;="&amp;C481)</f>
        <v>0.1</v>
      </c>
      <c r="F481">
        <f t="shared" si="63"/>
        <v>50</v>
      </c>
      <c r="G481">
        <f t="shared" si="64"/>
        <v>5</v>
      </c>
      <c r="H481">
        <f t="shared" si="65"/>
        <v>45</v>
      </c>
      <c r="I481">
        <f>D481 * SUMIFS(CA_Feed!G:G, CA_Feed!B:B, B481, CA_Feed!E:E, "*BONUS*", CA_Feed!D:D, "&gt;="&amp;C481)</f>
        <v>0</v>
      </c>
      <c r="J481">
        <f t="shared" si="66"/>
        <v>0</v>
      </c>
      <c r="K481">
        <f t="shared" si="67"/>
        <v>0</v>
      </c>
      <c r="L481">
        <f>IF(K481&gt;0, K481 * VLOOKUP(B481, CA_Feed!B:N, 13, FALSE), 0)</f>
        <v>0</v>
      </c>
      <c r="M481">
        <f t="shared" si="62"/>
        <v>45</v>
      </c>
      <c r="N481" s="2">
        <f t="shared" si="61"/>
        <v>0</v>
      </c>
      <c r="O481" t="str">
        <f>IF(COUNTIFS(CA_Feed!B:B, B481)=0, "No Action Announced", IF(COUNTIFS(CA_Feed!B:B, B481, CA_Feed!D:D, "&gt;="&amp;C481)&gt;0, "Processed (Eligible)", "Ineligible (Post Ex-Date)"))</f>
        <v>Processed (Eligible)</v>
      </c>
    </row>
    <row r="482" spans="1:15" x14ac:dyDescent="0.3">
      <c r="A482" t="s">
        <v>493</v>
      </c>
      <c r="B482" t="s">
        <v>12</v>
      </c>
      <c r="C482" s="5">
        <v>43599</v>
      </c>
      <c r="D482" s="2">
        <v>140</v>
      </c>
      <c r="E482">
        <f>SUMIFS(CA_Feed!F:F, CA_Feed!B:B, B482, CA_Feed!E:E, "*DIVIDEND*", CA_Feed!D:D, "&gt;="&amp;C482)</f>
        <v>19</v>
      </c>
      <c r="F482">
        <f t="shared" si="63"/>
        <v>2660</v>
      </c>
      <c r="G482">
        <f t="shared" si="64"/>
        <v>266</v>
      </c>
      <c r="H482">
        <f t="shared" si="65"/>
        <v>2394</v>
      </c>
      <c r="I482">
        <f>D482 * SUMIFS(CA_Feed!G:G, CA_Feed!B:B, B482, CA_Feed!E:E, "*BONUS*", CA_Feed!D:D, "&gt;="&amp;C482)</f>
        <v>0</v>
      </c>
      <c r="J482">
        <f t="shared" si="66"/>
        <v>0</v>
      </c>
      <c r="K482">
        <f t="shared" si="67"/>
        <v>0</v>
      </c>
      <c r="L482">
        <f>IF(K482&gt;0, K482 * VLOOKUP(B482, CA_Feed!B:N, 13, FALSE), 0)</f>
        <v>0</v>
      </c>
      <c r="M482">
        <f t="shared" si="62"/>
        <v>2394</v>
      </c>
      <c r="N482" s="2">
        <f t="shared" si="61"/>
        <v>0</v>
      </c>
      <c r="O482" t="str">
        <f>IF(COUNTIFS(CA_Feed!B:B, B482)=0, "No Action Announced", IF(COUNTIFS(CA_Feed!B:B, B482, CA_Feed!D:D, "&gt;="&amp;C482)&gt;0, "Processed (Eligible)", "Ineligible (Post Ex-Date)"))</f>
        <v>Processed (Eligible)</v>
      </c>
    </row>
    <row r="483" spans="1:15" x14ac:dyDescent="0.3">
      <c r="A483" t="s">
        <v>559</v>
      </c>
      <c r="B483" t="s">
        <v>16</v>
      </c>
      <c r="C483" s="5">
        <v>43875</v>
      </c>
      <c r="D483" s="2">
        <v>5650</v>
      </c>
      <c r="E483">
        <f>SUMIFS(CA_Feed!F:F, CA_Feed!B:B, B483, CA_Feed!E:E, "*DIVIDEND*", CA_Feed!D:D, "&gt;="&amp;C483)</f>
        <v>3.75</v>
      </c>
      <c r="F483">
        <f t="shared" si="63"/>
        <v>21187.5</v>
      </c>
      <c r="G483">
        <f t="shared" si="64"/>
        <v>2118.75</v>
      </c>
      <c r="H483">
        <f t="shared" si="65"/>
        <v>19068.75</v>
      </c>
      <c r="I483">
        <f>D483 * SUMIFS(CA_Feed!G:G, CA_Feed!B:B, B483, CA_Feed!E:E, "*BONUS*", CA_Feed!D:D, "&gt;="&amp;C483)</f>
        <v>0</v>
      </c>
      <c r="J483">
        <f t="shared" si="66"/>
        <v>0</v>
      </c>
      <c r="K483">
        <f t="shared" si="67"/>
        <v>0</v>
      </c>
      <c r="L483">
        <f>IF(K483&gt;0, K483 * VLOOKUP(B483, CA_Feed!B:N, 13, FALSE), 0)</f>
        <v>0</v>
      </c>
      <c r="M483">
        <f t="shared" si="62"/>
        <v>19068.75</v>
      </c>
      <c r="N483" s="2">
        <f t="shared" si="61"/>
        <v>0</v>
      </c>
      <c r="O483" t="str">
        <f>IF(COUNTIFS(CA_Feed!B:B, B483)=0, "No Action Announced", IF(COUNTIFS(CA_Feed!B:B, B483, CA_Feed!D:D, "&gt;="&amp;C483)&gt;0, "Processed (Eligible)", "Ineligible (Post Ex-Date)"))</f>
        <v>Processed (Eligible)</v>
      </c>
    </row>
    <row r="484" spans="1:15" x14ac:dyDescent="0.3">
      <c r="A484" t="s">
        <v>560</v>
      </c>
      <c r="B484" t="s">
        <v>25</v>
      </c>
      <c r="C484" s="5">
        <v>44623</v>
      </c>
      <c r="D484" s="2">
        <v>5100</v>
      </c>
      <c r="E484">
        <f>SUMIFS(CA_Feed!F:F, CA_Feed!B:B, B484, CA_Feed!E:E, "*DIVIDEND*", CA_Feed!D:D, "&gt;="&amp;C484)</f>
        <v>2.5</v>
      </c>
      <c r="F484">
        <f t="shared" si="63"/>
        <v>12750</v>
      </c>
      <c r="G484">
        <f t="shared" si="64"/>
        <v>1275</v>
      </c>
      <c r="H484">
        <f t="shared" si="65"/>
        <v>11475</v>
      </c>
      <c r="I484">
        <f>D484 * SUMIFS(CA_Feed!G:G, CA_Feed!B:B, B484, CA_Feed!E:E, "*BONUS*", CA_Feed!D:D, "&gt;="&amp;C484)</f>
        <v>0</v>
      </c>
      <c r="J484">
        <f t="shared" si="66"/>
        <v>0</v>
      </c>
      <c r="K484">
        <f t="shared" si="67"/>
        <v>0</v>
      </c>
      <c r="L484">
        <f>IF(K484&gt;0, K484 * VLOOKUP(B484, CA_Feed!B:N, 13, FALSE), 0)</f>
        <v>0</v>
      </c>
      <c r="M484">
        <f t="shared" si="62"/>
        <v>11475</v>
      </c>
      <c r="N484" s="2">
        <f t="shared" si="61"/>
        <v>0</v>
      </c>
      <c r="O484" t="str">
        <f>IF(COUNTIFS(CA_Feed!B:B, B484)=0, "No Action Announced", IF(COUNTIFS(CA_Feed!B:B, B484, CA_Feed!D:D, "&gt;="&amp;C484)&gt;0, "Processed (Eligible)", "Ineligible (Post Ex-Date)"))</f>
        <v>Processed (Eligible)</v>
      </c>
    </row>
    <row r="485" spans="1:15" x14ac:dyDescent="0.3">
      <c r="A485" t="s">
        <v>561</v>
      </c>
      <c r="B485" t="s">
        <v>31</v>
      </c>
      <c r="C485" s="5">
        <v>43201</v>
      </c>
      <c r="D485" s="2">
        <v>7950</v>
      </c>
      <c r="E485">
        <f>SUMIFS(CA_Feed!F:F, CA_Feed!B:B, B485, CA_Feed!E:E, "*DIVIDEND*", CA_Feed!D:D, "&gt;="&amp;C485)</f>
        <v>3</v>
      </c>
      <c r="F485">
        <f t="shared" si="63"/>
        <v>23850</v>
      </c>
      <c r="G485">
        <f t="shared" si="64"/>
        <v>2385</v>
      </c>
      <c r="H485">
        <f t="shared" si="65"/>
        <v>21465</v>
      </c>
      <c r="I485">
        <f>D485 * SUMIFS(CA_Feed!G:G, CA_Feed!B:B, B485, CA_Feed!E:E, "*BONUS*", CA_Feed!D:D, "&gt;="&amp;C485)</f>
        <v>0</v>
      </c>
      <c r="J485">
        <f t="shared" si="66"/>
        <v>0</v>
      </c>
      <c r="K485">
        <f t="shared" si="67"/>
        <v>0</v>
      </c>
      <c r="L485">
        <f>IF(K485&gt;0, K485 * VLOOKUP(B485, CA_Feed!B:N, 13, FALSE), 0)</f>
        <v>0</v>
      </c>
      <c r="M485">
        <f t="shared" si="62"/>
        <v>21465</v>
      </c>
      <c r="N485" s="2">
        <f t="shared" si="61"/>
        <v>0</v>
      </c>
      <c r="O485" t="str">
        <f>IF(COUNTIFS(CA_Feed!B:B, B485)=0, "No Action Announced", IF(COUNTIFS(CA_Feed!B:B, B485, CA_Feed!D:D, "&gt;="&amp;C485)&gt;0, "Processed (Eligible)", "Ineligible (Post Ex-Date)"))</f>
        <v>Processed (Eligible)</v>
      </c>
    </row>
    <row r="486" spans="1:15" x14ac:dyDescent="0.3">
      <c r="A486" t="s">
        <v>836</v>
      </c>
      <c r="B486" t="s">
        <v>12</v>
      </c>
      <c r="C486" s="5">
        <v>43424</v>
      </c>
      <c r="D486" s="2">
        <v>140</v>
      </c>
      <c r="E486">
        <f>SUMIFS(CA_Feed!F:F, CA_Feed!B:B, B486, CA_Feed!E:E, "*DIVIDEND*", CA_Feed!D:D, "&gt;="&amp;C486)</f>
        <v>19</v>
      </c>
      <c r="F486">
        <f t="shared" si="63"/>
        <v>2660</v>
      </c>
      <c r="G486">
        <f t="shared" si="64"/>
        <v>266</v>
      </c>
      <c r="H486">
        <f t="shared" si="65"/>
        <v>2394</v>
      </c>
      <c r="I486">
        <f>D486 * SUMIFS(CA_Feed!G:G, CA_Feed!B:B, B486, CA_Feed!E:E, "*BONUS*", CA_Feed!D:D, "&gt;="&amp;C486)</f>
        <v>0</v>
      </c>
      <c r="J486">
        <f t="shared" si="66"/>
        <v>0</v>
      </c>
      <c r="K486">
        <f t="shared" si="67"/>
        <v>0</v>
      </c>
      <c r="L486">
        <f>IF(K486&gt;0, K486 * VLOOKUP(B486, CA_Feed!B:N, 13, FALSE), 0)</f>
        <v>0</v>
      </c>
      <c r="M486">
        <f t="shared" si="62"/>
        <v>2394</v>
      </c>
      <c r="N486" s="2">
        <f t="shared" si="61"/>
        <v>0</v>
      </c>
      <c r="O486" t="str">
        <f>IF(COUNTIFS(CA_Feed!B:B, B486)=0, "No Action Announced", IF(COUNTIFS(CA_Feed!B:B, B486, CA_Feed!D:D, "&gt;="&amp;C486)&gt;0, "Processed (Eligible)", "Ineligible (Post Ex-Date)"))</f>
        <v>Processed (Eligible)</v>
      </c>
    </row>
    <row r="487" spans="1:15" x14ac:dyDescent="0.3">
      <c r="A487" t="s">
        <v>827</v>
      </c>
      <c r="B487" t="s">
        <v>12</v>
      </c>
      <c r="C487" s="5">
        <v>43393</v>
      </c>
      <c r="D487" s="2">
        <v>140</v>
      </c>
      <c r="E487">
        <f>SUMIFS(CA_Feed!F:F, CA_Feed!B:B, B487, CA_Feed!E:E, "*DIVIDEND*", CA_Feed!D:D, "&gt;="&amp;C487)</f>
        <v>19</v>
      </c>
      <c r="F487">
        <f t="shared" si="63"/>
        <v>2660</v>
      </c>
      <c r="G487">
        <f t="shared" si="64"/>
        <v>266</v>
      </c>
      <c r="H487">
        <f t="shared" si="65"/>
        <v>2394</v>
      </c>
      <c r="I487">
        <f>D487 * SUMIFS(CA_Feed!G:G, CA_Feed!B:B, B487, CA_Feed!E:E, "*BONUS*", CA_Feed!D:D, "&gt;="&amp;C487)</f>
        <v>0</v>
      </c>
      <c r="J487">
        <f t="shared" si="66"/>
        <v>0</v>
      </c>
      <c r="K487">
        <f t="shared" si="67"/>
        <v>0</v>
      </c>
      <c r="L487">
        <f>IF(K487&gt;0, K487 * VLOOKUP(B487, CA_Feed!B:N, 13, FALSE), 0)</f>
        <v>0</v>
      </c>
      <c r="M487">
        <f t="shared" si="62"/>
        <v>2394</v>
      </c>
      <c r="N487" s="2">
        <f t="shared" si="61"/>
        <v>0</v>
      </c>
      <c r="O487" t="str">
        <f>IF(COUNTIFS(CA_Feed!B:B, B487)=0, "No Action Announced", IF(COUNTIFS(CA_Feed!B:B, B487, CA_Feed!D:D, "&gt;="&amp;C487)&gt;0, "Processed (Eligible)", "Ineligible (Post Ex-Date)"))</f>
        <v>Processed (Eligible)</v>
      </c>
    </row>
    <row r="488" spans="1:15" x14ac:dyDescent="0.3">
      <c r="A488" t="s">
        <v>564</v>
      </c>
      <c r="B488" t="s">
        <v>29</v>
      </c>
      <c r="C488" s="5">
        <v>44366</v>
      </c>
      <c r="D488" s="2">
        <v>250</v>
      </c>
      <c r="E488">
        <f>SUMIFS(CA_Feed!F:F, CA_Feed!B:B, B488, CA_Feed!E:E, "*DIVIDEND*", CA_Feed!D:D, "&gt;="&amp;C488)</f>
        <v>3</v>
      </c>
      <c r="F488">
        <f t="shared" si="63"/>
        <v>750</v>
      </c>
      <c r="G488">
        <f t="shared" si="64"/>
        <v>75</v>
      </c>
      <c r="H488">
        <f t="shared" si="65"/>
        <v>675</v>
      </c>
      <c r="I488">
        <f>D488 * SUMIFS(CA_Feed!G:G, CA_Feed!B:B, B488, CA_Feed!E:E, "*BONUS*", CA_Feed!D:D, "&gt;="&amp;C488)</f>
        <v>0</v>
      </c>
      <c r="J488">
        <f t="shared" si="66"/>
        <v>0</v>
      </c>
      <c r="K488">
        <f t="shared" si="67"/>
        <v>0</v>
      </c>
      <c r="L488">
        <f>IF(K488&gt;0, K488 * VLOOKUP(B488, CA_Feed!B:N, 13, FALSE), 0)</f>
        <v>0</v>
      </c>
      <c r="M488">
        <f t="shared" si="62"/>
        <v>675</v>
      </c>
      <c r="N488" s="2">
        <f t="shared" si="61"/>
        <v>0</v>
      </c>
      <c r="O488" t="str">
        <f>IF(COUNTIFS(CA_Feed!B:B, B488)=0, "No Action Announced", IF(COUNTIFS(CA_Feed!B:B, B488, CA_Feed!D:D, "&gt;="&amp;C488)&gt;0, "Processed (Eligible)", "Ineligible (Post Ex-Date)"))</f>
        <v>Processed (Eligible)</v>
      </c>
    </row>
    <row r="489" spans="1:15" x14ac:dyDescent="0.3">
      <c r="A489" t="s">
        <v>565</v>
      </c>
      <c r="B489" t="s">
        <v>25</v>
      </c>
      <c r="C489" s="5">
        <v>42717</v>
      </c>
      <c r="D489" s="2">
        <v>2100</v>
      </c>
      <c r="E489">
        <f>SUMIFS(CA_Feed!F:F, CA_Feed!B:B, B489, CA_Feed!E:E, "*DIVIDEND*", CA_Feed!D:D, "&gt;="&amp;C489)</f>
        <v>2.5</v>
      </c>
      <c r="F489">
        <f t="shared" si="63"/>
        <v>5250</v>
      </c>
      <c r="G489">
        <f t="shared" si="64"/>
        <v>525</v>
      </c>
      <c r="H489">
        <f t="shared" si="65"/>
        <v>4725</v>
      </c>
      <c r="I489">
        <f>D489 * SUMIFS(CA_Feed!G:G, CA_Feed!B:B, B489, CA_Feed!E:E, "*BONUS*", CA_Feed!D:D, "&gt;="&amp;C489)</f>
        <v>0</v>
      </c>
      <c r="J489">
        <f t="shared" si="66"/>
        <v>0</v>
      </c>
      <c r="K489">
        <f t="shared" si="67"/>
        <v>0</v>
      </c>
      <c r="L489">
        <f>IF(K489&gt;0, K489 * VLOOKUP(B489, CA_Feed!B:N, 13, FALSE), 0)</f>
        <v>0</v>
      </c>
      <c r="M489">
        <f t="shared" si="62"/>
        <v>4725</v>
      </c>
      <c r="N489" s="2">
        <f t="shared" si="61"/>
        <v>0</v>
      </c>
      <c r="O489" t="str">
        <f>IF(COUNTIFS(CA_Feed!B:B, B489)=0, "No Action Announced", IF(COUNTIFS(CA_Feed!B:B, B489, CA_Feed!D:D, "&gt;="&amp;C489)&gt;0, "Processed (Eligible)", "Ineligible (Post Ex-Date)"))</f>
        <v>Processed (Eligible)</v>
      </c>
    </row>
    <row r="490" spans="1:15" x14ac:dyDescent="0.3">
      <c r="A490" t="s">
        <v>566</v>
      </c>
      <c r="B490" t="s">
        <v>37</v>
      </c>
      <c r="C490" s="5">
        <v>44958</v>
      </c>
      <c r="D490" s="2">
        <v>6900</v>
      </c>
      <c r="E490">
        <f>SUMIFS(CA_Feed!F:F, CA_Feed!B:B, B490, CA_Feed!E:E, "*DIVIDEND*", CA_Feed!D:D, "&gt;="&amp;C490)</f>
        <v>6.5</v>
      </c>
      <c r="F490">
        <f t="shared" si="63"/>
        <v>44850</v>
      </c>
      <c r="G490">
        <f t="shared" si="64"/>
        <v>4485</v>
      </c>
      <c r="H490">
        <f t="shared" si="65"/>
        <v>40365</v>
      </c>
      <c r="I490">
        <f>D490 * SUMIFS(CA_Feed!G:G, CA_Feed!B:B, B490, CA_Feed!E:E, "*BONUS*", CA_Feed!D:D, "&gt;="&amp;C490)</f>
        <v>0</v>
      </c>
      <c r="J490">
        <f t="shared" si="66"/>
        <v>0</v>
      </c>
      <c r="K490">
        <f t="shared" si="67"/>
        <v>0</v>
      </c>
      <c r="L490">
        <f>IF(K490&gt;0, K490 * VLOOKUP(B490, CA_Feed!B:N, 13, FALSE), 0)</f>
        <v>0</v>
      </c>
      <c r="M490">
        <f t="shared" si="62"/>
        <v>40365</v>
      </c>
      <c r="N490" s="2">
        <f t="shared" si="61"/>
        <v>0</v>
      </c>
      <c r="O490" t="str">
        <f>IF(COUNTIFS(CA_Feed!B:B, B490)=0, "No Action Announced", IF(COUNTIFS(CA_Feed!B:B, B490, CA_Feed!D:D, "&gt;="&amp;C490)&gt;0, "Processed (Eligible)", "Ineligible (Post Ex-Date)"))</f>
        <v>Processed (Eligible)</v>
      </c>
    </row>
    <row r="491" spans="1:15" x14ac:dyDescent="0.3">
      <c r="A491" t="s">
        <v>567</v>
      </c>
      <c r="B491" t="s">
        <v>29</v>
      </c>
      <c r="C491" s="5">
        <v>42547</v>
      </c>
      <c r="D491" s="2">
        <v>1300</v>
      </c>
      <c r="E491">
        <f>SUMIFS(CA_Feed!F:F, CA_Feed!B:B, B491, CA_Feed!E:E, "*DIVIDEND*", CA_Feed!D:D, "&gt;="&amp;C491)</f>
        <v>3</v>
      </c>
      <c r="F491">
        <f t="shared" si="63"/>
        <v>3900</v>
      </c>
      <c r="G491">
        <f t="shared" si="64"/>
        <v>390</v>
      </c>
      <c r="H491">
        <f t="shared" si="65"/>
        <v>3510</v>
      </c>
      <c r="I491">
        <f>D491 * SUMIFS(CA_Feed!G:G, CA_Feed!B:B, B491, CA_Feed!E:E, "*BONUS*", CA_Feed!D:D, "&gt;="&amp;C491)</f>
        <v>0</v>
      </c>
      <c r="J491">
        <f t="shared" si="66"/>
        <v>0</v>
      </c>
      <c r="K491">
        <f t="shared" si="67"/>
        <v>0</v>
      </c>
      <c r="L491">
        <f>IF(K491&gt;0, K491 * VLOOKUP(B491, CA_Feed!B:N, 13, FALSE), 0)</f>
        <v>0</v>
      </c>
      <c r="M491">
        <f t="shared" si="62"/>
        <v>3510</v>
      </c>
      <c r="N491" s="2">
        <f t="shared" si="61"/>
        <v>0</v>
      </c>
      <c r="O491" t="str">
        <f>IF(COUNTIFS(CA_Feed!B:B, B491)=0, "No Action Announced", IF(COUNTIFS(CA_Feed!B:B, B491, CA_Feed!D:D, "&gt;="&amp;C491)&gt;0, "Processed (Eligible)", "Ineligible (Post Ex-Date)"))</f>
        <v>Processed (Eligible)</v>
      </c>
    </row>
    <row r="492" spans="1:15" x14ac:dyDescent="0.3">
      <c r="A492" t="s">
        <v>826</v>
      </c>
      <c r="B492" t="s">
        <v>12</v>
      </c>
      <c r="C492" s="5">
        <v>43055</v>
      </c>
      <c r="D492" s="2">
        <v>140</v>
      </c>
      <c r="E492">
        <f>SUMIFS(CA_Feed!F:F, CA_Feed!B:B, B492, CA_Feed!E:E, "*DIVIDEND*", CA_Feed!D:D, "&gt;="&amp;C492)</f>
        <v>19</v>
      </c>
      <c r="F492">
        <f t="shared" si="63"/>
        <v>2660</v>
      </c>
      <c r="G492">
        <f t="shared" si="64"/>
        <v>266</v>
      </c>
      <c r="H492">
        <f t="shared" si="65"/>
        <v>2394</v>
      </c>
      <c r="I492">
        <f>D492 * SUMIFS(CA_Feed!G:G, CA_Feed!B:B, B492, CA_Feed!E:E, "*BONUS*", CA_Feed!D:D, "&gt;="&amp;C492)</f>
        <v>0</v>
      </c>
      <c r="J492">
        <f t="shared" si="66"/>
        <v>0</v>
      </c>
      <c r="K492">
        <f t="shared" si="67"/>
        <v>0</v>
      </c>
      <c r="L492">
        <f>IF(K492&gt;0, K492 * VLOOKUP(B492, CA_Feed!B:N, 13, FALSE), 0)</f>
        <v>0</v>
      </c>
      <c r="M492">
        <f t="shared" si="62"/>
        <v>2394</v>
      </c>
      <c r="N492" s="2">
        <f t="shared" si="61"/>
        <v>0</v>
      </c>
      <c r="O492" t="str">
        <f>IF(COUNTIFS(CA_Feed!B:B, B492)=0, "No Action Announced", IF(COUNTIFS(CA_Feed!B:B, B492, CA_Feed!D:D, "&gt;="&amp;C492)&gt;0, "Processed (Eligible)", "Ineligible (Post Ex-Date)"))</f>
        <v>Processed (Eligible)</v>
      </c>
    </row>
    <row r="493" spans="1:15" x14ac:dyDescent="0.3">
      <c r="A493" t="s">
        <v>569</v>
      </c>
      <c r="B493" t="s">
        <v>37</v>
      </c>
      <c r="C493" s="5">
        <v>43640</v>
      </c>
      <c r="D493" s="2">
        <v>5800</v>
      </c>
      <c r="E493">
        <f>SUMIFS(CA_Feed!F:F, CA_Feed!B:B, B493, CA_Feed!E:E, "*DIVIDEND*", CA_Feed!D:D, "&gt;="&amp;C493)</f>
        <v>6.5</v>
      </c>
      <c r="F493">
        <f t="shared" si="63"/>
        <v>37700</v>
      </c>
      <c r="G493">
        <f t="shared" si="64"/>
        <v>3770</v>
      </c>
      <c r="H493">
        <f t="shared" si="65"/>
        <v>33930</v>
      </c>
      <c r="I493">
        <f>D493 * SUMIFS(CA_Feed!G:G, CA_Feed!B:B, B493, CA_Feed!E:E, "*BONUS*", CA_Feed!D:D, "&gt;="&amp;C493)</f>
        <v>0</v>
      </c>
      <c r="J493">
        <f t="shared" si="66"/>
        <v>0</v>
      </c>
      <c r="K493">
        <f t="shared" si="67"/>
        <v>0</v>
      </c>
      <c r="L493">
        <f>IF(K493&gt;0, K493 * VLOOKUP(B493, CA_Feed!B:N, 13, FALSE), 0)</f>
        <v>0</v>
      </c>
      <c r="M493">
        <f t="shared" si="62"/>
        <v>33930</v>
      </c>
      <c r="N493" s="2">
        <f t="shared" si="61"/>
        <v>0</v>
      </c>
      <c r="O493" t="str">
        <f>IF(COUNTIFS(CA_Feed!B:B, B493)=0, "No Action Announced", IF(COUNTIFS(CA_Feed!B:B, B493, CA_Feed!D:D, "&gt;="&amp;C493)&gt;0, "Processed (Eligible)", "Ineligible (Post Ex-Date)"))</f>
        <v>Processed (Eligible)</v>
      </c>
    </row>
    <row r="494" spans="1:15" x14ac:dyDescent="0.3">
      <c r="A494" t="s">
        <v>304</v>
      </c>
      <c r="B494" t="s">
        <v>12</v>
      </c>
      <c r="C494" s="5">
        <v>42957</v>
      </c>
      <c r="D494" s="2">
        <v>140</v>
      </c>
      <c r="E494">
        <f>SUMIFS(CA_Feed!F:F, CA_Feed!B:B, B494, CA_Feed!E:E, "*DIVIDEND*", CA_Feed!D:D, "&gt;="&amp;C494)</f>
        <v>19</v>
      </c>
      <c r="F494">
        <f t="shared" si="63"/>
        <v>2660</v>
      </c>
      <c r="G494">
        <f t="shared" si="64"/>
        <v>266</v>
      </c>
      <c r="H494">
        <f t="shared" si="65"/>
        <v>2394</v>
      </c>
      <c r="I494">
        <f>D494 * SUMIFS(CA_Feed!G:G, CA_Feed!B:B, B494, CA_Feed!E:E, "*BONUS*", CA_Feed!D:D, "&gt;="&amp;C494)</f>
        <v>0</v>
      </c>
      <c r="J494">
        <f t="shared" si="66"/>
        <v>0</v>
      </c>
      <c r="K494">
        <f t="shared" si="67"/>
        <v>0</v>
      </c>
      <c r="L494">
        <f>IF(K494&gt;0, K494 * VLOOKUP(B494, CA_Feed!B:N, 13, FALSE), 0)</f>
        <v>0</v>
      </c>
      <c r="M494">
        <f t="shared" si="62"/>
        <v>2394</v>
      </c>
      <c r="N494" s="2">
        <f t="shared" si="61"/>
        <v>0</v>
      </c>
      <c r="O494" t="str">
        <f>IF(COUNTIFS(CA_Feed!B:B, B494)=0, "No Action Announced", IF(COUNTIFS(CA_Feed!B:B, B494, CA_Feed!D:D, "&gt;="&amp;C494)&gt;0, "Processed (Eligible)", "Ineligible (Post Ex-Date)"))</f>
        <v>Processed (Eligible)</v>
      </c>
    </row>
    <row r="495" spans="1:15" x14ac:dyDescent="0.3">
      <c r="A495" t="s">
        <v>571</v>
      </c>
      <c r="B495" t="s">
        <v>45</v>
      </c>
      <c r="C495" s="5">
        <v>45188</v>
      </c>
      <c r="D495" s="2">
        <v>1900</v>
      </c>
      <c r="E495">
        <f>SUMIFS(CA_Feed!F:F, CA_Feed!B:B, B495, CA_Feed!E:E, "*DIVIDEND*", CA_Feed!D:D, "&gt;="&amp;C495)</f>
        <v>2.5</v>
      </c>
      <c r="F495">
        <f t="shared" si="63"/>
        <v>4750</v>
      </c>
      <c r="G495">
        <f t="shared" si="64"/>
        <v>475</v>
      </c>
      <c r="H495">
        <f t="shared" si="65"/>
        <v>4275</v>
      </c>
      <c r="I495">
        <f>D495 * SUMIFS(CA_Feed!G:G, CA_Feed!B:B, B495, CA_Feed!E:E, "*BONUS*", CA_Feed!D:D, "&gt;="&amp;C495)</f>
        <v>0</v>
      </c>
      <c r="J495">
        <f t="shared" si="66"/>
        <v>0</v>
      </c>
      <c r="K495">
        <f t="shared" si="67"/>
        <v>0</v>
      </c>
      <c r="L495">
        <f>IF(K495&gt;0, K495 * VLOOKUP(B495, CA_Feed!B:N, 13, FALSE), 0)</f>
        <v>0</v>
      </c>
      <c r="M495">
        <f t="shared" si="62"/>
        <v>4275</v>
      </c>
      <c r="N495" s="2">
        <f t="shared" si="61"/>
        <v>0</v>
      </c>
      <c r="O495" t="str">
        <f>IF(COUNTIFS(CA_Feed!B:B, B495)=0, "No Action Announced", IF(COUNTIFS(CA_Feed!B:B, B495, CA_Feed!D:D, "&gt;="&amp;C495)&gt;0, "Processed (Eligible)", "Ineligible (Post Ex-Date)"))</f>
        <v>Processed (Eligible)</v>
      </c>
    </row>
    <row r="496" spans="1:15" x14ac:dyDescent="0.3">
      <c r="A496" t="s">
        <v>748</v>
      </c>
      <c r="B496" t="s">
        <v>12</v>
      </c>
      <c r="C496" s="5">
        <v>42865</v>
      </c>
      <c r="D496" s="2">
        <v>140</v>
      </c>
      <c r="E496">
        <f>SUMIFS(CA_Feed!F:F, CA_Feed!B:B, B496, CA_Feed!E:E, "*DIVIDEND*", CA_Feed!D:D, "&gt;="&amp;C496)</f>
        <v>19</v>
      </c>
      <c r="F496">
        <f t="shared" si="63"/>
        <v>2660</v>
      </c>
      <c r="G496">
        <f t="shared" si="64"/>
        <v>266</v>
      </c>
      <c r="H496">
        <f t="shared" si="65"/>
        <v>2394</v>
      </c>
      <c r="I496">
        <f>D496 * SUMIFS(CA_Feed!G:G, CA_Feed!B:B, B496, CA_Feed!E:E, "*BONUS*", CA_Feed!D:D, "&gt;="&amp;C496)</f>
        <v>0</v>
      </c>
      <c r="J496">
        <f t="shared" si="66"/>
        <v>0</v>
      </c>
      <c r="K496">
        <f t="shared" si="67"/>
        <v>0</v>
      </c>
      <c r="L496">
        <f>IF(K496&gt;0, K496 * VLOOKUP(B496, CA_Feed!B:N, 13, FALSE), 0)</f>
        <v>0</v>
      </c>
      <c r="M496">
        <f t="shared" si="62"/>
        <v>2394</v>
      </c>
      <c r="N496" s="2">
        <f t="shared" si="61"/>
        <v>0</v>
      </c>
      <c r="O496" t="str">
        <f>IF(COUNTIFS(CA_Feed!B:B, B496)=0, "No Action Announced", IF(COUNTIFS(CA_Feed!B:B, B496, CA_Feed!D:D, "&gt;="&amp;C496)&gt;0, "Processed (Eligible)", "Ineligible (Post Ex-Date)"))</f>
        <v>Processed (Eligible)</v>
      </c>
    </row>
    <row r="497" spans="1:15" x14ac:dyDescent="0.3">
      <c r="A497" t="s">
        <v>573</v>
      </c>
      <c r="B497" t="s">
        <v>25</v>
      </c>
      <c r="C497" s="5">
        <v>45311</v>
      </c>
      <c r="D497" s="2">
        <v>7800</v>
      </c>
      <c r="E497">
        <f>SUMIFS(CA_Feed!F:F, CA_Feed!B:B, B497, CA_Feed!E:E, "*DIVIDEND*", CA_Feed!D:D, "&gt;="&amp;C497)</f>
        <v>2.5</v>
      </c>
      <c r="F497">
        <f t="shared" si="63"/>
        <v>19500</v>
      </c>
      <c r="G497">
        <f t="shared" si="64"/>
        <v>1950</v>
      </c>
      <c r="H497">
        <f t="shared" si="65"/>
        <v>17550</v>
      </c>
      <c r="I497">
        <f>D497 * SUMIFS(CA_Feed!G:G, CA_Feed!B:B, B497, CA_Feed!E:E, "*BONUS*", CA_Feed!D:D, "&gt;="&amp;C497)</f>
        <v>0</v>
      </c>
      <c r="J497">
        <f t="shared" si="66"/>
        <v>0</v>
      </c>
      <c r="K497">
        <f t="shared" si="67"/>
        <v>0</v>
      </c>
      <c r="L497">
        <f>IF(K497&gt;0, K497 * VLOOKUP(B497, CA_Feed!B:N, 13, FALSE), 0)</f>
        <v>0</v>
      </c>
      <c r="M497">
        <f t="shared" ref="M497:M546" si="68">H497 + L497</f>
        <v>17550</v>
      </c>
      <c r="N497" s="2">
        <f t="shared" si="61"/>
        <v>0</v>
      </c>
      <c r="O497" t="str">
        <f>IF(COUNTIFS(CA_Feed!B:B, B497)=0, "No Action Announced", IF(COUNTIFS(CA_Feed!B:B, B497, CA_Feed!D:D, "&gt;="&amp;C497)&gt;0, "Processed (Eligible)", "Ineligible (Post Ex-Date)"))</f>
        <v>Processed (Eligible)</v>
      </c>
    </row>
    <row r="498" spans="1:15" x14ac:dyDescent="0.3">
      <c r="A498" t="s">
        <v>84</v>
      </c>
      <c r="B498" t="s">
        <v>12</v>
      </c>
      <c r="C498" s="5">
        <v>42771</v>
      </c>
      <c r="D498" s="2">
        <v>140</v>
      </c>
      <c r="E498">
        <f>SUMIFS(CA_Feed!F:F, CA_Feed!B:B, B498, CA_Feed!E:E, "*DIVIDEND*", CA_Feed!D:D, "&gt;="&amp;C498)</f>
        <v>19</v>
      </c>
      <c r="F498">
        <f t="shared" ref="F498:F547" si="69">D498 * E498</f>
        <v>2660</v>
      </c>
      <c r="G498">
        <f t="shared" ref="G498:G547" si="70">F498 * 0.1</f>
        <v>266</v>
      </c>
      <c r="H498">
        <f t="shared" ref="H498:H547" si="71">F498 - G498</f>
        <v>2394</v>
      </c>
      <c r="I498">
        <f>D498 * SUMIFS(CA_Feed!G:G, CA_Feed!B:B, B498, CA_Feed!E:E, "*BONUS*", CA_Feed!D:D, "&gt;="&amp;C498)</f>
        <v>0</v>
      </c>
      <c r="J498">
        <f t="shared" ref="J498:J547" si="72">INT(I498)</f>
        <v>0</v>
      </c>
      <c r="K498">
        <f t="shared" ref="K498:K547" si="73">I498-J498</f>
        <v>0</v>
      </c>
      <c r="L498">
        <f>IF(K498&gt;0, K498 * VLOOKUP(B498, CA_Feed!B:N, 13, FALSE), 0)</f>
        <v>0</v>
      </c>
      <c r="M498">
        <f t="shared" si="68"/>
        <v>2394</v>
      </c>
      <c r="N498" s="2">
        <f t="shared" si="61"/>
        <v>0</v>
      </c>
      <c r="O498" t="str">
        <f>IF(COUNTIFS(CA_Feed!B:B, B498)=0, "No Action Announced", IF(COUNTIFS(CA_Feed!B:B, B498, CA_Feed!D:D, "&gt;="&amp;C498)&gt;0, "Processed (Eligible)", "Ineligible (Post Ex-Date)"))</f>
        <v>Processed (Eligible)</v>
      </c>
    </row>
    <row r="499" spans="1:15" x14ac:dyDescent="0.3">
      <c r="A499" t="s">
        <v>575</v>
      </c>
      <c r="B499" t="s">
        <v>45</v>
      </c>
      <c r="C499" s="5">
        <v>42894</v>
      </c>
      <c r="D499" s="2">
        <v>3300</v>
      </c>
      <c r="E499">
        <f>SUMIFS(CA_Feed!F:F, CA_Feed!B:B, B499, CA_Feed!E:E, "*DIVIDEND*", CA_Feed!D:D, "&gt;="&amp;C499)</f>
        <v>2.5</v>
      </c>
      <c r="F499">
        <f t="shared" si="69"/>
        <v>8250</v>
      </c>
      <c r="G499">
        <f t="shared" si="70"/>
        <v>825</v>
      </c>
      <c r="H499">
        <f t="shared" si="71"/>
        <v>7425</v>
      </c>
      <c r="I499">
        <f>D499 * SUMIFS(CA_Feed!G:G, CA_Feed!B:B, B499, CA_Feed!E:E, "*BONUS*", CA_Feed!D:D, "&gt;="&amp;C499)</f>
        <v>0</v>
      </c>
      <c r="J499">
        <f t="shared" si="72"/>
        <v>0</v>
      </c>
      <c r="K499">
        <f t="shared" si="73"/>
        <v>0</v>
      </c>
      <c r="L499">
        <f>IF(K499&gt;0, K499 * VLOOKUP(B499, CA_Feed!B:N, 13, FALSE), 0)</f>
        <v>0</v>
      </c>
      <c r="M499">
        <f t="shared" si="68"/>
        <v>7425</v>
      </c>
      <c r="N499" s="2">
        <f t="shared" si="61"/>
        <v>0</v>
      </c>
      <c r="O499" t="str">
        <f>IF(COUNTIFS(CA_Feed!B:B, B499)=0, "No Action Announced", IF(COUNTIFS(CA_Feed!B:B, B499, CA_Feed!D:D, "&gt;="&amp;C499)&gt;0, "Processed (Eligible)", "Ineligible (Post Ex-Date)"))</f>
        <v>Processed (Eligible)</v>
      </c>
    </row>
    <row r="500" spans="1:15" x14ac:dyDescent="0.3">
      <c r="A500" t="s">
        <v>576</v>
      </c>
      <c r="B500" t="s">
        <v>16</v>
      </c>
      <c r="C500" s="5">
        <v>42039</v>
      </c>
      <c r="D500" s="2">
        <v>4000</v>
      </c>
      <c r="E500">
        <f>SUMIFS(CA_Feed!F:F, CA_Feed!B:B, B500, CA_Feed!E:E, "*DIVIDEND*", CA_Feed!D:D, "&gt;="&amp;C500)</f>
        <v>3.75</v>
      </c>
      <c r="F500">
        <f t="shared" si="69"/>
        <v>15000</v>
      </c>
      <c r="G500">
        <f t="shared" si="70"/>
        <v>1500</v>
      </c>
      <c r="H500">
        <f t="shared" si="71"/>
        <v>13500</v>
      </c>
      <c r="I500">
        <f>D500 * SUMIFS(CA_Feed!G:G, CA_Feed!B:B, B500, CA_Feed!E:E, "*BONUS*", CA_Feed!D:D, "&gt;="&amp;C500)</f>
        <v>0</v>
      </c>
      <c r="J500">
        <f t="shared" si="72"/>
        <v>0</v>
      </c>
      <c r="K500">
        <f t="shared" si="73"/>
        <v>0</v>
      </c>
      <c r="L500">
        <f>IF(K500&gt;0, K500 * VLOOKUP(B500, CA_Feed!B:N, 13, FALSE), 0)</f>
        <v>0</v>
      </c>
      <c r="M500">
        <f t="shared" si="68"/>
        <v>13500</v>
      </c>
      <c r="N500" s="2">
        <f t="shared" si="61"/>
        <v>0</v>
      </c>
      <c r="O500" t="str">
        <f>IF(COUNTIFS(CA_Feed!B:B, B500)=0, "No Action Announced", IF(COUNTIFS(CA_Feed!B:B, B500, CA_Feed!D:D, "&gt;="&amp;C500)&gt;0, "Processed (Eligible)", "Ineligible (Post Ex-Date)"))</f>
        <v>Processed (Eligible)</v>
      </c>
    </row>
    <row r="501" spans="1:15" x14ac:dyDescent="0.3">
      <c r="A501" t="s">
        <v>577</v>
      </c>
      <c r="B501" t="s">
        <v>31</v>
      </c>
      <c r="C501" s="5">
        <v>42440</v>
      </c>
      <c r="D501" s="2">
        <v>1750</v>
      </c>
      <c r="E501">
        <f>SUMIFS(CA_Feed!F:F, CA_Feed!B:B, B501, CA_Feed!E:E, "*DIVIDEND*", CA_Feed!D:D, "&gt;="&amp;C501)</f>
        <v>3</v>
      </c>
      <c r="F501">
        <f t="shared" si="69"/>
        <v>5250</v>
      </c>
      <c r="G501">
        <f t="shared" si="70"/>
        <v>525</v>
      </c>
      <c r="H501">
        <f t="shared" si="71"/>
        <v>4725</v>
      </c>
      <c r="I501">
        <f>D501 * SUMIFS(CA_Feed!G:G, CA_Feed!B:B, B501, CA_Feed!E:E, "*BONUS*", CA_Feed!D:D, "&gt;="&amp;C501)</f>
        <v>0</v>
      </c>
      <c r="J501">
        <f t="shared" si="72"/>
        <v>0</v>
      </c>
      <c r="K501">
        <f t="shared" si="73"/>
        <v>0</v>
      </c>
      <c r="L501">
        <f>IF(K501&gt;0, K501 * VLOOKUP(B501, CA_Feed!B:N, 13, FALSE), 0)</f>
        <v>0</v>
      </c>
      <c r="M501">
        <f t="shared" si="68"/>
        <v>4725</v>
      </c>
      <c r="N501" s="2">
        <f t="shared" si="61"/>
        <v>0</v>
      </c>
      <c r="O501" t="str">
        <f>IF(COUNTIFS(CA_Feed!B:B, B501)=0, "No Action Announced", IF(COUNTIFS(CA_Feed!B:B, B501, CA_Feed!D:D, "&gt;="&amp;C501)&gt;0, "Processed (Eligible)", "Ineligible (Post Ex-Date)"))</f>
        <v>Processed (Eligible)</v>
      </c>
    </row>
    <row r="502" spans="1:15" x14ac:dyDescent="0.3">
      <c r="A502" t="s">
        <v>578</v>
      </c>
      <c r="B502" t="s">
        <v>19</v>
      </c>
      <c r="C502" s="5">
        <v>43710</v>
      </c>
      <c r="D502" s="2">
        <v>8850</v>
      </c>
      <c r="E502">
        <f>SUMIFS(CA_Feed!F:F, CA_Feed!B:B, B502, CA_Feed!E:E, "*DIVIDEND*", CA_Feed!D:D, "&gt;="&amp;C502)</f>
        <v>1.5</v>
      </c>
      <c r="F502">
        <f t="shared" si="69"/>
        <v>13275</v>
      </c>
      <c r="G502">
        <f t="shared" si="70"/>
        <v>1327.5</v>
      </c>
      <c r="H502">
        <f t="shared" si="71"/>
        <v>11947.5</v>
      </c>
      <c r="I502">
        <f>D502 * SUMIFS(CA_Feed!G:G, CA_Feed!B:B, B502, CA_Feed!E:E, "*BONUS*", CA_Feed!D:D, "&gt;="&amp;C502)</f>
        <v>0</v>
      </c>
      <c r="J502">
        <f t="shared" si="72"/>
        <v>0</v>
      </c>
      <c r="K502">
        <f t="shared" si="73"/>
        <v>0</v>
      </c>
      <c r="L502">
        <f>IF(K502&gt;0, K502 * VLOOKUP(B502, CA_Feed!B:N, 13, FALSE), 0)</f>
        <v>0</v>
      </c>
      <c r="M502">
        <f t="shared" si="68"/>
        <v>11947.5</v>
      </c>
      <c r="N502" s="2">
        <f t="shared" si="61"/>
        <v>0</v>
      </c>
      <c r="O502" t="str">
        <f>IF(COUNTIFS(CA_Feed!B:B, B502)=0, "No Action Announced", IF(COUNTIFS(CA_Feed!B:B, B502, CA_Feed!D:D, "&gt;="&amp;C502)&gt;0, "Processed (Eligible)", "Ineligible (Post Ex-Date)"))</f>
        <v>Processed (Eligible)</v>
      </c>
    </row>
    <row r="503" spans="1:15" x14ac:dyDescent="0.3">
      <c r="A503" t="s">
        <v>579</v>
      </c>
      <c r="B503" t="s">
        <v>45</v>
      </c>
      <c r="C503" s="5">
        <v>43410</v>
      </c>
      <c r="D503" s="2">
        <v>8550</v>
      </c>
      <c r="E503">
        <f>SUMIFS(CA_Feed!F:F, CA_Feed!B:B, B503, CA_Feed!E:E, "*DIVIDEND*", CA_Feed!D:D, "&gt;="&amp;C503)</f>
        <v>2.5</v>
      </c>
      <c r="F503">
        <f t="shared" si="69"/>
        <v>21375</v>
      </c>
      <c r="G503">
        <f t="shared" si="70"/>
        <v>2137.5</v>
      </c>
      <c r="H503">
        <f t="shared" si="71"/>
        <v>19237.5</v>
      </c>
      <c r="I503">
        <f>D503 * SUMIFS(CA_Feed!G:G, CA_Feed!B:B, B503, CA_Feed!E:E, "*BONUS*", CA_Feed!D:D, "&gt;="&amp;C503)</f>
        <v>0</v>
      </c>
      <c r="J503">
        <f t="shared" si="72"/>
        <v>0</v>
      </c>
      <c r="K503">
        <f t="shared" si="73"/>
        <v>0</v>
      </c>
      <c r="L503">
        <f>IF(K503&gt;0, K503 * VLOOKUP(B503, CA_Feed!B:N, 13, FALSE), 0)</f>
        <v>0</v>
      </c>
      <c r="M503">
        <f t="shared" si="68"/>
        <v>19237.5</v>
      </c>
      <c r="N503" s="2">
        <f t="shared" si="61"/>
        <v>0</v>
      </c>
      <c r="O503" t="str">
        <f>IF(COUNTIFS(CA_Feed!B:B, B503)=0, "No Action Announced", IF(COUNTIFS(CA_Feed!B:B, B503, CA_Feed!D:D, "&gt;="&amp;C503)&gt;0, "Processed (Eligible)", "Ineligible (Post Ex-Date)"))</f>
        <v>Processed (Eligible)</v>
      </c>
    </row>
    <row r="504" spans="1:15" x14ac:dyDescent="0.3">
      <c r="A504" t="s">
        <v>580</v>
      </c>
      <c r="B504" t="s">
        <v>31</v>
      </c>
      <c r="C504" s="5">
        <v>43331</v>
      </c>
      <c r="D504" s="2">
        <v>5200</v>
      </c>
      <c r="E504">
        <f>SUMIFS(CA_Feed!F:F, CA_Feed!B:B, B504, CA_Feed!E:E, "*DIVIDEND*", CA_Feed!D:D, "&gt;="&amp;C504)</f>
        <v>3</v>
      </c>
      <c r="F504">
        <f t="shared" si="69"/>
        <v>15600</v>
      </c>
      <c r="G504">
        <f t="shared" si="70"/>
        <v>1560</v>
      </c>
      <c r="H504">
        <f t="shared" si="71"/>
        <v>14040</v>
      </c>
      <c r="I504">
        <f>D504 * SUMIFS(CA_Feed!G:G, CA_Feed!B:B, B504, CA_Feed!E:E, "*BONUS*", CA_Feed!D:D, "&gt;="&amp;C504)</f>
        <v>0</v>
      </c>
      <c r="J504">
        <f t="shared" si="72"/>
        <v>0</v>
      </c>
      <c r="K504">
        <f t="shared" si="73"/>
        <v>0</v>
      </c>
      <c r="L504">
        <f>IF(K504&gt;0, K504 * VLOOKUP(B504, CA_Feed!B:N, 13, FALSE), 0)</f>
        <v>0</v>
      </c>
      <c r="M504">
        <f t="shared" si="68"/>
        <v>14040</v>
      </c>
      <c r="N504" s="2">
        <f t="shared" si="61"/>
        <v>0</v>
      </c>
      <c r="O504" t="str">
        <f>IF(COUNTIFS(CA_Feed!B:B, B504)=0, "No Action Announced", IF(COUNTIFS(CA_Feed!B:B, B504, CA_Feed!D:D, "&gt;="&amp;C504)&gt;0, "Processed (Eligible)", "Ineligible (Post Ex-Date)"))</f>
        <v>Processed (Eligible)</v>
      </c>
    </row>
    <row r="505" spans="1:15" x14ac:dyDescent="0.3">
      <c r="A505" t="s">
        <v>581</v>
      </c>
      <c r="B505" t="s">
        <v>41</v>
      </c>
      <c r="C505" s="5">
        <v>42431</v>
      </c>
      <c r="D505" s="2">
        <v>1800</v>
      </c>
      <c r="E505">
        <f>SUMIFS(CA_Feed!F:F, CA_Feed!B:B, B505, CA_Feed!E:E, "*DIVIDEND*", CA_Feed!D:D, "&gt;="&amp;C505)</f>
        <v>0.2</v>
      </c>
      <c r="F505">
        <f t="shared" si="69"/>
        <v>360</v>
      </c>
      <c r="G505">
        <f t="shared" si="70"/>
        <v>36</v>
      </c>
      <c r="H505">
        <f t="shared" si="71"/>
        <v>324</v>
      </c>
      <c r="I505">
        <f>D505 * SUMIFS(CA_Feed!G:G, CA_Feed!B:B, B505, CA_Feed!E:E, "*BONUS*", CA_Feed!D:D, "&gt;="&amp;C505)</f>
        <v>0</v>
      </c>
      <c r="J505">
        <f t="shared" si="72"/>
        <v>0</v>
      </c>
      <c r="K505">
        <f t="shared" si="73"/>
        <v>0</v>
      </c>
      <c r="L505">
        <f>IF(K505&gt;0, K505 * VLOOKUP(B505, CA_Feed!B:N, 13, FALSE), 0)</f>
        <v>0</v>
      </c>
      <c r="M505">
        <f t="shared" si="68"/>
        <v>324</v>
      </c>
      <c r="N505" s="2">
        <f t="shared" si="61"/>
        <v>0</v>
      </c>
      <c r="O505" t="str">
        <f>IF(COUNTIFS(CA_Feed!B:B, B505)=0, "No Action Announced", IF(COUNTIFS(CA_Feed!B:B, B505, CA_Feed!D:D, "&gt;="&amp;C505)&gt;0, "Processed (Eligible)", "Ineligible (Post Ex-Date)"))</f>
        <v>Processed (Eligible)</v>
      </c>
    </row>
    <row r="506" spans="1:15" x14ac:dyDescent="0.3">
      <c r="A506" t="s">
        <v>582</v>
      </c>
      <c r="B506" t="s">
        <v>23</v>
      </c>
      <c r="C506" s="5">
        <v>42426</v>
      </c>
      <c r="D506" s="2">
        <v>6850</v>
      </c>
      <c r="E506">
        <f>SUMIFS(CA_Feed!F:F, CA_Feed!B:B, B506, CA_Feed!E:E, "*DIVIDEND*", CA_Feed!D:D, "&gt;="&amp;C506)</f>
        <v>1.5000000000000002</v>
      </c>
      <c r="F506">
        <f t="shared" si="69"/>
        <v>10275.000000000002</v>
      </c>
      <c r="G506">
        <f t="shared" si="70"/>
        <v>1027.5000000000002</v>
      </c>
      <c r="H506">
        <f t="shared" si="71"/>
        <v>9247.5000000000018</v>
      </c>
      <c r="I506">
        <f>D506 * SUMIFS(CA_Feed!G:G, CA_Feed!B:B, B506, CA_Feed!E:E, "*BONUS*", CA_Feed!D:D, "&gt;="&amp;C506)</f>
        <v>0</v>
      </c>
      <c r="J506">
        <f t="shared" si="72"/>
        <v>0</v>
      </c>
      <c r="K506">
        <f t="shared" si="73"/>
        <v>0</v>
      </c>
      <c r="L506">
        <f>IF(K506&gt;0, K506 * VLOOKUP(B506, CA_Feed!B:N, 13, FALSE), 0)</f>
        <v>0</v>
      </c>
      <c r="M506">
        <f t="shared" si="68"/>
        <v>9247.5000000000018</v>
      </c>
      <c r="N506" s="2">
        <f t="shared" si="61"/>
        <v>0</v>
      </c>
      <c r="O506" t="str">
        <f>IF(COUNTIFS(CA_Feed!B:B, B506)=0, "No Action Announced", IF(COUNTIFS(CA_Feed!B:B, B506, CA_Feed!D:D, "&gt;="&amp;C506)&gt;0, "Processed (Eligible)", "Ineligible (Post Ex-Date)"))</f>
        <v>Processed (Eligible)</v>
      </c>
    </row>
    <row r="507" spans="1:15" x14ac:dyDescent="0.3">
      <c r="A507" t="s">
        <v>583</v>
      </c>
      <c r="B507" t="s">
        <v>31</v>
      </c>
      <c r="C507" s="5">
        <v>45081</v>
      </c>
      <c r="D507" s="2">
        <v>5450</v>
      </c>
      <c r="E507">
        <f>SUMIFS(CA_Feed!F:F, CA_Feed!B:B, B507, CA_Feed!E:E, "*DIVIDEND*", CA_Feed!D:D, "&gt;="&amp;C507)</f>
        <v>3</v>
      </c>
      <c r="F507">
        <f t="shared" si="69"/>
        <v>16350</v>
      </c>
      <c r="G507">
        <f t="shared" si="70"/>
        <v>1635</v>
      </c>
      <c r="H507">
        <f t="shared" si="71"/>
        <v>14715</v>
      </c>
      <c r="I507">
        <f>D507 * SUMIFS(CA_Feed!G:G, CA_Feed!B:B, B507, CA_Feed!E:E, "*BONUS*", CA_Feed!D:D, "&gt;="&amp;C507)</f>
        <v>0</v>
      </c>
      <c r="J507">
        <f t="shared" si="72"/>
        <v>0</v>
      </c>
      <c r="K507">
        <f t="shared" si="73"/>
        <v>0</v>
      </c>
      <c r="L507">
        <f>IF(K507&gt;0, K507 * VLOOKUP(B507, CA_Feed!B:N, 13, FALSE), 0)</f>
        <v>0</v>
      </c>
      <c r="M507">
        <f t="shared" si="68"/>
        <v>14715</v>
      </c>
      <c r="N507" s="2">
        <f t="shared" si="61"/>
        <v>0</v>
      </c>
      <c r="O507" t="str">
        <f>IF(COUNTIFS(CA_Feed!B:B, B507)=0, "No Action Announced", IF(COUNTIFS(CA_Feed!B:B, B507, CA_Feed!D:D, "&gt;="&amp;C507)&gt;0, "Processed (Eligible)", "Ineligible (Post Ex-Date)"))</f>
        <v>Processed (Eligible)</v>
      </c>
    </row>
    <row r="508" spans="1:15" x14ac:dyDescent="0.3">
      <c r="A508" t="s">
        <v>584</v>
      </c>
      <c r="B508" t="s">
        <v>37</v>
      </c>
      <c r="C508" s="5">
        <v>42952</v>
      </c>
      <c r="D508" s="2">
        <v>2900</v>
      </c>
      <c r="E508">
        <f>SUMIFS(CA_Feed!F:F, CA_Feed!B:B, B508, CA_Feed!E:E, "*DIVIDEND*", CA_Feed!D:D, "&gt;="&amp;C508)</f>
        <v>6.5</v>
      </c>
      <c r="F508">
        <f t="shared" si="69"/>
        <v>18850</v>
      </c>
      <c r="G508">
        <f t="shared" si="70"/>
        <v>1885</v>
      </c>
      <c r="H508">
        <f t="shared" si="71"/>
        <v>16965</v>
      </c>
      <c r="I508">
        <f>D508 * SUMIFS(CA_Feed!G:G, CA_Feed!B:B, B508, CA_Feed!E:E, "*BONUS*", CA_Feed!D:D, "&gt;="&amp;C508)</f>
        <v>0</v>
      </c>
      <c r="J508">
        <f t="shared" si="72"/>
        <v>0</v>
      </c>
      <c r="K508">
        <f t="shared" si="73"/>
        <v>0</v>
      </c>
      <c r="L508">
        <f>IF(K508&gt;0, K508 * VLOOKUP(B508, CA_Feed!B:N, 13, FALSE), 0)</f>
        <v>0</v>
      </c>
      <c r="M508">
        <f t="shared" si="68"/>
        <v>16965</v>
      </c>
      <c r="N508" s="2">
        <f t="shared" si="61"/>
        <v>0</v>
      </c>
      <c r="O508" t="str">
        <f>IF(COUNTIFS(CA_Feed!B:B, B508)=0, "No Action Announced", IF(COUNTIFS(CA_Feed!B:B, B508, CA_Feed!D:D, "&gt;="&amp;C508)&gt;0, "Processed (Eligible)", "Ineligible (Post Ex-Date)"))</f>
        <v>Processed (Eligible)</v>
      </c>
    </row>
    <row r="509" spans="1:15" x14ac:dyDescent="0.3">
      <c r="A509" t="s">
        <v>585</v>
      </c>
      <c r="B509" t="s">
        <v>21</v>
      </c>
      <c r="C509" s="5">
        <v>45187</v>
      </c>
      <c r="D509" s="2">
        <v>2550</v>
      </c>
      <c r="E509">
        <f>SUMIFS(CA_Feed!F:F, CA_Feed!B:B, B509, CA_Feed!E:E, "*DIVIDEND*", CA_Feed!D:D, "&gt;="&amp;C509)</f>
        <v>1</v>
      </c>
      <c r="F509">
        <f t="shared" si="69"/>
        <v>2550</v>
      </c>
      <c r="G509">
        <f t="shared" si="70"/>
        <v>255</v>
      </c>
      <c r="H509">
        <f t="shared" si="71"/>
        <v>2295</v>
      </c>
      <c r="I509">
        <f>D509 * SUMIFS(CA_Feed!G:G, CA_Feed!B:B, B509, CA_Feed!E:E, "*BONUS*", CA_Feed!D:D, "&gt;="&amp;C509)</f>
        <v>0</v>
      </c>
      <c r="J509">
        <f t="shared" si="72"/>
        <v>0</v>
      </c>
      <c r="K509">
        <f t="shared" si="73"/>
        <v>0</v>
      </c>
      <c r="L509">
        <f>IF(K509&gt;0, K509 * VLOOKUP(B509, CA_Feed!B:N, 13, FALSE), 0)</f>
        <v>0</v>
      </c>
      <c r="M509">
        <f t="shared" si="68"/>
        <v>2295</v>
      </c>
      <c r="N509" s="2">
        <f t="shared" si="61"/>
        <v>0</v>
      </c>
      <c r="O509" t="str">
        <f>IF(COUNTIFS(CA_Feed!B:B, B509)=0, "No Action Announced", IF(COUNTIFS(CA_Feed!B:B, B509, CA_Feed!D:D, "&gt;="&amp;C509)&gt;0, "Processed (Eligible)", "Ineligible (Post Ex-Date)"))</f>
        <v>Processed (Eligible)</v>
      </c>
    </row>
    <row r="510" spans="1:15" x14ac:dyDescent="0.3">
      <c r="A510" t="s">
        <v>586</v>
      </c>
      <c r="B510" t="s">
        <v>57</v>
      </c>
      <c r="C510" s="5">
        <v>42322</v>
      </c>
      <c r="D510" s="2">
        <v>750</v>
      </c>
      <c r="E510">
        <f>SUMIFS(CA_Feed!F:F, CA_Feed!B:B, B510, CA_Feed!E:E, "*DIVIDEND*", CA_Feed!D:D, "&gt;="&amp;C510)</f>
        <v>0.02</v>
      </c>
      <c r="F510">
        <f t="shared" si="69"/>
        <v>15</v>
      </c>
      <c r="G510">
        <f t="shared" si="70"/>
        <v>1.5</v>
      </c>
      <c r="H510">
        <f t="shared" si="71"/>
        <v>13.5</v>
      </c>
      <c r="I510">
        <f>D510 * SUMIFS(CA_Feed!G:G, CA_Feed!B:B, B510, CA_Feed!E:E, "*BONUS*", CA_Feed!D:D, "&gt;="&amp;C510)</f>
        <v>0</v>
      </c>
      <c r="J510">
        <f t="shared" si="72"/>
        <v>0</v>
      </c>
      <c r="K510">
        <f t="shared" si="73"/>
        <v>0</v>
      </c>
      <c r="L510">
        <f>IF(K510&gt;0, K510 * VLOOKUP(B510, CA_Feed!B:N, 13, FALSE), 0)</f>
        <v>0</v>
      </c>
      <c r="M510">
        <f t="shared" si="68"/>
        <v>13.5</v>
      </c>
      <c r="N510" s="2">
        <f t="shared" si="61"/>
        <v>0</v>
      </c>
      <c r="O510" t="str">
        <f>IF(COUNTIFS(CA_Feed!B:B, B510)=0, "No Action Announced", IF(COUNTIFS(CA_Feed!B:B, B510, CA_Feed!D:D, "&gt;="&amp;C510)&gt;0, "Processed (Eligible)", "Ineligible (Post Ex-Date)"))</f>
        <v>Processed (Eligible)</v>
      </c>
    </row>
    <row r="511" spans="1:15" x14ac:dyDescent="0.3">
      <c r="A511" t="s">
        <v>587</v>
      </c>
      <c r="B511" t="s">
        <v>41</v>
      </c>
      <c r="C511" s="5">
        <v>44730</v>
      </c>
      <c r="D511" s="2">
        <v>9450</v>
      </c>
      <c r="E511">
        <f>SUMIFS(CA_Feed!F:F, CA_Feed!B:B, B511, CA_Feed!E:E, "*DIVIDEND*", CA_Feed!D:D, "&gt;="&amp;C511)</f>
        <v>0.2</v>
      </c>
      <c r="F511">
        <f t="shared" si="69"/>
        <v>1890</v>
      </c>
      <c r="G511">
        <f t="shared" si="70"/>
        <v>189</v>
      </c>
      <c r="H511">
        <f t="shared" si="71"/>
        <v>1701</v>
      </c>
      <c r="I511">
        <f>D511 * SUMIFS(CA_Feed!G:G, CA_Feed!B:B, B511, CA_Feed!E:E, "*BONUS*", CA_Feed!D:D, "&gt;="&amp;C511)</f>
        <v>0</v>
      </c>
      <c r="J511">
        <f t="shared" si="72"/>
        <v>0</v>
      </c>
      <c r="K511">
        <f t="shared" si="73"/>
        <v>0</v>
      </c>
      <c r="L511">
        <f>IF(K511&gt;0, K511 * VLOOKUP(B511, CA_Feed!B:N, 13, FALSE), 0)</f>
        <v>0</v>
      </c>
      <c r="M511">
        <f t="shared" si="68"/>
        <v>1701</v>
      </c>
      <c r="N511" s="2">
        <f t="shared" si="61"/>
        <v>0</v>
      </c>
      <c r="O511" t="str">
        <f>IF(COUNTIFS(CA_Feed!B:B, B511)=0, "No Action Announced", IF(COUNTIFS(CA_Feed!B:B, B511, CA_Feed!D:D, "&gt;="&amp;C511)&gt;0, "Processed (Eligible)", "Ineligible (Post Ex-Date)"))</f>
        <v>Processed (Eligible)</v>
      </c>
    </row>
    <row r="512" spans="1:15" x14ac:dyDescent="0.3">
      <c r="A512" t="s">
        <v>588</v>
      </c>
      <c r="B512" t="s">
        <v>45</v>
      </c>
      <c r="C512" s="5">
        <v>43475</v>
      </c>
      <c r="D512" s="2">
        <v>2500</v>
      </c>
      <c r="E512">
        <f>SUMIFS(CA_Feed!F:F, CA_Feed!B:B, B512, CA_Feed!E:E, "*DIVIDEND*", CA_Feed!D:D, "&gt;="&amp;C512)</f>
        <v>2.5</v>
      </c>
      <c r="F512">
        <f t="shared" si="69"/>
        <v>6250</v>
      </c>
      <c r="G512">
        <f t="shared" si="70"/>
        <v>625</v>
      </c>
      <c r="H512">
        <f t="shared" si="71"/>
        <v>5625</v>
      </c>
      <c r="I512">
        <f>D512 * SUMIFS(CA_Feed!G:G, CA_Feed!B:B, B512, CA_Feed!E:E, "*BONUS*", CA_Feed!D:D, "&gt;="&amp;C512)</f>
        <v>0</v>
      </c>
      <c r="J512">
        <f t="shared" si="72"/>
        <v>0</v>
      </c>
      <c r="K512">
        <f t="shared" si="73"/>
        <v>0</v>
      </c>
      <c r="L512">
        <f>IF(K512&gt;0, K512 * VLOOKUP(B512, CA_Feed!B:N, 13, FALSE), 0)</f>
        <v>0</v>
      </c>
      <c r="M512">
        <f t="shared" si="68"/>
        <v>5625</v>
      </c>
      <c r="N512" s="2">
        <f t="shared" si="61"/>
        <v>0</v>
      </c>
      <c r="O512" t="str">
        <f>IF(COUNTIFS(CA_Feed!B:B, B512)=0, "No Action Announced", IF(COUNTIFS(CA_Feed!B:B, B512, CA_Feed!D:D, "&gt;="&amp;C512)&gt;0, "Processed (Eligible)", "Ineligible (Post Ex-Date)"))</f>
        <v>Processed (Eligible)</v>
      </c>
    </row>
    <row r="513" spans="1:15" x14ac:dyDescent="0.3">
      <c r="A513" t="s">
        <v>589</v>
      </c>
      <c r="B513" t="s">
        <v>63</v>
      </c>
      <c r="C513" s="5">
        <v>43418</v>
      </c>
      <c r="D513" s="2">
        <v>6350</v>
      </c>
      <c r="E513">
        <f>SUMIFS(CA_Feed!F:F, CA_Feed!B:B, B513, CA_Feed!E:E, "*DIVIDEND*", CA_Feed!D:D, "&gt;="&amp;C513)</f>
        <v>0</v>
      </c>
      <c r="F513">
        <f t="shared" si="69"/>
        <v>0</v>
      </c>
      <c r="G513">
        <f t="shared" si="70"/>
        <v>0</v>
      </c>
      <c r="H513">
        <f t="shared" si="71"/>
        <v>0</v>
      </c>
      <c r="I513">
        <f>D513 * SUMIFS(CA_Feed!G:G, CA_Feed!B:B, B513, CA_Feed!E:E, "*BONUS*", CA_Feed!D:D, "&gt;="&amp;C513)</f>
        <v>1058.3333333333333</v>
      </c>
      <c r="J513">
        <f t="shared" si="72"/>
        <v>1058</v>
      </c>
      <c r="K513">
        <f t="shared" si="73"/>
        <v>0.33333333333325754</v>
      </c>
      <c r="L513">
        <f>IF(K513&gt;0, K513 * VLOOKUP(B513, CA_Feed!B:N, 13, FALSE), 0)</f>
        <v>83.333333333314386</v>
      </c>
      <c r="M513">
        <f t="shared" si="68"/>
        <v>83.333333333314386</v>
      </c>
      <c r="N513" s="2">
        <f t="shared" si="61"/>
        <v>7408</v>
      </c>
      <c r="O513" t="str">
        <f>IF(COUNTIFS(CA_Feed!B:B, B513)=0, "No Action Announced", IF(COUNTIFS(CA_Feed!B:B, B513, CA_Feed!D:D, "&gt;="&amp;C513)&gt;0, "Processed (Eligible)", "Ineligible (Post Ex-Date)"))</f>
        <v>Processed (Eligible)</v>
      </c>
    </row>
    <row r="514" spans="1:15" x14ac:dyDescent="0.3">
      <c r="A514" t="s">
        <v>590</v>
      </c>
      <c r="B514" t="s">
        <v>31</v>
      </c>
      <c r="C514" s="5">
        <v>45621</v>
      </c>
      <c r="D514" s="2">
        <v>6600</v>
      </c>
      <c r="E514">
        <f>SUMIFS(CA_Feed!F:F, CA_Feed!B:B, B514, CA_Feed!E:E, "*DIVIDEND*", CA_Feed!D:D, "&gt;="&amp;C514)</f>
        <v>2</v>
      </c>
      <c r="F514">
        <f t="shared" si="69"/>
        <v>13200</v>
      </c>
      <c r="G514">
        <f t="shared" si="70"/>
        <v>1320</v>
      </c>
      <c r="H514">
        <f t="shared" si="71"/>
        <v>11880</v>
      </c>
      <c r="I514">
        <f>D514 * SUMIFS(CA_Feed!G:G, CA_Feed!B:B, B514, CA_Feed!E:E, "*BONUS*", CA_Feed!D:D, "&gt;="&amp;C514)</f>
        <v>0</v>
      </c>
      <c r="J514">
        <f t="shared" si="72"/>
        <v>0</v>
      </c>
      <c r="K514">
        <f t="shared" si="73"/>
        <v>0</v>
      </c>
      <c r="L514">
        <f>IF(K514&gt;0, K514 * VLOOKUP(B514, CA_Feed!B:N, 13, FALSE), 0)</f>
        <v>0</v>
      </c>
      <c r="M514">
        <f t="shared" si="68"/>
        <v>11880</v>
      </c>
      <c r="N514" s="2">
        <f t="shared" si="61"/>
        <v>0</v>
      </c>
      <c r="O514" t="str">
        <f>IF(COUNTIFS(CA_Feed!B:B, B514)=0, "No Action Announced", IF(COUNTIFS(CA_Feed!B:B, B514, CA_Feed!D:D, "&gt;="&amp;C514)&gt;0, "Processed (Eligible)", "Ineligible (Post Ex-Date)"))</f>
        <v>Processed (Eligible)</v>
      </c>
    </row>
    <row r="515" spans="1:15" x14ac:dyDescent="0.3">
      <c r="A515" t="s">
        <v>591</v>
      </c>
      <c r="B515" t="s">
        <v>53</v>
      </c>
      <c r="C515" s="5">
        <v>45609</v>
      </c>
      <c r="D515" s="2">
        <v>7050</v>
      </c>
      <c r="E515">
        <f>SUMIFS(CA_Feed!F:F, CA_Feed!B:B, B515, CA_Feed!E:E, "*DIVIDEND*", CA_Feed!D:D, "&gt;="&amp;C515)</f>
        <v>0.04</v>
      </c>
      <c r="F515">
        <f t="shared" si="69"/>
        <v>282</v>
      </c>
      <c r="G515">
        <f t="shared" si="70"/>
        <v>28.200000000000003</v>
      </c>
      <c r="H515">
        <f t="shared" si="71"/>
        <v>253.8</v>
      </c>
      <c r="I515">
        <f>D515 * SUMIFS(CA_Feed!G:G, CA_Feed!B:B, B515, CA_Feed!E:E, "*BONUS*", CA_Feed!D:D, "&gt;="&amp;C515)</f>
        <v>0</v>
      </c>
      <c r="J515">
        <f t="shared" si="72"/>
        <v>0</v>
      </c>
      <c r="K515">
        <f t="shared" si="73"/>
        <v>0</v>
      </c>
      <c r="L515">
        <f>IF(K515&gt;0, K515 * VLOOKUP(B515, CA_Feed!B:N, 13, FALSE), 0)</f>
        <v>0</v>
      </c>
      <c r="M515">
        <f t="shared" si="68"/>
        <v>253.8</v>
      </c>
      <c r="N515" s="2">
        <f t="shared" ref="N515:N578" si="74">IF(J515&gt;0,D515 +J515,0)</f>
        <v>0</v>
      </c>
      <c r="O515" t="str">
        <f>IF(COUNTIFS(CA_Feed!B:B, B515)=0, "No Action Announced", IF(COUNTIFS(CA_Feed!B:B, B515, CA_Feed!D:D, "&gt;="&amp;C515)&gt;0, "Processed (Eligible)", "Ineligible (Post Ex-Date)"))</f>
        <v>Processed (Eligible)</v>
      </c>
    </row>
    <row r="516" spans="1:15" x14ac:dyDescent="0.3">
      <c r="A516" t="s">
        <v>592</v>
      </c>
      <c r="B516" t="s">
        <v>29</v>
      </c>
      <c r="C516" s="5">
        <v>44601</v>
      </c>
      <c r="D516" s="2">
        <v>2800</v>
      </c>
      <c r="E516">
        <f>SUMIFS(CA_Feed!F:F, CA_Feed!B:B, B516, CA_Feed!E:E, "*DIVIDEND*", CA_Feed!D:D, "&gt;="&amp;C516)</f>
        <v>3</v>
      </c>
      <c r="F516">
        <f t="shared" si="69"/>
        <v>8400</v>
      </c>
      <c r="G516">
        <f t="shared" si="70"/>
        <v>840</v>
      </c>
      <c r="H516">
        <f t="shared" si="71"/>
        <v>7560</v>
      </c>
      <c r="I516">
        <f>D516 * SUMIFS(CA_Feed!G:G, CA_Feed!B:B, B516, CA_Feed!E:E, "*BONUS*", CA_Feed!D:D, "&gt;="&amp;C516)</f>
        <v>0</v>
      </c>
      <c r="J516">
        <f t="shared" si="72"/>
        <v>0</v>
      </c>
      <c r="K516">
        <f t="shared" si="73"/>
        <v>0</v>
      </c>
      <c r="L516">
        <f>IF(K516&gt;0, K516 * VLOOKUP(B516, CA_Feed!B:N, 13, FALSE), 0)</f>
        <v>0</v>
      </c>
      <c r="M516">
        <f t="shared" si="68"/>
        <v>7560</v>
      </c>
      <c r="N516" s="2">
        <f t="shared" si="74"/>
        <v>0</v>
      </c>
      <c r="O516" t="str">
        <f>IF(COUNTIFS(CA_Feed!B:B, B516)=0, "No Action Announced", IF(COUNTIFS(CA_Feed!B:B, B516, CA_Feed!D:D, "&gt;="&amp;C516)&gt;0, "Processed (Eligible)", "Ineligible (Post Ex-Date)"))</f>
        <v>Processed (Eligible)</v>
      </c>
    </row>
    <row r="517" spans="1:15" x14ac:dyDescent="0.3">
      <c r="A517" t="s">
        <v>596</v>
      </c>
      <c r="B517" t="s">
        <v>12</v>
      </c>
      <c r="C517" s="5">
        <v>42602</v>
      </c>
      <c r="D517" s="2">
        <v>140</v>
      </c>
      <c r="E517">
        <f>SUMIFS(CA_Feed!F:F, CA_Feed!B:B, B517, CA_Feed!E:E, "*DIVIDEND*", CA_Feed!D:D, "&gt;="&amp;C517)</f>
        <v>19</v>
      </c>
      <c r="F517">
        <f t="shared" si="69"/>
        <v>2660</v>
      </c>
      <c r="G517">
        <f t="shared" si="70"/>
        <v>266</v>
      </c>
      <c r="H517">
        <f t="shared" si="71"/>
        <v>2394</v>
      </c>
      <c r="I517">
        <f>D517 * SUMIFS(CA_Feed!G:G, CA_Feed!B:B, B517, CA_Feed!E:E, "*BONUS*", CA_Feed!D:D, "&gt;="&amp;C517)</f>
        <v>0</v>
      </c>
      <c r="J517">
        <f t="shared" si="72"/>
        <v>0</v>
      </c>
      <c r="K517">
        <f t="shared" si="73"/>
        <v>0</v>
      </c>
      <c r="L517">
        <f>IF(K517&gt;0, K517 * VLOOKUP(B517, CA_Feed!B:N, 13, FALSE), 0)</f>
        <v>0</v>
      </c>
      <c r="M517">
        <f t="shared" si="68"/>
        <v>2394</v>
      </c>
      <c r="N517" s="2">
        <f t="shared" si="74"/>
        <v>0</v>
      </c>
      <c r="O517" t="str">
        <f>IF(COUNTIFS(CA_Feed!B:B, B517)=0, "No Action Announced", IF(COUNTIFS(CA_Feed!B:B, B517, CA_Feed!D:D, "&gt;="&amp;C517)&gt;0, "Processed (Eligible)", "Ineligible (Post Ex-Date)"))</f>
        <v>Processed (Eligible)</v>
      </c>
    </row>
    <row r="518" spans="1:15" x14ac:dyDescent="0.3">
      <c r="A518" t="s">
        <v>594</v>
      </c>
      <c r="B518" t="s">
        <v>66</v>
      </c>
      <c r="C518" s="5">
        <v>44728</v>
      </c>
      <c r="D518" s="2">
        <v>1200</v>
      </c>
      <c r="E518">
        <f>SUMIFS(CA_Feed!F:F, CA_Feed!B:B, B518, CA_Feed!E:E, "*DIVIDEND*", CA_Feed!D:D, "&gt;="&amp;C518)</f>
        <v>0</v>
      </c>
      <c r="F518">
        <f t="shared" si="69"/>
        <v>0</v>
      </c>
      <c r="G518">
        <f t="shared" si="70"/>
        <v>0</v>
      </c>
      <c r="H518">
        <f t="shared" si="71"/>
        <v>0</v>
      </c>
      <c r="I518">
        <f>D518 * SUMIFS(CA_Feed!G:G, CA_Feed!B:B, B518, CA_Feed!E:E, "*BONUS*", CA_Feed!D:D, "&gt;="&amp;C518)</f>
        <v>240</v>
      </c>
      <c r="J518">
        <f t="shared" si="72"/>
        <v>240</v>
      </c>
      <c r="K518">
        <f t="shared" si="73"/>
        <v>0</v>
      </c>
      <c r="L518">
        <f>IF(K518&gt;0, K518 * VLOOKUP(B518, CA_Feed!B:N, 13, FALSE), 0)</f>
        <v>0</v>
      </c>
      <c r="M518">
        <f t="shared" si="68"/>
        <v>0</v>
      </c>
      <c r="N518" s="2">
        <f t="shared" si="74"/>
        <v>1440</v>
      </c>
      <c r="O518" t="str">
        <f>IF(COUNTIFS(CA_Feed!B:B, B518)=0, "No Action Announced", IF(COUNTIFS(CA_Feed!B:B, B518, CA_Feed!D:D, "&gt;="&amp;C518)&gt;0, "Processed (Eligible)", "Ineligible (Post Ex-Date)"))</f>
        <v>Processed (Eligible)</v>
      </c>
    </row>
    <row r="519" spans="1:15" x14ac:dyDescent="0.3">
      <c r="A519" t="s">
        <v>595</v>
      </c>
      <c r="B519" t="s">
        <v>23</v>
      </c>
      <c r="C519" s="5">
        <v>45007</v>
      </c>
      <c r="D519" s="2">
        <v>2350</v>
      </c>
      <c r="E519">
        <f>SUMIFS(CA_Feed!F:F, CA_Feed!B:B, B519, CA_Feed!E:E, "*DIVIDEND*", CA_Feed!D:D, "&gt;="&amp;C519)</f>
        <v>1.5000000000000002</v>
      </c>
      <c r="F519">
        <f t="shared" si="69"/>
        <v>3525.0000000000005</v>
      </c>
      <c r="G519">
        <f t="shared" si="70"/>
        <v>352.50000000000006</v>
      </c>
      <c r="H519">
        <f t="shared" si="71"/>
        <v>3172.5000000000005</v>
      </c>
      <c r="I519">
        <f>D519 * SUMIFS(CA_Feed!G:G, CA_Feed!B:B, B519, CA_Feed!E:E, "*BONUS*", CA_Feed!D:D, "&gt;="&amp;C519)</f>
        <v>0</v>
      </c>
      <c r="J519">
        <f t="shared" si="72"/>
        <v>0</v>
      </c>
      <c r="K519">
        <f t="shared" si="73"/>
        <v>0</v>
      </c>
      <c r="L519">
        <f>IF(K519&gt;0, K519 * VLOOKUP(B519, CA_Feed!B:N, 13, FALSE), 0)</f>
        <v>0</v>
      </c>
      <c r="M519">
        <f t="shared" si="68"/>
        <v>3172.5000000000005</v>
      </c>
      <c r="N519" s="2">
        <f t="shared" si="74"/>
        <v>0</v>
      </c>
      <c r="O519" t="str">
        <f>IF(COUNTIFS(CA_Feed!B:B, B519)=0, "No Action Announced", IF(COUNTIFS(CA_Feed!B:B, B519, CA_Feed!D:D, "&gt;="&amp;C519)&gt;0, "Processed (Eligible)", "Ineligible (Post Ex-Date)"))</f>
        <v>Processed (Eligible)</v>
      </c>
    </row>
    <row r="520" spans="1:15" x14ac:dyDescent="0.3">
      <c r="A520" t="s">
        <v>653</v>
      </c>
      <c r="B520" t="s">
        <v>12</v>
      </c>
      <c r="C520" s="5">
        <v>42602</v>
      </c>
      <c r="D520" s="2">
        <v>140</v>
      </c>
      <c r="E520">
        <f>SUMIFS(CA_Feed!F:F, CA_Feed!B:B, B520, CA_Feed!E:E, "*DIVIDEND*", CA_Feed!D:D, "&gt;="&amp;C520)</f>
        <v>19</v>
      </c>
      <c r="F520">
        <f t="shared" si="69"/>
        <v>2660</v>
      </c>
      <c r="G520">
        <f t="shared" si="70"/>
        <v>266</v>
      </c>
      <c r="H520">
        <f t="shared" si="71"/>
        <v>2394</v>
      </c>
      <c r="I520">
        <f>D520 * SUMIFS(CA_Feed!G:G, CA_Feed!B:B, B520, CA_Feed!E:E, "*BONUS*", CA_Feed!D:D, "&gt;="&amp;C520)</f>
        <v>0</v>
      </c>
      <c r="J520">
        <f t="shared" si="72"/>
        <v>0</v>
      </c>
      <c r="K520">
        <f t="shared" si="73"/>
        <v>0</v>
      </c>
      <c r="L520">
        <f>IF(K520&gt;0, K520 * VLOOKUP(B520, CA_Feed!B:N, 13, FALSE), 0)</f>
        <v>0</v>
      </c>
      <c r="M520">
        <f t="shared" si="68"/>
        <v>2394</v>
      </c>
      <c r="N520" s="2">
        <f t="shared" si="74"/>
        <v>0</v>
      </c>
      <c r="O520" t="str">
        <f>IF(COUNTIFS(CA_Feed!B:B, B520)=0, "No Action Announced", IF(COUNTIFS(CA_Feed!B:B, B520, CA_Feed!D:D, "&gt;="&amp;C520)&gt;0, "Processed (Eligible)", "Ineligible (Post Ex-Date)"))</f>
        <v>Processed (Eligible)</v>
      </c>
    </row>
    <row r="521" spans="1:15" x14ac:dyDescent="0.3">
      <c r="A521" t="s">
        <v>597</v>
      </c>
      <c r="B521" t="s">
        <v>29</v>
      </c>
      <c r="C521" s="5">
        <v>43969</v>
      </c>
      <c r="D521" s="2">
        <v>750</v>
      </c>
      <c r="E521">
        <f>SUMIFS(CA_Feed!F:F, CA_Feed!B:B, B521, CA_Feed!E:E, "*DIVIDEND*", CA_Feed!D:D, "&gt;="&amp;C521)</f>
        <v>3</v>
      </c>
      <c r="F521">
        <f t="shared" si="69"/>
        <v>2250</v>
      </c>
      <c r="G521">
        <f t="shared" si="70"/>
        <v>225</v>
      </c>
      <c r="H521">
        <f t="shared" si="71"/>
        <v>2025</v>
      </c>
      <c r="I521">
        <f>D521 * SUMIFS(CA_Feed!G:G, CA_Feed!B:B, B521, CA_Feed!E:E, "*BONUS*", CA_Feed!D:D, "&gt;="&amp;C521)</f>
        <v>0</v>
      </c>
      <c r="J521">
        <f t="shared" si="72"/>
        <v>0</v>
      </c>
      <c r="K521">
        <f t="shared" si="73"/>
        <v>0</v>
      </c>
      <c r="L521">
        <f>IF(K521&gt;0, K521 * VLOOKUP(B521, CA_Feed!B:N, 13, FALSE), 0)</f>
        <v>0</v>
      </c>
      <c r="M521">
        <f t="shared" si="68"/>
        <v>2025</v>
      </c>
      <c r="N521" s="2">
        <f t="shared" si="74"/>
        <v>0</v>
      </c>
      <c r="O521" t="str">
        <f>IF(COUNTIFS(CA_Feed!B:B, B521)=0, "No Action Announced", IF(COUNTIFS(CA_Feed!B:B, B521, CA_Feed!D:D, "&gt;="&amp;C521)&gt;0, "Processed (Eligible)", "Ineligible (Post Ex-Date)"))</f>
        <v>Processed (Eligible)</v>
      </c>
    </row>
    <row r="522" spans="1:15" x14ac:dyDescent="0.3">
      <c r="A522" t="s">
        <v>106</v>
      </c>
      <c r="B522" t="s">
        <v>12</v>
      </c>
      <c r="C522" s="5">
        <v>42558</v>
      </c>
      <c r="D522" s="2">
        <v>140</v>
      </c>
      <c r="E522">
        <f>SUMIFS(CA_Feed!F:F, CA_Feed!B:B, B522, CA_Feed!E:E, "*DIVIDEND*", CA_Feed!D:D, "&gt;="&amp;C522)</f>
        <v>19</v>
      </c>
      <c r="F522">
        <f t="shared" si="69"/>
        <v>2660</v>
      </c>
      <c r="G522">
        <f t="shared" si="70"/>
        <v>266</v>
      </c>
      <c r="H522">
        <f t="shared" si="71"/>
        <v>2394</v>
      </c>
      <c r="I522">
        <f>D522 * SUMIFS(CA_Feed!G:G, CA_Feed!B:B, B522, CA_Feed!E:E, "*BONUS*", CA_Feed!D:D, "&gt;="&amp;C522)</f>
        <v>0</v>
      </c>
      <c r="J522">
        <f t="shared" si="72"/>
        <v>0</v>
      </c>
      <c r="K522">
        <f t="shared" si="73"/>
        <v>0</v>
      </c>
      <c r="L522">
        <f>IF(K522&gt;0, K522 * VLOOKUP(B522, CA_Feed!B:N, 13, FALSE), 0)</f>
        <v>0</v>
      </c>
      <c r="M522">
        <f t="shared" si="68"/>
        <v>2394</v>
      </c>
      <c r="N522" s="2">
        <f t="shared" si="74"/>
        <v>0</v>
      </c>
      <c r="O522" t="str">
        <f>IF(COUNTIFS(CA_Feed!B:B, B522)=0, "No Action Announced", IF(COUNTIFS(CA_Feed!B:B, B522, CA_Feed!D:D, "&gt;="&amp;C522)&gt;0, "Processed (Eligible)", "Ineligible (Post Ex-Date)"))</f>
        <v>Processed (Eligible)</v>
      </c>
    </row>
    <row r="523" spans="1:15" x14ac:dyDescent="0.3">
      <c r="A523" t="s">
        <v>599</v>
      </c>
      <c r="B523" t="s">
        <v>27</v>
      </c>
      <c r="C523" s="5">
        <v>44850</v>
      </c>
      <c r="D523" s="2">
        <v>5650</v>
      </c>
      <c r="E523">
        <f>SUMIFS(CA_Feed!F:F, CA_Feed!B:B, B523, CA_Feed!E:E, "*DIVIDEND*", CA_Feed!D:D, "&gt;="&amp;C523)</f>
        <v>3.25</v>
      </c>
      <c r="F523">
        <f t="shared" si="69"/>
        <v>18362.5</v>
      </c>
      <c r="G523">
        <f t="shared" si="70"/>
        <v>1836.25</v>
      </c>
      <c r="H523">
        <f t="shared" si="71"/>
        <v>16526.25</v>
      </c>
      <c r="I523">
        <f>D523 * SUMIFS(CA_Feed!G:G, CA_Feed!B:B, B523, CA_Feed!E:E, "*BONUS*", CA_Feed!D:D, "&gt;="&amp;C523)</f>
        <v>0</v>
      </c>
      <c r="J523">
        <f t="shared" si="72"/>
        <v>0</v>
      </c>
      <c r="K523">
        <f t="shared" si="73"/>
        <v>0</v>
      </c>
      <c r="L523">
        <f>IF(K523&gt;0, K523 * VLOOKUP(B523, CA_Feed!B:N, 13, FALSE), 0)</f>
        <v>0</v>
      </c>
      <c r="M523">
        <f t="shared" si="68"/>
        <v>16526.25</v>
      </c>
      <c r="N523" s="2">
        <f t="shared" si="74"/>
        <v>0</v>
      </c>
      <c r="O523" t="str">
        <f>IF(COUNTIFS(CA_Feed!B:B, B523)=0, "No Action Announced", IF(COUNTIFS(CA_Feed!B:B, B523, CA_Feed!D:D, "&gt;="&amp;C523)&gt;0, "Processed (Eligible)", "Ineligible (Post Ex-Date)"))</f>
        <v>Processed (Eligible)</v>
      </c>
    </row>
    <row r="524" spans="1:15" x14ac:dyDescent="0.3">
      <c r="A524" t="s">
        <v>600</v>
      </c>
      <c r="B524" t="s">
        <v>41</v>
      </c>
      <c r="C524" s="5">
        <v>45471</v>
      </c>
      <c r="D524" s="2">
        <v>6700</v>
      </c>
      <c r="E524">
        <f>SUMIFS(CA_Feed!F:F, CA_Feed!B:B, B524, CA_Feed!E:E, "*DIVIDEND*", CA_Feed!D:D, "&gt;="&amp;C524)</f>
        <v>0.2</v>
      </c>
      <c r="F524">
        <f t="shared" si="69"/>
        <v>1340</v>
      </c>
      <c r="G524">
        <f t="shared" si="70"/>
        <v>134</v>
      </c>
      <c r="H524">
        <f t="shared" si="71"/>
        <v>1206</v>
      </c>
      <c r="I524">
        <f>D524 * SUMIFS(CA_Feed!G:G, CA_Feed!B:B, B524, CA_Feed!E:E, "*BONUS*", CA_Feed!D:D, "&gt;="&amp;C524)</f>
        <v>0</v>
      </c>
      <c r="J524">
        <f t="shared" si="72"/>
        <v>0</v>
      </c>
      <c r="K524">
        <f t="shared" si="73"/>
        <v>0</v>
      </c>
      <c r="L524">
        <f>IF(K524&gt;0, K524 * VLOOKUP(B524, CA_Feed!B:N, 13, FALSE), 0)</f>
        <v>0</v>
      </c>
      <c r="M524">
        <f t="shared" si="68"/>
        <v>1206</v>
      </c>
      <c r="N524" s="2">
        <f t="shared" si="74"/>
        <v>0</v>
      </c>
      <c r="O524" t="str">
        <f>IF(COUNTIFS(CA_Feed!B:B, B524)=0, "No Action Announced", IF(COUNTIFS(CA_Feed!B:B, B524, CA_Feed!D:D, "&gt;="&amp;C524)&gt;0, "Processed (Eligible)", "Ineligible (Post Ex-Date)"))</f>
        <v>Processed (Eligible)</v>
      </c>
    </row>
    <row r="525" spans="1:15" x14ac:dyDescent="0.3">
      <c r="A525" t="s">
        <v>601</v>
      </c>
      <c r="B525" t="s">
        <v>31</v>
      </c>
      <c r="C525" s="5">
        <v>42074</v>
      </c>
      <c r="D525" s="2">
        <v>7850</v>
      </c>
      <c r="E525">
        <f>SUMIFS(CA_Feed!F:F, CA_Feed!B:B, B525, CA_Feed!E:E, "*DIVIDEND*", CA_Feed!D:D, "&gt;="&amp;C525)</f>
        <v>3</v>
      </c>
      <c r="F525">
        <f t="shared" si="69"/>
        <v>23550</v>
      </c>
      <c r="G525">
        <f t="shared" si="70"/>
        <v>2355</v>
      </c>
      <c r="H525">
        <f t="shared" si="71"/>
        <v>21195</v>
      </c>
      <c r="I525">
        <f>D525 * SUMIFS(CA_Feed!G:G, CA_Feed!B:B, B525, CA_Feed!E:E, "*BONUS*", CA_Feed!D:D, "&gt;="&amp;C525)</f>
        <v>0</v>
      </c>
      <c r="J525">
        <f t="shared" si="72"/>
        <v>0</v>
      </c>
      <c r="K525">
        <f t="shared" si="73"/>
        <v>0</v>
      </c>
      <c r="L525">
        <f>IF(K525&gt;0, K525 * VLOOKUP(B525, CA_Feed!B:N, 13, FALSE), 0)</f>
        <v>0</v>
      </c>
      <c r="M525">
        <f t="shared" si="68"/>
        <v>21195</v>
      </c>
      <c r="N525" s="2">
        <f t="shared" si="74"/>
        <v>0</v>
      </c>
      <c r="O525" t="str">
        <f>IF(COUNTIFS(CA_Feed!B:B, B525)=0, "No Action Announced", IF(COUNTIFS(CA_Feed!B:B, B525, CA_Feed!D:D, "&gt;="&amp;C525)&gt;0, "Processed (Eligible)", "Ineligible (Post Ex-Date)"))</f>
        <v>Processed (Eligible)</v>
      </c>
    </row>
    <row r="526" spans="1:15" x14ac:dyDescent="0.3">
      <c r="A526" t="s">
        <v>602</v>
      </c>
      <c r="B526" t="s">
        <v>49</v>
      </c>
      <c r="C526" s="5">
        <v>45069</v>
      </c>
      <c r="D526" s="2">
        <v>2400</v>
      </c>
      <c r="E526">
        <f>SUMIFS(CA_Feed!F:F, CA_Feed!B:B, B526, CA_Feed!E:E, "*DIVIDEND*", CA_Feed!D:D, "&gt;="&amp;C526)</f>
        <v>1.1000000000000001</v>
      </c>
      <c r="F526">
        <f t="shared" si="69"/>
        <v>2640</v>
      </c>
      <c r="G526">
        <f t="shared" si="70"/>
        <v>264</v>
      </c>
      <c r="H526">
        <f t="shared" si="71"/>
        <v>2376</v>
      </c>
      <c r="I526">
        <f>D526 * SUMIFS(CA_Feed!G:G, CA_Feed!B:B, B526, CA_Feed!E:E, "*BONUS*", CA_Feed!D:D, "&gt;="&amp;C526)</f>
        <v>0</v>
      </c>
      <c r="J526">
        <f t="shared" si="72"/>
        <v>0</v>
      </c>
      <c r="K526">
        <f t="shared" si="73"/>
        <v>0</v>
      </c>
      <c r="L526">
        <f>IF(K526&gt;0, K526 * VLOOKUP(B526, CA_Feed!B:N, 13, FALSE), 0)</f>
        <v>0</v>
      </c>
      <c r="M526">
        <f t="shared" si="68"/>
        <v>2376</v>
      </c>
      <c r="N526" s="2">
        <f t="shared" si="74"/>
        <v>0</v>
      </c>
      <c r="O526" t="str">
        <f>IF(COUNTIFS(CA_Feed!B:B, B526)=0, "No Action Announced", IF(COUNTIFS(CA_Feed!B:B, B526, CA_Feed!D:D, "&gt;="&amp;C526)&gt;0, "Processed (Eligible)", "Ineligible (Post Ex-Date)"))</f>
        <v>Processed (Eligible)</v>
      </c>
    </row>
    <row r="527" spans="1:15" x14ac:dyDescent="0.3">
      <c r="A527" t="s">
        <v>603</v>
      </c>
      <c r="B527" t="s">
        <v>45</v>
      </c>
      <c r="C527" s="5">
        <v>43877</v>
      </c>
      <c r="D527" s="2">
        <v>7950</v>
      </c>
      <c r="E527">
        <f>SUMIFS(CA_Feed!F:F, CA_Feed!B:B, B527, CA_Feed!E:E, "*DIVIDEND*", CA_Feed!D:D, "&gt;="&amp;C527)</f>
        <v>2.5</v>
      </c>
      <c r="F527">
        <f t="shared" si="69"/>
        <v>19875</v>
      </c>
      <c r="G527">
        <f t="shared" si="70"/>
        <v>1987.5</v>
      </c>
      <c r="H527">
        <f t="shared" si="71"/>
        <v>17887.5</v>
      </c>
      <c r="I527">
        <f>D527 * SUMIFS(CA_Feed!G:G, CA_Feed!B:B, B527, CA_Feed!E:E, "*BONUS*", CA_Feed!D:D, "&gt;="&amp;C527)</f>
        <v>0</v>
      </c>
      <c r="J527">
        <f t="shared" si="72"/>
        <v>0</v>
      </c>
      <c r="K527">
        <f t="shared" si="73"/>
        <v>0</v>
      </c>
      <c r="L527">
        <f>IF(K527&gt;0, K527 * VLOOKUP(B527, CA_Feed!B:N, 13, FALSE), 0)</f>
        <v>0</v>
      </c>
      <c r="M527">
        <f t="shared" si="68"/>
        <v>17887.5</v>
      </c>
      <c r="N527" s="2">
        <f t="shared" si="74"/>
        <v>0</v>
      </c>
      <c r="O527" t="str">
        <f>IF(COUNTIFS(CA_Feed!B:B, B527)=0, "No Action Announced", IF(COUNTIFS(CA_Feed!B:B, B527, CA_Feed!D:D, "&gt;="&amp;C527)&gt;0, "Processed (Eligible)", "Ineligible (Post Ex-Date)"))</f>
        <v>Processed (Eligible)</v>
      </c>
    </row>
    <row r="528" spans="1:15" x14ac:dyDescent="0.3">
      <c r="A528" t="s">
        <v>604</v>
      </c>
      <c r="B528" t="s">
        <v>21</v>
      </c>
      <c r="C528" s="5">
        <v>44622</v>
      </c>
      <c r="D528" s="2">
        <v>4550</v>
      </c>
      <c r="E528">
        <f>SUMIFS(CA_Feed!F:F, CA_Feed!B:B, B528, CA_Feed!E:E, "*DIVIDEND*", CA_Feed!D:D, "&gt;="&amp;C528)</f>
        <v>1</v>
      </c>
      <c r="F528">
        <f t="shared" si="69"/>
        <v>4550</v>
      </c>
      <c r="G528">
        <f t="shared" si="70"/>
        <v>455</v>
      </c>
      <c r="H528">
        <f t="shared" si="71"/>
        <v>4095</v>
      </c>
      <c r="I528">
        <f>D528 * SUMIFS(CA_Feed!G:G, CA_Feed!B:B, B528, CA_Feed!E:E, "*BONUS*", CA_Feed!D:D, "&gt;="&amp;C528)</f>
        <v>0</v>
      </c>
      <c r="J528">
        <f t="shared" si="72"/>
        <v>0</v>
      </c>
      <c r="K528">
        <f t="shared" si="73"/>
        <v>0</v>
      </c>
      <c r="L528">
        <f>IF(K528&gt;0, K528 * VLOOKUP(B528, CA_Feed!B:N, 13, FALSE), 0)</f>
        <v>0</v>
      </c>
      <c r="M528">
        <f t="shared" si="68"/>
        <v>4095</v>
      </c>
      <c r="N528" s="2">
        <f t="shared" si="74"/>
        <v>0</v>
      </c>
      <c r="O528" t="str">
        <f>IF(COUNTIFS(CA_Feed!B:B, B528)=0, "No Action Announced", IF(COUNTIFS(CA_Feed!B:B, B528, CA_Feed!D:D, "&gt;="&amp;C528)&gt;0, "Processed (Eligible)", "Ineligible (Post Ex-Date)"))</f>
        <v>Processed (Eligible)</v>
      </c>
    </row>
    <row r="529" spans="1:15" x14ac:dyDescent="0.3">
      <c r="A529" t="s">
        <v>605</v>
      </c>
      <c r="B529" t="s">
        <v>37</v>
      </c>
      <c r="C529" s="5">
        <v>43298</v>
      </c>
      <c r="D529" s="2">
        <v>5950</v>
      </c>
      <c r="E529">
        <f>SUMIFS(CA_Feed!F:F, CA_Feed!B:B, B529, CA_Feed!E:E, "*DIVIDEND*", CA_Feed!D:D, "&gt;="&amp;C529)</f>
        <v>6.5</v>
      </c>
      <c r="F529">
        <f t="shared" si="69"/>
        <v>38675</v>
      </c>
      <c r="G529">
        <f t="shared" si="70"/>
        <v>3867.5</v>
      </c>
      <c r="H529">
        <f t="shared" si="71"/>
        <v>34807.5</v>
      </c>
      <c r="I529">
        <f>D529 * SUMIFS(CA_Feed!G:G, CA_Feed!B:B, B529, CA_Feed!E:E, "*BONUS*", CA_Feed!D:D, "&gt;="&amp;C529)</f>
        <v>0</v>
      </c>
      <c r="J529">
        <f t="shared" si="72"/>
        <v>0</v>
      </c>
      <c r="K529">
        <f t="shared" si="73"/>
        <v>0</v>
      </c>
      <c r="L529">
        <f>IF(K529&gt;0, K529 * VLOOKUP(B529, CA_Feed!B:N, 13, FALSE), 0)</f>
        <v>0</v>
      </c>
      <c r="M529">
        <f t="shared" si="68"/>
        <v>34807.5</v>
      </c>
      <c r="N529" s="2">
        <f t="shared" si="74"/>
        <v>0</v>
      </c>
      <c r="O529" t="str">
        <f>IF(COUNTIFS(CA_Feed!B:B, B529)=0, "No Action Announced", IF(COUNTIFS(CA_Feed!B:B, B529, CA_Feed!D:D, "&gt;="&amp;C529)&gt;0, "Processed (Eligible)", "Ineligible (Post Ex-Date)"))</f>
        <v>Processed (Eligible)</v>
      </c>
    </row>
    <row r="530" spans="1:15" x14ac:dyDescent="0.3">
      <c r="A530" t="s">
        <v>606</v>
      </c>
      <c r="B530" t="s">
        <v>41</v>
      </c>
      <c r="C530" s="5">
        <v>42510</v>
      </c>
      <c r="D530" s="2">
        <v>3000</v>
      </c>
      <c r="E530">
        <f>SUMIFS(CA_Feed!F:F, CA_Feed!B:B, B530, CA_Feed!E:E, "*DIVIDEND*", CA_Feed!D:D, "&gt;="&amp;C530)</f>
        <v>0.2</v>
      </c>
      <c r="F530">
        <f t="shared" si="69"/>
        <v>600</v>
      </c>
      <c r="G530">
        <f t="shared" si="70"/>
        <v>60</v>
      </c>
      <c r="H530">
        <f t="shared" si="71"/>
        <v>540</v>
      </c>
      <c r="I530">
        <f>D530 * SUMIFS(CA_Feed!G:G, CA_Feed!B:B, B530, CA_Feed!E:E, "*BONUS*", CA_Feed!D:D, "&gt;="&amp;C530)</f>
        <v>0</v>
      </c>
      <c r="J530">
        <f t="shared" si="72"/>
        <v>0</v>
      </c>
      <c r="K530">
        <f t="shared" si="73"/>
        <v>0</v>
      </c>
      <c r="L530">
        <f>IF(K530&gt;0, K530 * VLOOKUP(B530, CA_Feed!B:N, 13, FALSE), 0)</f>
        <v>0</v>
      </c>
      <c r="M530">
        <f t="shared" si="68"/>
        <v>540</v>
      </c>
      <c r="N530" s="2">
        <f t="shared" si="74"/>
        <v>0</v>
      </c>
      <c r="O530" t="str">
        <f>IF(COUNTIFS(CA_Feed!B:B, B530)=0, "No Action Announced", IF(COUNTIFS(CA_Feed!B:B, B530, CA_Feed!D:D, "&gt;="&amp;C530)&gt;0, "Processed (Eligible)", "Ineligible (Post Ex-Date)"))</f>
        <v>Processed (Eligible)</v>
      </c>
    </row>
    <row r="531" spans="1:15" x14ac:dyDescent="0.3">
      <c r="A531" t="s">
        <v>607</v>
      </c>
      <c r="B531" t="s">
        <v>23</v>
      </c>
      <c r="C531" s="5">
        <v>42171</v>
      </c>
      <c r="D531" s="2">
        <v>2800</v>
      </c>
      <c r="E531">
        <f>SUMIFS(CA_Feed!F:F, CA_Feed!B:B, B531, CA_Feed!E:E, "*DIVIDEND*", CA_Feed!D:D, "&gt;="&amp;C531)</f>
        <v>1.5000000000000002</v>
      </c>
      <c r="F531">
        <f t="shared" si="69"/>
        <v>4200.0000000000009</v>
      </c>
      <c r="G531">
        <f t="shared" si="70"/>
        <v>420.00000000000011</v>
      </c>
      <c r="H531">
        <f t="shared" si="71"/>
        <v>3780.0000000000009</v>
      </c>
      <c r="I531">
        <f>D531 * SUMIFS(CA_Feed!G:G, CA_Feed!B:B, B531, CA_Feed!E:E, "*BONUS*", CA_Feed!D:D, "&gt;="&amp;C531)</f>
        <v>0</v>
      </c>
      <c r="J531">
        <f t="shared" si="72"/>
        <v>0</v>
      </c>
      <c r="K531">
        <f t="shared" si="73"/>
        <v>0</v>
      </c>
      <c r="L531">
        <f>IF(K531&gt;0, K531 * VLOOKUP(B531, CA_Feed!B:N, 13, FALSE), 0)</f>
        <v>0</v>
      </c>
      <c r="M531">
        <f t="shared" si="68"/>
        <v>3780.0000000000009</v>
      </c>
      <c r="N531" s="2">
        <f t="shared" si="74"/>
        <v>0</v>
      </c>
      <c r="O531" t="str">
        <f>IF(COUNTIFS(CA_Feed!B:B, B531)=0, "No Action Announced", IF(COUNTIFS(CA_Feed!B:B, B531, CA_Feed!D:D, "&gt;="&amp;C531)&gt;0, "Processed (Eligible)", "Ineligible (Post Ex-Date)"))</f>
        <v>Processed (Eligible)</v>
      </c>
    </row>
    <row r="532" spans="1:15" x14ac:dyDescent="0.3">
      <c r="A532" t="s">
        <v>608</v>
      </c>
      <c r="B532" t="s">
        <v>41</v>
      </c>
      <c r="C532" s="5">
        <v>42605</v>
      </c>
      <c r="D532" s="2">
        <v>6550</v>
      </c>
      <c r="E532">
        <f>SUMIFS(CA_Feed!F:F, CA_Feed!B:B, B532, CA_Feed!E:E, "*DIVIDEND*", CA_Feed!D:D, "&gt;="&amp;C532)</f>
        <v>0.2</v>
      </c>
      <c r="F532">
        <f t="shared" si="69"/>
        <v>1310</v>
      </c>
      <c r="G532">
        <f t="shared" si="70"/>
        <v>131</v>
      </c>
      <c r="H532">
        <f t="shared" si="71"/>
        <v>1179</v>
      </c>
      <c r="I532">
        <f>D532 * SUMIFS(CA_Feed!G:G, CA_Feed!B:B, B532, CA_Feed!E:E, "*BONUS*", CA_Feed!D:D, "&gt;="&amp;C532)</f>
        <v>0</v>
      </c>
      <c r="J532">
        <f t="shared" si="72"/>
        <v>0</v>
      </c>
      <c r="K532">
        <f t="shared" si="73"/>
        <v>0</v>
      </c>
      <c r="L532">
        <f>IF(K532&gt;0, K532 * VLOOKUP(B532, CA_Feed!B:N, 13, FALSE), 0)</f>
        <v>0</v>
      </c>
      <c r="M532">
        <f t="shared" si="68"/>
        <v>1179</v>
      </c>
      <c r="N532" s="2">
        <f t="shared" si="74"/>
        <v>0</v>
      </c>
      <c r="O532" t="str">
        <f>IF(COUNTIFS(CA_Feed!B:B, B532)=0, "No Action Announced", IF(COUNTIFS(CA_Feed!B:B, B532, CA_Feed!D:D, "&gt;="&amp;C532)&gt;0, "Processed (Eligible)", "Ineligible (Post Ex-Date)"))</f>
        <v>Processed (Eligible)</v>
      </c>
    </row>
    <row r="533" spans="1:15" x14ac:dyDescent="0.3">
      <c r="A533" t="s">
        <v>609</v>
      </c>
      <c r="B533" t="s">
        <v>33</v>
      </c>
      <c r="C533" s="5">
        <v>45324</v>
      </c>
      <c r="D533" s="2">
        <v>4700</v>
      </c>
      <c r="E533">
        <f>SUMIFS(CA_Feed!F:F, CA_Feed!B:B, B533, CA_Feed!E:E, "*DIVIDEND*", CA_Feed!D:D, "&gt;="&amp;C533)</f>
        <v>1.5</v>
      </c>
      <c r="F533">
        <f t="shared" si="69"/>
        <v>7050</v>
      </c>
      <c r="G533">
        <f t="shared" si="70"/>
        <v>705</v>
      </c>
      <c r="H533">
        <f t="shared" si="71"/>
        <v>6345</v>
      </c>
      <c r="I533">
        <f>D533 * SUMIFS(CA_Feed!G:G, CA_Feed!B:B, B533, CA_Feed!E:E, "*BONUS*", CA_Feed!D:D, "&gt;="&amp;C533)</f>
        <v>0</v>
      </c>
      <c r="J533">
        <f t="shared" si="72"/>
        <v>0</v>
      </c>
      <c r="K533">
        <f t="shared" si="73"/>
        <v>0</v>
      </c>
      <c r="L533">
        <f>IF(K533&gt;0, K533 * VLOOKUP(B533, CA_Feed!B:N, 13, FALSE), 0)</f>
        <v>0</v>
      </c>
      <c r="M533">
        <f t="shared" si="68"/>
        <v>6345</v>
      </c>
      <c r="N533" s="2">
        <f t="shared" si="74"/>
        <v>0</v>
      </c>
      <c r="O533" t="str">
        <f>IF(COUNTIFS(CA_Feed!B:B, B533)=0, "No Action Announced", IF(COUNTIFS(CA_Feed!B:B, B533, CA_Feed!D:D, "&gt;="&amp;C533)&gt;0, "Processed (Eligible)", "Ineligible (Post Ex-Date)"))</f>
        <v>Processed (Eligible)</v>
      </c>
    </row>
    <row r="534" spans="1:15" x14ac:dyDescent="0.3">
      <c r="A534" t="s">
        <v>610</v>
      </c>
      <c r="B534" t="s">
        <v>41</v>
      </c>
      <c r="C534" s="5">
        <v>43641</v>
      </c>
      <c r="D534" s="2">
        <v>8450</v>
      </c>
      <c r="E534">
        <f>SUMIFS(CA_Feed!F:F, CA_Feed!B:B, B534, CA_Feed!E:E, "*DIVIDEND*", CA_Feed!D:D, "&gt;="&amp;C534)</f>
        <v>0.2</v>
      </c>
      <c r="F534">
        <f t="shared" si="69"/>
        <v>1690</v>
      </c>
      <c r="G534">
        <f t="shared" si="70"/>
        <v>169</v>
      </c>
      <c r="H534">
        <f t="shared" si="71"/>
        <v>1521</v>
      </c>
      <c r="I534">
        <f>D534 * SUMIFS(CA_Feed!G:G, CA_Feed!B:B, B534, CA_Feed!E:E, "*BONUS*", CA_Feed!D:D, "&gt;="&amp;C534)</f>
        <v>0</v>
      </c>
      <c r="J534">
        <f t="shared" si="72"/>
        <v>0</v>
      </c>
      <c r="K534">
        <f t="shared" si="73"/>
        <v>0</v>
      </c>
      <c r="L534">
        <f>IF(K534&gt;0, K534 * VLOOKUP(B534, CA_Feed!B:N, 13, FALSE), 0)</f>
        <v>0</v>
      </c>
      <c r="M534">
        <f t="shared" si="68"/>
        <v>1521</v>
      </c>
      <c r="N534" s="2">
        <f t="shared" si="74"/>
        <v>0</v>
      </c>
      <c r="O534" t="str">
        <f>IF(COUNTIFS(CA_Feed!B:B, B534)=0, "No Action Announced", IF(COUNTIFS(CA_Feed!B:B, B534, CA_Feed!D:D, "&gt;="&amp;C534)&gt;0, "Processed (Eligible)", "Ineligible (Post Ex-Date)"))</f>
        <v>Processed (Eligible)</v>
      </c>
    </row>
    <row r="535" spans="1:15" x14ac:dyDescent="0.3">
      <c r="A535" t="s">
        <v>611</v>
      </c>
      <c r="B535" t="s">
        <v>25</v>
      </c>
      <c r="C535" s="5">
        <v>45301</v>
      </c>
      <c r="D535" s="2">
        <v>9750</v>
      </c>
      <c r="E535">
        <f>SUMIFS(CA_Feed!F:F, CA_Feed!B:B, B535, CA_Feed!E:E, "*DIVIDEND*", CA_Feed!D:D, "&gt;="&amp;C535)</f>
        <v>2.5</v>
      </c>
      <c r="F535">
        <f t="shared" si="69"/>
        <v>24375</v>
      </c>
      <c r="G535">
        <f t="shared" si="70"/>
        <v>2437.5</v>
      </c>
      <c r="H535">
        <f t="shared" si="71"/>
        <v>21937.5</v>
      </c>
      <c r="I535">
        <f>D535 * SUMIFS(CA_Feed!G:G, CA_Feed!B:B, B535, CA_Feed!E:E, "*BONUS*", CA_Feed!D:D, "&gt;="&amp;C535)</f>
        <v>0</v>
      </c>
      <c r="J535">
        <f t="shared" si="72"/>
        <v>0</v>
      </c>
      <c r="K535">
        <f t="shared" si="73"/>
        <v>0</v>
      </c>
      <c r="L535">
        <f>IF(K535&gt;0, K535 * VLOOKUP(B535, CA_Feed!B:N, 13, FALSE), 0)</f>
        <v>0</v>
      </c>
      <c r="M535">
        <f t="shared" si="68"/>
        <v>21937.5</v>
      </c>
      <c r="N535" s="2">
        <f t="shared" si="74"/>
        <v>0</v>
      </c>
      <c r="O535" t="str">
        <f>IF(COUNTIFS(CA_Feed!B:B, B535)=0, "No Action Announced", IF(COUNTIFS(CA_Feed!B:B, B535, CA_Feed!D:D, "&gt;="&amp;C535)&gt;0, "Processed (Eligible)", "Ineligible (Post Ex-Date)"))</f>
        <v>Processed (Eligible)</v>
      </c>
    </row>
    <row r="536" spans="1:15" x14ac:dyDescent="0.3">
      <c r="A536" t="s">
        <v>612</v>
      </c>
      <c r="B536" t="s">
        <v>25</v>
      </c>
      <c r="C536" s="5">
        <v>44577</v>
      </c>
      <c r="D536" s="2">
        <v>7150</v>
      </c>
      <c r="E536">
        <f>SUMIFS(CA_Feed!F:F, CA_Feed!B:B, B536, CA_Feed!E:E, "*DIVIDEND*", CA_Feed!D:D, "&gt;="&amp;C536)</f>
        <v>2.5</v>
      </c>
      <c r="F536">
        <f t="shared" si="69"/>
        <v>17875</v>
      </c>
      <c r="G536">
        <f t="shared" si="70"/>
        <v>1787.5</v>
      </c>
      <c r="H536">
        <f t="shared" si="71"/>
        <v>16087.5</v>
      </c>
      <c r="I536">
        <f>D536 * SUMIFS(CA_Feed!G:G, CA_Feed!B:B, B536, CA_Feed!E:E, "*BONUS*", CA_Feed!D:D, "&gt;="&amp;C536)</f>
        <v>0</v>
      </c>
      <c r="J536">
        <f t="shared" si="72"/>
        <v>0</v>
      </c>
      <c r="K536">
        <f t="shared" si="73"/>
        <v>0</v>
      </c>
      <c r="L536">
        <f>IF(K536&gt;0, K536 * VLOOKUP(B536, CA_Feed!B:N, 13, FALSE), 0)</f>
        <v>0</v>
      </c>
      <c r="M536">
        <f t="shared" si="68"/>
        <v>16087.5</v>
      </c>
      <c r="N536" s="2">
        <f t="shared" si="74"/>
        <v>0</v>
      </c>
      <c r="O536" t="str">
        <f>IF(COUNTIFS(CA_Feed!B:B, B536)=0, "No Action Announced", IF(COUNTIFS(CA_Feed!B:B, B536, CA_Feed!D:D, "&gt;="&amp;C536)&gt;0, "Processed (Eligible)", "Ineligible (Post Ex-Date)"))</f>
        <v>Processed (Eligible)</v>
      </c>
    </row>
    <row r="537" spans="1:15" x14ac:dyDescent="0.3">
      <c r="A537" t="s">
        <v>613</v>
      </c>
      <c r="B537" t="s">
        <v>43</v>
      </c>
      <c r="C537" s="5">
        <v>43048</v>
      </c>
      <c r="D537" s="2">
        <v>3650</v>
      </c>
      <c r="E537">
        <f>SUMIFS(CA_Feed!F:F, CA_Feed!B:B, B537, CA_Feed!E:E, "*DIVIDEND*", CA_Feed!D:D, "&gt;="&amp;C537)</f>
        <v>1.35</v>
      </c>
      <c r="F537">
        <f t="shared" si="69"/>
        <v>4927.5</v>
      </c>
      <c r="G537">
        <f t="shared" si="70"/>
        <v>492.75</v>
      </c>
      <c r="H537">
        <f t="shared" si="71"/>
        <v>4434.75</v>
      </c>
      <c r="I537">
        <f>D537 * SUMIFS(CA_Feed!G:G, CA_Feed!B:B, B537, CA_Feed!E:E, "*BONUS*", CA_Feed!D:D, "&gt;="&amp;C537)</f>
        <v>0</v>
      </c>
      <c r="J537">
        <f t="shared" si="72"/>
        <v>0</v>
      </c>
      <c r="K537">
        <f t="shared" si="73"/>
        <v>0</v>
      </c>
      <c r="L537">
        <f>IF(K537&gt;0, K537 * VLOOKUP(B537, CA_Feed!B:N, 13, FALSE), 0)</f>
        <v>0</v>
      </c>
      <c r="M537">
        <f t="shared" si="68"/>
        <v>4434.75</v>
      </c>
      <c r="N537" s="2">
        <f t="shared" si="74"/>
        <v>0</v>
      </c>
      <c r="O537" t="str">
        <f>IF(COUNTIFS(CA_Feed!B:B, B537)=0, "No Action Announced", IF(COUNTIFS(CA_Feed!B:B, B537, CA_Feed!D:D, "&gt;="&amp;C537)&gt;0, "Processed (Eligible)", "Ineligible (Post Ex-Date)"))</f>
        <v>Processed (Eligible)</v>
      </c>
    </row>
    <row r="538" spans="1:15" x14ac:dyDescent="0.3">
      <c r="A538" t="s">
        <v>614</v>
      </c>
      <c r="B538" t="s">
        <v>21</v>
      </c>
      <c r="C538" s="5">
        <v>44126</v>
      </c>
      <c r="D538" s="2">
        <v>500</v>
      </c>
      <c r="E538">
        <f>SUMIFS(CA_Feed!F:F, CA_Feed!B:B, B538, CA_Feed!E:E, "*DIVIDEND*", CA_Feed!D:D, "&gt;="&amp;C538)</f>
        <v>1</v>
      </c>
      <c r="F538">
        <f t="shared" si="69"/>
        <v>500</v>
      </c>
      <c r="G538">
        <f t="shared" si="70"/>
        <v>50</v>
      </c>
      <c r="H538">
        <f t="shared" si="71"/>
        <v>450</v>
      </c>
      <c r="I538">
        <f>D538 * SUMIFS(CA_Feed!G:G, CA_Feed!B:B, B538, CA_Feed!E:E, "*BONUS*", CA_Feed!D:D, "&gt;="&amp;C538)</f>
        <v>0</v>
      </c>
      <c r="J538">
        <f t="shared" si="72"/>
        <v>0</v>
      </c>
      <c r="K538">
        <f t="shared" si="73"/>
        <v>0</v>
      </c>
      <c r="L538">
        <f>IF(K538&gt;0, K538 * VLOOKUP(B538, CA_Feed!B:N, 13, FALSE), 0)</f>
        <v>0</v>
      </c>
      <c r="M538">
        <f t="shared" si="68"/>
        <v>450</v>
      </c>
      <c r="N538" s="2">
        <f t="shared" si="74"/>
        <v>0</v>
      </c>
      <c r="O538" t="str">
        <f>IF(COUNTIFS(CA_Feed!B:B, B538)=0, "No Action Announced", IF(COUNTIFS(CA_Feed!B:B, B538, CA_Feed!D:D, "&gt;="&amp;C538)&gt;0, "Processed (Eligible)", "Ineligible (Post Ex-Date)"))</f>
        <v>Processed (Eligible)</v>
      </c>
    </row>
    <row r="539" spans="1:15" x14ac:dyDescent="0.3">
      <c r="A539" t="s">
        <v>615</v>
      </c>
      <c r="B539" t="s">
        <v>39</v>
      </c>
      <c r="C539" s="5">
        <v>42899</v>
      </c>
      <c r="D539" s="2">
        <v>6650</v>
      </c>
      <c r="E539">
        <f>SUMIFS(CA_Feed!F:F, CA_Feed!B:B, B539, CA_Feed!E:E, "*DIVIDEND*", CA_Feed!D:D, "&gt;="&amp;C539)</f>
        <v>1.2</v>
      </c>
      <c r="F539">
        <f t="shared" si="69"/>
        <v>7980</v>
      </c>
      <c r="G539">
        <f t="shared" si="70"/>
        <v>798</v>
      </c>
      <c r="H539">
        <f t="shared" si="71"/>
        <v>7182</v>
      </c>
      <c r="I539">
        <f>D539 * SUMIFS(CA_Feed!G:G, CA_Feed!B:B, B539, CA_Feed!E:E, "*BONUS*", CA_Feed!D:D, "&gt;="&amp;C539)</f>
        <v>0</v>
      </c>
      <c r="J539">
        <f t="shared" si="72"/>
        <v>0</v>
      </c>
      <c r="K539">
        <f t="shared" si="73"/>
        <v>0</v>
      </c>
      <c r="L539">
        <f>IF(K539&gt;0, K539 * VLOOKUP(B539, CA_Feed!B:N, 13, FALSE), 0)</f>
        <v>0</v>
      </c>
      <c r="M539">
        <f t="shared" si="68"/>
        <v>7182</v>
      </c>
      <c r="N539" s="2">
        <f t="shared" si="74"/>
        <v>0</v>
      </c>
      <c r="O539" t="str">
        <f>IF(COUNTIFS(CA_Feed!B:B, B539)=0, "No Action Announced", IF(COUNTIFS(CA_Feed!B:B, B539, CA_Feed!D:D, "&gt;="&amp;C539)&gt;0, "Processed (Eligible)", "Ineligible (Post Ex-Date)"))</f>
        <v>Processed (Eligible)</v>
      </c>
    </row>
    <row r="540" spans="1:15" x14ac:dyDescent="0.3">
      <c r="A540" t="s">
        <v>616</v>
      </c>
      <c r="B540" t="s">
        <v>61</v>
      </c>
      <c r="C540" s="5">
        <v>44964</v>
      </c>
      <c r="D540" s="2">
        <v>9650</v>
      </c>
      <c r="E540">
        <f>SUMIFS(CA_Feed!F:F, CA_Feed!B:B, B540, CA_Feed!E:E, "*DIVIDEND*", CA_Feed!D:D, "&gt;="&amp;C540)</f>
        <v>8</v>
      </c>
      <c r="F540">
        <f t="shared" si="69"/>
        <v>77200</v>
      </c>
      <c r="G540">
        <f t="shared" si="70"/>
        <v>7720</v>
      </c>
      <c r="H540">
        <f t="shared" si="71"/>
        <v>69480</v>
      </c>
      <c r="I540">
        <f>D540 * SUMIFS(CA_Feed!G:G, CA_Feed!B:B, B540, CA_Feed!E:E, "*BONUS*", CA_Feed!D:D, "&gt;="&amp;C540)</f>
        <v>0</v>
      </c>
      <c r="J540">
        <f t="shared" si="72"/>
        <v>0</v>
      </c>
      <c r="K540">
        <f t="shared" si="73"/>
        <v>0</v>
      </c>
      <c r="L540">
        <f>IF(K540&gt;0, K540 * VLOOKUP(B540, CA_Feed!B:N, 13, FALSE), 0)</f>
        <v>0</v>
      </c>
      <c r="M540">
        <f t="shared" si="68"/>
        <v>69480</v>
      </c>
      <c r="N540" s="2">
        <f t="shared" si="74"/>
        <v>0</v>
      </c>
      <c r="O540" t="str">
        <f>IF(COUNTIFS(CA_Feed!B:B, B540)=0, "No Action Announced", IF(COUNTIFS(CA_Feed!B:B, B540, CA_Feed!D:D, "&gt;="&amp;C540)&gt;0, "Processed (Eligible)", "Ineligible (Post Ex-Date)"))</f>
        <v>Processed (Eligible)</v>
      </c>
    </row>
    <row r="541" spans="1:15" x14ac:dyDescent="0.3">
      <c r="A541" t="s">
        <v>568</v>
      </c>
      <c r="B541" t="s">
        <v>12</v>
      </c>
      <c r="C541" s="5">
        <v>42426</v>
      </c>
      <c r="D541" s="2">
        <v>140</v>
      </c>
      <c r="E541">
        <f>SUMIFS(CA_Feed!F:F, CA_Feed!B:B, B541, CA_Feed!E:E, "*DIVIDEND*", CA_Feed!D:D, "&gt;="&amp;C541)</f>
        <v>19</v>
      </c>
      <c r="F541">
        <f t="shared" si="69"/>
        <v>2660</v>
      </c>
      <c r="G541">
        <f t="shared" si="70"/>
        <v>266</v>
      </c>
      <c r="H541">
        <f t="shared" si="71"/>
        <v>2394</v>
      </c>
      <c r="I541">
        <f>D541 * SUMIFS(CA_Feed!G:G, CA_Feed!B:B, B541, CA_Feed!E:E, "*BONUS*", CA_Feed!D:D, "&gt;="&amp;C541)</f>
        <v>0</v>
      </c>
      <c r="J541">
        <f t="shared" si="72"/>
        <v>0</v>
      </c>
      <c r="K541">
        <f t="shared" si="73"/>
        <v>0</v>
      </c>
      <c r="L541">
        <f>IF(K541&gt;0, K541 * VLOOKUP(B541, CA_Feed!B:N, 13, FALSE), 0)</f>
        <v>0</v>
      </c>
      <c r="M541">
        <f t="shared" si="68"/>
        <v>2394</v>
      </c>
      <c r="N541" s="2">
        <f t="shared" si="74"/>
        <v>0</v>
      </c>
      <c r="O541" t="str">
        <f>IF(COUNTIFS(CA_Feed!B:B, B541)=0, "No Action Announced", IF(COUNTIFS(CA_Feed!B:B, B541, CA_Feed!D:D, "&gt;="&amp;C541)&gt;0, "Processed (Eligible)", "Ineligible (Post Ex-Date)"))</f>
        <v>Processed (Eligible)</v>
      </c>
    </row>
    <row r="542" spans="1:15" x14ac:dyDescent="0.3">
      <c r="A542" t="s">
        <v>652</v>
      </c>
      <c r="B542" t="s">
        <v>12</v>
      </c>
      <c r="C542" s="5">
        <v>42300</v>
      </c>
      <c r="D542" s="2">
        <v>140</v>
      </c>
      <c r="E542">
        <f>SUMIFS(CA_Feed!F:F, CA_Feed!B:B, B542, CA_Feed!E:E, "*DIVIDEND*", CA_Feed!D:D, "&gt;="&amp;C542)</f>
        <v>19</v>
      </c>
      <c r="F542">
        <f t="shared" si="69"/>
        <v>2660</v>
      </c>
      <c r="G542">
        <f t="shared" si="70"/>
        <v>266</v>
      </c>
      <c r="H542">
        <f t="shared" si="71"/>
        <v>2394</v>
      </c>
      <c r="I542">
        <f>D542 * SUMIFS(CA_Feed!G:G, CA_Feed!B:B, B542, CA_Feed!E:E, "*BONUS*", CA_Feed!D:D, "&gt;="&amp;C542)</f>
        <v>0</v>
      </c>
      <c r="J542">
        <f t="shared" si="72"/>
        <v>0</v>
      </c>
      <c r="K542">
        <f t="shared" si="73"/>
        <v>0</v>
      </c>
      <c r="L542">
        <f>IF(K542&gt;0, K542 * VLOOKUP(B542, CA_Feed!B:N, 13, FALSE), 0)</f>
        <v>0</v>
      </c>
      <c r="M542">
        <f t="shared" si="68"/>
        <v>2394</v>
      </c>
      <c r="N542" s="2">
        <f t="shared" si="74"/>
        <v>0</v>
      </c>
      <c r="O542" t="str">
        <f>IF(COUNTIFS(CA_Feed!B:B, B542)=0, "No Action Announced", IF(COUNTIFS(CA_Feed!B:B, B542, CA_Feed!D:D, "&gt;="&amp;C542)&gt;0, "Processed (Eligible)", "Ineligible (Post Ex-Date)"))</f>
        <v>Processed (Eligible)</v>
      </c>
    </row>
    <row r="543" spans="1:15" x14ac:dyDescent="0.3">
      <c r="A543" t="s">
        <v>619</v>
      </c>
      <c r="B543" t="s">
        <v>43</v>
      </c>
      <c r="C543" s="5">
        <v>42758</v>
      </c>
      <c r="D543" s="2">
        <v>8350</v>
      </c>
      <c r="E543">
        <f>SUMIFS(CA_Feed!F:F, CA_Feed!B:B, B543, CA_Feed!E:E, "*DIVIDEND*", CA_Feed!D:D, "&gt;="&amp;C543)</f>
        <v>1.35</v>
      </c>
      <c r="F543">
        <f t="shared" si="69"/>
        <v>11272.5</v>
      </c>
      <c r="G543">
        <f t="shared" si="70"/>
        <v>1127.25</v>
      </c>
      <c r="H543">
        <f t="shared" si="71"/>
        <v>10145.25</v>
      </c>
      <c r="I543">
        <f>D543 * SUMIFS(CA_Feed!G:G, CA_Feed!B:B, B543, CA_Feed!E:E, "*BONUS*", CA_Feed!D:D, "&gt;="&amp;C543)</f>
        <v>0</v>
      </c>
      <c r="J543">
        <f t="shared" si="72"/>
        <v>0</v>
      </c>
      <c r="K543">
        <f t="shared" si="73"/>
        <v>0</v>
      </c>
      <c r="L543">
        <f>IF(K543&gt;0, K543 * VLOOKUP(B543, CA_Feed!B:N, 13, FALSE), 0)</f>
        <v>0</v>
      </c>
      <c r="M543">
        <f t="shared" si="68"/>
        <v>10145.25</v>
      </c>
      <c r="N543" s="2">
        <f t="shared" si="74"/>
        <v>0</v>
      </c>
      <c r="O543" t="str">
        <f>IF(COUNTIFS(CA_Feed!B:B, B543)=0, "No Action Announced", IF(COUNTIFS(CA_Feed!B:B, B543, CA_Feed!D:D, "&gt;="&amp;C543)&gt;0, "Processed (Eligible)", "Ineligible (Post Ex-Date)"))</f>
        <v>Processed (Eligible)</v>
      </c>
    </row>
    <row r="544" spans="1:15" x14ac:dyDescent="0.3">
      <c r="A544" t="s">
        <v>620</v>
      </c>
      <c r="B544" t="s">
        <v>37</v>
      </c>
      <c r="C544" s="5">
        <v>44841</v>
      </c>
      <c r="D544" s="2">
        <v>550</v>
      </c>
      <c r="E544">
        <f>SUMIFS(CA_Feed!F:F, CA_Feed!B:B, B544, CA_Feed!E:E, "*DIVIDEND*", CA_Feed!D:D, "&gt;="&amp;C544)</f>
        <v>6.5</v>
      </c>
      <c r="F544">
        <f t="shared" si="69"/>
        <v>3575</v>
      </c>
      <c r="G544">
        <f t="shared" si="70"/>
        <v>357.5</v>
      </c>
      <c r="H544">
        <f t="shared" si="71"/>
        <v>3217.5</v>
      </c>
      <c r="I544">
        <f>D544 * SUMIFS(CA_Feed!G:G, CA_Feed!B:B, B544, CA_Feed!E:E, "*BONUS*", CA_Feed!D:D, "&gt;="&amp;C544)</f>
        <v>0</v>
      </c>
      <c r="J544">
        <f t="shared" si="72"/>
        <v>0</v>
      </c>
      <c r="K544">
        <f t="shared" si="73"/>
        <v>0</v>
      </c>
      <c r="L544">
        <f>IF(K544&gt;0, K544 * VLOOKUP(B544, CA_Feed!B:N, 13, FALSE), 0)</f>
        <v>0</v>
      </c>
      <c r="M544">
        <f t="shared" si="68"/>
        <v>3217.5</v>
      </c>
      <c r="N544" s="2">
        <f t="shared" si="74"/>
        <v>0</v>
      </c>
      <c r="O544" t="str">
        <f>IF(COUNTIFS(CA_Feed!B:B, B544)=0, "No Action Announced", IF(COUNTIFS(CA_Feed!B:B, B544, CA_Feed!D:D, "&gt;="&amp;C544)&gt;0, "Processed (Eligible)", "Ineligible (Post Ex-Date)"))</f>
        <v>Processed (Eligible)</v>
      </c>
    </row>
    <row r="545" spans="1:15" x14ac:dyDescent="0.3">
      <c r="A545" t="s">
        <v>278</v>
      </c>
      <c r="B545" t="s">
        <v>12</v>
      </c>
      <c r="C545" s="5">
        <v>42126</v>
      </c>
      <c r="D545" s="2">
        <v>140</v>
      </c>
      <c r="E545">
        <f>SUMIFS(CA_Feed!F:F, CA_Feed!B:B, B545, CA_Feed!E:E, "*DIVIDEND*", CA_Feed!D:D, "&gt;="&amp;C545)</f>
        <v>19</v>
      </c>
      <c r="F545">
        <f t="shared" si="69"/>
        <v>2660</v>
      </c>
      <c r="G545">
        <f t="shared" si="70"/>
        <v>266</v>
      </c>
      <c r="H545">
        <f t="shared" si="71"/>
        <v>2394</v>
      </c>
      <c r="I545">
        <f>D545 * SUMIFS(CA_Feed!G:G, CA_Feed!B:B, B545, CA_Feed!E:E, "*BONUS*", CA_Feed!D:D, "&gt;="&amp;C545)</f>
        <v>0</v>
      </c>
      <c r="J545">
        <f t="shared" si="72"/>
        <v>0</v>
      </c>
      <c r="K545">
        <f t="shared" si="73"/>
        <v>0</v>
      </c>
      <c r="L545">
        <f>IF(K545&gt;0, K545 * VLOOKUP(B545, CA_Feed!B:N, 13, FALSE), 0)</f>
        <v>0</v>
      </c>
      <c r="M545">
        <f t="shared" si="68"/>
        <v>2394</v>
      </c>
      <c r="N545" s="2">
        <f t="shared" si="74"/>
        <v>0</v>
      </c>
      <c r="O545" t="str">
        <f>IF(COUNTIFS(CA_Feed!B:B, B545)=0, "No Action Announced", IF(COUNTIFS(CA_Feed!B:B, B545, CA_Feed!D:D, "&gt;="&amp;C545)&gt;0, "Processed (Eligible)", "Ineligible (Post Ex-Date)"))</f>
        <v>Processed (Eligible)</v>
      </c>
    </row>
    <row r="546" spans="1:15" x14ac:dyDescent="0.3">
      <c r="A546" t="s">
        <v>622</v>
      </c>
      <c r="B546" t="s">
        <v>25</v>
      </c>
      <c r="C546" s="5">
        <v>44607</v>
      </c>
      <c r="D546" s="2">
        <v>10000</v>
      </c>
      <c r="E546">
        <f>SUMIFS(CA_Feed!F:F, CA_Feed!B:B, B546, CA_Feed!E:E, "*DIVIDEND*", CA_Feed!D:D, "&gt;="&amp;C546)</f>
        <v>2.5</v>
      </c>
      <c r="F546">
        <f t="shared" si="69"/>
        <v>25000</v>
      </c>
      <c r="G546">
        <f t="shared" si="70"/>
        <v>2500</v>
      </c>
      <c r="H546">
        <f t="shared" si="71"/>
        <v>22500</v>
      </c>
      <c r="I546">
        <f>D546 * SUMIFS(CA_Feed!G:G, CA_Feed!B:B, B546, CA_Feed!E:E, "*BONUS*", CA_Feed!D:D, "&gt;="&amp;C546)</f>
        <v>0</v>
      </c>
      <c r="J546">
        <f t="shared" si="72"/>
        <v>0</v>
      </c>
      <c r="K546">
        <f t="shared" si="73"/>
        <v>0</v>
      </c>
      <c r="L546">
        <f>IF(K546&gt;0, K546 * VLOOKUP(B546, CA_Feed!B:N, 13, FALSE), 0)</f>
        <v>0</v>
      </c>
      <c r="M546">
        <f t="shared" si="68"/>
        <v>22500</v>
      </c>
      <c r="N546" s="2">
        <f t="shared" si="74"/>
        <v>0</v>
      </c>
      <c r="O546" t="str">
        <f>IF(COUNTIFS(CA_Feed!B:B, B546)=0, "No Action Announced", IF(COUNTIFS(CA_Feed!B:B, B546, CA_Feed!D:D, "&gt;="&amp;C546)&gt;0, "Processed (Eligible)", "Ineligible (Post Ex-Date)"))</f>
        <v>Processed (Eligible)</v>
      </c>
    </row>
    <row r="547" spans="1:15" x14ac:dyDescent="0.3">
      <c r="A547" t="s">
        <v>562</v>
      </c>
      <c r="B547" t="s">
        <v>12</v>
      </c>
      <c r="C547" s="5">
        <v>42564</v>
      </c>
      <c r="D547" s="2">
        <v>130</v>
      </c>
      <c r="E547">
        <f>SUMIFS(CA_Feed!F:F, CA_Feed!B:B, B547, CA_Feed!E:E, "*DIVIDEND*", CA_Feed!D:D, "&gt;="&amp;C547)</f>
        <v>19</v>
      </c>
      <c r="F547">
        <f t="shared" si="69"/>
        <v>2470</v>
      </c>
      <c r="G547">
        <f t="shared" si="70"/>
        <v>247</v>
      </c>
      <c r="H547">
        <f t="shared" si="71"/>
        <v>2223</v>
      </c>
      <c r="I547">
        <f>D547 * SUMIFS(CA_Feed!G:G, CA_Feed!B:B, B547, CA_Feed!E:E, "*BONUS*", CA_Feed!D:D, "&gt;="&amp;C547)</f>
        <v>0</v>
      </c>
      <c r="J547">
        <f t="shared" si="72"/>
        <v>0</v>
      </c>
      <c r="K547">
        <f t="shared" si="73"/>
        <v>0</v>
      </c>
      <c r="L547">
        <f>IF(K547&gt;0, K547 * VLOOKUP(B547, CA_Feed!B:N, 13, FALSE), 0)</f>
        <v>0</v>
      </c>
      <c r="M547">
        <f t="shared" ref="M547:M592" si="75">H547 + L547</f>
        <v>2223</v>
      </c>
      <c r="N547" s="2">
        <f t="shared" si="74"/>
        <v>0</v>
      </c>
      <c r="O547" t="str">
        <f>IF(COUNTIFS(CA_Feed!B:B, B547)=0, "No Action Announced", IF(COUNTIFS(CA_Feed!B:B, B547, CA_Feed!D:D, "&gt;="&amp;C547)&gt;0, "Processed (Eligible)", "Ineligible (Post Ex-Date)"))</f>
        <v>Processed (Eligible)</v>
      </c>
    </row>
    <row r="548" spans="1:15" x14ac:dyDescent="0.3">
      <c r="A548" t="s">
        <v>624</v>
      </c>
      <c r="B548" t="s">
        <v>43</v>
      </c>
      <c r="C548" s="5">
        <v>45048</v>
      </c>
      <c r="D548" s="2">
        <v>1700</v>
      </c>
      <c r="E548">
        <f>SUMIFS(CA_Feed!F:F, CA_Feed!B:B, B548, CA_Feed!E:E, "*DIVIDEND*", CA_Feed!D:D, "&gt;="&amp;C548)</f>
        <v>1.35</v>
      </c>
      <c r="F548">
        <f t="shared" ref="F548:F593" si="76">D548 * E548</f>
        <v>2295</v>
      </c>
      <c r="G548">
        <f t="shared" ref="G548:G593" si="77">F548 * 0.1</f>
        <v>229.5</v>
      </c>
      <c r="H548">
        <f t="shared" ref="H548:H593" si="78">F548 - G548</f>
        <v>2065.5</v>
      </c>
      <c r="I548">
        <f>D548 * SUMIFS(CA_Feed!G:G, CA_Feed!B:B, B548, CA_Feed!E:E, "*BONUS*", CA_Feed!D:D, "&gt;="&amp;C548)</f>
        <v>0</v>
      </c>
      <c r="J548">
        <f t="shared" ref="J548:J593" si="79">INT(I548)</f>
        <v>0</v>
      </c>
      <c r="K548">
        <f t="shared" ref="K548:K593" si="80">I548-J548</f>
        <v>0</v>
      </c>
      <c r="L548">
        <f>IF(K548&gt;0, K548 * VLOOKUP(B548, CA_Feed!B:N, 13, FALSE), 0)</f>
        <v>0</v>
      </c>
      <c r="M548">
        <f t="shared" si="75"/>
        <v>2065.5</v>
      </c>
      <c r="N548" s="2">
        <f t="shared" si="74"/>
        <v>0</v>
      </c>
      <c r="O548" t="str">
        <f>IF(COUNTIFS(CA_Feed!B:B, B548)=0, "No Action Announced", IF(COUNTIFS(CA_Feed!B:B, B548, CA_Feed!D:D, "&gt;="&amp;C548)&gt;0, "Processed (Eligible)", "Ineligible (Post Ex-Date)"))</f>
        <v>Processed (Eligible)</v>
      </c>
    </row>
    <row r="549" spans="1:15" x14ac:dyDescent="0.3">
      <c r="A549" t="s">
        <v>625</v>
      </c>
      <c r="B549" t="s">
        <v>39</v>
      </c>
      <c r="C549" s="5">
        <v>45091</v>
      </c>
      <c r="D549" s="2">
        <v>3700</v>
      </c>
      <c r="E549">
        <f>SUMIFS(CA_Feed!F:F, CA_Feed!B:B, B549, CA_Feed!E:E, "*DIVIDEND*", CA_Feed!D:D, "&gt;="&amp;C549)</f>
        <v>1.2</v>
      </c>
      <c r="F549">
        <f t="shared" si="76"/>
        <v>4440</v>
      </c>
      <c r="G549">
        <f t="shared" si="77"/>
        <v>444</v>
      </c>
      <c r="H549">
        <f t="shared" si="78"/>
        <v>3996</v>
      </c>
      <c r="I549">
        <f>D549 * SUMIFS(CA_Feed!G:G, CA_Feed!B:B, B549, CA_Feed!E:E, "*BONUS*", CA_Feed!D:D, "&gt;="&amp;C549)</f>
        <v>0</v>
      </c>
      <c r="J549">
        <f t="shared" si="79"/>
        <v>0</v>
      </c>
      <c r="K549">
        <f t="shared" si="80"/>
        <v>0</v>
      </c>
      <c r="L549">
        <f>IF(K549&gt;0, K549 * VLOOKUP(B549, CA_Feed!B:N, 13, FALSE), 0)</f>
        <v>0</v>
      </c>
      <c r="M549">
        <f t="shared" si="75"/>
        <v>3996</v>
      </c>
      <c r="N549" s="2">
        <f t="shared" si="74"/>
        <v>0</v>
      </c>
      <c r="O549" t="str">
        <f>IF(COUNTIFS(CA_Feed!B:B, B549)=0, "No Action Announced", IF(COUNTIFS(CA_Feed!B:B, B549, CA_Feed!D:D, "&gt;="&amp;C549)&gt;0, "Processed (Eligible)", "Ineligible (Post Ex-Date)"))</f>
        <v>Processed (Eligible)</v>
      </c>
    </row>
    <row r="550" spans="1:15" x14ac:dyDescent="0.3">
      <c r="A550" t="s">
        <v>626</v>
      </c>
      <c r="B550" t="s">
        <v>23</v>
      </c>
      <c r="C550" s="5">
        <v>44472</v>
      </c>
      <c r="D550" s="2">
        <v>8500</v>
      </c>
      <c r="E550">
        <f>SUMIFS(CA_Feed!F:F, CA_Feed!B:B, B550, CA_Feed!E:E, "*DIVIDEND*", CA_Feed!D:D, "&gt;="&amp;C550)</f>
        <v>1.5000000000000002</v>
      </c>
      <c r="F550">
        <f t="shared" si="76"/>
        <v>12750.000000000002</v>
      </c>
      <c r="G550">
        <f t="shared" si="77"/>
        <v>1275.0000000000002</v>
      </c>
      <c r="H550">
        <f t="shared" si="78"/>
        <v>11475.000000000002</v>
      </c>
      <c r="I550">
        <f>D550 * SUMIFS(CA_Feed!G:G, CA_Feed!B:B, B550, CA_Feed!E:E, "*BONUS*", CA_Feed!D:D, "&gt;="&amp;C550)</f>
        <v>0</v>
      </c>
      <c r="J550">
        <f t="shared" si="79"/>
        <v>0</v>
      </c>
      <c r="K550">
        <f t="shared" si="80"/>
        <v>0</v>
      </c>
      <c r="L550">
        <f>IF(K550&gt;0, K550 * VLOOKUP(B550, CA_Feed!B:N, 13, FALSE), 0)</f>
        <v>0</v>
      </c>
      <c r="M550">
        <f t="shared" si="75"/>
        <v>11475.000000000002</v>
      </c>
      <c r="N550" s="2">
        <f t="shared" si="74"/>
        <v>0</v>
      </c>
      <c r="O550" t="str">
        <f>IF(COUNTIFS(CA_Feed!B:B, B550)=0, "No Action Announced", IF(COUNTIFS(CA_Feed!B:B, B550, CA_Feed!D:D, "&gt;="&amp;C550)&gt;0, "Processed (Eligible)", "Ineligible (Post Ex-Date)"))</f>
        <v>Processed (Eligible)</v>
      </c>
    </row>
    <row r="551" spans="1:15" x14ac:dyDescent="0.3">
      <c r="A551" t="s">
        <v>627</v>
      </c>
      <c r="B551" t="s">
        <v>37</v>
      </c>
      <c r="C551" s="5">
        <v>42779</v>
      </c>
      <c r="D551" s="2">
        <v>3700</v>
      </c>
      <c r="E551">
        <f>SUMIFS(CA_Feed!F:F, CA_Feed!B:B, B551, CA_Feed!E:E, "*DIVIDEND*", CA_Feed!D:D, "&gt;="&amp;C551)</f>
        <v>6.5</v>
      </c>
      <c r="F551">
        <f t="shared" si="76"/>
        <v>24050</v>
      </c>
      <c r="G551">
        <f t="shared" si="77"/>
        <v>2405</v>
      </c>
      <c r="H551">
        <f t="shared" si="78"/>
        <v>21645</v>
      </c>
      <c r="I551">
        <f>D551 * SUMIFS(CA_Feed!G:G, CA_Feed!B:B, B551, CA_Feed!E:E, "*BONUS*", CA_Feed!D:D, "&gt;="&amp;C551)</f>
        <v>0</v>
      </c>
      <c r="J551">
        <f t="shared" si="79"/>
        <v>0</v>
      </c>
      <c r="K551">
        <f t="shared" si="80"/>
        <v>0</v>
      </c>
      <c r="L551">
        <f>IF(K551&gt;0, K551 * VLOOKUP(B551, CA_Feed!B:N, 13, FALSE), 0)</f>
        <v>0</v>
      </c>
      <c r="M551">
        <f t="shared" si="75"/>
        <v>21645</v>
      </c>
      <c r="N551" s="2">
        <f t="shared" si="74"/>
        <v>0</v>
      </c>
      <c r="O551" t="str">
        <f>IF(COUNTIFS(CA_Feed!B:B, B551)=0, "No Action Announced", IF(COUNTIFS(CA_Feed!B:B, B551, CA_Feed!D:D, "&gt;="&amp;C551)&gt;0, "Processed (Eligible)", "Ineligible (Post Ex-Date)"))</f>
        <v>Processed (Eligible)</v>
      </c>
    </row>
    <row r="552" spans="1:15" x14ac:dyDescent="0.3">
      <c r="A552" t="s">
        <v>628</v>
      </c>
      <c r="B552" t="s">
        <v>23</v>
      </c>
      <c r="C552" s="5">
        <v>42922</v>
      </c>
      <c r="D552" s="2">
        <v>4200</v>
      </c>
      <c r="E552">
        <f>SUMIFS(CA_Feed!F:F, CA_Feed!B:B, B552, CA_Feed!E:E, "*DIVIDEND*", CA_Feed!D:D, "&gt;="&amp;C552)</f>
        <v>1.5000000000000002</v>
      </c>
      <c r="F552">
        <f t="shared" si="76"/>
        <v>6300.0000000000009</v>
      </c>
      <c r="G552">
        <f t="shared" si="77"/>
        <v>630.00000000000011</v>
      </c>
      <c r="H552">
        <f t="shared" si="78"/>
        <v>5670.0000000000009</v>
      </c>
      <c r="I552">
        <f>D552 * SUMIFS(CA_Feed!G:G, CA_Feed!B:B, B552, CA_Feed!E:E, "*BONUS*", CA_Feed!D:D, "&gt;="&amp;C552)</f>
        <v>0</v>
      </c>
      <c r="J552">
        <f t="shared" si="79"/>
        <v>0</v>
      </c>
      <c r="K552">
        <f t="shared" si="80"/>
        <v>0</v>
      </c>
      <c r="L552">
        <f>IF(K552&gt;0, K552 * VLOOKUP(B552, CA_Feed!B:N, 13, FALSE), 0)</f>
        <v>0</v>
      </c>
      <c r="M552">
        <f t="shared" si="75"/>
        <v>5670.0000000000009</v>
      </c>
      <c r="N552" s="2">
        <f t="shared" si="74"/>
        <v>0</v>
      </c>
      <c r="O552" t="str">
        <f>IF(COUNTIFS(CA_Feed!B:B, B552)=0, "No Action Announced", IF(COUNTIFS(CA_Feed!B:B, B552, CA_Feed!D:D, "&gt;="&amp;C552)&gt;0, "Processed (Eligible)", "Ineligible (Post Ex-Date)"))</f>
        <v>Processed (Eligible)</v>
      </c>
    </row>
    <row r="553" spans="1:15" x14ac:dyDescent="0.3">
      <c r="A553" t="s">
        <v>629</v>
      </c>
      <c r="B553" t="s">
        <v>53</v>
      </c>
      <c r="C553" s="5">
        <v>44891</v>
      </c>
      <c r="D553" s="2">
        <v>9350</v>
      </c>
      <c r="E553">
        <f>SUMIFS(CA_Feed!F:F, CA_Feed!B:B, B553, CA_Feed!E:E, "*DIVIDEND*", CA_Feed!D:D, "&gt;="&amp;C553)</f>
        <v>7.0000000000000007E-2</v>
      </c>
      <c r="F553">
        <f t="shared" si="76"/>
        <v>654.50000000000011</v>
      </c>
      <c r="G553">
        <f t="shared" si="77"/>
        <v>65.450000000000017</v>
      </c>
      <c r="H553">
        <f t="shared" si="78"/>
        <v>589.05000000000007</v>
      </c>
      <c r="I553">
        <f>D553 * SUMIFS(CA_Feed!G:G, CA_Feed!B:B, B553, CA_Feed!E:E, "*BONUS*", CA_Feed!D:D, "&gt;="&amp;C553)</f>
        <v>0</v>
      </c>
      <c r="J553">
        <f t="shared" si="79"/>
        <v>0</v>
      </c>
      <c r="K553">
        <f t="shared" si="80"/>
        <v>0</v>
      </c>
      <c r="L553">
        <f>IF(K553&gt;0, K553 * VLOOKUP(B553, CA_Feed!B:N, 13, FALSE), 0)</f>
        <v>0</v>
      </c>
      <c r="M553">
        <f t="shared" si="75"/>
        <v>589.05000000000007</v>
      </c>
      <c r="N553" s="2">
        <f t="shared" si="74"/>
        <v>0</v>
      </c>
      <c r="O553" t="str">
        <f>IF(COUNTIFS(CA_Feed!B:B, B553)=0, "No Action Announced", IF(COUNTIFS(CA_Feed!B:B, B553, CA_Feed!D:D, "&gt;="&amp;C553)&gt;0, "Processed (Eligible)", "Ineligible (Post Ex-Date)"))</f>
        <v>Processed (Eligible)</v>
      </c>
    </row>
    <row r="554" spans="1:15" x14ac:dyDescent="0.3">
      <c r="A554" t="s">
        <v>502</v>
      </c>
      <c r="B554" t="s">
        <v>12</v>
      </c>
      <c r="C554" s="5">
        <v>43692</v>
      </c>
      <c r="D554" s="2">
        <v>120</v>
      </c>
      <c r="E554">
        <f>SUMIFS(CA_Feed!F:F, CA_Feed!B:B, B554, CA_Feed!E:E, "*DIVIDEND*", CA_Feed!D:D, "&gt;="&amp;C554)</f>
        <v>19</v>
      </c>
      <c r="F554">
        <f t="shared" si="76"/>
        <v>2280</v>
      </c>
      <c r="G554">
        <f t="shared" si="77"/>
        <v>228</v>
      </c>
      <c r="H554">
        <f t="shared" si="78"/>
        <v>2052</v>
      </c>
      <c r="I554">
        <f>D554 * SUMIFS(CA_Feed!G:G, CA_Feed!B:B, B554, CA_Feed!E:E, "*BONUS*", CA_Feed!D:D, "&gt;="&amp;C554)</f>
        <v>0</v>
      </c>
      <c r="J554">
        <f t="shared" si="79"/>
        <v>0</v>
      </c>
      <c r="K554">
        <f t="shared" si="80"/>
        <v>0</v>
      </c>
      <c r="L554">
        <f>IF(K554&gt;0, K554 * VLOOKUP(B554, CA_Feed!B:N, 13, FALSE), 0)</f>
        <v>0</v>
      </c>
      <c r="M554">
        <f t="shared" si="75"/>
        <v>2052</v>
      </c>
      <c r="N554" s="2">
        <f t="shared" si="74"/>
        <v>0</v>
      </c>
      <c r="O554" t="str">
        <f>IF(COUNTIFS(CA_Feed!B:B, B554)=0, "No Action Announced", IF(COUNTIFS(CA_Feed!B:B, B554, CA_Feed!D:D, "&gt;="&amp;C554)&gt;0, "Processed (Eligible)", "Ineligible (Post Ex-Date)"))</f>
        <v>Processed (Eligible)</v>
      </c>
    </row>
    <row r="555" spans="1:15" x14ac:dyDescent="0.3">
      <c r="A555" t="s">
        <v>631</v>
      </c>
      <c r="B555" t="s">
        <v>27</v>
      </c>
      <c r="C555" s="5">
        <v>44544</v>
      </c>
      <c r="D555" s="2">
        <v>1700</v>
      </c>
      <c r="E555">
        <f>SUMIFS(CA_Feed!F:F, CA_Feed!B:B, B555, CA_Feed!E:E, "*DIVIDEND*", CA_Feed!D:D, "&gt;="&amp;C555)</f>
        <v>3.25</v>
      </c>
      <c r="F555">
        <f t="shared" si="76"/>
        <v>5525</v>
      </c>
      <c r="G555">
        <f t="shared" si="77"/>
        <v>552.5</v>
      </c>
      <c r="H555">
        <f t="shared" si="78"/>
        <v>4972.5</v>
      </c>
      <c r="I555">
        <f>D555 * SUMIFS(CA_Feed!G:G, CA_Feed!B:B, B555, CA_Feed!E:E, "*BONUS*", CA_Feed!D:D, "&gt;="&amp;C555)</f>
        <v>0</v>
      </c>
      <c r="J555">
        <f t="shared" si="79"/>
        <v>0</v>
      </c>
      <c r="K555">
        <f t="shared" si="80"/>
        <v>0</v>
      </c>
      <c r="L555">
        <f>IF(K555&gt;0, K555 * VLOOKUP(B555, CA_Feed!B:N, 13, FALSE), 0)</f>
        <v>0</v>
      </c>
      <c r="M555">
        <f t="shared" si="75"/>
        <v>4972.5</v>
      </c>
      <c r="N555" s="2">
        <f t="shared" si="74"/>
        <v>0</v>
      </c>
      <c r="O555" t="str">
        <f>IF(COUNTIFS(CA_Feed!B:B, B555)=0, "No Action Announced", IF(COUNTIFS(CA_Feed!B:B, B555, CA_Feed!D:D, "&gt;="&amp;C555)&gt;0, "Processed (Eligible)", "Ineligible (Post Ex-Date)"))</f>
        <v>Processed (Eligible)</v>
      </c>
    </row>
    <row r="556" spans="1:15" x14ac:dyDescent="0.3">
      <c r="A556" t="s">
        <v>790</v>
      </c>
      <c r="B556" t="s">
        <v>12</v>
      </c>
      <c r="C556" s="5">
        <v>44860</v>
      </c>
      <c r="D556" s="2">
        <v>100</v>
      </c>
      <c r="E556">
        <f>SUMIFS(CA_Feed!F:F, CA_Feed!B:B, B556, CA_Feed!E:E, "*DIVIDEND*", CA_Feed!D:D, "&gt;="&amp;C556)</f>
        <v>19</v>
      </c>
      <c r="F556">
        <f t="shared" si="76"/>
        <v>1900</v>
      </c>
      <c r="G556">
        <f t="shared" si="77"/>
        <v>190</v>
      </c>
      <c r="H556">
        <f t="shared" si="78"/>
        <v>1710</v>
      </c>
      <c r="I556">
        <f>D556 * SUMIFS(CA_Feed!G:G, CA_Feed!B:B, B556, CA_Feed!E:E, "*BONUS*", CA_Feed!D:D, "&gt;="&amp;C556)</f>
        <v>0</v>
      </c>
      <c r="J556">
        <f t="shared" si="79"/>
        <v>0</v>
      </c>
      <c r="K556">
        <f t="shared" si="80"/>
        <v>0</v>
      </c>
      <c r="L556">
        <f>IF(K556&gt;0, K556 * VLOOKUP(B556, CA_Feed!B:N, 13, FALSE), 0)</f>
        <v>0</v>
      </c>
      <c r="M556">
        <f t="shared" si="75"/>
        <v>1710</v>
      </c>
      <c r="N556" s="2">
        <f t="shared" si="74"/>
        <v>0</v>
      </c>
      <c r="O556" t="str">
        <f>IF(COUNTIFS(CA_Feed!B:B, B556)=0, "No Action Announced", IF(COUNTIFS(CA_Feed!B:B, B556, CA_Feed!D:D, "&gt;="&amp;C556)&gt;0, "Processed (Eligible)", "Ineligible (Post Ex-Date)"))</f>
        <v>Processed (Eligible)</v>
      </c>
    </row>
    <row r="557" spans="1:15" x14ac:dyDescent="0.3">
      <c r="A557" t="s">
        <v>633</v>
      </c>
      <c r="B557" t="s">
        <v>47</v>
      </c>
      <c r="C557" s="5">
        <v>44114</v>
      </c>
      <c r="D557" s="2">
        <v>4050</v>
      </c>
      <c r="E557">
        <f>SUMIFS(CA_Feed!F:F, CA_Feed!B:B, B557, CA_Feed!E:E, "*DIVIDEND*", CA_Feed!D:D, "&gt;="&amp;C557)</f>
        <v>0.1</v>
      </c>
      <c r="F557">
        <f t="shared" si="76"/>
        <v>405</v>
      </c>
      <c r="G557">
        <f t="shared" si="77"/>
        <v>40.5</v>
      </c>
      <c r="H557">
        <f t="shared" si="78"/>
        <v>364.5</v>
      </c>
      <c r="I557">
        <f>D557 * SUMIFS(CA_Feed!G:G, CA_Feed!B:B, B557, CA_Feed!E:E, "*BONUS*", CA_Feed!D:D, "&gt;="&amp;C557)</f>
        <v>0</v>
      </c>
      <c r="J557">
        <f t="shared" si="79"/>
        <v>0</v>
      </c>
      <c r="K557">
        <f t="shared" si="80"/>
        <v>0</v>
      </c>
      <c r="L557">
        <f>IF(K557&gt;0, K557 * VLOOKUP(B557, CA_Feed!B:N, 13, FALSE), 0)</f>
        <v>0</v>
      </c>
      <c r="M557">
        <f t="shared" si="75"/>
        <v>364.5</v>
      </c>
      <c r="N557" s="2">
        <f t="shared" si="74"/>
        <v>0</v>
      </c>
      <c r="O557" t="str">
        <f>IF(COUNTIFS(CA_Feed!B:B, B557)=0, "No Action Announced", IF(COUNTIFS(CA_Feed!B:B, B557, CA_Feed!D:D, "&gt;="&amp;C557)&gt;0, "Processed (Eligible)", "Ineligible (Post Ex-Date)"))</f>
        <v>Processed (Eligible)</v>
      </c>
    </row>
    <row r="558" spans="1:15" x14ac:dyDescent="0.3">
      <c r="A558" t="s">
        <v>142</v>
      </c>
      <c r="B558" t="s">
        <v>12</v>
      </c>
      <c r="C558" s="5">
        <v>44785</v>
      </c>
      <c r="D558" s="2">
        <v>100</v>
      </c>
      <c r="E558">
        <f>SUMIFS(CA_Feed!F:F, CA_Feed!B:B, B558, CA_Feed!E:E, "*DIVIDEND*", CA_Feed!D:D, "&gt;="&amp;C558)</f>
        <v>19</v>
      </c>
      <c r="F558">
        <f t="shared" si="76"/>
        <v>1900</v>
      </c>
      <c r="G558">
        <f t="shared" si="77"/>
        <v>190</v>
      </c>
      <c r="H558">
        <f t="shared" si="78"/>
        <v>1710</v>
      </c>
      <c r="I558">
        <f>D558 * SUMIFS(CA_Feed!G:G, CA_Feed!B:B, B558, CA_Feed!E:E, "*BONUS*", CA_Feed!D:D, "&gt;="&amp;C558)</f>
        <v>0</v>
      </c>
      <c r="J558">
        <f t="shared" si="79"/>
        <v>0</v>
      </c>
      <c r="K558">
        <f t="shared" si="80"/>
        <v>0</v>
      </c>
      <c r="L558">
        <f>IF(K558&gt;0, K558 * VLOOKUP(B558, CA_Feed!B:N, 13, FALSE), 0)</f>
        <v>0</v>
      </c>
      <c r="M558">
        <f t="shared" si="75"/>
        <v>1710</v>
      </c>
      <c r="N558" s="2">
        <f t="shared" si="74"/>
        <v>0</v>
      </c>
      <c r="O558" t="str">
        <f>IF(COUNTIFS(CA_Feed!B:B, B558)=0, "No Action Announced", IF(COUNTIFS(CA_Feed!B:B, B558, CA_Feed!D:D, "&gt;="&amp;C558)&gt;0, "Processed (Eligible)", "Ineligible (Post Ex-Date)"))</f>
        <v>Processed (Eligible)</v>
      </c>
    </row>
    <row r="559" spans="1:15" x14ac:dyDescent="0.3">
      <c r="A559" t="s">
        <v>635</v>
      </c>
      <c r="B559" t="s">
        <v>47</v>
      </c>
      <c r="C559" s="5">
        <v>44078</v>
      </c>
      <c r="D559" s="2">
        <v>300</v>
      </c>
      <c r="E559">
        <f>SUMIFS(CA_Feed!F:F, CA_Feed!B:B, B559, CA_Feed!E:E, "*DIVIDEND*", CA_Feed!D:D, "&gt;="&amp;C559)</f>
        <v>0.1</v>
      </c>
      <c r="F559">
        <f t="shared" si="76"/>
        <v>30</v>
      </c>
      <c r="G559">
        <f t="shared" si="77"/>
        <v>3</v>
      </c>
      <c r="H559">
        <f t="shared" si="78"/>
        <v>27</v>
      </c>
      <c r="I559">
        <f>D559 * SUMIFS(CA_Feed!G:G, CA_Feed!B:B, B559, CA_Feed!E:E, "*BONUS*", CA_Feed!D:D, "&gt;="&amp;C559)</f>
        <v>0</v>
      </c>
      <c r="J559">
        <f t="shared" si="79"/>
        <v>0</v>
      </c>
      <c r="K559">
        <f t="shared" si="80"/>
        <v>0</v>
      </c>
      <c r="L559">
        <f>IF(K559&gt;0, K559 * VLOOKUP(B559, CA_Feed!B:N, 13, FALSE), 0)</f>
        <v>0</v>
      </c>
      <c r="M559">
        <f t="shared" si="75"/>
        <v>27</v>
      </c>
      <c r="N559" s="2">
        <f t="shared" si="74"/>
        <v>0</v>
      </c>
      <c r="O559" t="str">
        <f>IF(COUNTIFS(CA_Feed!B:B, B559)=0, "No Action Announced", IF(COUNTIFS(CA_Feed!B:B, B559, CA_Feed!D:D, "&gt;="&amp;C559)&gt;0, "Processed (Eligible)", "Ineligible (Post Ex-Date)"))</f>
        <v>Processed (Eligible)</v>
      </c>
    </row>
    <row r="560" spans="1:15" x14ac:dyDescent="0.3">
      <c r="A560" t="s">
        <v>636</v>
      </c>
      <c r="B560" t="s">
        <v>33</v>
      </c>
      <c r="C560" s="5">
        <v>42388</v>
      </c>
      <c r="D560" s="2">
        <v>5650</v>
      </c>
      <c r="E560">
        <f>SUMIFS(CA_Feed!F:F, CA_Feed!B:B, B560, CA_Feed!E:E, "*DIVIDEND*", CA_Feed!D:D, "&gt;="&amp;C560)</f>
        <v>1.5</v>
      </c>
      <c r="F560">
        <f t="shared" si="76"/>
        <v>8475</v>
      </c>
      <c r="G560">
        <f t="shared" si="77"/>
        <v>847.5</v>
      </c>
      <c r="H560">
        <f t="shared" si="78"/>
        <v>7627.5</v>
      </c>
      <c r="I560">
        <f>D560 * SUMIFS(CA_Feed!G:G, CA_Feed!B:B, B560, CA_Feed!E:E, "*BONUS*", CA_Feed!D:D, "&gt;="&amp;C560)</f>
        <v>0</v>
      </c>
      <c r="J560">
        <f t="shared" si="79"/>
        <v>0</v>
      </c>
      <c r="K560">
        <f t="shared" si="80"/>
        <v>0</v>
      </c>
      <c r="L560">
        <f>IF(K560&gt;0, K560 * VLOOKUP(B560, CA_Feed!B:N, 13, FALSE), 0)</f>
        <v>0</v>
      </c>
      <c r="M560">
        <f t="shared" si="75"/>
        <v>7627.5</v>
      </c>
      <c r="N560" s="2">
        <f t="shared" si="74"/>
        <v>0</v>
      </c>
      <c r="O560" t="str">
        <f>IF(COUNTIFS(CA_Feed!B:B, B560)=0, "No Action Announced", IF(COUNTIFS(CA_Feed!B:B, B560, CA_Feed!D:D, "&gt;="&amp;C560)&gt;0, "Processed (Eligible)", "Ineligible (Post Ex-Date)"))</f>
        <v>Processed (Eligible)</v>
      </c>
    </row>
    <row r="561" spans="1:15" x14ac:dyDescent="0.3">
      <c r="A561" t="s">
        <v>637</v>
      </c>
      <c r="B561" t="s">
        <v>41</v>
      </c>
      <c r="C561" s="5">
        <v>42541</v>
      </c>
      <c r="D561" s="2">
        <v>6800</v>
      </c>
      <c r="E561">
        <f>SUMIFS(CA_Feed!F:F, CA_Feed!B:B, B561, CA_Feed!E:E, "*DIVIDEND*", CA_Feed!D:D, "&gt;="&amp;C561)</f>
        <v>0.2</v>
      </c>
      <c r="F561">
        <f t="shared" si="76"/>
        <v>1360</v>
      </c>
      <c r="G561">
        <f t="shared" si="77"/>
        <v>136</v>
      </c>
      <c r="H561">
        <f t="shared" si="78"/>
        <v>1224</v>
      </c>
      <c r="I561">
        <f>D561 * SUMIFS(CA_Feed!G:G, CA_Feed!B:B, B561, CA_Feed!E:E, "*BONUS*", CA_Feed!D:D, "&gt;="&amp;C561)</f>
        <v>0</v>
      </c>
      <c r="J561">
        <f t="shared" si="79"/>
        <v>0</v>
      </c>
      <c r="K561">
        <f t="shared" si="80"/>
        <v>0</v>
      </c>
      <c r="L561">
        <f>IF(K561&gt;0, K561 * VLOOKUP(B561, CA_Feed!B:N, 13, FALSE), 0)</f>
        <v>0</v>
      </c>
      <c r="M561">
        <f t="shared" si="75"/>
        <v>1224</v>
      </c>
      <c r="N561" s="2">
        <f t="shared" si="74"/>
        <v>0</v>
      </c>
      <c r="O561" t="str">
        <f>IF(COUNTIFS(CA_Feed!B:B, B561)=0, "No Action Announced", IF(COUNTIFS(CA_Feed!B:B, B561, CA_Feed!D:D, "&gt;="&amp;C561)&gt;0, "Processed (Eligible)", "Ineligible (Post Ex-Date)"))</f>
        <v>Processed (Eligible)</v>
      </c>
    </row>
    <row r="562" spans="1:15" x14ac:dyDescent="0.3">
      <c r="A562" t="s">
        <v>638</v>
      </c>
      <c r="B562" t="s">
        <v>41</v>
      </c>
      <c r="C562" s="5">
        <v>43104</v>
      </c>
      <c r="D562" s="2">
        <v>1550</v>
      </c>
      <c r="E562">
        <f>SUMIFS(CA_Feed!F:F, CA_Feed!B:B, B562, CA_Feed!E:E, "*DIVIDEND*", CA_Feed!D:D, "&gt;="&amp;C562)</f>
        <v>0.2</v>
      </c>
      <c r="F562">
        <f t="shared" si="76"/>
        <v>310</v>
      </c>
      <c r="G562">
        <f t="shared" si="77"/>
        <v>31</v>
      </c>
      <c r="H562">
        <f t="shared" si="78"/>
        <v>279</v>
      </c>
      <c r="I562">
        <f>D562 * SUMIFS(CA_Feed!G:G, CA_Feed!B:B, B562, CA_Feed!E:E, "*BONUS*", CA_Feed!D:D, "&gt;="&amp;C562)</f>
        <v>0</v>
      </c>
      <c r="J562">
        <f t="shared" si="79"/>
        <v>0</v>
      </c>
      <c r="K562">
        <f t="shared" si="80"/>
        <v>0</v>
      </c>
      <c r="L562">
        <f>IF(K562&gt;0, K562 * VLOOKUP(B562, CA_Feed!B:N, 13, FALSE), 0)</f>
        <v>0</v>
      </c>
      <c r="M562">
        <f t="shared" si="75"/>
        <v>279</v>
      </c>
      <c r="N562" s="2">
        <f t="shared" si="74"/>
        <v>0</v>
      </c>
      <c r="O562" t="str">
        <f>IF(COUNTIFS(CA_Feed!B:B, B562)=0, "No Action Announced", IF(COUNTIFS(CA_Feed!B:B, B562, CA_Feed!D:D, "&gt;="&amp;C562)&gt;0, "Processed (Eligible)", "Ineligible (Post Ex-Date)"))</f>
        <v>Processed (Eligible)</v>
      </c>
    </row>
    <row r="563" spans="1:15" x14ac:dyDescent="0.3">
      <c r="A563" t="s">
        <v>639</v>
      </c>
      <c r="B563" t="s">
        <v>43</v>
      </c>
      <c r="C563" s="5">
        <v>42767</v>
      </c>
      <c r="D563" s="2">
        <v>5750</v>
      </c>
      <c r="E563">
        <f>SUMIFS(CA_Feed!F:F, CA_Feed!B:B, B563, CA_Feed!E:E, "*DIVIDEND*", CA_Feed!D:D, "&gt;="&amp;C563)</f>
        <v>1.35</v>
      </c>
      <c r="F563">
        <f t="shared" si="76"/>
        <v>7762.5000000000009</v>
      </c>
      <c r="G563">
        <f t="shared" si="77"/>
        <v>776.25000000000011</v>
      </c>
      <c r="H563">
        <f t="shared" si="78"/>
        <v>6986.2500000000009</v>
      </c>
      <c r="I563">
        <f>D563 * SUMIFS(CA_Feed!G:G, CA_Feed!B:B, B563, CA_Feed!E:E, "*BONUS*", CA_Feed!D:D, "&gt;="&amp;C563)</f>
        <v>0</v>
      </c>
      <c r="J563">
        <f t="shared" si="79"/>
        <v>0</v>
      </c>
      <c r="K563">
        <f t="shared" si="80"/>
        <v>0</v>
      </c>
      <c r="L563">
        <f>IF(K563&gt;0, K563 * VLOOKUP(B563, CA_Feed!B:N, 13, FALSE), 0)</f>
        <v>0</v>
      </c>
      <c r="M563">
        <f t="shared" si="75"/>
        <v>6986.2500000000009</v>
      </c>
      <c r="N563" s="2">
        <f t="shared" si="74"/>
        <v>0</v>
      </c>
      <c r="O563" t="str">
        <f>IF(COUNTIFS(CA_Feed!B:B, B563)=0, "No Action Announced", IF(COUNTIFS(CA_Feed!B:B, B563, CA_Feed!D:D, "&gt;="&amp;C563)&gt;0, "Processed (Eligible)", "Ineligible (Post Ex-Date)"))</f>
        <v>Processed (Eligible)</v>
      </c>
    </row>
    <row r="564" spans="1:15" x14ac:dyDescent="0.3">
      <c r="A564" t="s">
        <v>677</v>
      </c>
      <c r="B564" t="s">
        <v>12</v>
      </c>
      <c r="C564" s="5">
        <v>42011</v>
      </c>
      <c r="D564" s="2">
        <v>100</v>
      </c>
      <c r="E564">
        <f>SUMIFS(CA_Feed!F:F, CA_Feed!B:B, B564, CA_Feed!E:E, "*DIVIDEND*", CA_Feed!D:D, "&gt;="&amp;C564)</f>
        <v>19</v>
      </c>
      <c r="F564">
        <f t="shared" si="76"/>
        <v>1900</v>
      </c>
      <c r="G564">
        <f t="shared" si="77"/>
        <v>190</v>
      </c>
      <c r="H564">
        <f t="shared" si="78"/>
        <v>1710</v>
      </c>
      <c r="I564">
        <f>D564 * SUMIFS(CA_Feed!G:G, CA_Feed!B:B, B564, CA_Feed!E:E, "*BONUS*", CA_Feed!D:D, "&gt;="&amp;C564)</f>
        <v>0</v>
      </c>
      <c r="J564">
        <f t="shared" si="79"/>
        <v>0</v>
      </c>
      <c r="K564">
        <f t="shared" si="80"/>
        <v>0</v>
      </c>
      <c r="L564">
        <f>IF(K564&gt;0, K564 * VLOOKUP(B564, CA_Feed!B:N, 13, FALSE), 0)</f>
        <v>0</v>
      </c>
      <c r="M564">
        <f t="shared" si="75"/>
        <v>1710</v>
      </c>
      <c r="N564" s="2">
        <f t="shared" si="74"/>
        <v>0</v>
      </c>
      <c r="O564" t="str">
        <f>IF(COUNTIFS(CA_Feed!B:B, B564)=0, "No Action Announced", IF(COUNTIFS(CA_Feed!B:B, B564, CA_Feed!D:D, "&gt;="&amp;C564)&gt;0, "Processed (Eligible)", "Ineligible (Post Ex-Date)"))</f>
        <v>Processed (Eligible)</v>
      </c>
    </row>
    <row r="565" spans="1:15" x14ac:dyDescent="0.3">
      <c r="A565" t="s">
        <v>352</v>
      </c>
      <c r="B565" t="s">
        <v>12</v>
      </c>
      <c r="C565" s="5">
        <v>43542</v>
      </c>
      <c r="D565" s="2">
        <v>97</v>
      </c>
      <c r="E565">
        <f>SUMIFS(CA_Feed!F:F, CA_Feed!B:B, B565, CA_Feed!E:E, "*DIVIDEND*", CA_Feed!D:D, "&gt;="&amp;C565)</f>
        <v>19</v>
      </c>
      <c r="F565">
        <f t="shared" si="76"/>
        <v>1843</v>
      </c>
      <c r="G565">
        <f t="shared" si="77"/>
        <v>184.3</v>
      </c>
      <c r="H565">
        <f t="shared" si="78"/>
        <v>1658.7</v>
      </c>
      <c r="I565">
        <f>D565 * SUMIFS(CA_Feed!G:G, CA_Feed!B:B, B565, CA_Feed!E:E, "*BONUS*", CA_Feed!D:D, "&gt;="&amp;C565)</f>
        <v>0</v>
      </c>
      <c r="J565">
        <f t="shared" si="79"/>
        <v>0</v>
      </c>
      <c r="K565">
        <f t="shared" si="80"/>
        <v>0</v>
      </c>
      <c r="L565">
        <f>IF(K565&gt;0, K565 * VLOOKUP(B565, CA_Feed!B:N, 13, FALSE), 0)</f>
        <v>0</v>
      </c>
      <c r="M565">
        <f t="shared" si="75"/>
        <v>1658.7</v>
      </c>
      <c r="N565" s="2">
        <f t="shared" si="74"/>
        <v>0</v>
      </c>
      <c r="O565" t="str">
        <f>IF(COUNTIFS(CA_Feed!B:B, B565)=0, "No Action Announced", IF(COUNTIFS(CA_Feed!B:B, B565, CA_Feed!D:D, "&gt;="&amp;C565)&gt;0, "Processed (Eligible)", "Ineligible (Post Ex-Date)"))</f>
        <v>Processed (Eligible)</v>
      </c>
    </row>
    <row r="566" spans="1:15" x14ac:dyDescent="0.3">
      <c r="A566" t="s">
        <v>642</v>
      </c>
      <c r="B566" t="s">
        <v>19</v>
      </c>
      <c r="C566" s="5">
        <v>44564</v>
      </c>
      <c r="D566" s="2">
        <v>10000</v>
      </c>
      <c r="E566">
        <f>SUMIFS(CA_Feed!F:F, CA_Feed!B:B, B566, CA_Feed!E:E, "*DIVIDEND*", CA_Feed!D:D, "&gt;="&amp;C566)</f>
        <v>1.5</v>
      </c>
      <c r="F566">
        <f t="shared" si="76"/>
        <v>15000</v>
      </c>
      <c r="G566">
        <f t="shared" si="77"/>
        <v>1500</v>
      </c>
      <c r="H566">
        <f t="shared" si="78"/>
        <v>13500</v>
      </c>
      <c r="I566">
        <f>D566 * SUMIFS(CA_Feed!G:G, CA_Feed!B:B, B566, CA_Feed!E:E, "*BONUS*", CA_Feed!D:D, "&gt;="&amp;C566)</f>
        <v>0</v>
      </c>
      <c r="J566">
        <f t="shared" si="79"/>
        <v>0</v>
      </c>
      <c r="K566">
        <f t="shared" si="80"/>
        <v>0</v>
      </c>
      <c r="L566">
        <f>IF(K566&gt;0, K566 * VLOOKUP(B566, CA_Feed!B:N, 13, FALSE), 0)</f>
        <v>0</v>
      </c>
      <c r="M566">
        <f t="shared" si="75"/>
        <v>13500</v>
      </c>
      <c r="N566" s="2">
        <f t="shared" si="74"/>
        <v>0</v>
      </c>
      <c r="O566" t="str">
        <f>IF(COUNTIFS(CA_Feed!B:B, B566)=0, "No Action Announced", IF(COUNTIFS(CA_Feed!B:B, B566, CA_Feed!D:D, "&gt;="&amp;C566)&gt;0, "Processed (Eligible)", "Ineligible (Post Ex-Date)"))</f>
        <v>Processed (Eligible)</v>
      </c>
    </row>
    <row r="567" spans="1:15" x14ac:dyDescent="0.3">
      <c r="A567" t="s">
        <v>643</v>
      </c>
      <c r="B567" t="s">
        <v>39</v>
      </c>
      <c r="C567" s="5">
        <v>42712</v>
      </c>
      <c r="D567" s="2">
        <v>8850</v>
      </c>
      <c r="E567">
        <f>SUMIFS(CA_Feed!F:F, CA_Feed!B:B, B567, CA_Feed!E:E, "*DIVIDEND*", CA_Feed!D:D, "&gt;="&amp;C567)</f>
        <v>1.2</v>
      </c>
      <c r="F567">
        <f t="shared" si="76"/>
        <v>10620</v>
      </c>
      <c r="G567">
        <f t="shared" si="77"/>
        <v>1062</v>
      </c>
      <c r="H567">
        <f t="shared" si="78"/>
        <v>9558</v>
      </c>
      <c r="I567">
        <f>D567 * SUMIFS(CA_Feed!G:G, CA_Feed!B:B, B567, CA_Feed!E:E, "*BONUS*", CA_Feed!D:D, "&gt;="&amp;C567)</f>
        <v>0</v>
      </c>
      <c r="J567">
        <f t="shared" si="79"/>
        <v>0</v>
      </c>
      <c r="K567">
        <f t="shared" si="80"/>
        <v>0</v>
      </c>
      <c r="L567">
        <f>IF(K567&gt;0, K567 * VLOOKUP(B567, CA_Feed!B:N, 13, FALSE), 0)</f>
        <v>0</v>
      </c>
      <c r="M567">
        <f t="shared" si="75"/>
        <v>9558</v>
      </c>
      <c r="N567" s="2">
        <f t="shared" si="74"/>
        <v>0</v>
      </c>
      <c r="O567" t="str">
        <f>IF(COUNTIFS(CA_Feed!B:B, B567)=0, "No Action Announced", IF(COUNTIFS(CA_Feed!B:B, B567, CA_Feed!D:D, "&gt;="&amp;C567)&gt;0, "Processed (Eligible)", "Ineligible (Post Ex-Date)"))</f>
        <v>Processed (Eligible)</v>
      </c>
    </row>
    <row r="568" spans="1:15" x14ac:dyDescent="0.3">
      <c r="A568" t="s">
        <v>644</v>
      </c>
      <c r="B568" t="s">
        <v>45</v>
      </c>
      <c r="C568" s="5">
        <v>42548</v>
      </c>
      <c r="D568" s="2">
        <v>1950</v>
      </c>
      <c r="E568">
        <f>SUMIFS(CA_Feed!F:F, CA_Feed!B:B, B568, CA_Feed!E:E, "*DIVIDEND*", CA_Feed!D:D, "&gt;="&amp;C568)</f>
        <v>2.5</v>
      </c>
      <c r="F568">
        <f t="shared" si="76"/>
        <v>4875</v>
      </c>
      <c r="G568">
        <f t="shared" si="77"/>
        <v>487.5</v>
      </c>
      <c r="H568">
        <f t="shared" si="78"/>
        <v>4387.5</v>
      </c>
      <c r="I568">
        <f>D568 * SUMIFS(CA_Feed!G:G, CA_Feed!B:B, B568, CA_Feed!E:E, "*BONUS*", CA_Feed!D:D, "&gt;="&amp;C568)</f>
        <v>0</v>
      </c>
      <c r="J568">
        <f t="shared" si="79"/>
        <v>0</v>
      </c>
      <c r="K568">
        <f t="shared" si="80"/>
        <v>0</v>
      </c>
      <c r="L568">
        <f>IF(K568&gt;0, K568 * VLOOKUP(B568, CA_Feed!B:N, 13, FALSE), 0)</f>
        <v>0</v>
      </c>
      <c r="M568">
        <f t="shared" si="75"/>
        <v>4387.5</v>
      </c>
      <c r="N568" s="2">
        <f t="shared" si="74"/>
        <v>0</v>
      </c>
      <c r="O568" t="str">
        <f>IF(COUNTIFS(CA_Feed!B:B, B568)=0, "No Action Announced", IF(COUNTIFS(CA_Feed!B:B, B568, CA_Feed!D:D, "&gt;="&amp;C568)&gt;0, "Processed (Eligible)", "Ineligible (Post Ex-Date)"))</f>
        <v>Processed (Eligible)</v>
      </c>
    </row>
    <row r="569" spans="1:15" x14ac:dyDescent="0.3">
      <c r="A569" t="s">
        <v>645</v>
      </c>
      <c r="B569" t="s">
        <v>45</v>
      </c>
      <c r="C569" s="5">
        <v>43212</v>
      </c>
      <c r="D569" s="2">
        <v>2850</v>
      </c>
      <c r="E569">
        <f>SUMIFS(CA_Feed!F:F, CA_Feed!B:B, B569, CA_Feed!E:E, "*DIVIDEND*", CA_Feed!D:D, "&gt;="&amp;C569)</f>
        <v>2.5</v>
      </c>
      <c r="F569">
        <f t="shared" si="76"/>
        <v>7125</v>
      </c>
      <c r="G569">
        <f t="shared" si="77"/>
        <v>712.5</v>
      </c>
      <c r="H569">
        <f t="shared" si="78"/>
        <v>6412.5</v>
      </c>
      <c r="I569">
        <f>D569 * SUMIFS(CA_Feed!G:G, CA_Feed!B:B, B569, CA_Feed!E:E, "*BONUS*", CA_Feed!D:D, "&gt;="&amp;C569)</f>
        <v>0</v>
      </c>
      <c r="J569">
        <f t="shared" si="79"/>
        <v>0</v>
      </c>
      <c r="K569">
        <f t="shared" si="80"/>
        <v>0</v>
      </c>
      <c r="L569">
        <f>IF(K569&gt;0, K569 * VLOOKUP(B569, CA_Feed!B:N, 13, FALSE), 0)</f>
        <v>0</v>
      </c>
      <c r="M569">
        <f t="shared" si="75"/>
        <v>6412.5</v>
      </c>
      <c r="N569" s="2">
        <f t="shared" si="74"/>
        <v>0</v>
      </c>
      <c r="O569" t="str">
        <f>IF(COUNTIFS(CA_Feed!B:B, B569)=0, "No Action Announced", IF(COUNTIFS(CA_Feed!B:B, B569, CA_Feed!D:D, "&gt;="&amp;C569)&gt;0, "Processed (Eligible)", "Ineligible (Post Ex-Date)"))</f>
        <v>Processed (Eligible)</v>
      </c>
    </row>
    <row r="570" spans="1:15" x14ac:dyDescent="0.3">
      <c r="A570" t="s">
        <v>276</v>
      </c>
      <c r="B570" t="s">
        <v>12</v>
      </c>
      <c r="C570" s="5">
        <v>43716</v>
      </c>
      <c r="D570" s="2">
        <v>95</v>
      </c>
      <c r="E570">
        <f>SUMIFS(CA_Feed!F:F, CA_Feed!B:B, B570, CA_Feed!E:E, "*DIVIDEND*", CA_Feed!D:D, "&gt;="&amp;C570)</f>
        <v>19</v>
      </c>
      <c r="F570">
        <f t="shared" si="76"/>
        <v>1805</v>
      </c>
      <c r="G570">
        <f t="shared" si="77"/>
        <v>180.5</v>
      </c>
      <c r="H570">
        <f t="shared" si="78"/>
        <v>1624.5</v>
      </c>
      <c r="I570">
        <f>D570 * SUMIFS(CA_Feed!G:G, CA_Feed!B:B, B570, CA_Feed!E:E, "*BONUS*", CA_Feed!D:D, "&gt;="&amp;C570)</f>
        <v>0</v>
      </c>
      <c r="J570">
        <f t="shared" si="79"/>
        <v>0</v>
      </c>
      <c r="K570">
        <f t="shared" si="80"/>
        <v>0</v>
      </c>
      <c r="L570">
        <f>IF(K570&gt;0, K570 * VLOOKUP(B570, CA_Feed!B:N, 13, FALSE), 0)</f>
        <v>0</v>
      </c>
      <c r="M570">
        <f t="shared" si="75"/>
        <v>1624.5</v>
      </c>
      <c r="N570" s="2">
        <f t="shared" si="74"/>
        <v>0</v>
      </c>
      <c r="O570" t="str">
        <f>IF(COUNTIFS(CA_Feed!B:B, B570)=0, "No Action Announced", IF(COUNTIFS(CA_Feed!B:B, B570, CA_Feed!D:D, "&gt;="&amp;C570)&gt;0, "Processed (Eligible)", "Ineligible (Post Ex-Date)"))</f>
        <v>Processed (Eligible)</v>
      </c>
    </row>
    <row r="571" spans="1:15" x14ac:dyDescent="0.3">
      <c r="A571" t="s">
        <v>647</v>
      </c>
      <c r="B571" t="s">
        <v>29</v>
      </c>
      <c r="C571" s="5">
        <v>43084</v>
      </c>
      <c r="D571" s="2">
        <v>8850</v>
      </c>
      <c r="E571">
        <f>SUMIFS(CA_Feed!F:F, CA_Feed!B:B, B571, CA_Feed!E:E, "*DIVIDEND*", CA_Feed!D:D, "&gt;="&amp;C571)</f>
        <v>3</v>
      </c>
      <c r="F571">
        <f t="shared" si="76"/>
        <v>26550</v>
      </c>
      <c r="G571">
        <f t="shared" si="77"/>
        <v>2655</v>
      </c>
      <c r="H571">
        <f t="shared" si="78"/>
        <v>23895</v>
      </c>
      <c r="I571">
        <f>D571 * SUMIFS(CA_Feed!G:G, CA_Feed!B:B, B571, CA_Feed!E:E, "*BONUS*", CA_Feed!D:D, "&gt;="&amp;C571)</f>
        <v>0</v>
      </c>
      <c r="J571">
        <f t="shared" si="79"/>
        <v>0</v>
      </c>
      <c r="K571">
        <f t="shared" si="80"/>
        <v>0</v>
      </c>
      <c r="L571">
        <f>IF(K571&gt;0, K571 * VLOOKUP(B571, CA_Feed!B:N, 13, FALSE), 0)</f>
        <v>0</v>
      </c>
      <c r="M571">
        <f t="shared" si="75"/>
        <v>23895</v>
      </c>
      <c r="N571" s="2">
        <f t="shared" si="74"/>
        <v>0</v>
      </c>
      <c r="O571" t="str">
        <f>IF(COUNTIFS(CA_Feed!B:B, B571)=0, "No Action Announced", IF(COUNTIFS(CA_Feed!B:B, B571, CA_Feed!D:D, "&gt;="&amp;C571)&gt;0, "Processed (Eligible)", "Ineligible (Post Ex-Date)"))</f>
        <v>Processed (Eligible)</v>
      </c>
    </row>
    <row r="572" spans="1:15" x14ac:dyDescent="0.3">
      <c r="A572" t="s">
        <v>668</v>
      </c>
      <c r="B572" t="s">
        <v>12</v>
      </c>
      <c r="C572" s="5">
        <v>44229</v>
      </c>
      <c r="D572" s="2">
        <v>91</v>
      </c>
      <c r="E572">
        <f>SUMIFS(CA_Feed!F:F, CA_Feed!B:B, B572, CA_Feed!E:E, "*DIVIDEND*", CA_Feed!D:D, "&gt;="&amp;C572)</f>
        <v>19</v>
      </c>
      <c r="F572">
        <f t="shared" si="76"/>
        <v>1729</v>
      </c>
      <c r="G572">
        <f t="shared" si="77"/>
        <v>172.9</v>
      </c>
      <c r="H572">
        <f t="shared" si="78"/>
        <v>1556.1</v>
      </c>
      <c r="I572">
        <f>D572 * SUMIFS(CA_Feed!G:G, CA_Feed!B:B, B572, CA_Feed!E:E, "*BONUS*", CA_Feed!D:D, "&gt;="&amp;C572)</f>
        <v>0</v>
      </c>
      <c r="J572">
        <f t="shared" si="79"/>
        <v>0</v>
      </c>
      <c r="K572">
        <f t="shared" si="80"/>
        <v>0</v>
      </c>
      <c r="L572">
        <f>IF(K572&gt;0, K572 * VLOOKUP(B572, CA_Feed!B:N, 13, FALSE), 0)</f>
        <v>0</v>
      </c>
      <c r="M572">
        <f t="shared" si="75"/>
        <v>1556.1</v>
      </c>
      <c r="N572" s="2">
        <f t="shared" si="74"/>
        <v>0</v>
      </c>
      <c r="O572" t="str">
        <f>IF(COUNTIFS(CA_Feed!B:B, B572)=0, "No Action Announced", IF(COUNTIFS(CA_Feed!B:B, B572, CA_Feed!D:D, "&gt;="&amp;C572)&gt;0, "Processed (Eligible)", "Ineligible (Post Ex-Date)"))</f>
        <v>Processed (Eligible)</v>
      </c>
    </row>
    <row r="573" spans="1:15" x14ac:dyDescent="0.3">
      <c r="A573" t="s">
        <v>649</v>
      </c>
      <c r="B573" t="s">
        <v>51</v>
      </c>
      <c r="C573" s="5">
        <v>44263</v>
      </c>
      <c r="D573" s="2">
        <v>5200</v>
      </c>
      <c r="E573">
        <f>SUMIFS(CA_Feed!F:F, CA_Feed!B:B, B573, CA_Feed!E:E, "*DIVIDEND*", CA_Feed!D:D, "&gt;="&amp;C573)</f>
        <v>0.8</v>
      </c>
      <c r="F573">
        <f t="shared" si="76"/>
        <v>4160</v>
      </c>
      <c r="G573">
        <f t="shared" si="77"/>
        <v>416</v>
      </c>
      <c r="H573">
        <f t="shared" si="78"/>
        <v>3744</v>
      </c>
      <c r="I573">
        <f>D573 * SUMIFS(CA_Feed!G:G, CA_Feed!B:B, B573, CA_Feed!E:E, "*BONUS*", CA_Feed!D:D, "&gt;="&amp;C573)</f>
        <v>0</v>
      </c>
      <c r="J573">
        <f t="shared" si="79"/>
        <v>0</v>
      </c>
      <c r="K573">
        <f t="shared" si="80"/>
        <v>0</v>
      </c>
      <c r="L573">
        <f>IF(K573&gt;0, K573 * VLOOKUP(B573, CA_Feed!B:N, 13, FALSE), 0)</f>
        <v>0</v>
      </c>
      <c r="M573">
        <f t="shared" si="75"/>
        <v>3744</v>
      </c>
      <c r="N573" s="2">
        <f t="shared" si="74"/>
        <v>0</v>
      </c>
      <c r="O573" t="str">
        <f>IF(COUNTIFS(CA_Feed!B:B, B573)=0, "No Action Announced", IF(COUNTIFS(CA_Feed!B:B, B573, CA_Feed!D:D, "&gt;="&amp;C573)&gt;0, "Processed (Eligible)", "Ineligible (Post Ex-Date)"))</f>
        <v>Processed (Eligible)</v>
      </c>
    </row>
    <row r="574" spans="1:15" x14ac:dyDescent="0.3">
      <c r="A574" t="s">
        <v>650</v>
      </c>
      <c r="B574" t="s">
        <v>37</v>
      </c>
      <c r="C574" s="5">
        <v>43898</v>
      </c>
      <c r="D574" s="2">
        <v>5000</v>
      </c>
      <c r="E574">
        <f>SUMIFS(CA_Feed!F:F, CA_Feed!B:B, B574, CA_Feed!E:E, "*DIVIDEND*", CA_Feed!D:D, "&gt;="&amp;C574)</f>
        <v>6.5</v>
      </c>
      <c r="F574">
        <f t="shared" si="76"/>
        <v>32500</v>
      </c>
      <c r="G574">
        <f t="shared" si="77"/>
        <v>3250</v>
      </c>
      <c r="H574">
        <f t="shared" si="78"/>
        <v>29250</v>
      </c>
      <c r="I574">
        <f>D574 * SUMIFS(CA_Feed!G:G, CA_Feed!B:B, B574, CA_Feed!E:E, "*BONUS*", CA_Feed!D:D, "&gt;="&amp;C574)</f>
        <v>0</v>
      </c>
      <c r="J574">
        <f t="shared" si="79"/>
        <v>0</v>
      </c>
      <c r="K574">
        <f t="shared" si="80"/>
        <v>0</v>
      </c>
      <c r="L574">
        <f>IF(K574&gt;0, K574 * VLOOKUP(B574, CA_Feed!B:N, 13, FALSE), 0)</f>
        <v>0</v>
      </c>
      <c r="M574">
        <f t="shared" si="75"/>
        <v>29250</v>
      </c>
      <c r="N574" s="2">
        <f t="shared" si="74"/>
        <v>0</v>
      </c>
      <c r="O574" t="str">
        <f>IF(COUNTIFS(CA_Feed!B:B, B574)=0, "No Action Announced", IF(COUNTIFS(CA_Feed!B:B, B574, CA_Feed!D:D, "&gt;="&amp;C574)&gt;0, "Processed (Eligible)", "Ineligible (Post Ex-Date)"))</f>
        <v>Processed (Eligible)</v>
      </c>
    </row>
    <row r="575" spans="1:15" x14ac:dyDescent="0.3">
      <c r="A575" t="s">
        <v>782</v>
      </c>
      <c r="B575" t="s">
        <v>12</v>
      </c>
      <c r="C575" s="5">
        <v>44638</v>
      </c>
      <c r="D575" s="2">
        <v>90</v>
      </c>
      <c r="E575">
        <f>SUMIFS(CA_Feed!F:F, CA_Feed!B:B, B575, CA_Feed!E:E, "*DIVIDEND*", CA_Feed!D:D, "&gt;="&amp;C575)</f>
        <v>19</v>
      </c>
      <c r="F575">
        <f t="shared" si="76"/>
        <v>1710</v>
      </c>
      <c r="G575">
        <f t="shared" si="77"/>
        <v>171</v>
      </c>
      <c r="H575">
        <f t="shared" si="78"/>
        <v>1539</v>
      </c>
      <c r="I575">
        <f>D575 * SUMIFS(CA_Feed!G:G, CA_Feed!B:B, B575, CA_Feed!E:E, "*BONUS*", CA_Feed!D:D, "&gt;="&amp;C575)</f>
        <v>0</v>
      </c>
      <c r="J575">
        <f t="shared" si="79"/>
        <v>0</v>
      </c>
      <c r="K575">
        <f t="shared" si="80"/>
        <v>0</v>
      </c>
      <c r="L575">
        <f>IF(K575&gt;0, K575 * VLOOKUP(B575, CA_Feed!B:N, 13, FALSE), 0)</f>
        <v>0</v>
      </c>
      <c r="M575">
        <f t="shared" si="75"/>
        <v>1539</v>
      </c>
      <c r="N575" s="2">
        <f t="shared" si="74"/>
        <v>0</v>
      </c>
      <c r="O575" t="str">
        <f>IF(COUNTIFS(CA_Feed!B:B, B575)=0, "No Action Announced", IF(COUNTIFS(CA_Feed!B:B, B575, CA_Feed!D:D, "&gt;="&amp;C575)&gt;0, "Processed (Eligible)", "Ineligible (Post Ex-Date)"))</f>
        <v>Processed (Eligible)</v>
      </c>
    </row>
    <row r="576" spans="1:15" x14ac:dyDescent="0.3">
      <c r="A576" t="s">
        <v>173</v>
      </c>
      <c r="B576" t="s">
        <v>12</v>
      </c>
      <c r="C576" s="5">
        <v>43592</v>
      </c>
      <c r="D576" s="2">
        <v>90</v>
      </c>
      <c r="E576">
        <f>SUMIFS(CA_Feed!F:F, CA_Feed!B:B, B576, CA_Feed!E:E, "*DIVIDEND*", CA_Feed!D:D, "&gt;="&amp;C576)</f>
        <v>19</v>
      </c>
      <c r="F576">
        <f t="shared" si="76"/>
        <v>1710</v>
      </c>
      <c r="G576">
        <f t="shared" si="77"/>
        <v>171</v>
      </c>
      <c r="H576">
        <f t="shared" si="78"/>
        <v>1539</v>
      </c>
      <c r="I576">
        <f>D576 * SUMIFS(CA_Feed!G:G, CA_Feed!B:B, B576, CA_Feed!E:E, "*BONUS*", CA_Feed!D:D, "&gt;="&amp;C576)</f>
        <v>0</v>
      </c>
      <c r="J576">
        <f t="shared" si="79"/>
        <v>0</v>
      </c>
      <c r="K576">
        <f t="shared" si="80"/>
        <v>0</v>
      </c>
      <c r="L576">
        <f>IF(K576&gt;0, K576 * VLOOKUP(B576, CA_Feed!B:N, 13, FALSE), 0)</f>
        <v>0</v>
      </c>
      <c r="M576">
        <f t="shared" si="75"/>
        <v>1539</v>
      </c>
      <c r="N576" s="2">
        <f t="shared" si="74"/>
        <v>0</v>
      </c>
      <c r="O576" t="str">
        <f>IF(COUNTIFS(CA_Feed!B:B, B576)=0, "No Action Announced", IF(COUNTIFS(CA_Feed!B:B, B576, CA_Feed!D:D, "&gt;="&amp;C576)&gt;0, "Processed (Eligible)", "Ineligible (Post Ex-Date)"))</f>
        <v>Processed (Eligible)</v>
      </c>
    </row>
    <row r="577" spans="1:15" x14ac:dyDescent="0.3">
      <c r="A577" t="s">
        <v>646</v>
      </c>
      <c r="B577" t="s">
        <v>12</v>
      </c>
      <c r="C577" s="5">
        <v>46235</v>
      </c>
      <c r="D577" s="2">
        <v>70</v>
      </c>
      <c r="E577">
        <f>SUMIFS(CA_Feed!F:F, CA_Feed!B:B, B577, CA_Feed!E:E, "*DIVIDEND*", CA_Feed!D:D, "&gt;="&amp;C577)</f>
        <v>0</v>
      </c>
      <c r="F577">
        <f t="shared" si="76"/>
        <v>0</v>
      </c>
      <c r="G577">
        <f t="shared" si="77"/>
        <v>0</v>
      </c>
      <c r="H577">
        <f t="shared" si="78"/>
        <v>0</v>
      </c>
      <c r="I577">
        <f>D577 * SUMIFS(CA_Feed!G:G, CA_Feed!B:B, B577, CA_Feed!E:E, "*BONUS*", CA_Feed!D:D, "&gt;="&amp;C577)</f>
        <v>0</v>
      </c>
      <c r="J577">
        <f t="shared" si="79"/>
        <v>0</v>
      </c>
      <c r="K577">
        <f t="shared" si="80"/>
        <v>0</v>
      </c>
      <c r="L577">
        <f>IF(K577&gt;0, K577 * VLOOKUP(B577, CA_Feed!B:N, 13, FALSE), 0)</f>
        <v>0</v>
      </c>
      <c r="M577">
        <f t="shared" si="75"/>
        <v>0</v>
      </c>
      <c r="N577" s="2">
        <f t="shared" si="74"/>
        <v>0</v>
      </c>
      <c r="O577" t="str">
        <f>IF(COUNTIFS(CA_Feed!B:B, B577)=0, "No Action Announced", IF(COUNTIFS(CA_Feed!B:B, B577, CA_Feed!D:D, "&gt;="&amp;C577)&gt;0, "Processed (Eligible)", "Ineligible (Post Ex-Date)"))</f>
        <v>Ineligible (Post Ex-Date)</v>
      </c>
    </row>
    <row r="578" spans="1:15" x14ac:dyDescent="0.3">
      <c r="A578" t="s">
        <v>654</v>
      </c>
      <c r="B578" t="s">
        <v>37</v>
      </c>
      <c r="C578" s="5">
        <v>43851</v>
      </c>
      <c r="D578" s="2">
        <v>7350</v>
      </c>
      <c r="E578">
        <f>SUMIFS(CA_Feed!F:F, CA_Feed!B:B, B578, CA_Feed!E:E, "*DIVIDEND*", CA_Feed!D:D, "&gt;="&amp;C578)</f>
        <v>6.5</v>
      </c>
      <c r="F578">
        <f t="shared" si="76"/>
        <v>47775</v>
      </c>
      <c r="G578">
        <f t="shared" si="77"/>
        <v>4777.5</v>
      </c>
      <c r="H578">
        <f t="shared" si="78"/>
        <v>42997.5</v>
      </c>
      <c r="I578">
        <f>D578 * SUMIFS(CA_Feed!G:G, CA_Feed!B:B, B578, CA_Feed!E:E, "*BONUS*", CA_Feed!D:D, "&gt;="&amp;C578)</f>
        <v>0</v>
      </c>
      <c r="J578">
        <f t="shared" si="79"/>
        <v>0</v>
      </c>
      <c r="K578">
        <f t="shared" si="80"/>
        <v>0</v>
      </c>
      <c r="L578">
        <f>IF(K578&gt;0, K578 * VLOOKUP(B578, CA_Feed!B:N, 13, FALSE), 0)</f>
        <v>0</v>
      </c>
      <c r="M578">
        <f t="shared" si="75"/>
        <v>42997.5</v>
      </c>
      <c r="N578" s="2">
        <f t="shared" si="74"/>
        <v>0</v>
      </c>
      <c r="O578" t="str">
        <f>IF(COUNTIFS(CA_Feed!B:B, B578)=0, "No Action Announced", IF(COUNTIFS(CA_Feed!B:B, B578, CA_Feed!D:D, "&gt;="&amp;C578)&gt;0, "Processed (Eligible)", "Ineligible (Post Ex-Date)"))</f>
        <v>Processed (Eligible)</v>
      </c>
    </row>
    <row r="579" spans="1:15" x14ac:dyDescent="0.3">
      <c r="A579" t="s">
        <v>655</v>
      </c>
      <c r="B579" t="s">
        <v>57</v>
      </c>
      <c r="C579" s="5">
        <v>42171</v>
      </c>
      <c r="D579" s="2">
        <v>2600</v>
      </c>
      <c r="E579">
        <f>SUMIFS(CA_Feed!F:F, CA_Feed!B:B, B579, CA_Feed!E:E, "*DIVIDEND*", CA_Feed!D:D, "&gt;="&amp;C579)</f>
        <v>0.02</v>
      </c>
      <c r="F579">
        <f t="shared" si="76"/>
        <v>52</v>
      </c>
      <c r="G579">
        <f t="shared" si="77"/>
        <v>5.2</v>
      </c>
      <c r="H579">
        <f t="shared" si="78"/>
        <v>46.8</v>
      </c>
      <c r="I579">
        <f>D579 * SUMIFS(CA_Feed!G:G, CA_Feed!B:B, B579, CA_Feed!E:E, "*BONUS*", CA_Feed!D:D, "&gt;="&amp;C579)</f>
        <v>0</v>
      </c>
      <c r="J579">
        <f t="shared" si="79"/>
        <v>0</v>
      </c>
      <c r="K579">
        <f t="shared" si="80"/>
        <v>0</v>
      </c>
      <c r="L579">
        <f>IF(K579&gt;0, K579 * VLOOKUP(B579, CA_Feed!B:N, 13, FALSE), 0)</f>
        <v>0</v>
      </c>
      <c r="M579">
        <f t="shared" si="75"/>
        <v>46.8</v>
      </c>
      <c r="N579" s="2">
        <f t="shared" ref="N579:N642" si="81">IF(J579&gt;0,D579 +J579,0)</f>
        <v>0</v>
      </c>
      <c r="O579" t="str">
        <f>IF(COUNTIFS(CA_Feed!B:B, B579)=0, "No Action Announced", IF(COUNTIFS(CA_Feed!B:B, B579, CA_Feed!D:D, "&gt;="&amp;C579)&gt;0, "Processed (Eligible)", "Ineligible (Post Ex-Date)"))</f>
        <v>Processed (Eligible)</v>
      </c>
    </row>
    <row r="580" spans="1:15" x14ac:dyDescent="0.3">
      <c r="A580" t="s">
        <v>656</v>
      </c>
      <c r="B580" t="s">
        <v>25</v>
      </c>
      <c r="C580" s="5">
        <v>43380</v>
      </c>
      <c r="D580" s="2">
        <v>7600</v>
      </c>
      <c r="E580">
        <f>SUMIFS(CA_Feed!F:F, CA_Feed!B:B, B580, CA_Feed!E:E, "*DIVIDEND*", CA_Feed!D:D, "&gt;="&amp;C580)</f>
        <v>2.5</v>
      </c>
      <c r="F580">
        <f t="shared" si="76"/>
        <v>19000</v>
      </c>
      <c r="G580">
        <f t="shared" si="77"/>
        <v>1900</v>
      </c>
      <c r="H580">
        <f t="shared" si="78"/>
        <v>17100</v>
      </c>
      <c r="I580">
        <f>D580 * SUMIFS(CA_Feed!G:G, CA_Feed!B:B, B580, CA_Feed!E:E, "*BONUS*", CA_Feed!D:D, "&gt;="&amp;C580)</f>
        <v>0</v>
      </c>
      <c r="J580">
        <f t="shared" si="79"/>
        <v>0</v>
      </c>
      <c r="K580">
        <f t="shared" si="80"/>
        <v>0</v>
      </c>
      <c r="L580">
        <f>IF(K580&gt;0, K580 * VLOOKUP(B580, CA_Feed!B:N, 13, FALSE), 0)</f>
        <v>0</v>
      </c>
      <c r="M580">
        <f t="shared" si="75"/>
        <v>17100</v>
      </c>
      <c r="N580" s="2">
        <f t="shared" si="81"/>
        <v>0</v>
      </c>
      <c r="O580" t="str">
        <f>IF(COUNTIFS(CA_Feed!B:B, B580)=0, "No Action Announced", IF(COUNTIFS(CA_Feed!B:B, B580, CA_Feed!D:D, "&gt;="&amp;C580)&gt;0, "Processed (Eligible)", "Ineligible (Post Ex-Date)"))</f>
        <v>Processed (Eligible)</v>
      </c>
    </row>
    <row r="581" spans="1:15" x14ac:dyDescent="0.3">
      <c r="A581" t="s">
        <v>358</v>
      </c>
      <c r="B581" t="s">
        <v>12</v>
      </c>
      <c r="C581" s="5">
        <v>46235</v>
      </c>
      <c r="D581" s="2">
        <v>70</v>
      </c>
      <c r="E581">
        <f>SUMIFS(CA_Feed!F:F, CA_Feed!B:B, B581, CA_Feed!E:E, "*DIVIDEND*", CA_Feed!D:D, "&gt;="&amp;C581)</f>
        <v>0</v>
      </c>
      <c r="F581">
        <f t="shared" si="76"/>
        <v>0</v>
      </c>
      <c r="G581">
        <f t="shared" si="77"/>
        <v>0</v>
      </c>
      <c r="H581">
        <f t="shared" si="78"/>
        <v>0</v>
      </c>
      <c r="I581">
        <f>D581 * SUMIFS(CA_Feed!G:G, CA_Feed!B:B, B581, CA_Feed!E:E, "*BONUS*", CA_Feed!D:D, "&gt;="&amp;C581)</f>
        <v>0</v>
      </c>
      <c r="J581">
        <f t="shared" si="79"/>
        <v>0</v>
      </c>
      <c r="K581">
        <f t="shared" si="80"/>
        <v>0</v>
      </c>
      <c r="L581">
        <f>IF(K581&gt;0, K581 * VLOOKUP(B581, CA_Feed!B:N, 13, FALSE), 0)</f>
        <v>0</v>
      </c>
      <c r="M581">
        <f t="shared" si="75"/>
        <v>0</v>
      </c>
      <c r="N581" s="2">
        <f t="shared" si="81"/>
        <v>0</v>
      </c>
      <c r="O581" t="str">
        <f>IF(COUNTIFS(CA_Feed!B:B, B581)=0, "No Action Announced", IF(COUNTIFS(CA_Feed!B:B, B581, CA_Feed!D:D, "&gt;="&amp;C581)&gt;0, "Processed (Eligible)", "Ineligible (Post Ex-Date)"))</f>
        <v>Ineligible (Post Ex-Date)</v>
      </c>
    </row>
    <row r="582" spans="1:15" x14ac:dyDescent="0.3">
      <c r="A582" t="s">
        <v>658</v>
      </c>
      <c r="B582" t="s">
        <v>25</v>
      </c>
      <c r="C582" s="5">
        <v>45421</v>
      </c>
      <c r="D582" s="2">
        <v>5200</v>
      </c>
      <c r="E582">
        <f>SUMIFS(CA_Feed!F:F, CA_Feed!B:B, B582, CA_Feed!E:E, "*DIVIDEND*", CA_Feed!D:D, "&gt;="&amp;C582)</f>
        <v>2.5</v>
      </c>
      <c r="F582">
        <f t="shared" si="76"/>
        <v>13000</v>
      </c>
      <c r="G582">
        <f t="shared" si="77"/>
        <v>1300</v>
      </c>
      <c r="H582">
        <f t="shared" si="78"/>
        <v>11700</v>
      </c>
      <c r="I582">
        <f>D582 * SUMIFS(CA_Feed!G:G, CA_Feed!B:B, B582, CA_Feed!E:E, "*BONUS*", CA_Feed!D:D, "&gt;="&amp;C582)</f>
        <v>0</v>
      </c>
      <c r="J582">
        <f t="shared" si="79"/>
        <v>0</v>
      </c>
      <c r="K582">
        <f t="shared" si="80"/>
        <v>0</v>
      </c>
      <c r="L582">
        <f>IF(K582&gt;0, K582 * VLOOKUP(B582, CA_Feed!B:N, 13, FALSE), 0)</f>
        <v>0</v>
      </c>
      <c r="M582">
        <f t="shared" si="75"/>
        <v>11700</v>
      </c>
      <c r="N582" s="2">
        <f t="shared" si="81"/>
        <v>0</v>
      </c>
      <c r="O582" t="str">
        <f>IF(COUNTIFS(CA_Feed!B:B, B582)=0, "No Action Announced", IF(COUNTIFS(CA_Feed!B:B, B582, CA_Feed!D:D, "&gt;="&amp;C582)&gt;0, "Processed (Eligible)", "Ineligible (Post Ex-Date)"))</f>
        <v>Processed (Eligible)</v>
      </c>
    </row>
    <row r="583" spans="1:15" x14ac:dyDescent="0.3">
      <c r="A583" t="s">
        <v>141</v>
      </c>
      <c r="B583" t="s">
        <v>12</v>
      </c>
      <c r="C583" s="5">
        <v>45027</v>
      </c>
      <c r="D583" s="2">
        <v>70</v>
      </c>
      <c r="E583">
        <f>SUMIFS(CA_Feed!F:F, CA_Feed!B:B, B583, CA_Feed!E:E, "*DIVIDEND*", CA_Feed!D:D, "&gt;="&amp;C583)</f>
        <v>19</v>
      </c>
      <c r="F583">
        <f t="shared" si="76"/>
        <v>1330</v>
      </c>
      <c r="G583">
        <f t="shared" si="77"/>
        <v>133</v>
      </c>
      <c r="H583">
        <f t="shared" si="78"/>
        <v>1197</v>
      </c>
      <c r="I583">
        <f>D583 * SUMIFS(CA_Feed!G:G, CA_Feed!B:B, B583, CA_Feed!E:E, "*BONUS*", CA_Feed!D:D, "&gt;="&amp;C583)</f>
        <v>0</v>
      </c>
      <c r="J583">
        <f t="shared" si="79"/>
        <v>0</v>
      </c>
      <c r="K583">
        <f t="shared" si="80"/>
        <v>0</v>
      </c>
      <c r="L583">
        <f>IF(K583&gt;0, K583 * VLOOKUP(B583, CA_Feed!B:N, 13, FALSE), 0)</f>
        <v>0</v>
      </c>
      <c r="M583">
        <f t="shared" si="75"/>
        <v>1197</v>
      </c>
      <c r="N583" s="2">
        <f t="shared" si="81"/>
        <v>0</v>
      </c>
      <c r="O583" t="str">
        <f>IF(COUNTIFS(CA_Feed!B:B, B583)=0, "No Action Announced", IF(COUNTIFS(CA_Feed!B:B, B583, CA_Feed!D:D, "&gt;="&amp;C583)&gt;0, "Processed (Eligible)", "Ineligible (Post Ex-Date)"))</f>
        <v>Processed (Eligible)</v>
      </c>
    </row>
    <row r="584" spans="1:15" x14ac:dyDescent="0.3">
      <c r="A584" t="s">
        <v>660</v>
      </c>
      <c r="B584" t="s">
        <v>37</v>
      </c>
      <c r="C584" s="5">
        <v>45430</v>
      </c>
      <c r="D584" s="2">
        <v>3400</v>
      </c>
      <c r="E584">
        <f>SUMIFS(CA_Feed!F:F, CA_Feed!B:B, B584, CA_Feed!E:E, "*DIVIDEND*", CA_Feed!D:D, "&gt;="&amp;C584)</f>
        <v>4.5</v>
      </c>
      <c r="F584">
        <f t="shared" si="76"/>
        <v>15300</v>
      </c>
      <c r="G584">
        <f t="shared" si="77"/>
        <v>1530</v>
      </c>
      <c r="H584">
        <f t="shared" si="78"/>
        <v>13770</v>
      </c>
      <c r="I584">
        <f>D584 * SUMIFS(CA_Feed!G:G, CA_Feed!B:B, B584, CA_Feed!E:E, "*BONUS*", CA_Feed!D:D, "&gt;="&amp;C584)</f>
        <v>0</v>
      </c>
      <c r="J584">
        <f t="shared" si="79"/>
        <v>0</v>
      </c>
      <c r="K584">
        <f t="shared" si="80"/>
        <v>0</v>
      </c>
      <c r="L584">
        <f>IF(K584&gt;0, K584 * VLOOKUP(B584, CA_Feed!B:N, 13, FALSE), 0)</f>
        <v>0</v>
      </c>
      <c r="M584">
        <f t="shared" si="75"/>
        <v>13770</v>
      </c>
      <c r="N584" s="2">
        <f t="shared" si="81"/>
        <v>0</v>
      </c>
      <c r="O584" t="str">
        <f>IF(COUNTIFS(CA_Feed!B:B, B584)=0, "No Action Announced", IF(COUNTIFS(CA_Feed!B:B, B584, CA_Feed!D:D, "&gt;="&amp;C584)&gt;0, "Processed (Eligible)", "Ineligible (Post Ex-Date)"))</f>
        <v>Processed (Eligible)</v>
      </c>
    </row>
    <row r="585" spans="1:15" x14ac:dyDescent="0.3">
      <c r="A585" t="s">
        <v>661</v>
      </c>
      <c r="B585" t="s">
        <v>19</v>
      </c>
      <c r="C585" s="5">
        <v>44464</v>
      </c>
      <c r="D585" s="2">
        <v>8550</v>
      </c>
      <c r="E585">
        <f>SUMIFS(CA_Feed!F:F, CA_Feed!B:B, B585, CA_Feed!E:E, "*DIVIDEND*", CA_Feed!D:D, "&gt;="&amp;C585)</f>
        <v>1.5</v>
      </c>
      <c r="F585">
        <f t="shared" si="76"/>
        <v>12825</v>
      </c>
      <c r="G585">
        <f t="shared" si="77"/>
        <v>1282.5</v>
      </c>
      <c r="H585">
        <f t="shared" si="78"/>
        <v>11542.5</v>
      </c>
      <c r="I585">
        <f>D585 * SUMIFS(CA_Feed!G:G, CA_Feed!B:B, B585, CA_Feed!E:E, "*BONUS*", CA_Feed!D:D, "&gt;="&amp;C585)</f>
        <v>0</v>
      </c>
      <c r="J585">
        <f t="shared" si="79"/>
        <v>0</v>
      </c>
      <c r="K585">
        <f t="shared" si="80"/>
        <v>0</v>
      </c>
      <c r="L585">
        <f>IF(K585&gt;0, K585 * VLOOKUP(B585, CA_Feed!B:N, 13, FALSE), 0)</f>
        <v>0</v>
      </c>
      <c r="M585">
        <f t="shared" si="75"/>
        <v>11542.5</v>
      </c>
      <c r="N585" s="2">
        <f t="shared" si="81"/>
        <v>0</v>
      </c>
      <c r="O585" t="str">
        <f>IF(COUNTIFS(CA_Feed!B:B, B585)=0, "No Action Announced", IF(COUNTIFS(CA_Feed!B:B, B585, CA_Feed!D:D, "&gt;="&amp;C585)&gt;0, "Processed (Eligible)", "Ineligible (Post Ex-Date)"))</f>
        <v>Processed (Eligible)</v>
      </c>
    </row>
    <row r="586" spans="1:15" x14ac:dyDescent="0.3">
      <c r="A586" t="s">
        <v>662</v>
      </c>
      <c r="B586" t="s">
        <v>43</v>
      </c>
      <c r="C586" s="5">
        <v>42811</v>
      </c>
      <c r="D586" s="2">
        <v>7650</v>
      </c>
      <c r="E586">
        <f>SUMIFS(CA_Feed!F:F, CA_Feed!B:B, B586, CA_Feed!E:E, "*DIVIDEND*", CA_Feed!D:D, "&gt;="&amp;C586)</f>
        <v>1.35</v>
      </c>
      <c r="F586">
        <f t="shared" si="76"/>
        <v>10327.5</v>
      </c>
      <c r="G586">
        <f t="shared" si="77"/>
        <v>1032.75</v>
      </c>
      <c r="H586">
        <f t="shared" si="78"/>
        <v>9294.75</v>
      </c>
      <c r="I586">
        <f>D586 * SUMIFS(CA_Feed!G:G, CA_Feed!B:B, B586, CA_Feed!E:E, "*BONUS*", CA_Feed!D:D, "&gt;="&amp;C586)</f>
        <v>0</v>
      </c>
      <c r="J586">
        <f t="shared" si="79"/>
        <v>0</v>
      </c>
      <c r="K586">
        <f t="shared" si="80"/>
        <v>0</v>
      </c>
      <c r="L586">
        <f>IF(K586&gt;0, K586 * VLOOKUP(B586, CA_Feed!B:N, 13, FALSE), 0)</f>
        <v>0</v>
      </c>
      <c r="M586">
        <f t="shared" si="75"/>
        <v>9294.75</v>
      </c>
      <c r="N586" s="2">
        <f t="shared" si="81"/>
        <v>0</v>
      </c>
      <c r="O586" t="str">
        <f>IF(COUNTIFS(CA_Feed!B:B, B586)=0, "No Action Announced", IF(COUNTIFS(CA_Feed!B:B, B586, CA_Feed!D:D, "&gt;="&amp;C586)&gt;0, "Processed (Eligible)", "Ineligible (Post Ex-Date)"))</f>
        <v>Processed (Eligible)</v>
      </c>
    </row>
    <row r="587" spans="1:15" x14ac:dyDescent="0.3">
      <c r="A587" t="s">
        <v>663</v>
      </c>
      <c r="B587" t="s">
        <v>31</v>
      </c>
      <c r="C587" s="5">
        <v>44470</v>
      </c>
      <c r="D587" s="2">
        <v>1200</v>
      </c>
      <c r="E587">
        <f>SUMIFS(CA_Feed!F:F, CA_Feed!B:B, B587, CA_Feed!E:E, "*DIVIDEND*", CA_Feed!D:D, "&gt;="&amp;C587)</f>
        <v>3</v>
      </c>
      <c r="F587">
        <f t="shared" si="76"/>
        <v>3600</v>
      </c>
      <c r="G587">
        <f t="shared" si="77"/>
        <v>360</v>
      </c>
      <c r="H587">
        <f t="shared" si="78"/>
        <v>3240</v>
      </c>
      <c r="I587">
        <f>D587 * SUMIFS(CA_Feed!G:G, CA_Feed!B:B, B587, CA_Feed!E:E, "*BONUS*", CA_Feed!D:D, "&gt;="&amp;C587)</f>
        <v>0</v>
      </c>
      <c r="J587">
        <f t="shared" si="79"/>
        <v>0</v>
      </c>
      <c r="K587">
        <f t="shared" si="80"/>
        <v>0</v>
      </c>
      <c r="L587">
        <f>IF(K587&gt;0, K587 * VLOOKUP(B587, CA_Feed!B:N, 13, FALSE), 0)</f>
        <v>0</v>
      </c>
      <c r="M587">
        <f t="shared" si="75"/>
        <v>3240</v>
      </c>
      <c r="N587" s="2">
        <f t="shared" si="81"/>
        <v>0</v>
      </c>
      <c r="O587" t="str">
        <f>IF(COUNTIFS(CA_Feed!B:B, B587)=0, "No Action Announced", IF(COUNTIFS(CA_Feed!B:B, B587, CA_Feed!D:D, "&gt;="&amp;C587)&gt;0, "Processed (Eligible)", "Ineligible (Post Ex-Date)"))</f>
        <v>Processed (Eligible)</v>
      </c>
    </row>
    <row r="588" spans="1:15" x14ac:dyDescent="0.3">
      <c r="A588" t="s">
        <v>122</v>
      </c>
      <c r="B588" t="s">
        <v>12</v>
      </c>
      <c r="C588" s="5">
        <v>46235</v>
      </c>
      <c r="D588" s="2">
        <v>70</v>
      </c>
      <c r="E588">
        <f>SUMIFS(CA_Feed!F:F, CA_Feed!B:B, B588, CA_Feed!E:E, "*DIVIDEND*", CA_Feed!D:D, "&gt;="&amp;C588)</f>
        <v>0</v>
      </c>
      <c r="F588">
        <f t="shared" si="76"/>
        <v>0</v>
      </c>
      <c r="G588">
        <f t="shared" si="77"/>
        <v>0</v>
      </c>
      <c r="H588">
        <f t="shared" si="78"/>
        <v>0</v>
      </c>
      <c r="I588">
        <f>D588 * SUMIFS(CA_Feed!G:G, CA_Feed!B:B, B588, CA_Feed!E:E, "*BONUS*", CA_Feed!D:D, "&gt;="&amp;C588)</f>
        <v>0</v>
      </c>
      <c r="J588">
        <f t="shared" si="79"/>
        <v>0</v>
      </c>
      <c r="K588">
        <f t="shared" si="80"/>
        <v>0</v>
      </c>
      <c r="L588">
        <f>IF(K588&gt;0, K588 * VLOOKUP(B588, CA_Feed!B:N, 13, FALSE), 0)</f>
        <v>0</v>
      </c>
      <c r="M588">
        <f t="shared" si="75"/>
        <v>0</v>
      </c>
      <c r="N588" s="2">
        <f t="shared" si="81"/>
        <v>0</v>
      </c>
      <c r="O588" t="str">
        <f>IF(COUNTIFS(CA_Feed!B:B, B588)=0, "No Action Announced", IF(COUNTIFS(CA_Feed!B:B, B588, CA_Feed!D:D, "&gt;="&amp;C588)&gt;0, "Processed (Eligible)", "Ineligible (Post Ex-Date)"))</f>
        <v>Ineligible (Post Ex-Date)</v>
      </c>
    </row>
    <row r="589" spans="1:15" x14ac:dyDescent="0.3">
      <c r="A589" t="s">
        <v>665</v>
      </c>
      <c r="B589" t="s">
        <v>43</v>
      </c>
      <c r="C589" s="5">
        <v>42334</v>
      </c>
      <c r="D589" s="2">
        <v>5200</v>
      </c>
      <c r="E589">
        <f>SUMIFS(CA_Feed!F:F, CA_Feed!B:B, B589, CA_Feed!E:E, "*DIVIDEND*", CA_Feed!D:D, "&gt;="&amp;C589)</f>
        <v>1.35</v>
      </c>
      <c r="F589">
        <f t="shared" si="76"/>
        <v>7020.0000000000009</v>
      </c>
      <c r="G589">
        <f t="shared" si="77"/>
        <v>702.00000000000011</v>
      </c>
      <c r="H589">
        <f t="shared" si="78"/>
        <v>6318.0000000000009</v>
      </c>
      <c r="I589">
        <f>D589 * SUMIFS(CA_Feed!G:G, CA_Feed!B:B, B589, CA_Feed!E:E, "*BONUS*", CA_Feed!D:D, "&gt;="&amp;C589)</f>
        <v>0</v>
      </c>
      <c r="J589">
        <f t="shared" si="79"/>
        <v>0</v>
      </c>
      <c r="K589">
        <f t="shared" si="80"/>
        <v>0</v>
      </c>
      <c r="L589">
        <f>IF(K589&gt;0, K589 * VLOOKUP(B589, CA_Feed!B:N, 13, FALSE), 0)</f>
        <v>0</v>
      </c>
      <c r="M589">
        <f t="shared" si="75"/>
        <v>6318.0000000000009</v>
      </c>
      <c r="N589" s="2">
        <f t="shared" si="81"/>
        <v>0</v>
      </c>
      <c r="O589" t="str">
        <f>IF(COUNTIFS(CA_Feed!B:B, B589)=0, "No Action Announced", IF(COUNTIFS(CA_Feed!B:B, B589, CA_Feed!D:D, "&gt;="&amp;C589)&gt;0, "Processed (Eligible)", "Ineligible (Post Ex-Date)"))</f>
        <v>Processed (Eligible)</v>
      </c>
    </row>
    <row r="590" spans="1:15" x14ac:dyDescent="0.3">
      <c r="A590" t="s">
        <v>666</v>
      </c>
      <c r="B590" t="s">
        <v>31</v>
      </c>
      <c r="C590" s="5">
        <v>45249</v>
      </c>
      <c r="D590" s="2">
        <v>5700</v>
      </c>
      <c r="E590">
        <f>SUMIFS(CA_Feed!F:F, CA_Feed!B:B, B590, CA_Feed!E:E, "*DIVIDEND*", CA_Feed!D:D, "&gt;="&amp;C590)</f>
        <v>3</v>
      </c>
      <c r="F590">
        <f t="shared" si="76"/>
        <v>17100</v>
      </c>
      <c r="G590">
        <f t="shared" si="77"/>
        <v>1710</v>
      </c>
      <c r="H590">
        <f t="shared" si="78"/>
        <v>15390</v>
      </c>
      <c r="I590">
        <f>D590 * SUMIFS(CA_Feed!G:G, CA_Feed!B:B, B590, CA_Feed!E:E, "*BONUS*", CA_Feed!D:D, "&gt;="&amp;C590)</f>
        <v>0</v>
      </c>
      <c r="J590">
        <f t="shared" si="79"/>
        <v>0</v>
      </c>
      <c r="K590">
        <f t="shared" si="80"/>
        <v>0</v>
      </c>
      <c r="L590">
        <f>IF(K590&gt;0, K590 * VLOOKUP(B590, CA_Feed!B:N, 13, FALSE), 0)</f>
        <v>0</v>
      </c>
      <c r="M590">
        <f t="shared" si="75"/>
        <v>15390</v>
      </c>
      <c r="N590" s="2">
        <f t="shared" si="81"/>
        <v>0</v>
      </c>
      <c r="O590" t="str">
        <f>IF(COUNTIFS(CA_Feed!B:B, B590)=0, "No Action Announced", IF(COUNTIFS(CA_Feed!B:B, B590, CA_Feed!D:D, "&gt;="&amp;C590)&gt;0, "Processed (Eligible)", "Ineligible (Post Ex-Date)"))</f>
        <v>Processed (Eligible)</v>
      </c>
    </row>
    <row r="591" spans="1:15" x14ac:dyDescent="0.3">
      <c r="A591" t="s">
        <v>667</v>
      </c>
      <c r="B591" t="s">
        <v>43</v>
      </c>
      <c r="C591" s="5">
        <v>42426</v>
      </c>
      <c r="D591" s="2">
        <v>8350</v>
      </c>
      <c r="E591">
        <f>SUMIFS(CA_Feed!F:F, CA_Feed!B:B, B591, CA_Feed!E:E, "*DIVIDEND*", CA_Feed!D:D, "&gt;="&amp;C591)</f>
        <v>1.35</v>
      </c>
      <c r="F591">
        <f t="shared" si="76"/>
        <v>11272.5</v>
      </c>
      <c r="G591">
        <f t="shared" si="77"/>
        <v>1127.25</v>
      </c>
      <c r="H591">
        <f t="shared" si="78"/>
        <v>10145.25</v>
      </c>
      <c r="I591">
        <f>D591 * SUMIFS(CA_Feed!G:G, CA_Feed!B:B, B591, CA_Feed!E:E, "*BONUS*", CA_Feed!D:D, "&gt;="&amp;C591)</f>
        <v>0</v>
      </c>
      <c r="J591">
        <f t="shared" si="79"/>
        <v>0</v>
      </c>
      <c r="K591">
        <f t="shared" si="80"/>
        <v>0</v>
      </c>
      <c r="L591">
        <f>IF(K591&gt;0, K591 * VLOOKUP(B591, CA_Feed!B:N, 13, FALSE), 0)</f>
        <v>0</v>
      </c>
      <c r="M591">
        <f t="shared" si="75"/>
        <v>10145.25</v>
      </c>
      <c r="N591" s="2">
        <f t="shared" si="81"/>
        <v>0</v>
      </c>
      <c r="O591" t="str">
        <f>IF(COUNTIFS(CA_Feed!B:B, B591)=0, "No Action Announced", IF(COUNTIFS(CA_Feed!B:B, B591, CA_Feed!D:D, "&gt;="&amp;C591)&gt;0, "Processed (Eligible)", "Ineligible (Post Ex-Date)"))</f>
        <v>Processed (Eligible)</v>
      </c>
    </row>
    <row r="592" spans="1:15" x14ac:dyDescent="0.3">
      <c r="A592" t="s">
        <v>474</v>
      </c>
      <c r="B592" t="s">
        <v>12</v>
      </c>
      <c r="C592" s="5">
        <v>44836</v>
      </c>
      <c r="D592" s="2">
        <v>70</v>
      </c>
      <c r="E592">
        <f>SUMIFS(CA_Feed!F:F, CA_Feed!B:B, B592, CA_Feed!E:E, "*DIVIDEND*", CA_Feed!D:D, "&gt;="&amp;C592)</f>
        <v>19</v>
      </c>
      <c r="F592">
        <f t="shared" si="76"/>
        <v>1330</v>
      </c>
      <c r="G592">
        <f t="shared" si="77"/>
        <v>133</v>
      </c>
      <c r="H592">
        <f t="shared" si="78"/>
        <v>1197</v>
      </c>
      <c r="I592">
        <f>D592 * SUMIFS(CA_Feed!G:G, CA_Feed!B:B, B592, CA_Feed!E:E, "*BONUS*", CA_Feed!D:D, "&gt;="&amp;C592)</f>
        <v>0</v>
      </c>
      <c r="J592">
        <f t="shared" si="79"/>
        <v>0</v>
      </c>
      <c r="K592">
        <f t="shared" si="80"/>
        <v>0</v>
      </c>
      <c r="L592">
        <f>IF(K592&gt;0, K592 * VLOOKUP(B592, CA_Feed!B:N, 13, FALSE), 0)</f>
        <v>0</v>
      </c>
      <c r="M592">
        <f t="shared" si="75"/>
        <v>1197</v>
      </c>
      <c r="N592" s="2">
        <f t="shared" si="81"/>
        <v>0</v>
      </c>
      <c r="O592" t="str">
        <f>IF(COUNTIFS(CA_Feed!B:B, B592)=0, "No Action Announced", IF(COUNTIFS(CA_Feed!B:B, B592, CA_Feed!D:D, "&gt;="&amp;C592)&gt;0, "Processed (Eligible)", "Ineligible (Post Ex-Date)"))</f>
        <v>Processed (Eligible)</v>
      </c>
    </row>
    <row r="593" spans="1:15" x14ac:dyDescent="0.3">
      <c r="A593" t="s">
        <v>669</v>
      </c>
      <c r="B593" t="s">
        <v>53</v>
      </c>
      <c r="C593" s="5">
        <v>42627</v>
      </c>
      <c r="D593" s="2">
        <v>6100</v>
      </c>
      <c r="E593">
        <f>SUMIFS(CA_Feed!F:F, CA_Feed!B:B, B593, CA_Feed!E:E, "*DIVIDEND*", CA_Feed!D:D, "&gt;="&amp;C593)</f>
        <v>7.0000000000000007E-2</v>
      </c>
      <c r="F593">
        <f t="shared" si="76"/>
        <v>427.00000000000006</v>
      </c>
      <c r="G593">
        <f t="shared" si="77"/>
        <v>42.70000000000001</v>
      </c>
      <c r="H593">
        <f t="shared" si="78"/>
        <v>384.30000000000007</v>
      </c>
      <c r="I593">
        <f>D593 * SUMIFS(CA_Feed!G:G, CA_Feed!B:B, B593, CA_Feed!E:E, "*BONUS*", CA_Feed!D:D, "&gt;="&amp;C593)</f>
        <v>0</v>
      </c>
      <c r="J593">
        <f t="shared" si="79"/>
        <v>0</v>
      </c>
      <c r="K593">
        <f t="shared" si="80"/>
        <v>0</v>
      </c>
      <c r="L593">
        <f>IF(K593&gt;0, K593 * VLOOKUP(B593, CA_Feed!B:N, 13, FALSE), 0)</f>
        <v>0</v>
      </c>
      <c r="M593">
        <f t="shared" ref="M593:M641" si="82">H593 + L593</f>
        <v>384.30000000000007</v>
      </c>
      <c r="N593" s="2">
        <f t="shared" si="81"/>
        <v>0</v>
      </c>
      <c r="O593" t="str">
        <f>IF(COUNTIFS(CA_Feed!B:B, B593)=0, "No Action Announced", IF(COUNTIFS(CA_Feed!B:B, B593, CA_Feed!D:D, "&gt;="&amp;C593)&gt;0, "Processed (Eligible)", "Ineligible (Post Ex-Date)"))</f>
        <v>Processed (Eligible)</v>
      </c>
    </row>
    <row r="594" spans="1:15" x14ac:dyDescent="0.3">
      <c r="A594" t="s">
        <v>670</v>
      </c>
      <c r="B594" t="s">
        <v>45</v>
      </c>
      <c r="C594" s="5">
        <v>44701</v>
      </c>
      <c r="D594" s="2">
        <v>4650</v>
      </c>
      <c r="E594">
        <f>SUMIFS(CA_Feed!F:F, CA_Feed!B:B, B594, CA_Feed!E:E, "*DIVIDEND*", CA_Feed!D:D, "&gt;="&amp;C594)</f>
        <v>2.5</v>
      </c>
      <c r="F594">
        <f t="shared" ref="F594:F642" si="83">D594 * E594</f>
        <v>11625</v>
      </c>
      <c r="G594">
        <f t="shared" ref="G594:G642" si="84">F594 * 0.1</f>
        <v>1162.5</v>
      </c>
      <c r="H594">
        <f t="shared" ref="H594:H642" si="85">F594 - G594</f>
        <v>10462.5</v>
      </c>
      <c r="I594">
        <f>D594 * SUMIFS(CA_Feed!G:G, CA_Feed!B:B, B594, CA_Feed!E:E, "*BONUS*", CA_Feed!D:D, "&gt;="&amp;C594)</f>
        <v>0</v>
      </c>
      <c r="J594">
        <f t="shared" ref="J594:J642" si="86">INT(I594)</f>
        <v>0</v>
      </c>
      <c r="K594">
        <f t="shared" ref="K594:K642" si="87">I594-J594</f>
        <v>0</v>
      </c>
      <c r="L594">
        <f>IF(K594&gt;0, K594 * VLOOKUP(B594, CA_Feed!B:N, 13, FALSE), 0)</f>
        <v>0</v>
      </c>
      <c r="M594">
        <f t="shared" si="82"/>
        <v>10462.5</v>
      </c>
      <c r="N594" s="2">
        <f t="shared" si="81"/>
        <v>0</v>
      </c>
      <c r="O594" t="str">
        <f>IF(COUNTIFS(CA_Feed!B:B, B594)=0, "No Action Announced", IF(COUNTIFS(CA_Feed!B:B, B594, CA_Feed!D:D, "&gt;="&amp;C594)&gt;0, "Processed (Eligible)", "Ineligible (Post Ex-Date)"))</f>
        <v>Processed (Eligible)</v>
      </c>
    </row>
    <row r="595" spans="1:15" x14ac:dyDescent="0.3">
      <c r="A595" t="s">
        <v>671</v>
      </c>
      <c r="B595" t="s">
        <v>57</v>
      </c>
      <c r="C595" s="5">
        <v>44443</v>
      </c>
      <c r="D595" s="2">
        <v>7950</v>
      </c>
      <c r="E595">
        <f>SUMIFS(CA_Feed!F:F, CA_Feed!B:B, B595, CA_Feed!E:E, "*DIVIDEND*", CA_Feed!D:D, "&gt;="&amp;C595)</f>
        <v>0.02</v>
      </c>
      <c r="F595">
        <f t="shared" si="83"/>
        <v>159</v>
      </c>
      <c r="G595">
        <f t="shared" si="84"/>
        <v>15.9</v>
      </c>
      <c r="H595">
        <f t="shared" si="85"/>
        <v>143.1</v>
      </c>
      <c r="I595">
        <f>D595 * SUMIFS(CA_Feed!G:G, CA_Feed!B:B, B595, CA_Feed!E:E, "*BONUS*", CA_Feed!D:D, "&gt;="&amp;C595)</f>
        <v>0</v>
      </c>
      <c r="J595">
        <f t="shared" si="86"/>
        <v>0</v>
      </c>
      <c r="K595">
        <f t="shared" si="87"/>
        <v>0</v>
      </c>
      <c r="L595">
        <f>IF(K595&gt;0, K595 * VLOOKUP(B595, CA_Feed!B:N, 13, FALSE), 0)</f>
        <v>0</v>
      </c>
      <c r="M595">
        <f t="shared" si="82"/>
        <v>143.1</v>
      </c>
      <c r="N595" s="2">
        <f t="shared" si="81"/>
        <v>0</v>
      </c>
      <c r="O595" t="str">
        <f>IF(COUNTIFS(CA_Feed!B:B, B595)=0, "No Action Announced", IF(COUNTIFS(CA_Feed!B:B, B595, CA_Feed!D:D, "&gt;="&amp;C595)&gt;0, "Processed (Eligible)", "Ineligible (Post Ex-Date)"))</f>
        <v>Processed (Eligible)</v>
      </c>
    </row>
    <row r="596" spans="1:15" x14ac:dyDescent="0.3">
      <c r="A596" t="s">
        <v>672</v>
      </c>
      <c r="B596" t="s">
        <v>23</v>
      </c>
      <c r="C596" s="5">
        <v>43624</v>
      </c>
      <c r="D596" s="2">
        <v>3950</v>
      </c>
      <c r="E596">
        <f>SUMIFS(CA_Feed!F:F, CA_Feed!B:B, B596, CA_Feed!E:E, "*DIVIDEND*", CA_Feed!D:D, "&gt;="&amp;C596)</f>
        <v>1.5000000000000002</v>
      </c>
      <c r="F596">
        <f t="shared" si="83"/>
        <v>5925.0000000000009</v>
      </c>
      <c r="G596">
        <f t="shared" si="84"/>
        <v>592.50000000000011</v>
      </c>
      <c r="H596">
        <f t="shared" si="85"/>
        <v>5332.5000000000009</v>
      </c>
      <c r="I596">
        <f>D596 * SUMIFS(CA_Feed!G:G, CA_Feed!B:B, B596, CA_Feed!E:E, "*BONUS*", CA_Feed!D:D, "&gt;="&amp;C596)</f>
        <v>0</v>
      </c>
      <c r="J596">
        <f t="shared" si="86"/>
        <v>0</v>
      </c>
      <c r="K596">
        <f t="shared" si="87"/>
        <v>0</v>
      </c>
      <c r="L596">
        <f>IF(K596&gt;0, K596 * VLOOKUP(B596, CA_Feed!B:N, 13, FALSE), 0)</f>
        <v>0</v>
      </c>
      <c r="M596">
        <f t="shared" si="82"/>
        <v>5332.5000000000009</v>
      </c>
      <c r="N596" s="2">
        <f t="shared" si="81"/>
        <v>0</v>
      </c>
      <c r="O596" t="str">
        <f>IF(COUNTIFS(CA_Feed!B:B, B596)=0, "No Action Announced", IF(COUNTIFS(CA_Feed!B:B, B596, CA_Feed!D:D, "&gt;="&amp;C596)&gt;0, "Processed (Eligible)", "Ineligible (Post Ex-Date)"))</f>
        <v>Processed (Eligible)</v>
      </c>
    </row>
    <row r="597" spans="1:15" x14ac:dyDescent="0.3">
      <c r="A597" t="s">
        <v>168</v>
      </c>
      <c r="B597" t="s">
        <v>12</v>
      </c>
      <c r="C597" s="5">
        <v>44824</v>
      </c>
      <c r="D597" s="2">
        <v>70</v>
      </c>
      <c r="E597">
        <f>SUMIFS(CA_Feed!F:F, CA_Feed!B:B, B597, CA_Feed!E:E, "*DIVIDEND*", CA_Feed!D:D, "&gt;="&amp;C597)</f>
        <v>19</v>
      </c>
      <c r="F597">
        <f t="shared" si="83"/>
        <v>1330</v>
      </c>
      <c r="G597">
        <f t="shared" si="84"/>
        <v>133</v>
      </c>
      <c r="H597">
        <f t="shared" si="85"/>
        <v>1197</v>
      </c>
      <c r="I597">
        <f>D597 * SUMIFS(CA_Feed!G:G, CA_Feed!B:B, B597, CA_Feed!E:E, "*BONUS*", CA_Feed!D:D, "&gt;="&amp;C597)</f>
        <v>0</v>
      </c>
      <c r="J597">
        <f t="shared" si="86"/>
        <v>0</v>
      </c>
      <c r="K597">
        <f t="shared" si="87"/>
        <v>0</v>
      </c>
      <c r="L597">
        <f>IF(K597&gt;0, K597 * VLOOKUP(B597, CA_Feed!B:N, 13, FALSE), 0)</f>
        <v>0</v>
      </c>
      <c r="M597">
        <f t="shared" si="82"/>
        <v>1197</v>
      </c>
      <c r="N597" s="2">
        <f t="shared" si="81"/>
        <v>0</v>
      </c>
      <c r="O597" t="str">
        <f>IF(COUNTIFS(CA_Feed!B:B, B597)=0, "No Action Announced", IF(COUNTIFS(CA_Feed!B:B, B597, CA_Feed!D:D, "&gt;="&amp;C597)&gt;0, "Processed (Eligible)", "Ineligible (Post Ex-Date)"))</f>
        <v>Processed (Eligible)</v>
      </c>
    </row>
    <row r="598" spans="1:15" x14ac:dyDescent="0.3">
      <c r="A598" t="s">
        <v>659</v>
      </c>
      <c r="B598" t="s">
        <v>12</v>
      </c>
      <c r="C598" s="5">
        <v>44686</v>
      </c>
      <c r="D598" s="2">
        <v>70</v>
      </c>
      <c r="E598">
        <f>SUMIFS(CA_Feed!F:F, CA_Feed!B:B, B598, CA_Feed!E:E, "*DIVIDEND*", CA_Feed!D:D, "&gt;="&amp;C598)</f>
        <v>19</v>
      </c>
      <c r="F598">
        <f t="shared" si="83"/>
        <v>1330</v>
      </c>
      <c r="G598">
        <f t="shared" si="84"/>
        <v>133</v>
      </c>
      <c r="H598">
        <f t="shared" si="85"/>
        <v>1197</v>
      </c>
      <c r="I598">
        <f>D598 * SUMIFS(CA_Feed!G:G, CA_Feed!B:B, B598, CA_Feed!E:E, "*BONUS*", CA_Feed!D:D, "&gt;="&amp;C598)</f>
        <v>0</v>
      </c>
      <c r="J598">
        <f t="shared" si="86"/>
        <v>0</v>
      </c>
      <c r="K598">
        <f t="shared" si="87"/>
        <v>0</v>
      </c>
      <c r="L598">
        <f>IF(K598&gt;0, K598 * VLOOKUP(B598, CA_Feed!B:N, 13, FALSE), 0)</f>
        <v>0</v>
      </c>
      <c r="M598">
        <f t="shared" si="82"/>
        <v>1197</v>
      </c>
      <c r="N598" s="2">
        <f t="shared" si="81"/>
        <v>0</v>
      </c>
      <c r="O598" t="str">
        <f>IF(COUNTIFS(CA_Feed!B:B, B598)=0, "No Action Announced", IF(COUNTIFS(CA_Feed!B:B, B598, CA_Feed!D:D, "&gt;="&amp;C598)&gt;0, "Processed (Eligible)", "Ineligible (Post Ex-Date)"))</f>
        <v>Processed (Eligible)</v>
      </c>
    </row>
    <row r="599" spans="1:15" x14ac:dyDescent="0.3">
      <c r="A599" t="s">
        <v>675</v>
      </c>
      <c r="B599" t="s">
        <v>35</v>
      </c>
      <c r="C599" s="5">
        <v>42294</v>
      </c>
      <c r="D599" s="2">
        <v>8950</v>
      </c>
      <c r="E599">
        <f>SUMIFS(CA_Feed!F:F, CA_Feed!B:B, B599, CA_Feed!E:E, "*DIVIDEND*", CA_Feed!D:D, "&gt;="&amp;C599)</f>
        <v>1</v>
      </c>
      <c r="F599">
        <f t="shared" si="83"/>
        <v>8950</v>
      </c>
      <c r="G599">
        <f t="shared" si="84"/>
        <v>895</v>
      </c>
      <c r="H599">
        <f t="shared" si="85"/>
        <v>8055</v>
      </c>
      <c r="I599">
        <f>D599 * SUMIFS(CA_Feed!G:G, CA_Feed!B:B, B599, CA_Feed!E:E, "*BONUS*", CA_Feed!D:D, "&gt;="&amp;C599)</f>
        <v>0</v>
      </c>
      <c r="J599">
        <f t="shared" si="86"/>
        <v>0</v>
      </c>
      <c r="K599">
        <f t="shared" si="87"/>
        <v>0</v>
      </c>
      <c r="L599">
        <f>IF(K599&gt;0, K599 * VLOOKUP(B599, CA_Feed!B:N, 13, FALSE), 0)</f>
        <v>0</v>
      </c>
      <c r="M599">
        <f t="shared" si="82"/>
        <v>8055</v>
      </c>
      <c r="N599" s="2">
        <f t="shared" si="81"/>
        <v>0</v>
      </c>
      <c r="O599" t="str">
        <f>IF(COUNTIFS(CA_Feed!B:B, B599)=0, "No Action Announced", IF(COUNTIFS(CA_Feed!B:B, B599, CA_Feed!D:D, "&gt;="&amp;C599)&gt;0, "Processed (Eligible)", "Ineligible (Post Ex-Date)"))</f>
        <v>Processed (Eligible)</v>
      </c>
    </row>
    <row r="600" spans="1:15" x14ac:dyDescent="0.3">
      <c r="A600" t="s">
        <v>719</v>
      </c>
      <c r="B600" t="s">
        <v>12</v>
      </c>
      <c r="C600" s="5">
        <v>44461</v>
      </c>
      <c r="D600" s="2">
        <v>70</v>
      </c>
      <c r="E600">
        <f>SUMIFS(CA_Feed!F:F, CA_Feed!B:B, B600, CA_Feed!E:E, "*DIVIDEND*", CA_Feed!D:D, "&gt;="&amp;C600)</f>
        <v>19</v>
      </c>
      <c r="F600">
        <f t="shared" si="83"/>
        <v>1330</v>
      </c>
      <c r="G600">
        <f t="shared" si="84"/>
        <v>133</v>
      </c>
      <c r="H600">
        <f t="shared" si="85"/>
        <v>1197</v>
      </c>
      <c r="I600">
        <f>D600 * SUMIFS(CA_Feed!G:G, CA_Feed!B:B, B600, CA_Feed!E:E, "*BONUS*", CA_Feed!D:D, "&gt;="&amp;C600)</f>
        <v>0</v>
      </c>
      <c r="J600">
        <f t="shared" si="86"/>
        <v>0</v>
      </c>
      <c r="K600">
        <f t="shared" si="87"/>
        <v>0</v>
      </c>
      <c r="L600">
        <f>IF(K600&gt;0, K600 * VLOOKUP(B600, CA_Feed!B:N, 13, FALSE), 0)</f>
        <v>0</v>
      </c>
      <c r="M600">
        <f t="shared" si="82"/>
        <v>1197</v>
      </c>
      <c r="N600" s="2">
        <f t="shared" si="81"/>
        <v>0</v>
      </c>
      <c r="O600" t="str">
        <f>IF(COUNTIFS(CA_Feed!B:B, B600)=0, "No Action Announced", IF(COUNTIFS(CA_Feed!B:B, B600, CA_Feed!D:D, "&gt;="&amp;C600)&gt;0, "Processed (Eligible)", "Ineligible (Post Ex-Date)"))</f>
        <v>Processed (Eligible)</v>
      </c>
    </row>
    <row r="601" spans="1:15" x14ac:dyDescent="0.3">
      <c r="A601" t="s">
        <v>284</v>
      </c>
      <c r="B601" t="s">
        <v>12</v>
      </c>
      <c r="C601" s="5">
        <v>44343</v>
      </c>
      <c r="D601" s="2">
        <v>70</v>
      </c>
      <c r="E601">
        <f>SUMIFS(CA_Feed!F:F, CA_Feed!B:B, B601, CA_Feed!E:E, "*DIVIDEND*", CA_Feed!D:D, "&gt;="&amp;C601)</f>
        <v>19</v>
      </c>
      <c r="F601">
        <f t="shared" si="83"/>
        <v>1330</v>
      </c>
      <c r="G601">
        <f t="shared" si="84"/>
        <v>133</v>
      </c>
      <c r="H601">
        <f t="shared" si="85"/>
        <v>1197</v>
      </c>
      <c r="I601">
        <f>D601 * SUMIFS(CA_Feed!G:G, CA_Feed!B:B, B601, CA_Feed!E:E, "*BONUS*", CA_Feed!D:D, "&gt;="&amp;C601)</f>
        <v>0</v>
      </c>
      <c r="J601">
        <f t="shared" si="86"/>
        <v>0</v>
      </c>
      <c r="K601">
        <f t="shared" si="87"/>
        <v>0</v>
      </c>
      <c r="L601">
        <f>IF(K601&gt;0, K601 * VLOOKUP(B601, CA_Feed!B:N, 13, FALSE), 0)</f>
        <v>0</v>
      </c>
      <c r="M601">
        <f t="shared" si="82"/>
        <v>1197</v>
      </c>
      <c r="N601" s="2">
        <f t="shared" si="81"/>
        <v>0</v>
      </c>
      <c r="O601" t="str">
        <f>IF(COUNTIFS(CA_Feed!B:B, B601)=0, "No Action Announced", IF(COUNTIFS(CA_Feed!B:B, B601, CA_Feed!D:D, "&gt;="&amp;C601)&gt;0, "Processed (Eligible)", "Ineligible (Post Ex-Date)"))</f>
        <v>Processed (Eligible)</v>
      </c>
    </row>
    <row r="602" spans="1:15" x14ac:dyDescent="0.3">
      <c r="A602" t="s">
        <v>738</v>
      </c>
      <c r="B602" t="s">
        <v>12</v>
      </c>
      <c r="C602" s="5">
        <v>44233</v>
      </c>
      <c r="D602" s="2">
        <v>70</v>
      </c>
      <c r="E602">
        <f>SUMIFS(CA_Feed!F:F, CA_Feed!B:B, B602, CA_Feed!E:E, "*DIVIDEND*", CA_Feed!D:D, "&gt;="&amp;C602)</f>
        <v>19</v>
      </c>
      <c r="F602">
        <f t="shared" si="83"/>
        <v>1330</v>
      </c>
      <c r="G602">
        <f t="shared" si="84"/>
        <v>133</v>
      </c>
      <c r="H602">
        <f t="shared" si="85"/>
        <v>1197</v>
      </c>
      <c r="I602">
        <f>D602 * SUMIFS(CA_Feed!G:G, CA_Feed!B:B, B602, CA_Feed!E:E, "*BONUS*", CA_Feed!D:D, "&gt;="&amp;C602)</f>
        <v>0</v>
      </c>
      <c r="J602">
        <f t="shared" si="86"/>
        <v>0</v>
      </c>
      <c r="K602">
        <f t="shared" si="87"/>
        <v>0</v>
      </c>
      <c r="L602">
        <f>IF(K602&gt;0, K602 * VLOOKUP(B602, CA_Feed!B:N, 13, FALSE), 0)</f>
        <v>0</v>
      </c>
      <c r="M602">
        <f t="shared" si="82"/>
        <v>1197</v>
      </c>
      <c r="N602" s="2">
        <f t="shared" si="81"/>
        <v>0</v>
      </c>
      <c r="O602" t="str">
        <f>IF(COUNTIFS(CA_Feed!B:B, B602)=0, "No Action Announced", IF(COUNTIFS(CA_Feed!B:B, B602, CA_Feed!D:D, "&gt;="&amp;C602)&gt;0, "Processed (Eligible)", "Ineligible (Post Ex-Date)"))</f>
        <v>Processed (Eligible)</v>
      </c>
    </row>
    <row r="603" spans="1:15" x14ac:dyDescent="0.3">
      <c r="A603" t="s">
        <v>679</v>
      </c>
      <c r="B603" t="s">
        <v>39</v>
      </c>
      <c r="C603" s="5">
        <v>42249</v>
      </c>
      <c r="D603" s="2">
        <v>8850</v>
      </c>
      <c r="E603">
        <f>SUMIFS(CA_Feed!F:F, CA_Feed!B:B, B603, CA_Feed!E:E, "*DIVIDEND*", CA_Feed!D:D, "&gt;="&amp;C603)</f>
        <v>1.2</v>
      </c>
      <c r="F603">
        <f t="shared" si="83"/>
        <v>10620</v>
      </c>
      <c r="G603">
        <f t="shared" si="84"/>
        <v>1062</v>
      </c>
      <c r="H603">
        <f t="shared" si="85"/>
        <v>9558</v>
      </c>
      <c r="I603">
        <f>D603 * SUMIFS(CA_Feed!G:G, CA_Feed!B:B, B603, CA_Feed!E:E, "*BONUS*", CA_Feed!D:D, "&gt;="&amp;C603)</f>
        <v>0</v>
      </c>
      <c r="J603">
        <f t="shared" si="86"/>
        <v>0</v>
      </c>
      <c r="K603">
        <f t="shared" si="87"/>
        <v>0</v>
      </c>
      <c r="L603">
        <f>IF(K603&gt;0, K603 * VLOOKUP(B603, CA_Feed!B:N, 13, FALSE), 0)</f>
        <v>0</v>
      </c>
      <c r="M603">
        <f t="shared" si="82"/>
        <v>9558</v>
      </c>
      <c r="N603" s="2">
        <f t="shared" si="81"/>
        <v>0</v>
      </c>
      <c r="O603" t="str">
        <f>IF(COUNTIFS(CA_Feed!B:B, B603)=0, "No Action Announced", IF(COUNTIFS(CA_Feed!B:B, B603, CA_Feed!D:D, "&gt;="&amp;C603)&gt;0, "Processed (Eligible)", "Ineligible (Post Ex-Date)"))</f>
        <v>Processed (Eligible)</v>
      </c>
    </row>
    <row r="604" spans="1:15" x14ac:dyDescent="0.3">
      <c r="A604" t="s">
        <v>680</v>
      </c>
      <c r="B604" t="s">
        <v>39</v>
      </c>
      <c r="C604" s="5">
        <v>42450</v>
      </c>
      <c r="D604" s="2">
        <v>8150</v>
      </c>
      <c r="E604">
        <f>SUMIFS(CA_Feed!F:F, CA_Feed!B:B, B604, CA_Feed!E:E, "*DIVIDEND*", CA_Feed!D:D, "&gt;="&amp;C604)</f>
        <v>1.2</v>
      </c>
      <c r="F604">
        <f t="shared" si="83"/>
        <v>9780</v>
      </c>
      <c r="G604">
        <f t="shared" si="84"/>
        <v>978</v>
      </c>
      <c r="H604">
        <f t="shared" si="85"/>
        <v>8802</v>
      </c>
      <c r="I604">
        <f>D604 * SUMIFS(CA_Feed!G:G, CA_Feed!B:B, B604, CA_Feed!E:E, "*BONUS*", CA_Feed!D:D, "&gt;="&amp;C604)</f>
        <v>0</v>
      </c>
      <c r="J604">
        <f t="shared" si="86"/>
        <v>0</v>
      </c>
      <c r="K604">
        <f t="shared" si="87"/>
        <v>0</v>
      </c>
      <c r="L604">
        <f>IF(K604&gt;0, K604 * VLOOKUP(B604, CA_Feed!B:N, 13, FALSE), 0)</f>
        <v>0</v>
      </c>
      <c r="M604">
        <f t="shared" si="82"/>
        <v>8802</v>
      </c>
      <c r="N604" s="2">
        <f t="shared" si="81"/>
        <v>0</v>
      </c>
      <c r="O604" t="str">
        <f>IF(COUNTIFS(CA_Feed!B:B, B604)=0, "No Action Announced", IF(COUNTIFS(CA_Feed!B:B, B604, CA_Feed!D:D, "&gt;="&amp;C604)&gt;0, "Processed (Eligible)", "Ineligible (Post Ex-Date)"))</f>
        <v>Processed (Eligible)</v>
      </c>
    </row>
    <row r="605" spans="1:15" x14ac:dyDescent="0.3">
      <c r="A605" t="s">
        <v>681</v>
      </c>
      <c r="B605" t="s">
        <v>41</v>
      </c>
      <c r="C605" s="5">
        <v>43984</v>
      </c>
      <c r="D605" s="2">
        <v>7950</v>
      </c>
      <c r="E605">
        <f>SUMIFS(CA_Feed!F:F, CA_Feed!B:B, B605, CA_Feed!E:E, "*DIVIDEND*", CA_Feed!D:D, "&gt;="&amp;C605)</f>
        <v>0.2</v>
      </c>
      <c r="F605">
        <f t="shared" si="83"/>
        <v>1590</v>
      </c>
      <c r="G605">
        <f t="shared" si="84"/>
        <v>159</v>
      </c>
      <c r="H605">
        <f t="shared" si="85"/>
        <v>1431</v>
      </c>
      <c r="I605">
        <f>D605 * SUMIFS(CA_Feed!G:G, CA_Feed!B:B, B605, CA_Feed!E:E, "*BONUS*", CA_Feed!D:D, "&gt;="&amp;C605)</f>
        <v>0</v>
      </c>
      <c r="J605">
        <f t="shared" si="86"/>
        <v>0</v>
      </c>
      <c r="K605">
        <f t="shared" si="87"/>
        <v>0</v>
      </c>
      <c r="L605">
        <f>IF(K605&gt;0, K605 * VLOOKUP(B605, CA_Feed!B:N, 13, FALSE), 0)</f>
        <v>0</v>
      </c>
      <c r="M605">
        <f t="shared" si="82"/>
        <v>1431</v>
      </c>
      <c r="N605" s="2">
        <f t="shared" si="81"/>
        <v>0</v>
      </c>
      <c r="O605" t="str">
        <f>IF(COUNTIFS(CA_Feed!B:B, B605)=0, "No Action Announced", IF(COUNTIFS(CA_Feed!B:B, B605, CA_Feed!D:D, "&gt;="&amp;C605)&gt;0, "Processed (Eligible)", "Ineligible (Post Ex-Date)"))</f>
        <v>Processed (Eligible)</v>
      </c>
    </row>
    <row r="606" spans="1:15" x14ac:dyDescent="0.3">
      <c r="A606" t="s">
        <v>289</v>
      </c>
      <c r="B606" t="s">
        <v>12</v>
      </c>
      <c r="C606" s="5">
        <v>43855</v>
      </c>
      <c r="D606" s="2">
        <v>70</v>
      </c>
      <c r="E606">
        <f>SUMIFS(CA_Feed!F:F, CA_Feed!B:B, B606, CA_Feed!E:E, "*DIVIDEND*", CA_Feed!D:D, "&gt;="&amp;C606)</f>
        <v>19</v>
      </c>
      <c r="F606">
        <f t="shared" si="83"/>
        <v>1330</v>
      </c>
      <c r="G606">
        <f t="shared" si="84"/>
        <v>133</v>
      </c>
      <c r="H606">
        <f t="shared" si="85"/>
        <v>1197</v>
      </c>
      <c r="I606">
        <f>D606 * SUMIFS(CA_Feed!G:G, CA_Feed!B:B, B606, CA_Feed!E:E, "*BONUS*", CA_Feed!D:D, "&gt;="&amp;C606)</f>
        <v>0</v>
      </c>
      <c r="J606">
        <f t="shared" si="86"/>
        <v>0</v>
      </c>
      <c r="K606">
        <f t="shared" si="87"/>
        <v>0</v>
      </c>
      <c r="L606">
        <f>IF(K606&gt;0, K606 * VLOOKUP(B606, CA_Feed!B:N, 13, FALSE), 0)</f>
        <v>0</v>
      </c>
      <c r="M606">
        <f t="shared" si="82"/>
        <v>1197</v>
      </c>
      <c r="N606" s="2">
        <f t="shared" si="81"/>
        <v>0</v>
      </c>
      <c r="O606" t="str">
        <f>IF(COUNTIFS(CA_Feed!B:B, B606)=0, "No Action Announced", IF(COUNTIFS(CA_Feed!B:B, B606, CA_Feed!D:D, "&gt;="&amp;C606)&gt;0, "Processed (Eligible)", "Ineligible (Post Ex-Date)"))</f>
        <v>Processed (Eligible)</v>
      </c>
    </row>
    <row r="607" spans="1:15" x14ac:dyDescent="0.3">
      <c r="A607" t="s">
        <v>155</v>
      </c>
      <c r="B607" t="s">
        <v>12</v>
      </c>
      <c r="C607" s="5">
        <v>43759</v>
      </c>
      <c r="D607" s="2">
        <v>70</v>
      </c>
      <c r="E607">
        <f>SUMIFS(CA_Feed!F:F, CA_Feed!B:B, B607, CA_Feed!E:E, "*DIVIDEND*", CA_Feed!D:D, "&gt;="&amp;C607)</f>
        <v>19</v>
      </c>
      <c r="F607">
        <f t="shared" si="83"/>
        <v>1330</v>
      </c>
      <c r="G607">
        <f t="shared" si="84"/>
        <v>133</v>
      </c>
      <c r="H607">
        <f t="shared" si="85"/>
        <v>1197</v>
      </c>
      <c r="I607">
        <f>D607 * SUMIFS(CA_Feed!G:G, CA_Feed!B:B, B607, CA_Feed!E:E, "*BONUS*", CA_Feed!D:D, "&gt;="&amp;C607)</f>
        <v>0</v>
      </c>
      <c r="J607">
        <f t="shared" si="86"/>
        <v>0</v>
      </c>
      <c r="K607">
        <f t="shared" si="87"/>
        <v>0</v>
      </c>
      <c r="L607">
        <f>IF(K607&gt;0, K607 * VLOOKUP(B607, CA_Feed!B:N, 13, FALSE), 0)</f>
        <v>0</v>
      </c>
      <c r="M607">
        <f t="shared" si="82"/>
        <v>1197</v>
      </c>
      <c r="N607" s="2">
        <f t="shared" si="81"/>
        <v>0</v>
      </c>
      <c r="O607" t="str">
        <f>IF(COUNTIFS(CA_Feed!B:B, B607)=0, "No Action Announced", IF(COUNTIFS(CA_Feed!B:B, B607, CA_Feed!D:D, "&gt;="&amp;C607)&gt;0, "Processed (Eligible)", "Ineligible (Post Ex-Date)"))</f>
        <v>Processed (Eligible)</v>
      </c>
    </row>
    <row r="608" spans="1:15" x14ac:dyDescent="0.3">
      <c r="A608" t="s">
        <v>684</v>
      </c>
      <c r="B608" t="s">
        <v>33</v>
      </c>
      <c r="C608" s="5">
        <v>42809</v>
      </c>
      <c r="D608" s="2">
        <v>6700</v>
      </c>
      <c r="E608">
        <f>SUMIFS(CA_Feed!F:F, CA_Feed!B:B, B608, CA_Feed!E:E, "*DIVIDEND*", CA_Feed!D:D, "&gt;="&amp;C608)</f>
        <v>1.5</v>
      </c>
      <c r="F608">
        <f t="shared" si="83"/>
        <v>10050</v>
      </c>
      <c r="G608">
        <f t="shared" si="84"/>
        <v>1005</v>
      </c>
      <c r="H608">
        <f t="shared" si="85"/>
        <v>9045</v>
      </c>
      <c r="I608">
        <f>D608 * SUMIFS(CA_Feed!G:G, CA_Feed!B:B, B608, CA_Feed!E:E, "*BONUS*", CA_Feed!D:D, "&gt;="&amp;C608)</f>
        <v>0</v>
      </c>
      <c r="J608">
        <f t="shared" si="86"/>
        <v>0</v>
      </c>
      <c r="K608">
        <f t="shared" si="87"/>
        <v>0</v>
      </c>
      <c r="L608">
        <f>IF(K608&gt;0, K608 * VLOOKUP(B608, CA_Feed!B:N, 13, FALSE), 0)</f>
        <v>0</v>
      </c>
      <c r="M608">
        <f t="shared" si="82"/>
        <v>9045</v>
      </c>
      <c r="N608" s="2">
        <f t="shared" si="81"/>
        <v>0</v>
      </c>
      <c r="O608" t="str">
        <f>IF(COUNTIFS(CA_Feed!B:B, B608)=0, "No Action Announced", IF(COUNTIFS(CA_Feed!B:B, B608, CA_Feed!D:D, "&gt;="&amp;C608)&gt;0, "Processed (Eligible)", "Ineligible (Post Ex-Date)"))</f>
        <v>Processed (Eligible)</v>
      </c>
    </row>
    <row r="609" spans="1:15" x14ac:dyDescent="0.3">
      <c r="A609" t="s">
        <v>685</v>
      </c>
      <c r="B609" t="s">
        <v>33</v>
      </c>
      <c r="C609" s="5">
        <v>43743</v>
      </c>
      <c r="D609" s="2">
        <v>8150</v>
      </c>
      <c r="E609">
        <f>SUMIFS(CA_Feed!F:F, CA_Feed!B:B, B609, CA_Feed!E:E, "*DIVIDEND*", CA_Feed!D:D, "&gt;="&amp;C609)</f>
        <v>1.5</v>
      </c>
      <c r="F609">
        <f t="shared" si="83"/>
        <v>12225</v>
      </c>
      <c r="G609">
        <f t="shared" si="84"/>
        <v>1222.5</v>
      </c>
      <c r="H609">
        <f t="shared" si="85"/>
        <v>11002.5</v>
      </c>
      <c r="I609">
        <f>D609 * SUMIFS(CA_Feed!G:G, CA_Feed!B:B, B609, CA_Feed!E:E, "*BONUS*", CA_Feed!D:D, "&gt;="&amp;C609)</f>
        <v>0</v>
      </c>
      <c r="J609">
        <f t="shared" si="86"/>
        <v>0</v>
      </c>
      <c r="K609">
        <f t="shared" si="87"/>
        <v>0</v>
      </c>
      <c r="L609">
        <f>IF(K609&gt;0, K609 * VLOOKUP(B609, CA_Feed!B:N, 13, FALSE), 0)</f>
        <v>0</v>
      </c>
      <c r="M609">
        <f t="shared" si="82"/>
        <v>11002.5</v>
      </c>
      <c r="N609" s="2">
        <f t="shared" si="81"/>
        <v>0</v>
      </c>
      <c r="O609" t="str">
        <f>IF(COUNTIFS(CA_Feed!B:B, B609)=0, "No Action Announced", IF(COUNTIFS(CA_Feed!B:B, B609, CA_Feed!D:D, "&gt;="&amp;C609)&gt;0, "Processed (Eligible)", "Ineligible (Post Ex-Date)"))</f>
        <v>Processed (Eligible)</v>
      </c>
    </row>
    <row r="610" spans="1:15" x14ac:dyDescent="0.3">
      <c r="A610" t="s">
        <v>686</v>
      </c>
      <c r="B610" t="s">
        <v>25</v>
      </c>
      <c r="C610" s="5">
        <v>42559</v>
      </c>
      <c r="D610" s="2">
        <v>4600</v>
      </c>
      <c r="E610">
        <f>SUMIFS(CA_Feed!F:F, CA_Feed!B:B, B610, CA_Feed!E:E, "*DIVIDEND*", CA_Feed!D:D, "&gt;="&amp;C610)</f>
        <v>2.5</v>
      </c>
      <c r="F610">
        <f t="shared" si="83"/>
        <v>11500</v>
      </c>
      <c r="G610">
        <f t="shared" si="84"/>
        <v>1150</v>
      </c>
      <c r="H610">
        <f t="shared" si="85"/>
        <v>10350</v>
      </c>
      <c r="I610">
        <f>D610 * SUMIFS(CA_Feed!G:G, CA_Feed!B:B, B610, CA_Feed!E:E, "*BONUS*", CA_Feed!D:D, "&gt;="&amp;C610)</f>
        <v>0</v>
      </c>
      <c r="J610">
        <f t="shared" si="86"/>
        <v>0</v>
      </c>
      <c r="K610">
        <f t="shared" si="87"/>
        <v>0</v>
      </c>
      <c r="L610">
        <f>IF(K610&gt;0, K610 * VLOOKUP(B610, CA_Feed!B:N, 13, FALSE), 0)</f>
        <v>0</v>
      </c>
      <c r="M610">
        <f t="shared" si="82"/>
        <v>10350</v>
      </c>
      <c r="N610" s="2">
        <f t="shared" si="81"/>
        <v>0</v>
      </c>
      <c r="O610" t="str">
        <f>IF(COUNTIFS(CA_Feed!B:B, B610)=0, "No Action Announced", IF(COUNTIFS(CA_Feed!B:B, B610, CA_Feed!D:D, "&gt;="&amp;C610)&gt;0, "Processed (Eligible)", "Ineligible (Post Ex-Date)"))</f>
        <v>Processed (Eligible)</v>
      </c>
    </row>
    <row r="611" spans="1:15" x14ac:dyDescent="0.3">
      <c r="A611" t="s">
        <v>687</v>
      </c>
      <c r="B611" t="s">
        <v>41</v>
      </c>
      <c r="C611" s="5">
        <v>43145</v>
      </c>
      <c r="D611" s="2">
        <v>2450</v>
      </c>
      <c r="E611">
        <f>SUMIFS(CA_Feed!F:F, CA_Feed!B:B, B611, CA_Feed!E:E, "*DIVIDEND*", CA_Feed!D:D, "&gt;="&amp;C611)</f>
        <v>0.2</v>
      </c>
      <c r="F611">
        <f t="shared" si="83"/>
        <v>490</v>
      </c>
      <c r="G611">
        <f t="shared" si="84"/>
        <v>49</v>
      </c>
      <c r="H611">
        <f t="shared" si="85"/>
        <v>441</v>
      </c>
      <c r="I611">
        <f>D611 * SUMIFS(CA_Feed!G:G, CA_Feed!B:B, B611, CA_Feed!E:E, "*BONUS*", CA_Feed!D:D, "&gt;="&amp;C611)</f>
        <v>0</v>
      </c>
      <c r="J611">
        <f t="shared" si="86"/>
        <v>0</v>
      </c>
      <c r="K611">
        <f t="shared" si="87"/>
        <v>0</v>
      </c>
      <c r="L611">
        <f>IF(K611&gt;0, K611 * VLOOKUP(B611, CA_Feed!B:N, 13, FALSE), 0)</f>
        <v>0</v>
      </c>
      <c r="M611">
        <f t="shared" si="82"/>
        <v>441</v>
      </c>
      <c r="N611" s="2">
        <f t="shared" si="81"/>
        <v>0</v>
      </c>
      <c r="O611" t="str">
        <f>IF(COUNTIFS(CA_Feed!B:B, B611)=0, "No Action Announced", IF(COUNTIFS(CA_Feed!B:B, B611, CA_Feed!D:D, "&gt;="&amp;C611)&gt;0, "Processed (Eligible)", "Ineligible (Post Ex-Date)"))</f>
        <v>Processed (Eligible)</v>
      </c>
    </row>
    <row r="612" spans="1:15" x14ac:dyDescent="0.3">
      <c r="A612" t="s">
        <v>688</v>
      </c>
      <c r="B612" t="s">
        <v>19</v>
      </c>
      <c r="C612" s="5">
        <v>44653</v>
      </c>
      <c r="D612" s="2">
        <v>1450</v>
      </c>
      <c r="E612">
        <f>SUMIFS(CA_Feed!F:F, CA_Feed!B:B, B612, CA_Feed!E:E, "*DIVIDEND*", CA_Feed!D:D, "&gt;="&amp;C612)</f>
        <v>1.5</v>
      </c>
      <c r="F612">
        <f t="shared" si="83"/>
        <v>2175</v>
      </c>
      <c r="G612">
        <f t="shared" si="84"/>
        <v>217.5</v>
      </c>
      <c r="H612">
        <f t="shared" si="85"/>
        <v>1957.5</v>
      </c>
      <c r="I612">
        <f>D612 * SUMIFS(CA_Feed!G:G, CA_Feed!B:B, B612, CA_Feed!E:E, "*BONUS*", CA_Feed!D:D, "&gt;="&amp;C612)</f>
        <v>0</v>
      </c>
      <c r="J612">
        <f t="shared" si="86"/>
        <v>0</v>
      </c>
      <c r="K612">
        <f t="shared" si="87"/>
        <v>0</v>
      </c>
      <c r="L612">
        <f>IF(K612&gt;0, K612 * VLOOKUP(B612, CA_Feed!B:N, 13, FALSE), 0)</f>
        <v>0</v>
      </c>
      <c r="M612">
        <f t="shared" si="82"/>
        <v>1957.5</v>
      </c>
      <c r="N612" s="2">
        <f t="shared" si="81"/>
        <v>0</v>
      </c>
      <c r="O612" t="str">
        <f>IF(COUNTIFS(CA_Feed!B:B, B612)=0, "No Action Announced", IF(COUNTIFS(CA_Feed!B:B, B612, CA_Feed!D:D, "&gt;="&amp;C612)&gt;0, "Processed (Eligible)", "Ineligible (Post Ex-Date)"))</f>
        <v>Processed (Eligible)</v>
      </c>
    </row>
    <row r="613" spans="1:15" x14ac:dyDescent="0.3">
      <c r="A613" t="s">
        <v>689</v>
      </c>
      <c r="B613" t="s">
        <v>45</v>
      </c>
      <c r="C613" s="5">
        <v>44719</v>
      </c>
      <c r="D613" s="2">
        <v>8500</v>
      </c>
      <c r="E613">
        <f>SUMIFS(CA_Feed!F:F, CA_Feed!B:B, B613, CA_Feed!E:E, "*DIVIDEND*", CA_Feed!D:D, "&gt;="&amp;C613)</f>
        <v>2.5</v>
      </c>
      <c r="F613">
        <f t="shared" si="83"/>
        <v>21250</v>
      </c>
      <c r="G613">
        <f t="shared" si="84"/>
        <v>2125</v>
      </c>
      <c r="H613">
        <f t="shared" si="85"/>
        <v>19125</v>
      </c>
      <c r="I613">
        <f>D613 * SUMIFS(CA_Feed!G:G, CA_Feed!B:B, B613, CA_Feed!E:E, "*BONUS*", CA_Feed!D:D, "&gt;="&amp;C613)</f>
        <v>0</v>
      </c>
      <c r="J613">
        <f t="shared" si="86"/>
        <v>0</v>
      </c>
      <c r="K613">
        <f t="shared" si="87"/>
        <v>0</v>
      </c>
      <c r="L613">
        <f>IF(K613&gt;0, K613 * VLOOKUP(B613, CA_Feed!B:N, 13, FALSE), 0)</f>
        <v>0</v>
      </c>
      <c r="M613">
        <f t="shared" si="82"/>
        <v>19125</v>
      </c>
      <c r="N613" s="2">
        <f t="shared" si="81"/>
        <v>0</v>
      </c>
      <c r="O613" t="str">
        <f>IF(COUNTIFS(CA_Feed!B:B, B613)=0, "No Action Announced", IF(COUNTIFS(CA_Feed!B:B, B613, CA_Feed!D:D, "&gt;="&amp;C613)&gt;0, "Processed (Eligible)", "Ineligible (Post Ex-Date)"))</f>
        <v>Processed (Eligible)</v>
      </c>
    </row>
    <row r="614" spans="1:15" x14ac:dyDescent="0.3">
      <c r="A614" t="s">
        <v>690</v>
      </c>
      <c r="B614" t="s">
        <v>63</v>
      </c>
      <c r="C614" s="5">
        <v>45424</v>
      </c>
      <c r="D614" s="2">
        <v>8800</v>
      </c>
      <c r="E614">
        <f>SUMIFS(CA_Feed!F:F, CA_Feed!B:B, B614, CA_Feed!E:E, "*DIVIDEND*", CA_Feed!D:D, "&gt;="&amp;C614)</f>
        <v>0</v>
      </c>
      <c r="F614">
        <f t="shared" si="83"/>
        <v>0</v>
      </c>
      <c r="G614">
        <f t="shared" si="84"/>
        <v>0</v>
      </c>
      <c r="H614">
        <f t="shared" si="85"/>
        <v>0</v>
      </c>
      <c r="I614">
        <f>D614 * SUMIFS(CA_Feed!G:G, CA_Feed!B:B, B614, CA_Feed!E:E, "*BONUS*", CA_Feed!D:D, "&gt;="&amp;C614)</f>
        <v>1466.6666666666665</v>
      </c>
      <c r="J614">
        <f t="shared" si="86"/>
        <v>1466</v>
      </c>
      <c r="K614">
        <f t="shared" si="87"/>
        <v>0.66666666666651508</v>
      </c>
      <c r="L614">
        <f>IF(K614&gt;0, K614 * VLOOKUP(B614, CA_Feed!B:N, 13, FALSE), 0)</f>
        <v>166.66666666662877</v>
      </c>
      <c r="M614">
        <f t="shared" si="82"/>
        <v>166.66666666662877</v>
      </c>
      <c r="N614" s="2">
        <f t="shared" si="81"/>
        <v>10266</v>
      </c>
      <c r="O614" t="str">
        <f>IF(COUNTIFS(CA_Feed!B:B, B614)=0, "No Action Announced", IF(COUNTIFS(CA_Feed!B:B, B614, CA_Feed!D:D, "&gt;="&amp;C614)&gt;0, "Processed (Eligible)", "Ineligible (Post Ex-Date)"))</f>
        <v>Processed (Eligible)</v>
      </c>
    </row>
    <row r="615" spans="1:15" x14ac:dyDescent="0.3">
      <c r="A615" t="s">
        <v>691</v>
      </c>
      <c r="B615" t="s">
        <v>43</v>
      </c>
      <c r="C615" s="5">
        <v>42756</v>
      </c>
      <c r="D615" s="2">
        <v>4200</v>
      </c>
      <c r="E615">
        <f>SUMIFS(CA_Feed!F:F, CA_Feed!B:B, B615, CA_Feed!E:E, "*DIVIDEND*", CA_Feed!D:D, "&gt;="&amp;C615)</f>
        <v>1.35</v>
      </c>
      <c r="F615">
        <f t="shared" si="83"/>
        <v>5670</v>
      </c>
      <c r="G615">
        <f t="shared" si="84"/>
        <v>567</v>
      </c>
      <c r="H615">
        <f t="shared" si="85"/>
        <v>5103</v>
      </c>
      <c r="I615">
        <f>D615 * SUMIFS(CA_Feed!G:G, CA_Feed!B:B, B615, CA_Feed!E:E, "*BONUS*", CA_Feed!D:D, "&gt;="&amp;C615)</f>
        <v>0</v>
      </c>
      <c r="J615">
        <f t="shared" si="86"/>
        <v>0</v>
      </c>
      <c r="K615">
        <f t="shared" si="87"/>
        <v>0</v>
      </c>
      <c r="L615">
        <f>IF(K615&gt;0, K615 * VLOOKUP(B615, CA_Feed!B:N, 13, FALSE), 0)</f>
        <v>0</v>
      </c>
      <c r="M615">
        <f t="shared" si="82"/>
        <v>5103</v>
      </c>
      <c r="N615" s="2">
        <f t="shared" si="81"/>
        <v>0</v>
      </c>
      <c r="O615" t="str">
        <f>IF(COUNTIFS(CA_Feed!B:B, B615)=0, "No Action Announced", IF(COUNTIFS(CA_Feed!B:B, B615, CA_Feed!D:D, "&gt;="&amp;C615)&gt;0, "Processed (Eligible)", "Ineligible (Post Ex-Date)"))</f>
        <v>Processed (Eligible)</v>
      </c>
    </row>
    <row r="616" spans="1:15" x14ac:dyDescent="0.3">
      <c r="A616" t="s">
        <v>692</v>
      </c>
      <c r="B616" t="s">
        <v>29</v>
      </c>
      <c r="C616" s="5">
        <v>43692</v>
      </c>
      <c r="D616" s="2">
        <v>6700</v>
      </c>
      <c r="E616">
        <f>SUMIFS(CA_Feed!F:F, CA_Feed!B:B, B616, CA_Feed!E:E, "*DIVIDEND*", CA_Feed!D:D, "&gt;="&amp;C616)</f>
        <v>3</v>
      </c>
      <c r="F616">
        <f t="shared" si="83"/>
        <v>20100</v>
      </c>
      <c r="G616">
        <f t="shared" si="84"/>
        <v>2010</v>
      </c>
      <c r="H616">
        <f t="shared" si="85"/>
        <v>18090</v>
      </c>
      <c r="I616">
        <f>D616 * SUMIFS(CA_Feed!G:G, CA_Feed!B:B, B616, CA_Feed!E:E, "*BONUS*", CA_Feed!D:D, "&gt;="&amp;C616)</f>
        <v>0</v>
      </c>
      <c r="J616">
        <f t="shared" si="86"/>
        <v>0</v>
      </c>
      <c r="K616">
        <f t="shared" si="87"/>
        <v>0</v>
      </c>
      <c r="L616">
        <f>IF(K616&gt;0, K616 * VLOOKUP(B616, CA_Feed!B:N, 13, FALSE), 0)</f>
        <v>0</v>
      </c>
      <c r="M616">
        <f t="shared" si="82"/>
        <v>18090</v>
      </c>
      <c r="N616" s="2">
        <f t="shared" si="81"/>
        <v>0</v>
      </c>
      <c r="O616" t="str">
        <f>IF(COUNTIFS(CA_Feed!B:B, B616)=0, "No Action Announced", IF(COUNTIFS(CA_Feed!B:B, B616, CA_Feed!D:D, "&gt;="&amp;C616)&gt;0, "Processed (Eligible)", "Ineligible (Post Ex-Date)"))</f>
        <v>Processed (Eligible)</v>
      </c>
    </row>
    <row r="617" spans="1:15" x14ac:dyDescent="0.3">
      <c r="A617" t="s">
        <v>693</v>
      </c>
      <c r="B617" t="s">
        <v>53</v>
      </c>
      <c r="C617" s="5">
        <v>44357</v>
      </c>
      <c r="D617" s="2">
        <v>1750</v>
      </c>
      <c r="E617">
        <f>SUMIFS(CA_Feed!F:F, CA_Feed!B:B, B617, CA_Feed!E:E, "*DIVIDEND*", CA_Feed!D:D, "&gt;="&amp;C617)</f>
        <v>7.0000000000000007E-2</v>
      </c>
      <c r="F617">
        <f t="shared" si="83"/>
        <v>122.50000000000001</v>
      </c>
      <c r="G617">
        <f t="shared" si="84"/>
        <v>12.250000000000002</v>
      </c>
      <c r="H617">
        <f t="shared" si="85"/>
        <v>110.25000000000001</v>
      </c>
      <c r="I617">
        <f>D617 * SUMIFS(CA_Feed!G:G, CA_Feed!B:B, B617, CA_Feed!E:E, "*BONUS*", CA_Feed!D:D, "&gt;="&amp;C617)</f>
        <v>0</v>
      </c>
      <c r="J617">
        <f t="shared" si="86"/>
        <v>0</v>
      </c>
      <c r="K617">
        <f t="shared" si="87"/>
        <v>0</v>
      </c>
      <c r="L617">
        <f>IF(K617&gt;0, K617 * VLOOKUP(B617, CA_Feed!B:N, 13, FALSE), 0)</f>
        <v>0</v>
      </c>
      <c r="M617">
        <f t="shared" si="82"/>
        <v>110.25000000000001</v>
      </c>
      <c r="N617" s="2">
        <f t="shared" si="81"/>
        <v>0</v>
      </c>
      <c r="O617" t="str">
        <f>IF(COUNTIFS(CA_Feed!B:B, B617)=0, "No Action Announced", IF(COUNTIFS(CA_Feed!B:B, B617, CA_Feed!D:D, "&gt;="&amp;C617)&gt;0, "Processed (Eligible)", "Ineligible (Post Ex-Date)"))</f>
        <v>Processed (Eligible)</v>
      </c>
    </row>
    <row r="618" spans="1:15" x14ac:dyDescent="0.3">
      <c r="A618" t="s">
        <v>694</v>
      </c>
      <c r="B618" t="s">
        <v>47</v>
      </c>
      <c r="C618" s="5">
        <v>43907</v>
      </c>
      <c r="D618" s="2">
        <v>6700</v>
      </c>
      <c r="E618">
        <f>SUMIFS(CA_Feed!F:F, CA_Feed!B:B, B618, CA_Feed!E:E, "*DIVIDEND*", CA_Feed!D:D, "&gt;="&amp;C618)</f>
        <v>0.1</v>
      </c>
      <c r="F618">
        <f t="shared" si="83"/>
        <v>670</v>
      </c>
      <c r="G618">
        <f t="shared" si="84"/>
        <v>67</v>
      </c>
      <c r="H618">
        <f t="shared" si="85"/>
        <v>603</v>
      </c>
      <c r="I618">
        <f>D618 * SUMIFS(CA_Feed!G:G, CA_Feed!B:B, B618, CA_Feed!E:E, "*BONUS*", CA_Feed!D:D, "&gt;="&amp;C618)</f>
        <v>0</v>
      </c>
      <c r="J618">
        <f t="shared" si="86"/>
        <v>0</v>
      </c>
      <c r="K618">
        <f t="shared" si="87"/>
        <v>0</v>
      </c>
      <c r="L618">
        <f>IF(K618&gt;0, K618 * VLOOKUP(B618, CA_Feed!B:N, 13, FALSE), 0)</f>
        <v>0</v>
      </c>
      <c r="M618">
        <f t="shared" si="82"/>
        <v>603</v>
      </c>
      <c r="N618" s="2">
        <f t="shared" si="81"/>
        <v>0</v>
      </c>
      <c r="O618" t="str">
        <f>IF(COUNTIFS(CA_Feed!B:B, B618)=0, "No Action Announced", IF(COUNTIFS(CA_Feed!B:B, B618, CA_Feed!D:D, "&gt;="&amp;C618)&gt;0, "Processed (Eligible)", "Ineligible (Post Ex-Date)"))</f>
        <v>Processed (Eligible)</v>
      </c>
    </row>
    <row r="619" spans="1:15" x14ac:dyDescent="0.3">
      <c r="A619" t="s">
        <v>695</v>
      </c>
      <c r="B619" t="s">
        <v>49</v>
      </c>
      <c r="C619" s="5">
        <v>42439</v>
      </c>
      <c r="D619" s="2">
        <v>6600</v>
      </c>
      <c r="E619">
        <f>SUMIFS(CA_Feed!F:F, CA_Feed!B:B, B619, CA_Feed!E:E, "*DIVIDEND*", CA_Feed!D:D, "&gt;="&amp;C619)</f>
        <v>1.1000000000000001</v>
      </c>
      <c r="F619">
        <f t="shared" si="83"/>
        <v>7260.0000000000009</v>
      </c>
      <c r="G619">
        <f t="shared" si="84"/>
        <v>726.00000000000011</v>
      </c>
      <c r="H619">
        <f t="shared" si="85"/>
        <v>6534.0000000000009</v>
      </c>
      <c r="I619">
        <f>D619 * SUMIFS(CA_Feed!G:G, CA_Feed!B:B, B619, CA_Feed!E:E, "*BONUS*", CA_Feed!D:D, "&gt;="&amp;C619)</f>
        <v>0</v>
      </c>
      <c r="J619">
        <f t="shared" si="86"/>
        <v>0</v>
      </c>
      <c r="K619">
        <f t="shared" si="87"/>
        <v>0</v>
      </c>
      <c r="L619">
        <f>IF(K619&gt;0, K619 * VLOOKUP(B619, CA_Feed!B:N, 13, FALSE), 0)</f>
        <v>0</v>
      </c>
      <c r="M619">
        <f t="shared" si="82"/>
        <v>6534.0000000000009</v>
      </c>
      <c r="N619" s="2">
        <f t="shared" si="81"/>
        <v>0</v>
      </c>
      <c r="O619" t="str">
        <f>IF(COUNTIFS(CA_Feed!B:B, B619)=0, "No Action Announced", IF(COUNTIFS(CA_Feed!B:B, B619, CA_Feed!D:D, "&gt;="&amp;C619)&gt;0, "Processed (Eligible)", "Ineligible (Post Ex-Date)"))</f>
        <v>Processed (Eligible)</v>
      </c>
    </row>
    <row r="620" spans="1:15" x14ac:dyDescent="0.3">
      <c r="A620" t="s">
        <v>696</v>
      </c>
      <c r="B620" t="s">
        <v>59</v>
      </c>
      <c r="C620" s="5">
        <v>45125</v>
      </c>
      <c r="D620" s="2">
        <v>7550</v>
      </c>
      <c r="E620">
        <f>SUMIFS(CA_Feed!F:F, CA_Feed!B:B, B620, CA_Feed!E:E, "*DIVIDEND*", CA_Feed!D:D, "&gt;="&amp;C620)</f>
        <v>0.30000000000000004</v>
      </c>
      <c r="F620">
        <f t="shared" si="83"/>
        <v>2265.0000000000005</v>
      </c>
      <c r="G620">
        <f t="shared" si="84"/>
        <v>226.50000000000006</v>
      </c>
      <c r="H620">
        <f t="shared" si="85"/>
        <v>2038.5000000000005</v>
      </c>
      <c r="I620">
        <f>D620 * SUMIFS(CA_Feed!G:G, CA_Feed!B:B, B620, CA_Feed!E:E, "*BONUS*", CA_Feed!D:D, "&gt;="&amp;C620)</f>
        <v>0</v>
      </c>
      <c r="J620">
        <f t="shared" si="86"/>
        <v>0</v>
      </c>
      <c r="K620">
        <f t="shared" si="87"/>
        <v>0</v>
      </c>
      <c r="L620">
        <f>IF(K620&gt;0, K620 * VLOOKUP(B620, CA_Feed!B:N, 13, FALSE), 0)</f>
        <v>0</v>
      </c>
      <c r="M620">
        <f t="shared" si="82"/>
        <v>2038.5000000000005</v>
      </c>
      <c r="N620" s="2">
        <f t="shared" si="81"/>
        <v>0</v>
      </c>
      <c r="O620" t="str">
        <f>IF(COUNTIFS(CA_Feed!B:B, B620)=0, "No Action Announced", IF(COUNTIFS(CA_Feed!B:B, B620, CA_Feed!D:D, "&gt;="&amp;C620)&gt;0, "Processed (Eligible)", "Ineligible (Post Ex-Date)"))</f>
        <v>Processed (Eligible)</v>
      </c>
    </row>
    <row r="621" spans="1:15" x14ac:dyDescent="0.3">
      <c r="A621" t="s">
        <v>697</v>
      </c>
      <c r="B621" t="s">
        <v>41</v>
      </c>
      <c r="C621" s="5">
        <v>42405</v>
      </c>
      <c r="D621" s="2">
        <v>4950</v>
      </c>
      <c r="E621">
        <f>SUMIFS(CA_Feed!F:F, CA_Feed!B:B, B621, CA_Feed!E:E, "*DIVIDEND*", CA_Feed!D:D, "&gt;="&amp;C621)</f>
        <v>0.2</v>
      </c>
      <c r="F621">
        <f t="shared" si="83"/>
        <v>990</v>
      </c>
      <c r="G621">
        <f t="shared" si="84"/>
        <v>99</v>
      </c>
      <c r="H621">
        <f t="shared" si="85"/>
        <v>891</v>
      </c>
      <c r="I621">
        <f>D621 * SUMIFS(CA_Feed!G:G, CA_Feed!B:B, B621, CA_Feed!E:E, "*BONUS*", CA_Feed!D:D, "&gt;="&amp;C621)</f>
        <v>0</v>
      </c>
      <c r="J621">
        <f t="shared" si="86"/>
        <v>0</v>
      </c>
      <c r="K621">
        <f t="shared" si="87"/>
        <v>0</v>
      </c>
      <c r="L621">
        <f>IF(K621&gt;0, K621 * VLOOKUP(B621, CA_Feed!B:N, 13, FALSE), 0)</f>
        <v>0</v>
      </c>
      <c r="M621">
        <f t="shared" si="82"/>
        <v>891</v>
      </c>
      <c r="N621" s="2">
        <f t="shared" si="81"/>
        <v>0</v>
      </c>
      <c r="O621" t="str">
        <f>IF(COUNTIFS(CA_Feed!B:B, B621)=0, "No Action Announced", IF(COUNTIFS(CA_Feed!B:B, B621, CA_Feed!D:D, "&gt;="&amp;C621)&gt;0, "Processed (Eligible)", "Ineligible (Post Ex-Date)"))</f>
        <v>Processed (Eligible)</v>
      </c>
    </row>
    <row r="622" spans="1:15" x14ac:dyDescent="0.3">
      <c r="A622" t="s">
        <v>698</v>
      </c>
      <c r="B622" t="s">
        <v>16</v>
      </c>
      <c r="C622" s="5">
        <v>43941</v>
      </c>
      <c r="D622" s="2">
        <v>3450</v>
      </c>
      <c r="E622">
        <f>SUMIFS(CA_Feed!F:F, CA_Feed!B:B, B622, CA_Feed!E:E, "*DIVIDEND*", CA_Feed!D:D, "&gt;="&amp;C622)</f>
        <v>3.75</v>
      </c>
      <c r="F622">
        <f t="shared" si="83"/>
        <v>12937.5</v>
      </c>
      <c r="G622">
        <f t="shared" si="84"/>
        <v>1293.75</v>
      </c>
      <c r="H622">
        <f t="shared" si="85"/>
        <v>11643.75</v>
      </c>
      <c r="I622">
        <f>D622 * SUMIFS(CA_Feed!G:G, CA_Feed!B:B, B622, CA_Feed!E:E, "*BONUS*", CA_Feed!D:D, "&gt;="&amp;C622)</f>
        <v>0</v>
      </c>
      <c r="J622">
        <f t="shared" si="86"/>
        <v>0</v>
      </c>
      <c r="K622">
        <f t="shared" si="87"/>
        <v>0</v>
      </c>
      <c r="L622">
        <f>IF(K622&gt;0, K622 * VLOOKUP(B622, CA_Feed!B:N, 13, FALSE), 0)</f>
        <v>0</v>
      </c>
      <c r="M622">
        <f t="shared" si="82"/>
        <v>11643.75</v>
      </c>
      <c r="N622" s="2">
        <f t="shared" si="81"/>
        <v>0</v>
      </c>
      <c r="O622" t="str">
        <f>IF(COUNTIFS(CA_Feed!B:B, B622)=0, "No Action Announced", IF(COUNTIFS(CA_Feed!B:B, B622, CA_Feed!D:D, "&gt;="&amp;C622)&gt;0, "Processed (Eligible)", "Ineligible (Post Ex-Date)"))</f>
        <v>Processed (Eligible)</v>
      </c>
    </row>
    <row r="623" spans="1:15" x14ac:dyDescent="0.3">
      <c r="A623" t="s">
        <v>699</v>
      </c>
      <c r="B623" t="s">
        <v>47</v>
      </c>
      <c r="C623" s="5">
        <v>42623</v>
      </c>
      <c r="D623" s="2">
        <v>1300</v>
      </c>
      <c r="E623">
        <f>SUMIFS(CA_Feed!F:F, CA_Feed!B:B, B623, CA_Feed!E:E, "*DIVIDEND*", CA_Feed!D:D, "&gt;="&amp;C623)</f>
        <v>0.1</v>
      </c>
      <c r="F623">
        <f t="shared" si="83"/>
        <v>130</v>
      </c>
      <c r="G623">
        <f t="shared" si="84"/>
        <v>13</v>
      </c>
      <c r="H623">
        <f t="shared" si="85"/>
        <v>117</v>
      </c>
      <c r="I623">
        <f>D623 * SUMIFS(CA_Feed!G:G, CA_Feed!B:B, B623, CA_Feed!E:E, "*BONUS*", CA_Feed!D:D, "&gt;="&amp;C623)</f>
        <v>0</v>
      </c>
      <c r="J623">
        <f t="shared" si="86"/>
        <v>0</v>
      </c>
      <c r="K623">
        <f t="shared" si="87"/>
        <v>0</v>
      </c>
      <c r="L623">
        <f>IF(K623&gt;0, K623 * VLOOKUP(B623, CA_Feed!B:N, 13, FALSE), 0)</f>
        <v>0</v>
      </c>
      <c r="M623">
        <f t="shared" si="82"/>
        <v>117</v>
      </c>
      <c r="N623" s="2">
        <f t="shared" si="81"/>
        <v>0</v>
      </c>
      <c r="O623" t="str">
        <f>IF(COUNTIFS(CA_Feed!B:B, B623)=0, "No Action Announced", IF(COUNTIFS(CA_Feed!B:B, B623, CA_Feed!D:D, "&gt;="&amp;C623)&gt;0, "Processed (Eligible)", "Ineligible (Post Ex-Date)"))</f>
        <v>Processed (Eligible)</v>
      </c>
    </row>
    <row r="624" spans="1:15" x14ac:dyDescent="0.3">
      <c r="A624" t="s">
        <v>700</v>
      </c>
      <c r="B624" t="s">
        <v>19</v>
      </c>
      <c r="C624" s="5">
        <v>44562</v>
      </c>
      <c r="D624" s="2">
        <v>3300</v>
      </c>
      <c r="E624">
        <f>SUMIFS(CA_Feed!F:F, CA_Feed!B:B, B624, CA_Feed!E:E, "*DIVIDEND*", CA_Feed!D:D, "&gt;="&amp;C624)</f>
        <v>1.5</v>
      </c>
      <c r="F624">
        <f t="shared" si="83"/>
        <v>4950</v>
      </c>
      <c r="G624">
        <f t="shared" si="84"/>
        <v>495</v>
      </c>
      <c r="H624">
        <f t="shared" si="85"/>
        <v>4455</v>
      </c>
      <c r="I624">
        <f>D624 * SUMIFS(CA_Feed!G:G, CA_Feed!B:B, B624, CA_Feed!E:E, "*BONUS*", CA_Feed!D:D, "&gt;="&amp;C624)</f>
        <v>0</v>
      </c>
      <c r="J624">
        <f t="shared" si="86"/>
        <v>0</v>
      </c>
      <c r="K624">
        <f t="shared" si="87"/>
        <v>0</v>
      </c>
      <c r="L624">
        <f>IF(K624&gt;0, K624 * VLOOKUP(B624, CA_Feed!B:N, 13, FALSE), 0)</f>
        <v>0</v>
      </c>
      <c r="M624">
        <f t="shared" si="82"/>
        <v>4455</v>
      </c>
      <c r="N624" s="2">
        <f t="shared" si="81"/>
        <v>0</v>
      </c>
      <c r="O624" t="str">
        <f>IF(COUNTIFS(CA_Feed!B:B, B624)=0, "No Action Announced", IF(COUNTIFS(CA_Feed!B:B, B624, CA_Feed!D:D, "&gt;="&amp;C624)&gt;0, "Processed (Eligible)", "Ineligible (Post Ex-Date)"))</f>
        <v>Processed (Eligible)</v>
      </c>
    </row>
    <row r="625" spans="1:15" x14ac:dyDescent="0.3">
      <c r="A625" t="s">
        <v>701</v>
      </c>
      <c r="B625" t="s">
        <v>29</v>
      </c>
      <c r="C625" s="5">
        <v>43042</v>
      </c>
      <c r="D625" s="2">
        <v>750</v>
      </c>
      <c r="E625">
        <f>SUMIFS(CA_Feed!F:F, CA_Feed!B:B, B625, CA_Feed!E:E, "*DIVIDEND*", CA_Feed!D:D, "&gt;="&amp;C625)</f>
        <v>3</v>
      </c>
      <c r="F625">
        <f t="shared" si="83"/>
        <v>2250</v>
      </c>
      <c r="G625">
        <f t="shared" si="84"/>
        <v>225</v>
      </c>
      <c r="H625">
        <f t="shared" si="85"/>
        <v>2025</v>
      </c>
      <c r="I625">
        <f>D625 * SUMIFS(CA_Feed!G:G, CA_Feed!B:B, B625, CA_Feed!E:E, "*BONUS*", CA_Feed!D:D, "&gt;="&amp;C625)</f>
        <v>0</v>
      </c>
      <c r="J625">
        <f t="shared" si="86"/>
        <v>0</v>
      </c>
      <c r="K625">
        <f t="shared" si="87"/>
        <v>0</v>
      </c>
      <c r="L625">
        <f>IF(K625&gt;0, K625 * VLOOKUP(B625, CA_Feed!B:N, 13, FALSE), 0)</f>
        <v>0</v>
      </c>
      <c r="M625">
        <f t="shared" si="82"/>
        <v>2025</v>
      </c>
      <c r="N625" s="2">
        <f t="shared" si="81"/>
        <v>0</v>
      </c>
      <c r="O625" t="str">
        <f>IF(COUNTIFS(CA_Feed!B:B, B625)=0, "No Action Announced", IF(COUNTIFS(CA_Feed!B:B, B625, CA_Feed!D:D, "&gt;="&amp;C625)&gt;0, "Processed (Eligible)", "Ineligible (Post Ex-Date)"))</f>
        <v>Processed (Eligible)</v>
      </c>
    </row>
    <row r="626" spans="1:15" x14ac:dyDescent="0.3">
      <c r="A626" t="s">
        <v>702</v>
      </c>
      <c r="B626" t="s">
        <v>16</v>
      </c>
      <c r="C626" s="5">
        <v>44626</v>
      </c>
      <c r="D626" s="2">
        <v>2850</v>
      </c>
      <c r="E626">
        <f>SUMIFS(CA_Feed!F:F, CA_Feed!B:B, B626, CA_Feed!E:E, "*DIVIDEND*", CA_Feed!D:D, "&gt;="&amp;C626)</f>
        <v>3.75</v>
      </c>
      <c r="F626">
        <f t="shared" si="83"/>
        <v>10687.5</v>
      </c>
      <c r="G626">
        <f t="shared" si="84"/>
        <v>1068.75</v>
      </c>
      <c r="H626">
        <f t="shared" si="85"/>
        <v>9618.75</v>
      </c>
      <c r="I626">
        <f>D626 * SUMIFS(CA_Feed!G:G, CA_Feed!B:B, B626, CA_Feed!E:E, "*BONUS*", CA_Feed!D:D, "&gt;="&amp;C626)</f>
        <v>0</v>
      </c>
      <c r="J626">
        <f t="shared" si="86"/>
        <v>0</v>
      </c>
      <c r="K626">
        <f t="shared" si="87"/>
        <v>0</v>
      </c>
      <c r="L626">
        <f>IF(K626&gt;0, K626 * VLOOKUP(B626, CA_Feed!B:N, 13, FALSE), 0)</f>
        <v>0</v>
      </c>
      <c r="M626">
        <f t="shared" si="82"/>
        <v>9618.75</v>
      </c>
      <c r="N626" s="2">
        <f t="shared" si="81"/>
        <v>0</v>
      </c>
      <c r="O626" t="str">
        <f>IF(COUNTIFS(CA_Feed!B:B, B626)=0, "No Action Announced", IF(COUNTIFS(CA_Feed!B:B, B626, CA_Feed!D:D, "&gt;="&amp;C626)&gt;0, "Processed (Eligible)", "Ineligible (Post Ex-Date)"))</f>
        <v>Processed (Eligible)</v>
      </c>
    </row>
    <row r="627" spans="1:15" x14ac:dyDescent="0.3">
      <c r="A627" t="s">
        <v>703</v>
      </c>
      <c r="B627" t="s">
        <v>16</v>
      </c>
      <c r="C627" s="5">
        <v>45369</v>
      </c>
      <c r="D627" s="2">
        <v>750</v>
      </c>
      <c r="E627">
        <f>SUMIFS(CA_Feed!F:F, CA_Feed!B:B, B627, CA_Feed!E:E, "*DIVIDEND*", CA_Feed!D:D, "&gt;="&amp;C627)</f>
        <v>3.75</v>
      </c>
      <c r="F627">
        <f t="shared" si="83"/>
        <v>2812.5</v>
      </c>
      <c r="G627">
        <f t="shared" si="84"/>
        <v>281.25</v>
      </c>
      <c r="H627">
        <f t="shared" si="85"/>
        <v>2531.25</v>
      </c>
      <c r="I627">
        <f>D627 * SUMIFS(CA_Feed!G:G, CA_Feed!B:B, B627, CA_Feed!E:E, "*BONUS*", CA_Feed!D:D, "&gt;="&amp;C627)</f>
        <v>0</v>
      </c>
      <c r="J627">
        <f t="shared" si="86"/>
        <v>0</v>
      </c>
      <c r="K627">
        <f t="shared" si="87"/>
        <v>0</v>
      </c>
      <c r="L627">
        <f>IF(K627&gt;0, K627 * VLOOKUP(B627, CA_Feed!B:N, 13, FALSE), 0)</f>
        <v>0</v>
      </c>
      <c r="M627">
        <f t="shared" si="82"/>
        <v>2531.25</v>
      </c>
      <c r="N627" s="2">
        <f t="shared" si="81"/>
        <v>0</v>
      </c>
      <c r="O627" t="str">
        <f>IF(COUNTIFS(CA_Feed!B:B, B627)=0, "No Action Announced", IF(COUNTIFS(CA_Feed!B:B, B627, CA_Feed!D:D, "&gt;="&amp;C627)&gt;0, "Processed (Eligible)", "Ineligible (Post Ex-Date)"))</f>
        <v>Processed (Eligible)</v>
      </c>
    </row>
    <row r="628" spans="1:15" x14ac:dyDescent="0.3">
      <c r="A628" t="s">
        <v>704</v>
      </c>
      <c r="B628" t="s">
        <v>27</v>
      </c>
      <c r="C628" s="5">
        <v>43704</v>
      </c>
      <c r="D628" s="2">
        <v>3650</v>
      </c>
      <c r="E628">
        <f>SUMIFS(CA_Feed!F:F, CA_Feed!B:B, B628, CA_Feed!E:E, "*DIVIDEND*", CA_Feed!D:D, "&gt;="&amp;C628)</f>
        <v>3.25</v>
      </c>
      <c r="F628">
        <f t="shared" si="83"/>
        <v>11862.5</v>
      </c>
      <c r="G628">
        <f t="shared" si="84"/>
        <v>1186.25</v>
      </c>
      <c r="H628">
        <f t="shared" si="85"/>
        <v>10676.25</v>
      </c>
      <c r="I628">
        <f>D628 * SUMIFS(CA_Feed!G:G, CA_Feed!B:B, B628, CA_Feed!E:E, "*BONUS*", CA_Feed!D:D, "&gt;="&amp;C628)</f>
        <v>0</v>
      </c>
      <c r="J628">
        <f t="shared" si="86"/>
        <v>0</v>
      </c>
      <c r="K628">
        <f t="shared" si="87"/>
        <v>0</v>
      </c>
      <c r="L628">
        <f>IF(K628&gt;0, K628 * VLOOKUP(B628, CA_Feed!B:N, 13, FALSE), 0)</f>
        <v>0</v>
      </c>
      <c r="M628">
        <f t="shared" si="82"/>
        <v>10676.25</v>
      </c>
      <c r="N628" s="2">
        <f t="shared" si="81"/>
        <v>0</v>
      </c>
      <c r="O628" t="str">
        <f>IF(COUNTIFS(CA_Feed!B:B, B628)=0, "No Action Announced", IF(COUNTIFS(CA_Feed!B:B, B628, CA_Feed!D:D, "&gt;="&amp;C628)&gt;0, "Processed (Eligible)", "Ineligible (Post Ex-Date)"))</f>
        <v>Processed (Eligible)</v>
      </c>
    </row>
    <row r="629" spans="1:15" x14ac:dyDescent="0.3">
      <c r="A629" t="s">
        <v>705</v>
      </c>
      <c r="B629" t="s">
        <v>29</v>
      </c>
      <c r="C629" s="5">
        <v>45254</v>
      </c>
      <c r="D629" s="2">
        <v>750</v>
      </c>
      <c r="E629">
        <f>SUMIFS(CA_Feed!F:F, CA_Feed!B:B, B629, CA_Feed!E:E, "*DIVIDEND*", CA_Feed!D:D, "&gt;="&amp;C629)</f>
        <v>3</v>
      </c>
      <c r="F629">
        <f t="shared" si="83"/>
        <v>2250</v>
      </c>
      <c r="G629">
        <f t="shared" si="84"/>
        <v>225</v>
      </c>
      <c r="H629">
        <f t="shared" si="85"/>
        <v>2025</v>
      </c>
      <c r="I629">
        <f>D629 * SUMIFS(CA_Feed!G:G, CA_Feed!B:B, B629, CA_Feed!E:E, "*BONUS*", CA_Feed!D:D, "&gt;="&amp;C629)</f>
        <v>0</v>
      </c>
      <c r="J629">
        <f t="shared" si="86"/>
        <v>0</v>
      </c>
      <c r="K629">
        <f t="shared" si="87"/>
        <v>0</v>
      </c>
      <c r="L629">
        <f>IF(K629&gt;0, K629 * VLOOKUP(B629, CA_Feed!B:N, 13, FALSE), 0)</f>
        <v>0</v>
      </c>
      <c r="M629">
        <f t="shared" si="82"/>
        <v>2025</v>
      </c>
      <c r="N629" s="2">
        <f t="shared" si="81"/>
        <v>0</v>
      </c>
      <c r="O629" t="str">
        <f>IF(COUNTIFS(CA_Feed!B:B, B629)=0, "No Action Announced", IF(COUNTIFS(CA_Feed!B:B, B629, CA_Feed!D:D, "&gt;="&amp;C629)&gt;0, "Processed (Eligible)", "Ineligible (Post Ex-Date)"))</f>
        <v>Processed (Eligible)</v>
      </c>
    </row>
    <row r="630" spans="1:15" x14ac:dyDescent="0.3">
      <c r="A630" t="s">
        <v>706</v>
      </c>
      <c r="B630" t="s">
        <v>27</v>
      </c>
      <c r="C630" s="5">
        <v>43535</v>
      </c>
      <c r="D630" s="2">
        <v>300</v>
      </c>
      <c r="E630">
        <f>SUMIFS(CA_Feed!F:F, CA_Feed!B:B, B630, CA_Feed!E:E, "*DIVIDEND*", CA_Feed!D:D, "&gt;="&amp;C630)</f>
        <v>3.25</v>
      </c>
      <c r="F630">
        <f t="shared" si="83"/>
        <v>975</v>
      </c>
      <c r="G630">
        <f t="shared" si="84"/>
        <v>97.5</v>
      </c>
      <c r="H630">
        <f t="shared" si="85"/>
        <v>877.5</v>
      </c>
      <c r="I630">
        <f>D630 * SUMIFS(CA_Feed!G:G, CA_Feed!B:B, B630, CA_Feed!E:E, "*BONUS*", CA_Feed!D:D, "&gt;="&amp;C630)</f>
        <v>0</v>
      </c>
      <c r="J630">
        <f t="shared" si="86"/>
        <v>0</v>
      </c>
      <c r="K630">
        <f t="shared" si="87"/>
        <v>0</v>
      </c>
      <c r="L630">
        <f>IF(K630&gt;0, K630 * VLOOKUP(B630, CA_Feed!B:N, 13, FALSE), 0)</f>
        <v>0</v>
      </c>
      <c r="M630">
        <f t="shared" si="82"/>
        <v>877.5</v>
      </c>
      <c r="N630" s="2">
        <f t="shared" si="81"/>
        <v>0</v>
      </c>
      <c r="O630" t="str">
        <f>IF(COUNTIFS(CA_Feed!B:B, B630)=0, "No Action Announced", IF(COUNTIFS(CA_Feed!B:B, B630, CA_Feed!D:D, "&gt;="&amp;C630)&gt;0, "Processed (Eligible)", "Ineligible (Post Ex-Date)"))</f>
        <v>Processed (Eligible)</v>
      </c>
    </row>
    <row r="631" spans="1:15" x14ac:dyDescent="0.3">
      <c r="A631" t="s">
        <v>707</v>
      </c>
      <c r="B631" t="s">
        <v>23</v>
      </c>
      <c r="C631" s="5">
        <v>42323</v>
      </c>
      <c r="D631" s="2">
        <v>1000</v>
      </c>
      <c r="E631">
        <f>SUMIFS(CA_Feed!F:F, CA_Feed!B:B, B631, CA_Feed!E:E, "*DIVIDEND*", CA_Feed!D:D, "&gt;="&amp;C631)</f>
        <v>1.5000000000000002</v>
      </c>
      <c r="F631">
        <f t="shared" si="83"/>
        <v>1500.0000000000002</v>
      </c>
      <c r="G631">
        <f t="shared" si="84"/>
        <v>150.00000000000003</v>
      </c>
      <c r="H631">
        <f t="shared" si="85"/>
        <v>1350.0000000000002</v>
      </c>
      <c r="I631">
        <f>D631 * SUMIFS(CA_Feed!G:G, CA_Feed!B:B, B631, CA_Feed!E:E, "*BONUS*", CA_Feed!D:D, "&gt;="&amp;C631)</f>
        <v>0</v>
      </c>
      <c r="J631">
        <f t="shared" si="86"/>
        <v>0</v>
      </c>
      <c r="K631">
        <f t="shared" si="87"/>
        <v>0</v>
      </c>
      <c r="L631">
        <f>IF(K631&gt;0, K631 * VLOOKUP(B631, CA_Feed!B:N, 13, FALSE), 0)</f>
        <v>0</v>
      </c>
      <c r="M631">
        <f t="shared" si="82"/>
        <v>1350.0000000000002</v>
      </c>
      <c r="N631" s="2">
        <f t="shared" si="81"/>
        <v>0</v>
      </c>
      <c r="O631" t="str">
        <f>IF(COUNTIFS(CA_Feed!B:B, B631)=0, "No Action Announced", IF(COUNTIFS(CA_Feed!B:B, B631, CA_Feed!D:D, "&gt;="&amp;C631)&gt;0, "Processed (Eligible)", "Ineligible (Post Ex-Date)"))</f>
        <v>Processed (Eligible)</v>
      </c>
    </row>
    <row r="632" spans="1:15" x14ac:dyDescent="0.3">
      <c r="A632" t="s">
        <v>708</v>
      </c>
      <c r="B632" t="s">
        <v>45</v>
      </c>
      <c r="C632" s="5">
        <v>44100</v>
      </c>
      <c r="D632" s="2">
        <v>8700</v>
      </c>
      <c r="E632">
        <f>SUMIFS(CA_Feed!F:F, CA_Feed!B:B, B632, CA_Feed!E:E, "*DIVIDEND*", CA_Feed!D:D, "&gt;="&amp;C632)</f>
        <v>2.5</v>
      </c>
      <c r="F632">
        <f t="shared" si="83"/>
        <v>21750</v>
      </c>
      <c r="G632">
        <f t="shared" si="84"/>
        <v>2175</v>
      </c>
      <c r="H632">
        <f t="shared" si="85"/>
        <v>19575</v>
      </c>
      <c r="I632">
        <f>D632 * SUMIFS(CA_Feed!G:G, CA_Feed!B:B, B632, CA_Feed!E:E, "*BONUS*", CA_Feed!D:D, "&gt;="&amp;C632)</f>
        <v>0</v>
      </c>
      <c r="J632">
        <f t="shared" si="86"/>
        <v>0</v>
      </c>
      <c r="K632">
        <f t="shared" si="87"/>
        <v>0</v>
      </c>
      <c r="L632">
        <f>IF(K632&gt;0, K632 * VLOOKUP(B632, CA_Feed!B:N, 13, FALSE), 0)</f>
        <v>0</v>
      </c>
      <c r="M632">
        <f t="shared" si="82"/>
        <v>19575</v>
      </c>
      <c r="N632" s="2">
        <f t="shared" si="81"/>
        <v>0</v>
      </c>
      <c r="O632" t="str">
        <f>IF(COUNTIFS(CA_Feed!B:B, B632)=0, "No Action Announced", IF(COUNTIFS(CA_Feed!B:B, B632, CA_Feed!D:D, "&gt;="&amp;C632)&gt;0, "Processed (Eligible)", "Ineligible (Post Ex-Date)"))</f>
        <v>Processed (Eligible)</v>
      </c>
    </row>
    <row r="633" spans="1:15" x14ac:dyDescent="0.3">
      <c r="A633" t="s">
        <v>745</v>
      </c>
      <c r="B633" t="s">
        <v>12</v>
      </c>
      <c r="C633" s="5">
        <v>43743</v>
      </c>
      <c r="D633" s="2">
        <v>70</v>
      </c>
      <c r="E633">
        <f>SUMIFS(CA_Feed!F:F, CA_Feed!B:B, B633, CA_Feed!E:E, "*DIVIDEND*", CA_Feed!D:D, "&gt;="&amp;C633)</f>
        <v>19</v>
      </c>
      <c r="F633">
        <f t="shared" si="83"/>
        <v>1330</v>
      </c>
      <c r="G633">
        <f t="shared" si="84"/>
        <v>133</v>
      </c>
      <c r="H633">
        <f t="shared" si="85"/>
        <v>1197</v>
      </c>
      <c r="I633">
        <f>D633 * SUMIFS(CA_Feed!G:G, CA_Feed!B:B, B633, CA_Feed!E:E, "*BONUS*", CA_Feed!D:D, "&gt;="&amp;C633)</f>
        <v>0</v>
      </c>
      <c r="J633">
        <f t="shared" si="86"/>
        <v>0</v>
      </c>
      <c r="K633">
        <f t="shared" si="87"/>
        <v>0</v>
      </c>
      <c r="L633">
        <f>IF(K633&gt;0, K633 * VLOOKUP(B633, CA_Feed!B:N, 13, FALSE), 0)</f>
        <v>0</v>
      </c>
      <c r="M633">
        <f t="shared" si="82"/>
        <v>1197</v>
      </c>
      <c r="N633" s="2">
        <f t="shared" si="81"/>
        <v>0</v>
      </c>
      <c r="O633" t="str">
        <f>IF(COUNTIFS(CA_Feed!B:B, B633)=0, "No Action Announced", IF(COUNTIFS(CA_Feed!B:B, B633, CA_Feed!D:D, "&gt;="&amp;C633)&gt;0, "Processed (Eligible)", "Ineligible (Post Ex-Date)"))</f>
        <v>Processed (Eligible)</v>
      </c>
    </row>
    <row r="634" spans="1:15" x14ac:dyDescent="0.3">
      <c r="A634" t="s">
        <v>710</v>
      </c>
      <c r="B634" t="s">
        <v>19</v>
      </c>
      <c r="C634" s="5">
        <v>44644</v>
      </c>
      <c r="D634" s="2">
        <v>5050</v>
      </c>
      <c r="E634">
        <f>SUMIFS(CA_Feed!F:F, CA_Feed!B:B, B634, CA_Feed!E:E, "*DIVIDEND*", CA_Feed!D:D, "&gt;="&amp;C634)</f>
        <v>1.5</v>
      </c>
      <c r="F634">
        <f t="shared" si="83"/>
        <v>7575</v>
      </c>
      <c r="G634">
        <f t="shared" si="84"/>
        <v>757.5</v>
      </c>
      <c r="H634">
        <f t="shared" si="85"/>
        <v>6817.5</v>
      </c>
      <c r="I634">
        <f>D634 * SUMIFS(CA_Feed!G:G, CA_Feed!B:B, B634, CA_Feed!E:E, "*BONUS*", CA_Feed!D:D, "&gt;="&amp;C634)</f>
        <v>0</v>
      </c>
      <c r="J634">
        <f t="shared" si="86"/>
        <v>0</v>
      </c>
      <c r="K634">
        <f t="shared" si="87"/>
        <v>0</v>
      </c>
      <c r="L634">
        <f>IF(K634&gt;0, K634 * VLOOKUP(B634, CA_Feed!B:N, 13, FALSE), 0)</f>
        <v>0</v>
      </c>
      <c r="M634">
        <f t="shared" si="82"/>
        <v>6817.5</v>
      </c>
      <c r="N634" s="2">
        <f t="shared" si="81"/>
        <v>0</v>
      </c>
      <c r="O634" t="str">
        <f>IF(COUNTIFS(CA_Feed!B:B, B634)=0, "No Action Announced", IF(COUNTIFS(CA_Feed!B:B, B634, CA_Feed!D:D, "&gt;="&amp;C634)&gt;0, "Processed (Eligible)", "Ineligible (Post Ex-Date)"))</f>
        <v>Processed (Eligible)</v>
      </c>
    </row>
    <row r="635" spans="1:15" x14ac:dyDescent="0.3">
      <c r="A635" t="s">
        <v>118</v>
      </c>
      <c r="B635" t="s">
        <v>12</v>
      </c>
      <c r="C635" s="5">
        <v>43550</v>
      </c>
      <c r="D635" s="2">
        <v>70</v>
      </c>
      <c r="E635">
        <f>SUMIFS(CA_Feed!F:F, CA_Feed!B:B, B635, CA_Feed!E:E, "*DIVIDEND*", CA_Feed!D:D, "&gt;="&amp;C635)</f>
        <v>19</v>
      </c>
      <c r="F635">
        <f t="shared" si="83"/>
        <v>1330</v>
      </c>
      <c r="G635">
        <f t="shared" si="84"/>
        <v>133</v>
      </c>
      <c r="H635">
        <f t="shared" si="85"/>
        <v>1197</v>
      </c>
      <c r="I635">
        <f>D635 * SUMIFS(CA_Feed!G:G, CA_Feed!B:B, B635, CA_Feed!E:E, "*BONUS*", CA_Feed!D:D, "&gt;="&amp;C635)</f>
        <v>0</v>
      </c>
      <c r="J635">
        <f t="shared" si="86"/>
        <v>0</v>
      </c>
      <c r="K635">
        <f t="shared" si="87"/>
        <v>0</v>
      </c>
      <c r="L635">
        <f>IF(K635&gt;0, K635 * VLOOKUP(B635, CA_Feed!B:N, 13, FALSE), 0)</f>
        <v>0</v>
      </c>
      <c r="M635">
        <f t="shared" si="82"/>
        <v>1197</v>
      </c>
      <c r="N635" s="2">
        <f t="shared" si="81"/>
        <v>0</v>
      </c>
      <c r="O635" t="str">
        <f>IF(COUNTIFS(CA_Feed!B:B, B635)=0, "No Action Announced", IF(COUNTIFS(CA_Feed!B:B, B635, CA_Feed!D:D, "&gt;="&amp;C635)&gt;0, "Processed (Eligible)", "Ineligible (Post Ex-Date)"))</f>
        <v>Processed (Eligible)</v>
      </c>
    </row>
    <row r="636" spans="1:15" x14ac:dyDescent="0.3">
      <c r="A636" t="s">
        <v>712</v>
      </c>
      <c r="B636" t="s">
        <v>49</v>
      </c>
      <c r="C636" s="5">
        <v>42794</v>
      </c>
      <c r="D636" s="2">
        <v>1800</v>
      </c>
      <c r="E636">
        <f>SUMIFS(CA_Feed!F:F, CA_Feed!B:B, B636, CA_Feed!E:E, "*DIVIDEND*", CA_Feed!D:D, "&gt;="&amp;C636)</f>
        <v>1.1000000000000001</v>
      </c>
      <c r="F636">
        <f t="shared" si="83"/>
        <v>1980.0000000000002</v>
      </c>
      <c r="G636">
        <f t="shared" si="84"/>
        <v>198.00000000000003</v>
      </c>
      <c r="H636">
        <f t="shared" si="85"/>
        <v>1782.0000000000002</v>
      </c>
      <c r="I636">
        <f>D636 * SUMIFS(CA_Feed!G:G, CA_Feed!B:B, B636, CA_Feed!E:E, "*BONUS*", CA_Feed!D:D, "&gt;="&amp;C636)</f>
        <v>0</v>
      </c>
      <c r="J636">
        <f t="shared" si="86"/>
        <v>0</v>
      </c>
      <c r="K636">
        <f t="shared" si="87"/>
        <v>0</v>
      </c>
      <c r="L636">
        <f>IF(K636&gt;0, K636 * VLOOKUP(B636, CA_Feed!B:N, 13, FALSE), 0)</f>
        <v>0</v>
      </c>
      <c r="M636">
        <f t="shared" si="82"/>
        <v>1782.0000000000002</v>
      </c>
      <c r="N636" s="2">
        <f t="shared" si="81"/>
        <v>0</v>
      </c>
      <c r="O636" t="str">
        <f>IF(COUNTIFS(CA_Feed!B:B, B636)=0, "No Action Announced", IF(COUNTIFS(CA_Feed!B:B, B636, CA_Feed!D:D, "&gt;="&amp;C636)&gt;0, "Processed (Eligible)", "Ineligible (Post Ex-Date)"))</f>
        <v>Processed (Eligible)</v>
      </c>
    </row>
    <row r="637" spans="1:15" x14ac:dyDescent="0.3">
      <c r="A637" t="s">
        <v>713</v>
      </c>
      <c r="B637" t="s">
        <v>37</v>
      </c>
      <c r="C637" s="5">
        <v>43049</v>
      </c>
      <c r="D637" s="2">
        <v>4750</v>
      </c>
      <c r="E637">
        <f>SUMIFS(CA_Feed!F:F, CA_Feed!B:B, B637, CA_Feed!E:E, "*DIVIDEND*", CA_Feed!D:D, "&gt;="&amp;C637)</f>
        <v>6.5</v>
      </c>
      <c r="F637">
        <f t="shared" si="83"/>
        <v>30875</v>
      </c>
      <c r="G637">
        <f t="shared" si="84"/>
        <v>3087.5</v>
      </c>
      <c r="H637">
        <f t="shared" si="85"/>
        <v>27787.5</v>
      </c>
      <c r="I637">
        <f>D637 * SUMIFS(CA_Feed!G:G, CA_Feed!B:B, B637, CA_Feed!E:E, "*BONUS*", CA_Feed!D:D, "&gt;="&amp;C637)</f>
        <v>0</v>
      </c>
      <c r="J637">
        <f t="shared" si="86"/>
        <v>0</v>
      </c>
      <c r="K637">
        <f t="shared" si="87"/>
        <v>0</v>
      </c>
      <c r="L637">
        <f>IF(K637&gt;0, K637 * VLOOKUP(B637, CA_Feed!B:N, 13, FALSE), 0)</f>
        <v>0</v>
      </c>
      <c r="M637">
        <f t="shared" si="82"/>
        <v>27787.5</v>
      </c>
      <c r="N637" s="2">
        <f t="shared" si="81"/>
        <v>0</v>
      </c>
      <c r="O637" t="str">
        <f>IF(COUNTIFS(CA_Feed!B:B, B637)=0, "No Action Announced", IF(COUNTIFS(CA_Feed!B:B, B637, CA_Feed!D:D, "&gt;="&amp;C637)&gt;0, "Processed (Eligible)", "Ineligible (Post Ex-Date)"))</f>
        <v>Processed (Eligible)</v>
      </c>
    </row>
    <row r="638" spans="1:15" x14ac:dyDescent="0.3">
      <c r="A638" t="s">
        <v>711</v>
      </c>
      <c r="B638" t="s">
        <v>12</v>
      </c>
      <c r="C638" s="5">
        <v>43547</v>
      </c>
      <c r="D638" s="2">
        <v>70</v>
      </c>
      <c r="E638">
        <f>SUMIFS(CA_Feed!F:F, CA_Feed!B:B, B638, CA_Feed!E:E, "*DIVIDEND*", CA_Feed!D:D, "&gt;="&amp;C638)</f>
        <v>19</v>
      </c>
      <c r="F638">
        <f t="shared" si="83"/>
        <v>1330</v>
      </c>
      <c r="G638">
        <f t="shared" si="84"/>
        <v>133</v>
      </c>
      <c r="H638">
        <f t="shared" si="85"/>
        <v>1197</v>
      </c>
      <c r="I638">
        <f>D638 * SUMIFS(CA_Feed!G:G, CA_Feed!B:B, B638, CA_Feed!E:E, "*BONUS*", CA_Feed!D:D, "&gt;="&amp;C638)</f>
        <v>0</v>
      </c>
      <c r="J638">
        <f t="shared" si="86"/>
        <v>0</v>
      </c>
      <c r="K638">
        <f t="shared" si="87"/>
        <v>0</v>
      </c>
      <c r="L638">
        <f>IF(K638&gt;0, K638 * VLOOKUP(B638, CA_Feed!B:N, 13, FALSE), 0)</f>
        <v>0</v>
      </c>
      <c r="M638">
        <f t="shared" si="82"/>
        <v>1197</v>
      </c>
      <c r="N638" s="2">
        <f t="shared" si="81"/>
        <v>0</v>
      </c>
      <c r="O638" t="str">
        <f>IF(COUNTIFS(CA_Feed!B:B, B638)=0, "No Action Announced", IF(COUNTIFS(CA_Feed!B:B, B638, CA_Feed!D:D, "&gt;="&amp;C638)&gt;0, "Processed (Eligible)", "Ineligible (Post Ex-Date)"))</f>
        <v>Processed (Eligible)</v>
      </c>
    </row>
    <row r="639" spans="1:15" x14ac:dyDescent="0.3">
      <c r="A639" t="s">
        <v>715</v>
      </c>
      <c r="B639" t="s">
        <v>43</v>
      </c>
      <c r="C639" s="5">
        <v>43635</v>
      </c>
      <c r="D639" s="2">
        <v>4800</v>
      </c>
      <c r="E639">
        <f>SUMIFS(CA_Feed!F:F, CA_Feed!B:B, B639, CA_Feed!E:E, "*DIVIDEND*", CA_Feed!D:D, "&gt;="&amp;C639)</f>
        <v>1.35</v>
      </c>
      <c r="F639">
        <f t="shared" si="83"/>
        <v>6480</v>
      </c>
      <c r="G639">
        <f t="shared" si="84"/>
        <v>648</v>
      </c>
      <c r="H639">
        <f t="shared" si="85"/>
        <v>5832</v>
      </c>
      <c r="I639">
        <f>D639 * SUMIFS(CA_Feed!G:G, CA_Feed!B:B, B639, CA_Feed!E:E, "*BONUS*", CA_Feed!D:D, "&gt;="&amp;C639)</f>
        <v>0</v>
      </c>
      <c r="J639">
        <f t="shared" si="86"/>
        <v>0</v>
      </c>
      <c r="K639">
        <f t="shared" si="87"/>
        <v>0</v>
      </c>
      <c r="L639">
        <f>IF(K639&gt;0, K639 * VLOOKUP(B639, CA_Feed!B:N, 13, FALSE), 0)</f>
        <v>0</v>
      </c>
      <c r="M639">
        <f t="shared" si="82"/>
        <v>5832</v>
      </c>
      <c r="N639" s="2">
        <f t="shared" si="81"/>
        <v>0</v>
      </c>
      <c r="O639" t="str">
        <f>IF(COUNTIFS(CA_Feed!B:B, B639)=0, "No Action Announced", IF(COUNTIFS(CA_Feed!B:B, B639, CA_Feed!D:D, "&gt;="&amp;C639)&gt;0, "Processed (Eligible)", "Ineligible (Post Ex-Date)"))</f>
        <v>Processed (Eligible)</v>
      </c>
    </row>
    <row r="640" spans="1:15" x14ac:dyDescent="0.3">
      <c r="A640" t="s">
        <v>716</v>
      </c>
      <c r="B640" t="s">
        <v>19</v>
      </c>
      <c r="C640" s="5">
        <v>42456</v>
      </c>
      <c r="D640" s="2">
        <v>7700</v>
      </c>
      <c r="E640">
        <f>SUMIFS(CA_Feed!F:F, CA_Feed!B:B, B640, CA_Feed!E:E, "*DIVIDEND*", CA_Feed!D:D, "&gt;="&amp;C640)</f>
        <v>1.5</v>
      </c>
      <c r="F640">
        <f t="shared" si="83"/>
        <v>11550</v>
      </c>
      <c r="G640">
        <f t="shared" si="84"/>
        <v>1155</v>
      </c>
      <c r="H640">
        <f t="shared" si="85"/>
        <v>10395</v>
      </c>
      <c r="I640">
        <f>D640 * SUMIFS(CA_Feed!G:G, CA_Feed!B:B, B640, CA_Feed!E:E, "*BONUS*", CA_Feed!D:D, "&gt;="&amp;C640)</f>
        <v>0</v>
      </c>
      <c r="J640">
        <f t="shared" si="86"/>
        <v>0</v>
      </c>
      <c r="K640">
        <f t="shared" si="87"/>
        <v>0</v>
      </c>
      <c r="L640">
        <f>IF(K640&gt;0, K640 * VLOOKUP(B640, CA_Feed!B:N, 13, FALSE), 0)</f>
        <v>0</v>
      </c>
      <c r="M640">
        <f t="shared" si="82"/>
        <v>10395</v>
      </c>
      <c r="N640" s="2">
        <f t="shared" si="81"/>
        <v>0</v>
      </c>
      <c r="O640" t="str">
        <f>IF(COUNTIFS(CA_Feed!B:B, B640)=0, "No Action Announced", IF(COUNTIFS(CA_Feed!B:B, B640, CA_Feed!D:D, "&gt;="&amp;C640)&gt;0, "Processed (Eligible)", "Ineligible (Post Ex-Date)"))</f>
        <v>Processed (Eligible)</v>
      </c>
    </row>
    <row r="641" spans="1:15" x14ac:dyDescent="0.3">
      <c r="A641" t="s">
        <v>717</v>
      </c>
      <c r="B641" t="s">
        <v>25</v>
      </c>
      <c r="C641" s="5">
        <v>43303</v>
      </c>
      <c r="D641" s="2">
        <v>800</v>
      </c>
      <c r="E641">
        <f>SUMIFS(CA_Feed!F:F, CA_Feed!B:B, B641, CA_Feed!E:E, "*DIVIDEND*", CA_Feed!D:D, "&gt;="&amp;C641)</f>
        <v>2.5</v>
      </c>
      <c r="F641">
        <f t="shared" si="83"/>
        <v>2000</v>
      </c>
      <c r="G641">
        <f t="shared" si="84"/>
        <v>200</v>
      </c>
      <c r="H641">
        <f t="shared" si="85"/>
        <v>1800</v>
      </c>
      <c r="I641">
        <f>D641 * SUMIFS(CA_Feed!G:G, CA_Feed!B:B, B641, CA_Feed!E:E, "*BONUS*", CA_Feed!D:D, "&gt;="&amp;C641)</f>
        <v>0</v>
      </c>
      <c r="J641">
        <f t="shared" si="86"/>
        <v>0</v>
      </c>
      <c r="K641">
        <f t="shared" si="87"/>
        <v>0</v>
      </c>
      <c r="L641">
        <f>IF(K641&gt;0, K641 * VLOOKUP(B641, CA_Feed!B:N, 13, FALSE), 0)</f>
        <v>0</v>
      </c>
      <c r="M641">
        <f t="shared" si="82"/>
        <v>1800</v>
      </c>
      <c r="N641" s="2">
        <f t="shared" si="81"/>
        <v>0</v>
      </c>
      <c r="O641" t="str">
        <f>IF(COUNTIFS(CA_Feed!B:B, B641)=0, "No Action Announced", IF(COUNTIFS(CA_Feed!B:B, B641, CA_Feed!D:D, "&gt;="&amp;C641)&gt;0, "Processed (Eligible)", "Ineligible (Post Ex-Date)"))</f>
        <v>Processed (Eligible)</v>
      </c>
    </row>
    <row r="642" spans="1:15" x14ac:dyDescent="0.3">
      <c r="A642" t="s">
        <v>720</v>
      </c>
      <c r="B642" t="s">
        <v>12</v>
      </c>
      <c r="C642" s="5">
        <v>43073</v>
      </c>
      <c r="D642" s="2">
        <v>70</v>
      </c>
      <c r="E642">
        <f>SUMIFS(CA_Feed!F:F, CA_Feed!B:B, B642, CA_Feed!E:E, "*DIVIDEND*", CA_Feed!D:D, "&gt;="&amp;C642)</f>
        <v>19</v>
      </c>
      <c r="F642">
        <f t="shared" si="83"/>
        <v>1330</v>
      </c>
      <c r="G642">
        <f t="shared" si="84"/>
        <v>133</v>
      </c>
      <c r="H642">
        <f t="shared" si="85"/>
        <v>1197</v>
      </c>
      <c r="I642">
        <f>D642 * SUMIFS(CA_Feed!G:G, CA_Feed!B:B, B642, CA_Feed!E:E, "*BONUS*", CA_Feed!D:D, "&gt;="&amp;C642)</f>
        <v>0</v>
      </c>
      <c r="J642">
        <f t="shared" si="86"/>
        <v>0</v>
      </c>
      <c r="K642">
        <f t="shared" si="87"/>
        <v>0</v>
      </c>
      <c r="L642">
        <f>IF(K642&gt;0, K642 * VLOOKUP(B642, CA_Feed!B:N, 13, FALSE), 0)</f>
        <v>0</v>
      </c>
      <c r="M642">
        <f t="shared" ref="M642:M683" si="88">H642 + L642</f>
        <v>1197</v>
      </c>
      <c r="N642" s="2">
        <f t="shared" si="81"/>
        <v>0</v>
      </c>
      <c r="O642" t="str">
        <f>IF(COUNTIFS(CA_Feed!B:B, B642)=0, "No Action Announced", IF(COUNTIFS(CA_Feed!B:B, B642, CA_Feed!D:D, "&gt;="&amp;C642)&gt;0, "Processed (Eligible)", "Ineligible (Post Ex-Date)"))</f>
        <v>Processed (Eligible)</v>
      </c>
    </row>
    <row r="643" spans="1:15" x14ac:dyDescent="0.3">
      <c r="A643" t="s">
        <v>143</v>
      </c>
      <c r="B643" t="s">
        <v>12</v>
      </c>
      <c r="C643" s="5">
        <v>42937</v>
      </c>
      <c r="D643" s="2">
        <v>70</v>
      </c>
      <c r="E643">
        <f>SUMIFS(CA_Feed!F:F, CA_Feed!B:B, B643, CA_Feed!E:E, "*DIVIDEND*", CA_Feed!D:D, "&gt;="&amp;C643)</f>
        <v>19</v>
      </c>
      <c r="F643">
        <f t="shared" ref="F643:F684" si="89">D643 * E643</f>
        <v>1330</v>
      </c>
      <c r="G643">
        <f t="shared" ref="G643:G684" si="90">F643 * 0.1</f>
        <v>133</v>
      </c>
      <c r="H643">
        <f t="shared" ref="H643:H684" si="91">F643 - G643</f>
        <v>1197</v>
      </c>
      <c r="I643">
        <f>D643 * SUMIFS(CA_Feed!G:G, CA_Feed!B:B, B643, CA_Feed!E:E, "*BONUS*", CA_Feed!D:D, "&gt;="&amp;C643)</f>
        <v>0</v>
      </c>
      <c r="J643">
        <f t="shared" ref="J643:J684" si="92">INT(I643)</f>
        <v>0</v>
      </c>
      <c r="K643">
        <f t="shared" ref="K643:K684" si="93">I643-J643</f>
        <v>0</v>
      </c>
      <c r="L643">
        <f>IF(K643&gt;0, K643 * VLOOKUP(B643, CA_Feed!B:N, 13, FALSE), 0)</f>
        <v>0</v>
      </c>
      <c r="M643">
        <f t="shared" si="88"/>
        <v>1197</v>
      </c>
      <c r="N643" s="2">
        <f t="shared" ref="N643:N706" si="94">IF(J643&gt;0,D643 +J643,0)</f>
        <v>0</v>
      </c>
      <c r="O643" t="str">
        <f>IF(COUNTIFS(CA_Feed!B:B, B643)=0, "No Action Announced", IF(COUNTIFS(CA_Feed!B:B, B643, CA_Feed!D:D, "&gt;="&amp;C643)&gt;0, "Processed (Eligible)", "Ineligible (Post Ex-Date)"))</f>
        <v>Processed (Eligible)</v>
      </c>
    </row>
    <row r="644" spans="1:15" x14ac:dyDescent="0.3">
      <c r="A644" t="s">
        <v>189</v>
      </c>
      <c r="B644" t="s">
        <v>12</v>
      </c>
      <c r="C644" s="5">
        <v>42603</v>
      </c>
      <c r="D644" s="2">
        <v>70</v>
      </c>
      <c r="E644">
        <f>SUMIFS(CA_Feed!F:F, CA_Feed!B:B, B644, CA_Feed!E:E, "*DIVIDEND*", CA_Feed!D:D, "&gt;="&amp;C644)</f>
        <v>19</v>
      </c>
      <c r="F644">
        <f t="shared" si="89"/>
        <v>1330</v>
      </c>
      <c r="G644">
        <f t="shared" si="90"/>
        <v>133</v>
      </c>
      <c r="H644">
        <f t="shared" si="91"/>
        <v>1197</v>
      </c>
      <c r="I644">
        <f>D644 * SUMIFS(CA_Feed!G:G, CA_Feed!B:B, B644, CA_Feed!E:E, "*BONUS*", CA_Feed!D:D, "&gt;="&amp;C644)</f>
        <v>0</v>
      </c>
      <c r="J644">
        <f t="shared" si="92"/>
        <v>0</v>
      </c>
      <c r="K644">
        <f t="shared" si="93"/>
        <v>0</v>
      </c>
      <c r="L644">
        <f>IF(K644&gt;0, K644 * VLOOKUP(B644, CA_Feed!B:N, 13, FALSE), 0)</f>
        <v>0</v>
      </c>
      <c r="M644">
        <f t="shared" si="88"/>
        <v>1197</v>
      </c>
      <c r="N644" s="2">
        <f t="shared" si="94"/>
        <v>0</v>
      </c>
      <c r="O644" t="str">
        <f>IF(COUNTIFS(CA_Feed!B:B, B644)=0, "No Action Announced", IF(COUNTIFS(CA_Feed!B:B, B644, CA_Feed!D:D, "&gt;="&amp;C644)&gt;0, "Processed (Eligible)", "Ineligible (Post Ex-Date)"))</f>
        <v>Processed (Eligible)</v>
      </c>
    </row>
    <row r="645" spans="1:15" x14ac:dyDescent="0.3">
      <c r="A645" t="s">
        <v>798</v>
      </c>
      <c r="B645" t="s">
        <v>12</v>
      </c>
      <c r="C645" s="5">
        <v>42503</v>
      </c>
      <c r="D645" s="2">
        <v>70</v>
      </c>
      <c r="E645">
        <f>SUMIFS(CA_Feed!F:F, CA_Feed!B:B, B645, CA_Feed!E:E, "*DIVIDEND*", CA_Feed!D:D, "&gt;="&amp;C645)</f>
        <v>19</v>
      </c>
      <c r="F645">
        <f t="shared" si="89"/>
        <v>1330</v>
      </c>
      <c r="G645">
        <f t="shared" si="90"/>
        <v>133</v>
      </c>
      <c r="H645">
        <f t="shared" si="91"/>
        <v>1197</v>
      </c>
      <c r="I645">
        <f>D645 * SUMIFS(CA_Feed!G:G, CA_Feed!B:B, B645, CA_Feed!E:E, "*BONUS*", CA_Feed!D:D, "&gt;="&amp;C645)</f>
        <v>0</v>
      </c>
      <c r="J645">
        <f t="shared" si="92"/>
        <v>0</v>
      </c>
      <c r="K645">
        <f t="shared" si="93"/>
        <v>0</v>
      </c>
      <c r="L645">
        <f>IF(K645&gt;0, K645 * VLOOKUP(B645, CA_Feed!B:N, 13, FALSE), 0)</f>
        <v>0</v>
      </c>
      <c r="M645">
        <f t="shared" si="88"/>
        <v>1197</v>
      </c>
      <c r="N645" s="2">
        <f t="shared" si="94"/>
        <v>0</v>
      </c>
      <c r="O645" t="str">
        <f>IF(COUNTIFS(CA_Feed!B:B, B645)=0, "No Action Announced", IF(COUNTIFS(CA_Feed!B:B, B645, CA_Feed!D:D, "&gt;="&amp;C645)&gt;0, "Processed (Eligible)", "Ineligible (Post Ex-Date)"))</f>
        <v>Processed (Eligible)</v>
      </c>
    </row>
    <row r="646" spans="1:15" x14ac:dyDescent="0.3">
      <c r="A646" t="s">
        <v>722</v>
      </c>
      <c r="B646" t="s">
        <v>16</v>
      </c>
      <c r="C646" s="5">
        <v>42067</v>
      </c>
      <c r="D646" s="2">
        <v>3500</v>
      </c>
      <c r="E646">
        <f>SUMIFS(CA_Feed!F:F, CA_Feed!B:B, B646, CA_Feed!E:E, "*DIVIDEND*", CA_Feed!D:D, "&gt;="&amp;C646)</f>
        <v>3.75</v>
      </c>
      <c r="F646">
        <f t="shared" si="89"/>
        <v>13125</v>
      </c>
      <c r="G646">
        <f t="shared" si="90"/>
        <v>1312.5</v>
      </c>
      <c r="H646">
        <f t="shared" si="91"/>
        <v>11812.5</v>
      </c>
      <c r="I646">
        <f>D646 * SUMIFS(CA_Feed!G:G, CA_Feed!B:B, B646, CA_Feed!E:E, "*BONUS*", CA_Feed!D:D, "&gt;="&amp;C646)</f>
        <v>0</v>
      </c>
      <c r="J646">
        <f t="shared" si="92"/>
        <v>0</v>
      </c>
      <c r="K646">
        <f t="shared" si="93"/>
        <v>0</v>
      </c>
      <c r="L646">
        <f>IF(K646&gt;0, K646 * VLOOKUP(B646, CA_Feed!B:N, 13, FALSE), 0)</f>
        <v>0</v>
      </c>
      <c r="M646">
        <f t="shared" si="88"/>
        <v>11812.5</v>
      </c>
      <c r="N646" s="2">
        <f t="shared" si="94"/>
        <v>0</v>
      </c>
      <c r="O646" t="str">
        <f>IF(COUNTIFS(CA_Feed!B:B, B646)=0, "No Action Announced", IF(COUNTIFS(CA_Feed!B:B, B646, CA_Feed!D:D, "&gt;="&amp;C646)&gt;0, "Processed (Eligible)", "Ineligible (Post Ex-Date)"))</f>
        <v>Processed (Eligible)</v>
      </c>
    </row>
    <row r="647" spans="1:15" x14ac:dyDescent="0.3">
      <c r="A647" t="s">
        <v>723</v>
      </c>
      <c r="B647" t="s">
        <v>25</v>
      </c>
      <c r="C647" s="5">
        <v>42015</v>
      </c>
      <c r="D647" s="2">
        <v>6550</v>
      </c>
      <c r="E647">
        <f>SUMIFS(CA_Feed!F:F, CA_Feed!B:B, B647, CA_Feed!E:E, "*DIVIDEND*", CA_Feed!D:D, "&gt;="&amp;C647)</f>
        <v>2.5</v>
      </c>
      <c r="F647">
        <f t="shared" si="89"/>
        <v>16375</v>
      </c>
      <c r="G647">
        <f t="shared" si="90"/>
        <v>1637.5</v>
      </c>
      <c r="H647">
        <f t="shared" si="91"/>
        <v>14737.5</v>
      </c>
      <c r="I647">
        <f>D647 * SUMIFS(CA_Feed!G:G, CA_Feed!B:B, B647, CA_Feed!E:E, "*BONUS*", CA_Feed!D:D, "&gt;="&amp;C647)</f>
        <v>0</v>
      </c>
      <c r="J647">
        <f t="shared" si="92"/>
        <v>0</v>
      </c>
      <c r="K647">
        <f t="shared" si="93"/>
        <v>0</v>
      </c>
      <c r="L647">
        <f>IF(K647&gt;0, K647 * VLOOKUP(B647, CA_Feed!B:N, 13, FALSE), 0)</f>
        <v>0</v>
      </c>
      <c r="M647">
        <f t="shared" si="88"/>
        <v>14737.5</v>
      </c>
      <c r="N647" s="2">
        <f t="shared" si="94"/>
        <v>0</v>
      </c>
      <c r="O647" t="str">
        <f>IF(COUNTIFS(CA_Feed!B:B, B647)=0, "No Action Announced", IF(COUNTIFS(CA_Feed!B:B, B647, CA_Feed!D:D, "&gt;="&amp;C647)&gt;0, "Processed (Eligible)", "Ineligible (Post Ex-Date)"))</f>
        <v>Processed (Eligible)</v>
      </c>
    </row>
    <row r="648" spans="1:15" x14ac:dyDescent="0.3">
      <c r="A648" t="s">
        <v>724</v>
      </c>
      <c r="B648" t="s">
        <v>23</v>
      </c>
      <c r="C648" s="5">
        <v>44965</v>
      </c>
      <c r="D648" s="2">
        <v>950</v>
      </c>
      <c r="E648">
        <f>SUMIFS(CA_Feed!F:F, CA_Feed!B:B, B648, CA_Feed!E:E, "*DIVIDEND*", CA_Feed!D:D, "&gt;="&amp;C648)</f>
        <v>1.5000000000000002</v>
      </c>
      <c r="F648">
        <f t="shared" si="89"/>
        <v>1425.0000000000002</v>
      </c>
      <c r="G648">
        <f t="shared" si="90"/>
        <v>142.50000000000003</v>
      </c>
      <c r="H648">
        <f t="shared" si="91"/>
        <v>1282.5000000000002</v>
      </c>
      <c r="I648">
        <f>D648 * SUMIFS(CA_Feed!G:G, CA_Feed!B:B, B648, CA_Feed!E:E, "*BONUS*", CA_Feed!D:D, "&gt;="&amp;C648)</f>
        <v>0</v>
      </c>
      <c r="J648">
        <f t="shared" si="92"/>
        <v>0</v>
      </c>
      <c r="K648">
        <f t="shared" si="93"/>
        <v>0</v>
      </c>
      <c r="L648">
        <f>IF(K648&gt;0, K648 * VLOOKUP(B648, CA_Feed!B:N, 13, FALSE), 0)</f>
        <v>0</v>
      </c>
      <c r="M648">
        <f t="shared" si="88"/>
        <v>1282.5000000000002</v>
      </c>
      <c r="N648" s="2">
        <f t="shared" si="94"/>
        <v>0</v>
      </c>
      <c r="O648" t="str">
        <f>IF(COUNTIFS(CA_Feed!B:B, B648)=0, "No Action Announced", IF(COUNTIFS(CA_Feed!B:B, B648, CA_Feed!D:D, "&gt;="&amp;C648)&gt;0, "Processed (Eligible)", "Ineligible (Post Ex-Date)"))</f>
        <v>Processed (Eligible)</v>
      </c>
    </row>
    <row r="649" spans="1:15" x14ac:dyDescent="0.3">
      <c r="A649" t="s">
        <v>134</v>
      </c>
      <c r="B649" t="s">
        <v>12</v>
      </c>
      <c r="C649" s="5">
        <v>42461</v>
      </c>
      <c r="D649" s="2">
        <v>70</v>
      </c>
      <c r="E649">
        <f>SUMIFS(CA_Feed!F:F, CA_Feed!B:B, B649, CA_Feed!E:E, "*DIVIDEND*", CA_Feed!D:D, "&gt;="&amp;C649)</f>
        <v>19</v>
      </c>
      <c r="F649">
        <f t="shared" si="89"/>
        <v>1330</v>
      </c>
      <c r="G649">
        <f t="shared" si="90"/>
        <v>133</v>
      </c>
      <c r="H649">
        <f t="shared" si="91"/>
        <v>1197</v>
      </c>
      <c r="I649">
        <f>D649 * SUMIFS(CA_Feed!G:G, CA_Feed!B:B, B649, CA_Feed!E:E, "*BONUS*", CA_Feed!D:D, "&gt;="&amp;C649)</f>
        <v>0</v>
      </c>
      <c r="J649">
        <f t="shared" si="92"/>
        <v>0</v>
      </c>
      <c r="K649">
        <f t="shared" si="93"/>
        <v>0</v>
      </c>
      <c r="L649">
        <f>IF(K649&gt;0, K649 * VLOOKUP(B649, CA_Feed!B:N, 13, FALSE), 0)</f>
        <v>0</v>
      </c>
      <c r="M649">
        <f t="shared" si="88"/>
        <v>1197</v>
      </c>
      <c r="N649" s="2">
        <f t="shared" si="94"/>
        <v>0</v>
      </c>
      <c r="O649" t="str">
        <f>IF(COUNTIFS(CA_Feed!B:B, B649)=0, "No Action Announced", IF(COUNTIFS(CA_Feed!B:B, B649, CA_Feed!D:D, "&gt;="&amp;C649)&gt;0, "Processed (Eligible)", "Ineligible (Post Ex-Date)"))</f>
        <v>Processed (Eligible)</v>
      </c>
    </row>
    <row r="650" spans="1:15" x14ac:dyDescent="0.3">
      <c r="A650" t="s">
        <v>726</v>
      </c>
      <c r="B650" t="s">
        <v>31</v>
      </c>
      <c r="C650" s="5">
        <v>43806</v>
      </c>
      <c r="D650" s="2">
        <v>1550</v>
      </c>
      <c r="E650">
        <f>SUMIFS(CA_Feed!F:F, CA_Feed!B:B, B650, CA_Feed!E:E, "*DIVIDEND*", CA_Feed!D:D, "&gt;="&amp;C650)</f>
        <v>3</v>
      </c>
      <c r="F650">
        <f t="shared" si="89"/>
        <v>4650</v>
      </c>
      <c r="G650">
        <f t="shared" si="90"/>
        <v>465</v>
      </c>
      <c r="H650">
        <f t="shared" si="91"/>
        <v>4185</v>
      </c>
      <c r="I650">
        <f>D650 * SUMIFS(CA_Feed!G:G, CA_Feed!B:B, B650, CA_Feed!E:E, "*BONUS*", CA_Feed!D:D, "&gt;="&amp;C650)</f>
        <v>0</v>
      </c>
      <c r="J650">
        <f t="shared" si="92"/>
        <v>0</v>
      </c>
      <c r="K650">
        <f t="shared" si="93"/>
        <v>0</v>
      </c>
      <c r="L650">
        <f>IF(K650&gt;0, K650 * VLOOKUP(B650, CA_Feed!B:N, 13, FALSE), 0)</f>
        <v>0</v>
      </c>
      <c r="M650">
        <f t="shared" si="88"/>
        <v>4185</v>
      </c>
      <c r="N650" s="2">
        <f t="shared" si="94"/>
        <v>0</v>
      </c>
      <c r="O650" t="str">
        <f>IF(COUNTIFS(CA_Feed!B:B, B650)=0, "No Action Announced", IF(COUNTIFS(CA_Feed!B:B, B650, CA_Feed!D:D, "&gt;="&amp;C650)&gt;0, "Processed (Eligible)", "Ineligible (Post Ex-Date)"))</f>
        <v>Processed (Eligible)</v>
      </c>
    </row>
    <row r="651" spans="1:15" x14ac:dyDescent="0.3">
      <c r="A651" t="s">
        <v>428</v>
      </c>
      <c r="B651" t="s">
        <v>12</v>
      </c>
      <c r="C651" s="5">
        <v>42249</v>
      </c>
      <c r="D651" s="2">
        <v>70</v>
      </c>
      <c r="E651">
        <f>SUMIFS(CA_Feed!F:F, CA_Feed!B:B, B651, CA_Feed!E:E, "*DIVIDEND*", CA_Feed!D:D, "&gt;="&amp;C651)</f>
        <v>19</v>
      </c>
      <c r="F651">
        <f t="shared" si="89"/>
        <v>1330</v>
      </c>
      <c r="G651">
        <f t="shared" si="90"/>
        <v>133</v>
      </c>
      <c r="H651">
        <f t="shared" si="91"/>
        <v>1197</v>
      </c>
      <c r="I651">
        <f>D651 * SUMIFS(CA_Feed!G:G, CA_Feed!B:B, B651, CA_Feed!E:E, "*BONUS*", CA_Feed!D:D, "&gt;="&amp;C651)</f>
        <v>0</v>
      </c>
      <c r="J651">
        <f t="shared" si="92"/>
        <v>0</v>
      </c>
      <c r="K651">
        <f t="shared" si="93"/>
        <v>0</v>
      </c>
      <c r="L651">
        <f>IF(K651&gt;0, K651 * VLOOKUP(B651, CA_Feed!B:N, 13, FALSE), 0)</f>
        <v>0</v>
      </c>
      <c r="M651">
        <f t="shared" si="88"/>
        <v>1197</v>
      </c>
      <c r="N651" s="2">
        <f t="shared" si="94"/>
        <v>0</v>
      </c>
      <c r="O651" t="str">
        <f>IF(COUNTIFS(CA_Feed!B:B, B651)=0, "No Action Announced", IF(COUNTIFS(CA_Feed!B:B, B651, CA_Feed!D:D, "&gt;="&amp;C651)&gt;0, "Processed (Eligible)", "Ineligible (Post Ex-Date)"))</f>
        <v>Processed (Eligible)</v>
      </c>
    </row>
    <row r="652" spans="1:15" x14ac:dyDescent="0.3">
      <c r="A652" t="s">
        <v>728</v>
      </c>
      <c r="B652" t="s">
        <v>19</v>
      </c>
      <c r="C652" s="5">
        <v>43170</v>
      </c>
      <c r="D652" s="2">
        <v>1200</v>
      </c>
      <c r="E652">
        <f>SUMIFS(CA_Feed!F:F, CA_Feed!B:B, B652, CA_Feed!E:E, "*DIVIDEND*", CA_Feed!D:D, "&gt;="&amp;C652)</f>
        <v>1.5</v>
      </c>
      <c r="F652">
        <f t="shared" si="89"/>
        <v>1800</v>
      </c>
      <c r="G652">
        <f t="shared" si="90"/>
        <v>180</v>
      </c>
      <c r="H652">
        <f t="shared" si="91"/>
        <v>1620</v>
      </c>
      <c r="I652">
        <f>D652 * SUMIFS(CA_Feed!G:G, CA_Feed!B:B, B652, CA_Feed!E:E, "*BONUS*", CA_Feed!D:D, "&gt;="&amp;C652)</f>
        <v>0</v>
      </c>
      <c r="J652">
        <f t="shared" si="92"/>
        <v>0</v>
      </c>
      <c r="K652">
        <f t="shared" si="93"/>
        <v>0</v>
      </c>
      <c r="L652">
        <f>IF(K652&gt;0, K652 * VLOOKUP(B652, CA_Feed!B:N, 13, FALSE), 0)</f>
        <v>0</v>
      </c>
      <c r="M652">
        <f t="shared" si="88"/>
        <v>1620</v>
      </c>
      <c r="N652" s="2">
        <f t="shared" si="94"/>
        <v>0</v>
      </c>
      <c r="O652" t="str">
        <f>IF(COUNTIFS(CA_Feed!B:B, B652)=0, "No Action Announced", IF(COUNTIFS(CA_Feed!B:B, B652, CA_Feed!D:D, "&gt;="&amp;C652)&gt;0, "Processed (Eligible)", "Ineligible (Post Ex-Date)"))</f>
        <v>Processed (Eligible)</v>
      </c>
    </row>
    <row r="653" spans="1:15" x14ac:dyDescent="0.3">
      <c r="A653" t="s">
        <v>729</v>
      </c>
      <c r="B653" t="s">
        <v>39</v>
      </c>
      <c r="C653" s="5">
        <v>44248</v>
      </c>
      <c r="D653" s="2">
        <v>1300</v>
      </c>
      <c r="E653">
        <f>SUMIFS(CA_Feed!F:F, CA_Feed!B:B, B653, CA_Feed!E:E, "*DIVIDEND*", CA_Feed!D:D, "&gt;="&amp;C653)</f>
        <v>1.2</v>
      </c>
      <c r="F653">
        <f t="shared" si="89"/>
        <v>1560</v>
      </c>
      <c r="G653">
        <f t="shared" si="90"/>
        <v>156</v>
      </c>
      <c r="H653">
        <f t="shared" si="91"/>
        <v>1404</v>
      </c>
      <c r="I653">
        <f>D653 * SUMIFS(CA_Feed!G:G, CA_Feed!B:B, B653, CA_Feed!E:E, "*BONUS*", CA_Feed!D:D, "&gt;="&amp;C653)</f>
        <v>0</v>
      </c>
      <c r="J653">
        <f t="shared" si="92"/>
        <v>0</v>
      </c>
      <c r="K653">
        <f t="shared" si="93"/>
        <v>0</v>
      </c>
      <c r="L653">
        <f>IF(K653&gt;0, K653 * VLOOKUP(B653, CA_Feed!B:N, 13, FALSE), 0)</f>
        <v>0</v>
      </c>
      <c r="M653">
        <f t="shared" si="88"/>
        <v>1404</v>
      </c>
      <c r="N653" s="2">
        <f t="shared" si="94"/>
        <v>0</v>
      </c>
      <c r="O653" t="str">
        <f>IF(COUNTIFS(CA_Feed!B:B, B653)=0, "No Action Announced", IF(COUNTIFS(CA_Feed!B:B, B653, CA_Feed!D:D, "&gt;="&amp;C653)&gt;0, "Processed (Eligible)", "Ineligible (Post Ex-Date)"))</f>
        <v>Processed (Eligible)</v>
      </c>
    </row>
    <row r="654" spans="1:15" x14ac:dyDescent="0.3">
      <c r="A654" t="s">
        <v>730</v>
      </c>
      <c r="B654" t="s">
        <v>16</v>
      </c>
      <c r="C654" s="5">
        <v>43107</v>
      </c>
      <c r="D654" s="2">
        <v>3550</v>
      </c>
      <c r="E654">
        <f>SUMIFS(CA_Feed!F:F, CA_Feed!B:B, B654, CA_Feed!E:E, "*DIVIDEND*", CA_Feed!D:D, "&gt;="&amp;C654)</f>
        <v>3.75</v>
      </c>
      <c r="F654">
        <f t="shared" si="89"/>
        <v>13312.5</v>
      </c>
      <c r="G654">
        <f t="shared" si="90"/>
        <v>1331.25</v>
      </c>
      <c r="H654">
        <f t="shared" si="91"/>
        <v>11981.25</v>
      </c>
      <c r="I654">
        <f>D654 * SUMIFS(CA_Feed!G:G, CA_Feed!B:B, B654, CA_Feed!E:E, "*BONUS*", CA_Feed!D:D, "&gt;="&amp;C654)</f>
        <v>0</v>
      </c>
      <c r="J654">
        <f t="shared" si="92"/>
        <v>0</v>
      </c>
      <c r="K654">
        <f t="shared" si="93"/>
        <v>0</v>
      </c>
      <c r="L654">
        <f>IF(K654&gt;0, K654 * VLOOKUP(B654, CA_Feed!B:N, 13, FALSE), 0)</f>
        <v>0</v>
      </c>
      <c r="M654">
        <f t="shared" si="88"/>
        <v>11981.25</v>
      </c>
      <c r="N654" s="2">
        <f t="shared" si="94"/>
        <v>0</v>
      </c>
      <c r="O654" t="str">
        <f>IF(COUNTIFS(CA_Feed!B:B, B654)=0, "No Action Announced", IF(COUNTIFS(CA_Feed!B:B, B654, CA_Feed!D:D, "&gt;="&amp;C654)&gt;0, "Processed (Eligible)", "Ineligible (Post Ex-Date)"))</f>
        <v>Processed (Eligible)</v>
      </c>
    </row>
    <row r="655" spans="1:15" x14ac:dyDescent="0.3">
      <c r="A655" t="s">
        <v>731</v>
      </c>
      <c r="B655" t="s">
        <v>37</v>
      </c>
      <c r="C655" s="5">
        <v>43363</v>
      </c>
      <c r="D655" s="2">
        <v>6750</v>
      </c>
      <c r="E655">
        <f>SUMIFS(CA_Feed!F:F, CA_Feed!B:B, B655, CA_Feed!E:E, "*DIVIDEND*", CA_Feed!D:D, "&gt;="&amp;C655)</f>
        <v>6.5</v>
      </c>
      <c r="F655">
        <f t="shared" si="89"/>
        <v>43875</v>
      </c>
      <c r="G655">
        <f t="shared" si="90"/>
        <v>4387.5</v>
      </c>
      <c r="H655">
        <f t="shared" si="91"/>
        <v>39487.5</v>
      </c>
      <c r="I655">
        <f>D655 * SUMIFS(CA_Feed!G:G, CA_Feed!B:B, B655, CA_Feed!E:E, "*BONUS*", CA_Feed!D:D, "&gt;="&amp;C655)</f>
        <v>0</v>
      </c>
      <c r="J655">
        <f t="shared" si="92"/>
        <v>0</v>
      </c>
      <c r="K655">
        <f t="shared" si="93"/>
        <v>0</v>
      </c>
      <c r="L655">
        <f>IF(K655&gt;0, K655 * VLOOKUP(B655, CA_Feed!B:N, 13, FALSE), 0)</f>
        <v>0</v>
      </c>
      <c r="M655">
        <f t="shared" si="88"/>
        <v>39487.5</v>
      </c>
      <c r="N655" s="2">
        <f t="shared" si="94"/>
        <v>0</v>
      </c>
      <c r="O655" t="str">
        <f>IF(COUNTIFS(CA_Feed!B:B, B655)=0, "No Action Announced", IF(COUNTIFS(CA_Feed!B:B, B655, CA_Feed!D:D, "&gt;="&amp;C655)&gt;0, "Processed (Eligible)", "Ineligible (Post Ex-Date)"))</f>
        <v>Processed (Eligible)</v>
      </c>
    </row>
    <row r="656" spans="1:15" x14ac:dyDescent="0.3">
      <c r="A656" t="s">
        <v>732</v>
      </c>
      <c r="B656" t="s">
        <v>45</v>
      </c>
      <c r="C656" s="5">
        <v>45128</v>
      </c>
      <c r="D656" s="2">
        <v>2050</v>
      </c>
      <c r="E656">
        <f>SUMIFS(CA_Feed!F:F, CA_Feed!B:B, B656, CA_Feed!E:E, "*DIVIDEND*", CA_Feed!D:D, "&gt;="&amp;C656)</f>
        <v>2.5</v>
      </c>
      <c r="F656">
        <f t="shared" si="89"/>
        <v>5125</v>
      </c>
      <c r="G656">
        <f t="shared" si="90"/>
        <v>512.5</v>
      </c>
      <c r="H656">
        <f t="shared" si="91"/>
        <v>4612.5</v>
      </c>
      <c r="I656">
        <f>D656 * SUMIFS(CA_Feed!G:G, CA_Feed!B:B, B656, CA_Feed!E:E, "*BONUS*", CA_Feed!D:D, "&gt;="&amp;C656)</f>
        <v>0</v>
      </c>
      <c r="J656">
        <f t="shared" si="92"/>
        <v>0</v>
      </c>
      <c r="K656">
        <f t="shared" si="93"/>
        <v>0</v>
      </c>
      <c r="L656">
        <f>IF(K656&gt;0, K656 * VLOOKUP(B656, CA_Feed!B:N, 13, FALSE), 0)</f>
        <v>0</v>
      </c>
      <c r="M656">
        <f t="shared" si="88"/>
        <v>4612.5</v>
      </c>
      <c r="N656" s="2">
        <f t="shared" si="94"/>
        <v>0</v>
      </c>
      <c r="O656" t="str">
        <f>IF(COUNTIFS(CA_Feed!B:B, B656)=0, "No Action Announced", IF(COUNTIFS(CA_Feed!B:B, B656, CA_Feed!D:D, "&gt;="&amp;C656)&gt;0, "Processed (Eligible)", "Ineligible (Post Ex-Date)"))</f>
        <v>Processed (Eligible)</v>
      </c>
    </row>
    <row r="657" spans="1:15" x14ac:dyDescent="0.3">
      <c r="A657" t="s">
        <v>733</v>
      </c>
      <c r="B657" t="s">
        <v>35</v>
      </c>
      <c r="C657" s="5">
        <v>44396</v>
      </c>
      <c r="D657" s="2">
        <v>6350</v>
      </c>
      <c r="E657">
        <f>SUMIFS(CA_Feed!F:F, CA_Feed!B:B, B657, CA_Feed!E:E, "*DIVIDEND*", CA_Feed!D:D, "&gt;="&amp;C657)</f>
        <v>1</v>
      </c>
      <c r="F657">
        <f t="shared" si="89"/>
        <v>6350</v>
      </c>
      <c r="G657">
        <f t="shared" si="90"/>
        <v>635</v>
      </c>
      <c r="H657">
        <f t="shared" si="91"/>
        <v>5715</v>
      </c>
      <c r="I657">
        <f>D657 * SUMIFS(CA_Feed!G:G, CA_Feed!B:B, B657, CA_Feed!E:E, "*BONUS*", CA_Feed!D:D, "&gt;="&amp;C657)</f>
        <v>0</v>
      </c>
      <c r="J657">
        <f t="shared" si="92"/>
        <v>0</v>
      </c>
      <c r="K657">
        <f t="shared" si="93"/>
        <v>0</v>
      </c>
      <c r="L657">
        <f>IF(K657&gt;0, K657 * VLOOKUP(B657, CA_Feed!B:N, 13, FALSE), 0)</f>
        <v>0</v>
      </c>
      <c r="M657">
        <f t="shared" si="88"/>
        <v>5715</v>
      </c>
      <c r="N657" s="2">
        <f t="shared" si="94"/>
        <v>0</v>
      </c>
      <c r="O657" t="str">
        <f>IF(COUNTIFS(CA_Feed!B:B, B657)=0, "No Action Announced", IF(COUNTIFS(CA_Feed!B:B, B657, CA_Feed!D:D, "&gt;="&amp;C657)&gt;0, "Processed (Eligible)", "Ineligible (Post Ex-Date)"))</f>
        <v>Processed (Eligible)</v>
      </c>
    </row>
    <row r="658" spans="1:15" x14ac:dyDescent="0.3">
      <c r="A658" t="s">
        <v>734</v>
      </c>
      <c r="B658" t="s">
        <v>53</v>
      </c>
      <c r="C658" s="5">
        <v>45208</v>
      </c>
      <c r="D658" s="2">
        <v>3800</v>
      </c>
      <c r="E658">
        <f>SUMIFS(CA_Feed!F:F, CA_Feed!B:B, B658, CA_Feed!E:E, "*DIVIDEND*", CA_Feed!D:D, "&gt;="&amp;C658)</f>
        <v>7.0000000000000007E-2</v>
      </c>
      <c r="F658">
        <f t="shared" si="89"/>
        <v>266</v>
      </c>
      <c r="G658">
        <f t="shared" si="90"/>
        <v>26.6</v>
      </c>
      <c r="H658">
        <f t="shared" si="91"/>
        <v>239.4</v>
      </c>
      <c r="I658">
        <f>D658 * SUMIFS(CA_Feed!G:G, CA_Feed!B:B, B658, CA_Feed!E:E, "*BONUS*", CA_Feed!D:D, "&gt;="&amp;C658)</f>
        <v>0</v>
      </c>
      <c r="J658">
        <f t="shared" si="92"/>
        <v>0</v>
      </c>
      <c r="K658">
        <f t="shared" si="93"/>
        <v>0</v>
      </c>
      <c r="L658">
        <f>IF(K658&gt;0, K658 * VLOOKUP(B658, CA_Feed!B:N, 13, FALSE), 0)</f>
        <v>0</v>
      </c>
      <c r="M658">
        <f t="shared" si="88"/>
        <v>239.4</v>
      </c>
      <c r="N658" s="2">
        <f t="shared" si="94"/>
        <v>0</v>
      </c>
      <c r="O658" t="str">
        <f>IF(COUNTIFS(CA_Feed!B:B, B658)=0, "No Action Announced", IF(COUNTIFS(CA_Feed!B:B, B658, CA_Feed!D:D, "&gt;="&amp;C658)&gt;0, "Processed (Eligible)", "Ineligible (Post Ex-Date)"))</f>
        <v>Processed (Eligible)</v>
      </c>
    </row>
    <row r="659" spans="1:15" x14ac:dyDescent="0.3">
      <c r="A659" t="s">
        <v>735</v>
      </c>
      <c r="B659" t="s">
        <v>29</v>
      </c>
      <c r="C659" s="5">
        <v>43775</v>
      </c>
      <c r="D659" s="2">
        <v>3000</v>
      </c>
      <c r="E659">
        <f>SUMIFS(CA_Feed!F:F, CA_Feed!B:B, B659, CA_Feed!E:E, "*DIVIDEND*", CA_Feed!D:D, "&gt;="&amp;C659)</f>
        <v>3</v>
      </c>
      <c r="F659">
        <f t="shared" si="89"/>
        <v>9000</v>
      </c>
      <c r="G659">
        <f t="shared" si="90"/>
        <v>900</v>
      </c>
      <c r="H659">
        <f t="shared" si="91"/>
        <v>8100</v>
      </c>
      <c r="I659">
        <f>D659 * SUMIFS(CA_Feed!G:G, CA_Feed!B:B, B659, CA_Feed!E:E, "*BONUS*", CA_Feed!D:D, "&gt;="&amp;C659)</f>
        <v>0</v>
      </c>
      <c r="J659">
        <f t="shared" si="92"/>
        <v>0</v>
      </c>
      <c r="K659">
        <f t="shared" si="93"/>
        <v>0</v>
      </c>
      <c r="L659">
        <f>IF(K659&gt;0, K659 * VLOOKUP(B659, CA_Feed!B:N, 13, FALSE), 0)</f>
        <v>0</v>
      </c>
      <c r="M659">
        <f t="shared" si="88"/>
        <v>8100</v>
      </c>
      <c r="N659" s="2">
        <f t="shared" si="94"/>
        <v>0</v>
      </c>
      <c r="O659" t="str">
        <f>IF(COUNTIFS(CA_Feed!B:B, B659)=0, "No Action Announced", IF(COUNTIFS(CA_Feed!B:B, B659, CA_Feed!D:D, "&gt;="&amp;C659)&gt;0, "Processed (Eligible)", "Ineligible (Post Ex-Date)"))</f>
        <v>Processed (Eligible)</v>
      </c>
    </row>
    <row r="660" spans="1:15" x14ac:dyDescent="0.3">
      <c r="A660" t="s">
        <v>222</v>
      </c>
      <c r="B660" t="s">
        <v>12</v>
      </c>
      <c r="C660" s="5">
        <v>42231</v>
      </c>
      <c r="D660" s="2">
        <v>70</v>
      </c>
      <c r="E660">
        <f>SUMIFS(CA_Feed!F:F, CA_Feed!B:B, B660, CA_Feed!E:E, "*DIVIDEND*", CA_Feed!D:D, "&gt;="&amp;C660)</f>
        <v>19</v>
      </c>
      <c r="F660">
        <f t="shared" si="89"/>
        <v>1330</v>
      </c>
      <c r="G660">
        <f t="shared" si="90"/>
        <v>133</v>
      </c>
      <c r="H660">
        <f t="shared" si="91"/>
        <v>1197</v>
      </c>
      <c r="I660">
        <f>D660 * SUMIFS(CA_Feed!G:G, CA_Feed!B:B, B660, CA_Feed!E:E, "*BONUS*", CA_Feed!D:D, "&gt;="&amp;C660)</f>
        <v>0</v>
      </c>
      <c r="J660">
        <f t="shared" si="92"/>
        <v>0</v>
      </c>
      <c r="K660">
        <f t="shared" si="93"/>
        <v>0</v>
      </c>
      <c r="L660">
        <f>IF(K660&gt;0, K660 * VLOOKUP(B660, CA_Feed!B:N, 13, FALSE), 0)</f>
        <v>0</v>
      </c>
      <c r="M660">
        <f t="shared" si="88"/>
        <v>1197</v>
      </c>
      <c r="N660" s="2">
        <f t="shared" si="94"/>
        <v>0</v>
      </c>
      <c r="O660" t="str">
        <f>IF(COUNTIFS(CA_Feed!B:B, B660)=0, "No Action Announced", IF(COUNTIFS(CA_Feed!B:B, B660, CA_Feed!D:D, "&gt;="&amp;C660)&gt;0, "Processed (Eligible)", "Ineligible (Post Ex-Date)"))</f>
        <v>Processed (Eligible)</v>
      </c>
    </row>
    <row r="661" spans="1:15" x14ac:dyDescent="0.3">
      <c r="A661" t="s">
        <v>737</v>
      </c>
      <c r="B661" t="s">
        <v>37</v>
      </c>
      <c r="C661" s="5">
        <v>42874</v>
      </c>
      <c r="D661" s="2">
        <v>2800</v>
      </c>
      <c r="E661">
        <f>SUMIFS(CA_Feed!F:F, CA_Feed!B:B, B661, CA_Feed!E:E, "*DIVIDEND*", CA_Feed!D:D, "&gt;="&amp;C661)</f>
        <v>6.5</v>
      </c>
      <c r="F661">
        <f t="shared" si="89"/>
        <v>18200</v>
      </c>
      <c r="G661">
        <f t="shared" si="90"/>
        <v>1820</v>
      </c>
      <c r="H661">
        <f t="shared" si="91"/>
        <v>16380</v>
      </c>
      <c r="I661">
        <f>D661 * SUMIFS(CA_Feed!G:G, CA_Feed!B:B, B661, CA_Feed!E:E, "*BONUS*", CA_Feed!D:D, "&gt;="&amp;C661)</f>
        <v>0</v>
      </c>
      <c r="J661">
        <f t="shared" si="92"/>
        <v>0</v>
      </c>
      <c r="K661">
        <f t="shared" si="93"/>
        <v>0</v>
      </c>
      <c r="L661">
        <f>IF(K661&gt;0, K661 * VLOOKUP(B661, CA_Feed!B:N, 13, FALSE), 0)</f>
        <v>0</v>
      </c>
      <c r="M661">
        <f t="shared" si="88"/>
        <v>16380</v>
      </c>
      <c r="N661" s="2">
        <f t="shared" si="94"/>
        <v>0</v>
      </c>
      <c r="O661" t="str">
        <f>IF(COUNTIFS(CA_Feed!B:B, B661)=0, "No Action Announced", IF(COUNTIFS(CA_Feed!B:B, B661, CA_Feed!D:D, "&gt;="&amp;C661)&gt;0, "Processed (Eligible)", "Ineligible (Post Ex-Date)"))</f>
        <v>Processed (Eligible)</v>
      </c>
    </row>
    <row r="662" spans="1:15" x14ac:dyDescent="0.3">
      <c r="A662" t="s">
        <v>657</v>
      </c>
      <c r="B662" t="s">
        <v>12</v>
      </c>
      <c r="C662" s="5">
        <v>43694</v>
      </c>
      <c r="D662" s="2">
        <v>64</v>
      </c>
      <c r="E662">
        <f>SUMIFS(CA_Feed!F:F, CA_Feed!B:B, B662, CA_Feed!E:E, "*DIVIDEND*", CA_Feed!D:D, "&gt;="&amp;C662)</f>
        <v>19</v>
      </c>
      <c r="F662">
        <f t="shared" si="89"/>
        <v>1216</v>
      </c>
      <c r="G662">
        <f t="shared" si="90"/>
        <v>121.60000000000001</v>
      </c>
      <c r="H662">
        <f t="shared" si="91"/>
        <v>1094.4000000000001</v>
      </c>
      <c r="I662">
        <f>D662 * SUMIFS(CA_Feed!G:G, CA_Feed!B:B, B662, CA_Feed!E:E, "*BONUS*", CA_Feed!D:D, "&gt;="&amp;C662)</f>
        <v>0</v>
      </c>
      <c r="J662">
        <f t="shared" si="92"/>
        <v>0</v>
      </c>
      <c r="K662">
        <f t="shared" si="93"/>
        <v>0</v>
      </c>
      <c r="L662">
        <f>IF(K662&gt;0, K662 * VLOOKUP(B662, CA_Feed!B:N, 13, FALSE), 0)</f>
        <v>0</v>
      </c>
      <c r="M662">
        <f t="shared" si="88"/>
        <v>1094.4000000000001</v>
      </c>
      <c r="N662" s="2">
        <f t="shared" si="94"/>
        <v>0</v>
      </c>
      <c r="O662" t="str">
        <f>IF(COUNTIFS(CA_Feed!B:B, B662)=0, "No Action Announced", IF(COUNTIFS(CA_Feed!B:B, B662, CA_Feed!D:D, "&gt;="&amp;C662)&gt;0, "Processed (Eligible)", "Ineligible (Post Ex-Date)"))</f>
        <v>Processed (Eligible)</v>
      </c>
    </row>
    <row r="663" spans="1:15" x14ac:dyDescent="0.3">
      <c r="A663" t="s">
        <v>739</v>
      </c>
      <c r="B663" t="s">
        <v>45</v>
      </c>
      <c r="C663" s="5">
        <v>43470</v>
      </c>
      <c r="D663" s="2">
        <v>1650</v>
      </c>
      <c r="E663">
        <f>SUMIFS(CA_Feed!F:F, CA_Feed!B:B, B663, CA_Feed!E:E, "*DIVIDEND*", CA_Feed!D:D, "&gt;="&amp;C663)</f>
        <v>2.5</v>
      </c>
      <c r="F663">
        <f t="shared" si="89"/>
        <v>4125</v>
      </c>
      <c r="G663">
        <f t="shared" si="90"/>
        <v>412.5</v>
      </c>
      <c r="H663">
        <f t="shared" si="91"/>
        <v>3712.5</v>
      </c>
      <c r="I663">
        <f>D663 * SUMIFS(CA_Feed!G:G, CA_Feed!B:B, B663, CA_Feed!E:E, "*BONUS*", CA_Feed!D:D, "&gt;="&amp;C663)</f>
        <v>0</v>
      </c>
      <c r="J663">
        <f t="shared" si="92"/>
        <v>0</v>
      </c>
      <c r="K663">
        <f t="shared" si="93"/>
        <v>0</v>
      </c>
      <c r="L663">
        <f>IF(K663&gt;0, K663 * VLOOKUP(B663, CA_Feed!B:N, 13, FALSE), 0)</f>
        <v>0</v>
      </c>
      <c r="M663">
        <f t="shared" si="88"/>
        <v>3712.5</v>
      </c>
      <c r="N663" s="2">
        <f t="shared" si="94"/>
        <v>0</v>
      </c>
      <c r="O663" t="str">
        <f>IF(COUNTIFS(CA_Feed!B:B, B663)=0, "No Action Announced", IF(COUNTIFS(CA_Feed!B:B, B663, CA_Feed!D:D, "&gt;="&amp;C663)&gt;0, "Processed (Eligible)", "Ineligible (Post Ex-Date)"))</f>
        <v>Processed (Eligible)</v>
      </c>
    </row>
    <row r="664" spans="1:15" x14ac:dyDescent="0.3">
      <c r="A664" t="s">
        <v>740</v>
      </c>
      <c r="B664" t="s">
        <v>25</v>
      </c>
      <c r="C664" s="5">
        <v>43111</v>
      </c>
      <c r="D664" s="2">
        <v>8650</v>
      </c>
      <c r="E664">
        <f>SUMIFS(CA_Feed!F:F, CA_Feed!B:B, B664, CA_Feed!E:E, "*DIVIDEND*", CA_Feed!D:D, "&gt;="&amp;C664)</f>
        <v>2.5</v>
      </c>
      <c r="F664">
        <f t="shared" si="89"/>
        <v>21625</v>
      </c>
      <c r="G664">
        <f t="shared" si="90"/>
        <v>2162.5</v>
      </c>
      <c r="H664">
        <f t="shared" si="91"/>
        <v>19462.5</v>
      </c>
      <c r="I664">
        <f>D664 * SUMIFS(CA_Feed!G:G, CA_Feed!B:B, B664, CA_Feed!E:E, "*BONUS*", CA_Feed!D:D, "&gt;="&amp;C664)</f>
        <v>0</v>
      </c>
      <c r="J664">
        <f t="shared" si="92"/>
        <v>0</v>
      </c>
      <c r="K664">
        <f t="shared" si="93"/>
        <v>0</v>
      </c>
      <c r="L664">
        <f>IF(K664&gt;0, K664 * VLOOKUP(B664, CA_Feed!B:N, 13, FALSE), 0)</f>
        <v>0</v>
      </c>
      <c r="M664">
        <f t="shared" si="88"/>
        <v>19462.5</v>
      </c>
      <c r="N664" s="2">
        <f t="shared" si="94"/>
        <v>0</v>
      </c>
      <c r="O664" t="str">
        <f>IF(COUNTIFS(CA_Feed!B:B, B664)=0, "No Action Announced", IF(COUNTIFS(CA_Feed!B:B, B664, CA_Feed!D:D, "&gt;="&amp;C664)&gt;0, "Processed (Eligible)", "Ineligible (Post Ex-Date)"))</f>
        <v>Processed (Eligible)</v>
      </c>
    </row>
    <row r="665" spans="1:15" x14ac:dyDescent="0.3">
      <c r="A665" t="s">
        <v>741</v>
      </c>
      <c r="B665" t="s">
        <v>63</v>
      </c>
      <c r="C665" s="5">
        <v>42631</v>
      </c>
      <c r="D665" s="2">
        <v>3300</v>
      </c>
      <c r="E665">
        <f>SUMIFS(CA_Feed!F:F, CA_Feed!B:B, B665, CA_Feed!E:E, "*DIVIDEND*", CA_Feed!D:D, "&gt;="&amp;C665)</f>
        <v>0</v>
      </c>
      <c r="F665">
        <f t="shared" si="89"/>
        <v>0</v>
      </c>
      <c r="G665">
        <f t="shared" si="90"/>
        <v>0</v>
      </c>
      <c r="H665">
        <f t="shared" si="91"/>
        <v>0</v>
      </c>
      <c r="I665">
        <f>D665 * SUMIFS(CA_Feed!G:G, CA_Feed!B:B, B665, CA_Feed!E:E, "*BONUS*", CA_Feed!D:D, "&gt;="&amp;C665)</f>
        <v>550</v>
      </c>
      <c r="J665">
        <f t="shared" si="92"/>
        <v>550</v>
      </c>
      <c r="K665">
        <f t="shared" si="93"/>
        <v>0</v>
      </c>
      <c r="L665">
        <f>IF(K665&gt;0, K665 * VLOOKUP(B665, CA_Feed!B:N, 13, FALSE), 0)</f>
        <v>0</v>
      </c>
      <c r="M665">
        <f t="shared" si="88"/>
        <v>0</v>
      </c>
      <c r="N665" s="2">
        <f t="shared" si="94"/>
        <v>3850</v>
      </c>
      <c r="O665" t="str">
        <f>IF(COUNTIFS(CA_Feed!B:B, B665)=0, "No Action Announced", IF(COUNTIFS(CA_Feed!B:B, B665, CA_Feed!D:D, "&gt;="&amp;C665)&gt;0, "Processed (Eligible)", "Ineligible (Post Ex-Date)"))</f>
        <v>Processed (Eligible)</v>
      </c>
    </row>
    <row r="666" spans="1:15" x14ac:dyDescent="0.3">
      <c r="A666" t="s">
        <v>742</v>
      </c>
      <c r="B666" t="s">
        <v>19</v>
      </c>
      <c r="C666" s="5">
        <v>42786</v>
      </c>
      <c r="D666" s="2">
        <v>1150</v>
      </c>
      <c r="E666">
        <f>SUMIFS(CA_Feed!F:F, CA_Feed!B:B, B666, CA_Feed!E:E, "*DIVIDEND*", CA_Feed!D:D, "&gt;="&amp;C666)</f>
        <v>1.5</v>
      </c>
      <c r="F666">
        <f t="shared" si="89"/>
        <v>1725</v>
      </c>
      <c r="G666">
        <f t="shared" si="90"/>
        <v>172.5</v>
      </c>
      <c r="H666">
        <f t="shared" si="91"/>
        <v>1552.5</v>
      </c>
      <c r="I666">
        <f>D666 * SUMIFS(CA_Feed!G:G, CA_Feed!B:B, B666, CA_Feed!E:E, "*BONUS*", CA_Feed!D:D, "&gt;="&amp;C666)</f>
        <v>0</v>
      </c>
      <c r="J666">
        <f t="shared" si="92"/>
        <v>0</v>
      </c>
      <c r="K666">
        <f t="shared" si="93"/>
        <v>0</v>
      </c>
      <c r="L666">
        <f>IF(K666&gt;0, K666 * VLOOKUP(B666, CA_Feed!B:N, 13, FALSE), 0)</f>
        <v>0</v>
      </c>
      <c r="M666">
        <f t="shared" si="88"/>
        <v>1552.5</v>
      </c>
      <c r="N666" s="2">
        <f t="shared" si="94"/>
        <v>0</v>
      </c>
      <c r="O666" t="str">
        <f>IF(COUNTIFS(CA_Feed!B:B, B666)=0, "No Action Announced", IF(COUNTIFS(CA_Feed!B:B, B666, CA_Feed!D:D, "&gt;="&amp;C666)&gt;0, "Processed (Eligible)", "Ineligible (Post Ex-Date)"))</f>
        <v>Processed (Eligible)</v>
      </c>
    </row>
    <row r="667" spans="1:15" x14ac:dyDescent="0.3">
      <c r="A667" t="s">
        <v>743</v>
      </c>
      <c r="B667" t="s">
        <v>25</v>
      </c>
      <c r="C667" s="5">
        <v>42374</v>
      </c>
      <c r="D667" s="2">
        <v>6700</v>
      </c>
      <c r="E667">
        <f>SUMIFS(CA_Feed!F:F, CA_Feed!B:B, B667, CA_Feed!E:E, "*DIVIDEND*", CA_Feed!D:D, "&gt;="&amp;C667)</f>
        <v>2.5</v>
      </c>
      <c r="F667">
        <f t="shared" si="89"/>
        <v>16750</v>
      </c>
      <c r="G667">
        <f t="shared" si="90"/>
        <v>1675</v>
      </c>
      <c r="H667">
        <f t="shared" si="91"/>
        <v>15075</v>
      </c>
      <c r="I667">
        <f>D667 * SUMIFS(CA_Feed!G:G, CA_Feed!B:B, B667, CA_Feed!E:E, "*BONUS*", CA_Feed!D:D, "&gt;="&amp;C667)</f>
        <v>0</v>
      </c>
      <c r="J667">
        <f t="shared" si="92"/>
        <v>0</v>
      </c>
      <c r="K667">
        <f t="shared" si="93"/>
        <v>0</v>
      </c>
      <c r="L667">
        <f>IF(K667&gt;0, K667 * VLOOKUP(B667, CA_Feed!B:N, 13, FALSE), 0)</f>
        <v>0</v>
      </c>
      <c r="M667">
        <f t="shared" si="88"/>
        <v>15075</v>
      </c>
      <c r="N667" s="2">
        <f t="shared" si="94"/>
        <v>0</v>
      </c>
      <c r="O667" t="str">
        <f>IF(COUNTIFS(CA_Feed!B:B, B667)=0, "No Action Announced", IF(COUNTIFS(CA_Feed!B:B, B667, CA_Feed!D:D, "&gt;="&amp;C667)&gt;0, "Processed (Eligible)", "Ineligible (Post Ex-Date)"))</f>
        <v>Processed (Eligible)</v>
      </c>
    </row>
    <row r="668" spans="1:15" x14ac:dyDescent="0.3">
      <c r="A668" t="s">
        <v>744</v>
      </c>
      <c r="B668" t="s">
        <v>19</v>
      </c>
      <c r="C668" s="5">
        <v>42942</v>
      </c>
      <c r="D668" s="2">
        <v>4750</v>
      </c>
      <c r="E668">
        <f>SUMIFS(CA_Feed!F:F, CA_Feed!B:B, B668, CA_Feed!E:E, "*DIVIDEND*", CA_Feed!D:D, "&gt;="&amp;C668)</f>
        <v>1.5</v>
      </c>
      <c r="F668">
        <f t="shared" si="89"/>
        <v>7125</v>
      </c>
      <c r="G668">
        <f t="shared" si="90"/>
        <v>712.5</v>
      </c>
      <c r="H668">
        <f t="shared" si="91"/>
        <v>6412.5</v>
      </c>
      <c r="I668">
        <f>D668 * SUMIFS(CA_Feed!G:G, CA_Feed!B:B, B668, CA_Feed!E:E, "*BONUS*", CA_Feed!D:D, "&gt;="&amp;C668)</f>
        <v>0</v>
      </c>
      <c r="J668">
        <f t="shared" si="92"/>
        <v>0</v>
      </c>
      <c r="K668">
        <f t="shared" si="93"/>
        <v>0</v>
      </c>
      <c r="L668">
        <f>IF(K668&gt;0, K668 * VLOOKUP(B668, CA_Feed!B:N, 13, FALSE), 0)</f>
        <v>0</v>
      </c>
      <c r="M668">
        <f t="shared" si="88"/>
        <v>6412.5</v>
      </c>
      <c r="N668" s="2">
        <f t="shared" si="94"/>
        <v>0</v>
      </c>
      <c r="O668" t="str">
        <f>IF(COUNTIFS(CA_Feed!B:B, B668)=0, "No Action Announced", IF(COUNTIFS(CA_Feed!B:B, B668, CA_Feed!D:D, "&gt;="&amp;C668)&gt;0, "Processed (Eligible)", "Ineligible (Post Ex-Date)"))</f>
        <v>Processed (Eligible)</v>
      </c>
    </row>
    <row r="669" spans="1:15" x14ac:dyDescent="0.3">
      <c r="A669" t="s">
        <v>773</v>
      </c>
      <c r="B669" t="s">
        <v>12</v>
      </c>
      <c r="C669" s="5">
        <v>43517</v>
      </c>
      <c r="D669" s="2">
        <v>61</v>
      </c>
      <c r="E669">
        <f>SUMIFS(CA_Feed!F:F, CA_Feed!B:B, B669, CA_Feed!E:E, "*DIVIDEND*", CA_Feed!D:D, "&gt;="&amp;C669)</f>
        <v>19</v>
      </c>
      <c r="F669">
        <f t="shared" si="89"/>
        <v>1159</v>
      </c>
      <c r="G669">
        <f t="shared" si="90"/>
        <v>115.9</v>
      </c>
      <c r="H669">
        <f t="shared" si="91"/>
        <v>1043.0999999999999</v>
      </c>
      <c r="I669">
        <f>D669 * SUMIFS(CA_Feed!G:G, CA_Feed!B:B, B669, CA_Feed!E:E, "*BONUS*", CA_Feed!D:D, "&gt;="&amp;C669)</f>
        <v>0</v>
      </c>
      <c r="J669">
        <f t="shared" si="92"/>
        <v>0</v>
      </c>
      <c r="K669">
        <f t="shared" si="93"/>
        <v>0</v>
      </c>
      <c r="L669">
        <f>IF(K669&gt;0, K669 * VLOOKUP(B669, CA_Feed!B:N, 13, FALSE), 0)</f>
        <v>0</v>
      </c>
      <c r="M669">
        <f t="shared" si="88"/>
        <v>1043.0999999999999</v>
      </c>
      <c r="N669" s="2">
        <f t="shared" si="94"/>
        <v>0</v>
      </c>
      <c r="O669" t="str">
        <f>IF(COUNTIFS(CA_Feed!B:B, B669)=0, "No Action Announced", IF(COUNTIFS(CA_Feed!B:B, B669, CA_Feed!D:D, "&gt;="&amp;C669)&gt;0, "Processed (Eligible)", "Ineligible (Post Ex-Date)"))</f>
        <v>Processed (Eligible)</v>
      </c>
    </row>
    <row r="670" spans="1:15" x14ac:dyDescent="0.3">
      <c r="A670" t="s">
        <v>746</v>
      </c>
      <c r="B670" t="s">
        <v>23</v>
      </c>
      <c r="C670" s="5">
        <v>43309</v>
      </c>
      <c r="D670" s="2">
        <v>10000</v>
      </c>
      <c r="E670">
        <f>SUMIFS(CA_Feed!F:F, CA_Feed!B:B, B670, CA_Feed!E:E, "*DIVIDEND*", CA_Feed!D:D, "&gt;="&amp;C670)</f>
        <v>1.5000000000000002</v>
      </c>
      <c r="F670">
        <f t="shared" si="89"/>
        <v>15000.000000000002</v>
      </c>
      <c r="G670">
        <f t="shared" si="90"/>
        <v>1500.0000000000002</v>
      </c>
      <c r="H670">
        <f t="shared" si="91"/>
        <v>13500.000000000002</v>
      </c>
      <c r="I670">
        <f>D670 * SUMIFS(CA_Feed!G:G, CA_Feed!B:B, B670, CA_Feed!E:E, "*BONUS*", CA_Feed!D:D, "&gt;="&amp;C670)</f>
        <v>0</v>
      </c>
      <c r="J670">
        <f t="shared" si="92"/>
        <v>0</v>
      </c>
      <c r="K670">
        <f t="shared" si="93"/>
        <v>0</v>
      </c>
      <c r="L670">
        <f>IF(K670&gt;0, K670 * VLOOKUP(B670, CA_Feed!B:N, 13, FALSE), 0)</f>
        <v>0</v>
      </c>
      <c r="M670">
        <f t="shared" si="88"/>
        <v>13500.000000000002</v>
      </c>
      <c r="N670" s="2">
        <f t="shared" si="94"/>
        <v>0</v>
      </c>
      <c r="O670" t="str">
        <f>IF(COUNTIFS(CA_Feed!B:B, B670)=0, "No Action Announced", IF(COUNTIFS(CA_Feed!B:B, B670, CA_Feed!D:D, "&gt;="&amp;C670)&gt;0, "Processed (Eligible)", "Ineligible (Post Ex-Date)"))</f>
        <v>Processed (Eligible)</v>
      </c>
    </row>
    <row r="671" spans="1:15" x14ac:dyDescent="0.3">
      <c r="A671" t="s">
        <v>747</v>
      </c>
      <c r="B671" t="s">
        <v>27</v>
      </c>
      <c r="C671" s="5">
        <v>42700</v>
      </c>
      <c r="D671" s="2">
        <v>7700</v>
      </c>
      <c r="E671">
        <f>SUMIFS(CA_Feed!F:F, CA_Feed!B:B, B671, CA_Feed!E:E, "*DIVIDEND*", CA_Feed!D:D, "&gt;="&amp;C671)</f>
        <v>3.25</v>
      </c>
      <c r="F671">
        <f t="shared" si="89"/>
        <v>25025</v>
      </c>
      <c r="G671">
        <f t="shared" si="90"/>
        <v>2502.5</v>
      </c>
      <c r="H671">
        <f t="shared" si="91"/>
        <v>22522.5</v>
      </c>
      <c r="I671">
        <f>D671 * SUMIFS(CA_Feed!G:G, CA_Feed!B:B, B671, CA_Feed!E:E, "*BONUS*", CA_Feed!D:D, "&gt;="&amp;C671)</f>
        <v>0</v>
      </c>
      <c r="J671">
        <f t="shared" si="92"/>
        <v>0</v>
      </c>
      <c r="K671">
        <f t="shared" si="93"/>
        <v>0</v>
      </c>
      <c r="L671">
        <f>IF(K671&gt;0, K671 * VLOOKUP(B671, CA_Feed!B:N, 13, FALSE), 0)</f>
        <v>0</v>
      </c>
      <c r="M671">
        <f t="shared" si="88"/>
        <v>22522.5</v>
      </c>
      <c r="N671" s="2">
        <f t="shared" si="94"/>
        <v>0</v>
      </c>
      <c r="O671" t="str">
        <f>IF(COUNTIFS(CA_Feed!B:B, B671)=0, "No Action Announced", IF(COUNTIFS(CA_Feed!B:B, B671, CA_Feed!D:D, "&gt;="&amp;C671)&gt;0, "Processed (Eligible)", "Ineligible (Post Ex-Date)"))</f>
        <v>Processed (Eligible)</v>
      </c>
    </row>
    <row r="672" spans="1:15" x14ac:dyDescent="0.3">
      <c r="A672" t="s">
        <v>450</v>
      </c>
      <c r="B672" t="s">
        <v>12</v>
      </c>
      <c r="C672" s="5">
        <v>44368</v>
      </c>
      <c r="D672" s="2">
        <v>60</v>
      </c>
      <c r="E672">
        <f>SUMIFS(CA_Feed!F:F, CA_Feed!B:B, B672, CA_Feed!E:E, "*DIVIDEND*", CA_Feed!D:D, "&gt;="&amp;C672)</f>
        <v>19</v>
      </c>
      <c r="F672">
        <f t="shared" si="89"/>
        <v>1140</v>
      </c>
      <c r="G672">
        <f t="shared" si="90"/>
        <v>114</v>
      </c>
      <c r="H672">
        <f t="shared" si="91"/>
        <v>1026</v>
      </c>
      <c r="I672">
        <f>D672 * SUMIFS(CA_Feed!G:G, CA_Feed!B:B, B672, CA_Feed!E:E, "*BONUS*", CA_Feed!D:D, "&gt;="&amp;C672)</f>
        <v>0</v>
      </c>
      <c r="J672">
        <f t="shared" si="92"/>
        <v>0</v>
      </c>
      <c r="K672">
        <f t="shared" si="93"/>
        <v>0</v>
      </c>
      <c r="L672">
        <f>IF(K672&gt;0, K672 * VLOOKUP(B672, CA_Feed!B:N, 13, FALSE), 0)</f>
        <v>0</v>
      </c>
      <c r="M672">
        <f t="shared" si="88"/>
        <v>1026</v>
      </c>
      <c r="N672" s="2">
        <f t="shared" si="94"/>
        <v>0</v>
      </c>
      <c r="O672" t="str">
        <f>IF(COUNTIFS(CA_Feed!B:B, B672)=0, "No Action Announced", IF(COUNTIFS(CA_Feed!B:B, B672, CA_Feed!D:D, "&gt;="&amp;C672)&gt;0, "Processed (Eligible)", "Ineligible (Post Ex-Date)"))</f>
        <v>Processed (Eligible)</v>
      </c>
    </row>
    <row r="673" spans="1:15" x14ac:dyDescent="0.3">
      <c r="A673" t="s">
        <v>749</v>
      </c>
      <c r="B673" t="s">
        <v>16</v>
      </c>
      <c r="C673" s="5">
        <v>42601</v>
      </c>
      <c r="D673" s="2">
        <v>5950</v>
      </c>
      <c r="E673">
        <f>SUMIFS(CA_Feed!F:F, CA_Feed!B:B, B673, CA_Feed!E:E, "*DIVIDEND*", CA_Feed!D:D, "&gt;="&amp;C673)</f>
        <v>3.75</v>
      </c>
      <c r="F673">
        <f t="shared" si="89"/>
        <v>22312.5</v>
      </c>
      <c r="G673">
        <f t="shared" si="90"/>
        <v>2231.25</v>
      </c>
      <c r="H673">
        <f t="shared" si="91"/>
        <v>20081.25</v>
      </c>
      <c r="I673">
        <f>D673 * SUMIFS(CA_Feed!G:G, CA_Feed!B:B, B673, CA_Feed!E:E, "*BONUS*", CA_Feed!D:D, "&gt;="&amp;C673)</f>
        <v>0</v>
      </c>
      <c r="J673">
        <f t="shared" si="92"/>
        <v>0</v>
      </c>
      <c r="K673">
        <f t="shared" si="93"/>
        <v>0</v>
      </c>
      <c r="L673">
        <f>IF(K673&gt;0, K673 * VLOOKUP(B673, CA_Feed!B:N, 13, FALSE), 0)</f>
        <v>0</v>
      </c>
      <c r="M673">
        <f t="shared" si="88"/>
        <v>20081.25</v>
      </c>
      <c r="N673" s="2">
        <f t="shared" si="94"/>
        <v>0</v>
      </c>
      <c r="O673" t="str">
        <f>IF(COUNTIFS(CA_Feed!B:B, B673)=0, "No Action Announced", IF(COUNTIFS(CA_Feed!B:B, B673, CA_Feed!D:D, "&gt;="&amp;C673)&gt;0, "Processed (Eligible)", "Ineligible (Post Ex-Date)"))</f>
        <v>Processed (Eligible)</v>
      </c>
    </row>
    <row r="674" spans="1:15" x14ac:dyDescent="0.3">
      <c r="A674" t="s">
        <v>750</v>
      </c>
      <c r="B674" t="s">
        <v>31</v>
      </c>
      <c r="C674" s="5">
        <v>45599</v>
      </c>
      <c r="D674" s="2">
        <v>6350</v>
      </c>
      <c r="E674">
        <f>SUMIFS(CA_Feed!F:F, CA_Feed!B:B, B674, CA_Feed!E:E, "*DIVIDEND*", CA_Feed!D:D, "&gt;="&amp;C674)</f>
        <v>2</v>
      </c>
      <c r="F674">
        <f t="shared" si="89"/>
        <v>12700</v>
      </c>
      <c r="G674">
        <f t="shared" si="90"/>
        <v>1270</v>
      </c>
      <c r="H674">
        <f t="shared" si="91"/>
        <v>11430</v>
      </c>
      <c r="I674">
        <f>D674 * SUMIFS(CA_Feed!G:G, CA_Feed!B:B, B674, CA_Feed!E:E, "*BONUS*", CA_Feed!D:D, "&gt;="&amp;C674)</f>
        <v>0</v>
      </c>
      <c r="J674">
        <f t="shared" si="92"/>
        <v>0</v>
      </c>
      <c r="K674">
        <f t="shared" si="93"/>
        <v>0</v>
      </c>
      <c r="L674">
        <f>IF(K674&gt;0, K674 * VLOOKUP(B674, CA_Feed!B:N, 13, FALSE), 0)</f>
        <v>0</v>
      </c>
      <c r="M674">
        <f t="shared" si="88"/>
        <v>11430</v>
      </c>
      <c r="N674" s="2">
        <f t="shared" si="94"/>
        <v>0</v>
      </c>
      <c r="O674" t="str">
        <f>IF(COUNTIFS(CA_Feed!B:B, B674)=0, "No Action Announced", IF(COUNTIFS(CA_Feed!B:B, B674, CA_Feed!D:D, "&gt;="&amp;C674)&gt;0, "Processed (Eligible)", "Ineligible (Post Ex-Date)"))</f>
        <v>Processed (Eligible)</v>
      </c>
    </row>
    <row r="675" spans="1:15" x14ac:dyDescent="0.3">
      <c r="A675" t="s">
        <v>751</v>
      </c>
      <c r="B675" t="s">
        <v>19</v>
      </c>
      <c r="C675" s="5">
        <v>43962</v>
      </c>
      <c r="D675" s="2">
        <v>850</v>
      </c>
      <c r="E675">
        <f>SUMIFS(CA_Feed!F:F, CA_Feed!B:B, B675, CA_Feed!E:E, "*DIVIDEND*", CA_Feed!D:D, "&gt;="&amp;C675)</f>
        <v>1.5</v>
      </c>
      <c r="F675">
        <f t="shared" si="89"/>
        <v>1275</v>
      </c>
      <c r="G675">
        <f t="shared" si="90"/>
        <v>127.5</v>
      </c>
      <c r="H675">
        <f t="shared" si="91"/>
        <v>1147.5</v>
      </c>
      <c r="I675">
        <f>D675 * SUMIFS(CA_Feed!G:G, CA_Feed!B:B, B675, CA_Feed!E:E, "*BONUS*", CA_Feed!D:D, "&gt;="&amp;C675)</f>
        <v>0</v>
      </c>
      <c r="J675">
        <f t="shared" si="92"/>
        <v>0</v>
      </c>
      <c r="K675">
        <f t="shared" si="93"/>
        <v>0</v>
      </c>
      <c r="L675">
        <f>IF(K675&gt;0, K675 * VLOOKUP(B675, CA_Feed!B:N, 13, FALSE), 0)</f>
        <v>0</v>
      </c>
      <c r="M675">
        <f t="shared" si="88"/>
        <v>1147.5</v>
      </c>
      <c r="N675" s="2">
        <f t="shared" si="94"/>
        <v>0</v>
      </c>
      <c r="O675" t="str">
        <f>IF(COUNTIFS(CA_Feed!B:B, B675)=0, "No Action Announced", IF(COUNTIFS(CA_Feed!B:B, B675, CA_Feed!D:D, "&gt;="&amp;C675)&gt;0, "Processed (Eligible)", "Ineligible (Post Ex-Date)"))</f>
        <v>Processed (Eligible)</v>
      </c>
    </row>
    <row r="676" spans="1:15" x14ac:dyDescent="0.3">
      <c r="A676" t="s">
        <v>752</v>
      </c>
      <c r="B676" t="s">
        <v>21</v>
      </c>
      <c r="C676" s="5">
        <v>45197</v>
      </c>
      <c r="D676" s="2">
        <v>500</v>
      </c>
      <c r="E676">
        <f>SUMIFS(CA_Feed!F:F, CA_Feed!B:B, B676, CA_Feed!E:E, "*DIVIDEND*", CA_Feed!D:D, "&gt;="&amp;C676)</f>
        <v>1</v>
      </c>
      <c r="F676">
        <f t="shared" si="89"/>
        <v>500</v>
      </c>
      <c r="G676">
        <f t="shared" si="90"/>
        <v>50</v>
      </c>
      <c r="H676">
        <f t="shared" si="91"/>
        <v>450</v>
      </c>
      <c r="I676">
        <f>D676 * SUMIFS(CA_Feed!G:G, CA_Feed!B:B, B676, CA_Feed!E:E, "*BONUS*", CA_Feed!D:D, "&gt;="&amp;C676)</f>
        <v>0</v>
      </c>
      <c r="J676">
        <f t="shared" si="92"/>
        <v>0</v>
      </c>
      <c r="K676">
        <f t="shared" si="93"/>
        <v>0</v>
      </c>
      <c r="L676">
        <f>IF(K676&gt;0, K676 * VLOOKUP(B676, CA_Feed!B:N, 13, FALSE), 0)</f>
        <v>0</v>
      </c>
      <c r="M676">
        <f t="shared" si="88"/>
        <v>450</v>
      </c>
      <c r="N676" s="2">
        <f t="shared" si="94"/>
        <v>0</v>
      </c>
      <c r="O676" t="str">
        <f>IF(COUNTIFS(CA_Feed!B:B, B676)=0, "No Action Announced", IF(COUNTIFS(CA_Feed!B:B, B676, CA_Feed!D:D, "&gt;="&amp;C676)&gt;0, "Processed (Eligible)", "Ineligible (Post Ex-Date)"))</f>
        <v>Processed (Eligible)</v>
      </c>
    </row>
    <row r="677" spans="1:15" x14ac:dyDescent="0.3">
      <c r="A677" t="s">
        <v>418</v>
      </c>
      <c r="B677" t="s">
        <v>12</v>
      </c>
      <c r="C677" s="5">
        <v>42866</v>
      </c>
      <c r="D677" s="2">
        <v>57</v>
      </c>
      <c r="E677">
        <f>SUMIFS(CA_Feed!F:F, CA_Feed!B:B, B677, CA_Feed!E:E, "*DIVIDEND*", CA_Feed!D:D, "&gt;="&amp;C677)</f>
        <v>19</v>
      </c>
      <c r="F677">
        <f t="shared" si="89"/>
        <v>1083</v>
      </c>
      <c r="G677">
        <f t="shared" si="90"/>
        <v>108.30000000000001</v>
      </c>
      <c r="H677">
        <f t="shared" si="91"/>
        <v>974.7</v>
      </c>
      <c r="I677">
        <f>D677 * SUMIFS(CA_Feed!G:G, CA_Feed!B:B, B677, CA_Feed!E:E, "*BONUS*", CA_Feed!D:D, "&gt;="&amp;C677)</f>
        <v>0</v>
      </c>
      <c r="J677">
        <f t="shared" si="92"/>
        <v>0</v>
      </c>
      <c r="K677">
        <f t="shared" si="93"/>
        <v>0</v>
      </c>
      <c r="L677">
        <f>IF(K677&gt;0, K677 * VLOOKUP(B677, CA_Feed!B:N, 13, FALSE), 0)</f>
        <v>0</v>
      </c>
      <c r="M677">
        <f t="shared" si="88"/>
        <v>974.7</v>
      </c>
      <c r="N677" s="2">
        <f t="shared" si="94"/>
        <v>0</v>
      </c>
      <c r="O677" t="str">
        <f>IF(COUNTIFS(CA_Feed!B:B, B677)=0, "No Action Announced", IF(COUNTIFS(CA_Feed!B:B, B677, CA_Feed!D:D, "&gt;="&amp;C677)&gt;0, "Processed (Eligible)", "Ineligible (Post Ex-Date)"))</f>
        <v>Processed (Eligible)</v>
      </c>
    </row>
    <row r="678" spans="1:15" x14ac:dyDescent="0.3">
      <c r="A678" t="s">
        <v>754</v>
      </c>
      <c r="B678" t="s">
        <v>45</v>
      </c>
      <c r="C678" s="5">
        <v>42919</v>
      </c>
      <c r="D678" s="2">
        <v>7800</v>
      </c>
      <c r="E678">
        <f>SUMIFS(CA_Feed!F:F, CA_Feed!B:B, B678, CA_Feed!E:E, "*DIVIDEND*", CA_Feed!D:D, "&gt;="&amp;C678)</f>
        <v>2.5</v>
      </c>
      <c r="F678">
        <f t="shared" si="89"/>
        <v>19500</v>
      </c>
      <c r="G678">
        <f t="shared" si="90"/>
        <v>1950</v>
      </c>
      <c r="H678">
        <f t="shared" si="91"/>
        <v>17550</v>
      </c>
      <c r="I678">
        <f>D678 * SUMIFS(CA_Feed!G:G, CA_Feed!B:B, B678, CA_Feed!E:E, "*BONUS*", CA_Feed!D:D, "&gt;="&amp;C678)</f>
        <v>0</v>
      </c>
      <c r="J678">
        <f t="shared" si="92"/>
        <v>0</v>
      </c>
      <c r="K678">
        <f t="shared" si="93"/>
        <v>0</v>
      </c>
      <c r="L678">
        <f>IF(K678&gt;0, K678 * VLOOKUP(B678, CA_Feed!B:N, 13, FALSE), 0)</f>
        <v>0</v>
      </c>
      <c r="M678">
        <f t="shared" si="88"/>
        <v>17550</v>
      </c>
      <c r="N678" s="2">
        <f t="shared" si="94"/>
        <v>0</v>
      </c>
      <c r="O678" t="str">
        <f>IF(COUNTIFS(CA_Feed!B:B, B678)=0, "No Action Announced", IF(COUNTIFS(CA_Feed!B:B, B678, CA_Feed!D:D, "&gt;="&amp;C678)&gt;0, "Processed (Eligible)", "Ineligible (Post Ex-Date)"))</f>
        <v>Processed (Eligible)</v>
      </c>
    </row>
    <row r="679" spans="1:15" x14ac:dyDescent="0.3">
      <c r="A679" t="s">
        <v>755</v>
      </c>
      <c r="B679" t="s">
        <v>16</v>
      </c>
      <c r="C679" s="5">
        <v>45224</v>
      </c>
      <c r="D679" s="2">
        <v>750</v>
      </c>
      <c r="E679">
        <f>SUMIFS(CA_Feed!F:F, CA_Feed!B:B, B679, CA_Feed!E:E, "*DIVIDEND*", CA_Feed!D:D, "&gt;="&amp;C679)</f>
        <v>3.75</v>
      </c>
      <c r="F679">
        <f t="shared" si="89"/>
        <v>2812.5</v>
      </c>
      <c r="G679">
        <f t="shared" si="90"/>
        <v>281.25</v>
      </c>
      <c r="H679">
        <f t="shared" si="91"/>
        <v>2531.25</v>
      </c>
      <c r="I679">
        <f>D679 * SUMIFS(CA_Feed!G:G, CA_Feed!B:B, B679, CA_Feed!E:E, "*BONUS*", CA_Feed!D:D, "&gt;="&amp;C679)</f>
        <v>0</v>
      </c>
      <c r="J679">
        <f t="shared" si="92"/>
        <v>0</v>
      </c>
      <c r="K679">
        <f t="shared" si="93"/>
        <v>0</v>
      </c>
      <c r="L679">
        <f>IF(K679&gt;0, K679 * VLOOKUP(B679, CA_Feed!B:N, 13, FALSE), 0)</f>
        <v>0</v>
      </c>
      <c r="M679">
        <f t="shared" si="88"/>
        <v>2531.25</v>
      </c>
      <c r="N679" s="2">
        <f t="shared" si="94"/>
        <v>0</v>
      </c>
      <c r="O679" t="str">
        <f>IF(COUNTIFS(CA_Feed!B:B, B679)=0, "No Action Announced", IF(COUNTIFS(CA_Feed!B:B, B679, CA_Feed!D:D, "&gt;="&amp;C679)&gt;0, "Processed (Eligible)", "Ineligible (Post Ex-Date)"))</f>
        <v>Processed (Eligible)</v>
      </c>
    </row>
    <row r="680" spans="1:15" x14ac:dyDescent="0.3">
      <c r="A680" t="s">
        <v>756</v>
      </c>
      <c r="B680" t="s">
        <v>27</v>
      </c>
      <c r="C680" s="5">
        <v>42876</v>
      </c>
      <c r="D680" s="2">
        <v>1650</v>
      </c>
      <c r="E680">
        <f>SUMIFS(CA_Feed!F:F, CA_Feed!B:B, B680, CA_Feed!E:E, "*DIVIDEND*", CA_Feed!D:D, "&gt;="&amp;C680)</f>
        <v>3.25</v>
      </c>
      <c r="F680">
        <f t="shared" si="89"/>
        <v>5362.5</v>
      </c>
      <c r="G680">
        <f t="shared" si="90"/>
        <v>536.25</v>
      </c>
      <c r="H680">
        <f t="shared" si="91"/>
        <v>4826.25</v>
      </c>
      <c r="I680">
        <f>D680 * SUMIFS(CA_Feed!G:G, CA_Feed!B:B, B680, CA_Feed!E:E, "*BONUS*", CA_Feed!D:D, "&gt;="&amp;C680)</f>
        <v>0</v>
      </c>
      <c r="J680">
        <f t="shared" si="92"/>
        <v>0</v>
      </c>
      <c r="K680">
        <f t="shared" si="93"/>
        <v>0</v>
      </c>
      <c r="L680">
        <f>IF(K680&gt;0, K680 * VLOOKUP(B680, CA_Feed!B:N, 13, FALSE), 0)</f>
        <v>0</v>
      </c>
      <c r="M680">
        <f t="shared" si="88"/>
        <v>4826.25</v>
      </c>
      <c r="N680" s="2">
        <f t="shared" si="94"/>
        <v>0</v>
      </c>
      <c r="O680" t="str">
        <f>IF(COUNTIFS(CA_Feed!B:B, B680)=0, "No Action Announced", IF(COUNTIFS(CA_Feed!B:B, B680, CA_Feed!D:D, "&gt;="&amp;C680)&gt;0, "Processed (Eligible)", "Ineligible (Post Ex-Date)"))</f>
        <v>Processed (Eligible)</v>
      </c>
    </row>
    <row r="681" spans="1:15" x14ac:dyDescent="0.3">
      <c r="A681" t="s">
        <v>757</v>
      </c>
      <c r="B681" t="s">
        <v>23</v>
      </c>
      <c r="C681" s="5">
        <v>44018</v>
      </c>
      <c r="D681" s="2">
        <v>7800</v>
      </c>
      <c r="E681">
        <f>SUMIFS(CA_Feed!F:F, CA_Feed!B:B, B681, CA_Feed!E:E, "*DIVIDEND*", CA_Feed!D:D, "&gt;="&amp;C681)</f>
        <v>1.5000000000000002</v>
      </c>
      <c r="F681">
        <f t="shared" si="89"/>
        <v>11700.000000000002</v>
      </c>
      <c r="G681">
        <f t="shared" si="90"/>
        <v>1170.0000000000002</v>
      </c>
      <c r="H681">
        <f t="shared" si="91"/>
        <v>10530.000000000002</v>
      </c>
      <c r="I681">
        <f>D681 * SUMIFS(CA_Feed!G:G, CA_Feed!B:B, B681, CA_Feed!E:E, "*BONUS*", CA_Feed!D:D, "&gt;="&amp;C681)</f>
        <v>0</v>
      </c>
      <c r="J681">
        <f t="shared" si="92"/>
        <v>0</v>
      </c>
      <c r="K681">
        <f t="shared" si="93"/>
        <v>0</v>
      </c>
      <c r="L681">
        <f>IF(K681&gt;0, K681 * VLOOKUP(B681, CA_Feed!B:N, 13, FALSE), 0)</f>
        <v>0</v>
      </c>
      <c r="M681">
        <f t="shared" si="88"/>
        <v>10530.000000000002</v>
      </c>
      <c r="N681" s="2">
        <f t="shared" si="94"/>
        <v>0</v>
      </c>
      <c r="O681" t="str">
        <f>IF(COUNTIFS(CA_Feed!B:B, B681)=0, "No Action Announced", IF(COUNTIFS(CA_Feed!B:B, B681, CA_Feed!D:D, "&gt;="&amp;C681)&gt;0, "Processed (Eligible)", "Ineligible (Post Ex-Date)"))</f>
        <v>Processed (Eligible)</v>
      </c>
    </row>
    <row r="682" spans="1:15" x14ac:dyDescent="0.3">
      <c r="A682" t="s">
        <v>758</v>
      </c>
      <c r="B682" t="s">
        <v>27</v>
      </c>
      <c r="C682" s="5">
        <v>45065</v>
      </c>
      <c r="D682" s="2">
        <v>9350</v>
      </c>
      <c r="E682">
        <f>SUMIFS(CA_Feed!F:F, CA_Feed!B:B, B682, CA_Feed!E:E, "*DIVIDEND*", CA_Feed!D:D, "&gt;="&amp;C682)</f>
        <v>3.25</v>
      </c>
      <c r="F682">
        <f t="shared" si="89"/>
        <v>30387.5</v>
      </c>
      <c r="G682">
        <f t="shared" si="90"/>
        <v>3038.75</v>
      </c>
      <c r="H682">
        <f t="shared" si="91"/>
        <v>27348.75</v>
      </c>
      <c r="I682">
        <f>D682 * SUMIFS(CA_Feed!G:G, CA_Feed!B:B, B682, CA_Feed!E:E, "*BONUS*", CA_Feed!D:D, "&gt;="&amp;C682)</f>
        <v>0</v>
      </c>
      <c r="J682">
        <f t="shared" si="92"/>
        <v>0</v>
      </c>
      <c r="K682">
        <f t="shared" si="93"/>
        <v>0</v>
      </c>
      <c r="L682">
        <f>IF(K682&gt;0, K682 * VLOOKUP(B682, CA_Feed!B:N, 13, FALSE), 0)</f>
        <v>0</v>
      </c>
      <c r="M682">
        <f t="shared" si="88"/>
        <v>27348.75</v>
      </c>
      <c r="N682" s="2">
        <f t="shared" si="94"/>
        <v>0</v>
      </c>
      <c r="O682" t="str">
        <f>IF(COUNTIFS(CA_Feed!B:B, B682)=0, "No Action Announced", IF(COUNTIFS(CA_Feed!B:B, B682, CA_Feed!D:D, "&gt;="&amp;C682)&gt;0, "Processed (Eligible)", "Ineligible (Post Ex-Date)"))</f>
        <v>Processed (Eligible)</v>
      </c>
    </row>
    <row r="683" spans="1:15" x14ac:dyDescent="0.3">
      <c r="A683" t="s">
        <v>759</v>
      </c>
      <c r="B683" t="s">
        <v>39</v>
      </c>
      <c r="C683" s="5">
        <v>43755</v>
      </c>
      <c r="D683" s="2">
        <v>7750</v>
      </c>
      <c r="E683">
        <f>SUMIFS(CA_Feed!F:F, CA_Feed!B:B, B683, CA_Feed!E:E, "*DIVIDEND*", CA_Feed!D:D, "&gt;="&amp;C683)</f>
        <v>1.2</v>
      </c>
      <c r="F683">
        <f t="shared" si="89"/>
        <v>9300</v>
      </c>
      <c r="G683">
        <f t="shared" si="90"/>
        <v>930</v>
      </c>
      <c r="H683">
        <f t="shared" si="91"/>
        <v>8370</v>
      </c>
      <c r="I683">
        <f>D683 * SUMIFS(CA_Feed!G:G, CA_Feed!B:B, B683, CA_Feed!E:E, "*BONUS*", CA_Feed!D:D, "&gt;="&amp;C683)</f>
        <v>0</v>
      </c>
      <c r="J683">
        <f t="shared" si="92"/>
        <v>0</v>
      </c>
      <c r="K683">
        <f t="shared" si="93"/>
        <v>0</v>
      </c>
      <c r="L683">
        <f>IF(K683&gt;0, K683 * VLOOKUP(B683, CA_Feed!B:N, 13, FALSE), 0)</f>
        <v>0</v>
      </c>
      <c r="M683">
        <f t="shared" si="88"/>
        <v>8370</v>
      </c>
      <c r="N683" s="2">
        <f t="shared" si="94"/>
        <v>0</v>
      </c>
      <c r="O683" t="str">
        <f>IF(COUNTIFS(CA_Feed!B:B, B683)=0, "No Action Announced", IF(COUNTIFS(CA_Feed!B:B, B683, CA_Feed!D:D, "&gt;="&amp;C683)&gt;0, "Processed (Eligible)", "Ineligible (Post Ex-Date)"))</f>
        <v>Processed (Eligible)</v>
      </c>
    </row>
    <row r="684" spans="1:15" x14ac:dyDescent="0.3">
      <c r="A684" t="s">
        <v>760</v>
      </c>
      <c r="B684" t="s">
        <v>23</v>
      </c>
      <c r="C684" s="5">
        <v>45257</v>
      </c>
      <c r="D684" s="2">
        <v>5250</v>
      </c>
      <c r="E684">
        <f>SUMIFS(CA_Feed!F:F, CA_Feed!B:B, B684, CA_Feed!E:E, "*DIVIDEND*", CA_Feed!D:D, "&gt;="&amp;C684)</f>
        <v>1.5000000000000002</v>
      </c>
      <c r="F684">
        <f t="shared" si="89"/>
        <v>7875.0000000000009</v>
      </c>
      <c r="G684">
        <f t="shared" si="90"/>
        <v>787.50000000000011</v>
      </c>
      <c r="H684">
        <f t="shared" si="91"/>
        <v>7087.5000000000009</v>
      </c>
      <c r="I684">
        <f>D684 * SUMIFS(CA_Feed!G:G, CA_Feed!B:B, B684, CA_Feed!E:E, "*BONUS*", CA_Feed!D:D, "&gt;="&amp;C684)</f>
        <v>0</v>
      </c>
      <c r="J684">
        <f t="shared" si="92"/>
        <v>0</v>
      </c>
      <c r="K684">
        <f t="shared" si="93"/>
        <v>0</v>
      </c>
      <c r="L684">
        <f>IF(K684&gt;0, K684 * VLOOKUP(B684, CA_Feed!B:N, 13, FALSE), 0)</f>
        <v>0</v>
      </c>
      <c r="M684">
        <f t="shared" ref="M684:M735" si="95">H684 + L684</f>
        <v>7087.5000000000009</v>
      </c>
      <c r="N684" s="2">
        <f t="shared" si="94"/>
        <v>0</v>
      </c>
      <c r="O684" t="str">
        <f>IF(COUNTIFS(CA_Feed!B:B, B684)=0, "No Action Announced", IF(COUNTIFS(CA_Feed!B:B, B684, CA_Feed!D:D, "&gt;="&amp;C684)&gt;0, "Processed (Eligible)", "Ineligible (Post Ex-Date)"))</f>
        <v>Processed (Eligible)</v>
      </c>
    </row>
    <row r="685" spans="1:15" x14ac:dyDescent="0.3">
      <c r="A685" t="s">
        <v>761</v>
      </c>
      <c r="B685" t="s">
        <v>31</v>
      </c>
      <c r="C685" s="5">
        <v>45400</v>
      </c>
      <c r="D685" s="2">
        <v>7350</v>
      </c>
      <c r="E685">
        <f>SUMIFS(CA_Feed!F:F, CA_Feed!B:B, B685, CA_Feed!E:E, "*DIVIDEND*", CA_Feed!D:D, "&gt;="&amp;C685)</f>
        <v>3</v>
      </c>
      <c r="F685">
        <f t="shared" ref="F685:F736" si="96">D685 * E685</f>
        <v>22050</v>
      </c>
      <c r="G685">
        <f t="shared" ref="G685:G736" si="97">F685 * 0.1</f>
        <v>2205</v>
      </c>
      <c r="H685">
        <f t="shared" ref="H685:H736" si="98">F685 - G685</f>
        <v>19845</v>
      </c>
      <c r="I685">
        <f>D685 * SUMIFS(CA_Feed!G:G, CA_Feed!B:B, B685, CA_Feed!E:E, "*BONUS*", CA_Feed!D:D, "&gt;="&amp;C685)</f>
        <v>0</v>
      </c>
      <c r="J685">
        <f t="shared" ref="J685:J736" si="99">INT(I685)</f>
        <v>0</v>
      </c>
      <c r="K685">
        <f t="shared" ref="K685:K736" si="100">I685-J685</f>
        <v>0</v>
      </c>
      <c r="L685">
        <f>IF(K685&gt;0, K685 * VLOOKUP(B685, CA_Feed!B:N, 13, FALSE), 0)</f>
        <v>0</v>
      </c>
      <c r="M685">
        <f t="shared" si="95"/>
        <v>19845</v>
      </c>
      <c r="N685" s="2">
        <f t="shared" si="94"/>
        <v>0</v>
      </c>
      <c r="O685" t="str">
        <f>IF(COUNTIFS(CA_Feed!B:B, B685)=0, "No Action Announced", IF(COUNTIFS(CA_Feed!B:B, B685, CA_Feed!D:D, "&gt;="&amp;C685)&gt;0, "Processed (Eligible)", "Ineligible (Post Ex-Date)"))</f>
        <v>Processed (Eligible)</v>
      </c>
    </row>
    <row r="686" spans="1:15" x14ac:dyDescent="0.3">
      <c r="A686" t="s">
        <v>762</v>
      </c>
      <c r="B686" t="s">
        <v>41</v>
      </c>
      <c r="C686" s="5">
        <v>44363</v>
      </c>
      <c r="D686" s="2">
        <v>4300</v>
      </c>
      <c r="E686">
        <f>SUMIFS(CA_Feed!F:F, CA_Feed!B:B, B686, CA_Feed!E:E, "*DIVIDEND*", CA_Feed!D:D, "&gt;="&amp;C686)</f>
        <v>0.2</v>
      </c>
      <c r="F686">
        <f t="shared" si="96"/>
        <v>860</v>
      </c>
      <c r="G686">
        <f t="shared" si="97"/>
        <v>86</v>
      </c>
      <c r="H686">
        <f t="shared" si="98"/>
        <v>774</v>
      </c>
      <c r="I686">
        <f>D686 * SUMIFS(CA_Feed!G:G, CA_Feed!B:B, B686, CA_Feed!E:E, "*BONUS*", CA_Feed!D:D, "&gt;="&amp;C686)</f>
        <v>0</v>
      </c>
      <c r="J686">
        <f t="shared" si="99"/>
        <v>0</v>
      </c>
      <c r="K686">
        <f t="shared" si="100"/>
        <v>0</v>
      </c>
      <c r="L686">
        <f>IF(K686&gt;0, K686 * VLOOKUP(B686, CA_Feed!B:N, 13, FALSE), 0)</f>
        <v>0</v>
      </c>
      <c r="M686">
        <f t="shared" si="95"/>
        <v>774</v>
      </c>
      <c r="N686" s="2">
        <f t="shared" si="94"/>
        <v>0</v>
      </c>
      <c r="O686" t="str">
        <f>IF(COUNTIFS(CA_Feed!B:B, B686)=0, "No Action Announced", IF(COUNTIFS(CA_Feed!B:B, B686, CA_Feed!D:D, "&gt;="&amp;C686)&gt;0, "Processed (Eligible)", "Ineligible (Post Ex-Date)"))</f>
        <v>Processed (Eligible)</v>
      </c>
    </row>
    <row r="687" spans="1:15" x14ac:dyDescent="0.3">
      <c r="A687" t="s">
        <v>763</v>
      </c>
      <c r="B687" t="s">
        <v>45</v>
      </c>
      <c r="C687" s="5">
        <v>45375</v>
      </c>
      <c r="D687" s="2">
        <v>9950</v>
      </c>
      <c r="E687">
        <f>SUMIFS(CA_Feed!F:F, CA_Feed!B:B, B687, CA_Feed!E:E, "*DIVIDEND*", CA_Feed!D:D, "&gt;="&amp;C687)</f>
        <v>2.5</v>
      </c>
      <c r="F687">
        <f t="shared" si="96"/>
        <v>24875</v>
      </c>
      <c r="G687">
        <f t="shared" si="97"/>
        <v>2487.5</v>
      </c>
      <c r="H687">
        <f t="shared" si="98"/>
        <v>22387.5</v>
      </c>
      <c r="I687">
        <f>D687 * SUMIFS(CA_Feed!G:G, CA_Feed!B:B, B687, CA_Feed!E:E, "*BONUS*", CA_Feed!D:D, "&gt;="&amp;C687)</f>
        <v>0</v>
      </c>
      <c r="J687">
        <f t="shared" si="99"/>
        <v>0</v>
      </c>
      <c r="K687">
        <f t="shared" si="100"/>
        <v>0</v>
      </c>
      <c r="L687">
        <f>IF(K687&gt;0, K687 * VLOOKUP(B687, CA_Feed!B:N, 13, FALSE), 0)</f>
        <v>0</v>
      </c>
      <c r="M687">
        <f t="shared" si="95"/>
        <v>22387.5</v>
      </c>
      <c r="N687" s="2">
        <f t="shared" si="94"/>
        <v>0</v>
      </c>
      <c r="O687" t="str">
        <f>IF(COUNTIFS(CA_Feed!B:B, B687)=0, "No Action Announced", IF(COUNTIFS(CA_Feed!B:B, B687, CA_Feed!D:D, "&gt;="&amp;C687)&gt;0, "Processed (Eligible)", "Ineligible (Post Ex-Date)"))</f>
        <v>Processed (Eligible)</v>
      </c>
    </row>
    <row r="688" spans="1:15" x14ac:dyDescent="0.3">
      <c r="A688" t="s">
        <v>764</v>
      </c>
      <c r="B688" t="s">
        <v>31</v>
      </c>
      <c r="C688" s="5">
        <v>45247</v>
      </c>
      <c r="D688" s="2">
        <v>4900</v>
      </c>
      <c r="E688">
        <f>SUMIFS(CA_Feed!F:F, CA_Feed!B:B, B688, CA_Feed!E:E, "*DIVIDEND*", CA_Feed!D:D, "&gt;="&amp;C688)</f>
        <v>3</v>
      </c>
      <c r="F688">
        <f t="shared" si="96"/>
        <v>14700</v>
      </c>
      <c r="G688">
        <f t="shared" si="97"/>
        <v>1470</v>
      </c>
      <c r="H688">
        <f t="shared" si="98"/>
        <v>13230</v>
      </c>
      <c r="I688">
        <f>D688 * SUMIFS(CA_Feed!G:G, CA_Feed!B:B, B688, CA_Feed!E:E, "*BONUS*", CA_Feed!D:D, "&gt;="&amp;C688)</f>
        <v>0</v>
      </c>
      <c r="J688">
        <f t="shared" si="99"/>
        <v>0</v>
      </c>
      <c r="K688">
        <f t="shared" si="100"/>
        <v>0</v>
      </c>
      <c r="L688">
        <f>IF(K688&gt;0, K688 * VLOOKUP(B688, CA_Feed!B:N, 13, FALSE), 0)</f>
        <v>0</v>
      </c>
      <c r="M688">
        <f t="shared" si="95"/>
        <v>13230</v>
      </c>
      <c r="N688" s="2">
        <f t="shared" si="94"/>
        <v>0</v>
      </c>
      <c r="O688" t="str">
        <f>IF(COUNTIFS(CA_Feed!B:B, B688)=0, "No Action Announced", IF(COUNTIFS(CA_Feed!B:B, B688, CA_Feed!D:D, "&gt;="&amp;C688)&gt;0, "Processed (Eligible)", "Ineligible (Post Ex-Date)"))</f>
        <v>Processed (Eligible)</v>
      </c>
    </row>
    <row r="689" spans="1:15" x14ac:dyDescent="0.3">
      <c r="A689" t="s">
        <v>765</v>
      </c>
      <c r="B689" t="s">
        <v>19</v>
      </c>
      <c r="C689" s="5">
        <v>44579</v>
      </c>
      <c r="D689" s="2">
        <v>6400</v>
      </c>
      <c r="E689">
        <f>SUMIFS(CA_Feed!F:F, CA_Feed!B:B, B689, CA_Feed!E:E, "*DIVIDEND*", CA_Feed!D:D, "&gt;="&amp;C689)</f>
        <v>1.5</v>
      </c>
      <c r="F689">
        <f t="shared" si="96"/>
        <v>9600</v>
      </c>
      <c r="G689">
        <f t="shared" si="97"/>
        <v>960</v>
      </c>
      <c r="H689">
        <f t="shared" si="98"/>
        <v>8640</v>
      </c>
      <c r="I689">
        <f>D689 * SUMIFS(CA_Feed!G:G, CA_Feed!B:B, B689, CA_Feed!E:E, "*BONUS*", CA_Feed!D:D, "&gt;="&amp;C689)</f>
        <v>0</v>
      </c>
      <c r="J689">
        <f t="shared" si="99"/>
        <v>0</v>
      </c>
      <c r="K689">
        <f t="shared" si="100"/>
        <v>0</v>
      </c>
      <c r="L689">
        <f>IF(K689&gt;0, K689 * VLOOKUP(B689, CA_Feed!B:N, 13, FALSE), 0)</f>
        <v>0</v>
      </c>
      <c r="M689">
        <f t="shared" si="95"/>
        <v>8640</v>
      </c>
      <c r="N689" s="2">
        <f t="shared" si="94"/>
        <v>0</v>
      </c>
      <c r="O689" t="str">
        <f>IF(COUNTIFS(CA_Feed!B:B, B689)=0, "No Action Announced", IF(COUNTIFS(CA_Feed!B:B, B689, CA_Feed!D:D, "&gt;="&amp;C689)&gt;0, "Processed (Eligible)", "Ineligible (Post Ex-Date)"))</f>
        <v>Processed (Eligible)</v>
      </c>
    </row>
    <row r="690" spans="1:15" x14ac:dyDescent="0.3">
      <c r="A690" t="s">
        <v>766</v>
      </c>
      <c r="B690" t="s">
        <v>27</v>
      </c>
      <c r="C690" s="5">
        <v>43985</v>
      </c>
      <c r="D690" s="2">
        <v>9400</v>
      </c>
      <c r="E690">
        <f>SUMIFS(CA_Feed!F:F, CA_Feed!B:B, B690, CA_Feed!E:E, "*DIVIDEND*", CA_Feed!D:D, "&gt;="&amp;C690)</f>
        <v>3.25</v>
      </c>
      <c r="F690">
        <f t="shared" si="96"/>
        <v>30550</v>
      </c>
      <c r="G690">
        <f t="shared" si="97"/>
        <v>3055</v>
      </c>
      <c r="H690">
        <f t="shared" si="98"/>
        <v>27495</v>
      </c>
      <c r="I690">
        <f>D690 * SUMIFS(CA_Feed!G:G, CA_Feed!B:B, B690, CA_Feed!E:E, "*BONUS*", CA_Feed!D:D, "&gt;="&amp;C690)</f>
        <v>0</v>
      </c>
      <c r="J690">
        <f t="shared" si="99"/>
        <v>0</v>
      </c>
      <c r="K690">
        <f t="shared" si="100"/>
        <v>0</v>
      </c>
      <c r="L690">
        <f>IF(K690&gt;0, K690 * VLOOKUP(B690, CA_Feed!B:N, 13, FALSE), 0)</f>
        <v>0</v>
      </c>
      <c r="M690">
        <f t="shared" si="95"/>
        <v>27495</v>
      </c>
      <c r="N690" s="2">
        <f t="shared" si="94"/>
        <v>0</v>
      </c>
      <c r="O690" t="str">
        <f>IF(COUNTIFS(CA_Feed!B:B, B690)=0, "No Action Announced", IF(COUNTIFS(CA_Feed!B:B, B690, CA_Feed!D:D, "&gt;="&amp;C690)&gt;0, "Processed (Eligible)", "Ineligible (Post Ex-Date)"))</f>
        <v>Processed (Eligible)</v>
      </c>
    </row>
    <row r="691" spans="1:15" x14ac:dyDescent="0.3">
      <c r="A691" t="s">
        <v>767</v>
      </c>
      <c r="B691" t="s">
        <v>16</v>
      </c>
      <c r="C691" s="5">
        <v>42804</v>
      </c>
      <c r="D691" s="2">
        <v>3350</v>
      </c>
      <c r="E691">
        <f>SUMIFS(CA_Feed!F:F, CA_Feed!B:B, B691, CA_Feed!E:E, "*DIVIDEND*", CA_Feed!D:D, "&gt;="&amp;C691)</f>
        <v>3.75</v>
      </c>
      <c r="F691">
        <f t="shared" si="96"/>
        <v>12562.5</v>
      </c>
      <c r="G691">
        <f t="shared" si="97"/>
        <v>1256.25</v>
      </c>
      <c r="H691">
        <f t="shared" si="98"/>
        <v>11306.25</v>
      </c>
      <c r="I691">
        <f>D691 * SUMIFS(CA_Feed!G:G, CA_Feed!B:B, B691, CA_Feed!E:E, "*BONUS*", CA_Feed!D:D, "&gt;="&amp;C691)</f>
        <v>0</v>
      </c>
      <c r="J691">
        <f t="shared" si="99"/>
        <v>0</v>
      </c>
      <c r="K691">
        <f t="shared" si="100"/>
        <v>0</v>
      </c>
      <c r="L691">
        <f>IF(K691&gt;0, K691 * VLOOKUP(B691, CA_Feed!B:N, 13, FALSE), 0)</f>
        <v>0</v>
      </c>
      <c r="M691">
        <f t="shared" si="95"/>
        <v>11306.25</v>
      </c>
      <c r="N691" s="2">
        <f t="shared" si="94"/>
        <v>0</v>
      </c>
      <c r="O691" t="str">
        <f>IF(COUNTIFS(CA_Feed!B:B, B691)=0, "No Action Announced", IF(COUNTIFS(CA_Feed!B:B, B691, CA_Feed!D:D, "&gt;="&amp;C691)&gt;0, "Processed (Eligible)", "Ineligible (Post Ex-Date)"))</f>
        <v>Processed (Eligible)</v>
      </c>
    </row>
    <row r="692" spans="1:15" x14ac:dyDescent="0.3">
      <c r="A692" t="s">
        <v>768</v>
      </c>
      <c r="B692" t="s">
        <v>43</v>
      </c>
      <c r="C692" s="5">
        <v>43874</v>
      </c>
      <c r="D692" s="2">
        <v>2000</v>
      </c>
      <c r="E692">
        <f>SUMIFS(CA_Feed!F:F, CA_Feed!B:B, B692, CA_Feed!E:E, "*DIVIDEND*", CA_Feed!D:D, "&gt;="&amp;C692)</f>
        <v>1.35</v>
      </c>
      <c r="F692">
        <f t="shared" si="96"/>
        <v>2700</v>
      </c>
      <c r="G692">
        <f t="shared" si="97"/>
        <v>270</v>
      </c>
      <c r="H692">
        <f t="shared" si="98"/>
        <v>2430</v>
      </c>
      <c r="I692">
        <f>D692 * SUMIFS(CA_Feed!G:G, CA_Feed!B:B, B692, CA_Feed!E:E, "*BONUS*", CA_Feed!D:D, "&gt;="&amp;C692)</f>
        <v>0</v>
      </c>
      <c r="J692">
        <f t="shared" si="99"/>
        <v>0</v>
      </c>
      <c r="K692">
        <f t="shared" si="100"/>
        <v>0</v>
      </c>
      <c r="L692">
        <f>IF(K692&gt;0, K692 * VLOOKUP(B692, CA_Feed!B:N, 13, FALSE), 0)</f>
        <v>0</v>
      </c>
      <c r="M692">
        <f t="shared" si="95"/>
        <v>2430</v>
      </c>
      <c r="N692" s="2">
        <f t="shared" si="94"/>
        <v>0</v>
      </c>
      <c r="O692" t="str">
        <f>IF(COUNTIFS(CA_Feed!B:B, B692)=0, "No Action Announced", IF(COUNTIFS(CA_Feed!B:B, B692, CA_Feed!D:D, "&gt;="&amp;C692)&gt;0, "Processed (Eligible)", "Ineligible (Post Ex-Date)"))</f>
        <v>Processed (Eligible)</v>
      </c>
    </row>
    <row r="693" spans="1:15" x14ac:dyDescent="0.3">
      <c r="A693" t="s">
        <v>769</v>
      </c>
      <c r="B693" t="s">
        <v>25</v>
      </c>
      <c r="C693" s="5">
        <v>45092</v>
      </c>
      <c r="D693" s="2">
        <v>6050</v>
      </c>
      <c r="E693">
        <f>SUMIFS(CA_Feed!F:F, CA_Feed!B:B, B693, CA_Feed!E:E, "*DIVIDEND*", CA_Feed!D:D, "&gt;="&amp;C693)</f>
        <v>2.5</v>
      </c>
      <c r="F693">
        <f t="shared" si="96"/>
        <v>15125</v>
      </c>
      <c r="G693">
        <f t="shared" si="97"/>
        <v>1512.5</v>
      </c>
      <c r="H693">
        <f t="shared" si="98"/>
        <v>13612.5</v>
      </c>
      <c r="I693">
        <f>D693 * SUMIFS(CA_Feed!G:G, CA_Feed!B:B, B693, CA_Feed!E:E, "*BONUS*", CA_Feed!D:D, "&gt;="&amp;C693)</f>
        <v>0</v>
      </c>
      <c r="J693">
        <f t="shared" si="99"/>
        <v>0</v>
      </c>
      <c r="K693">
        <f t="shared" si="100"/>
        <v>0</v>
      </c>
      <c r="L693">
        <f>IF(K693&gt;0, K693 * VLOOKUP(B693, CA_Feed!B:N, 13, FALSE), 0)</f>
        <v>0</v>
      </c>
      <c r="M693">
        <f t="shared" si="95"/>
        <v>13612.5</v>
      </c>
      <c r="N693" s="2">
        <f t="shared" si="94"/>
        <v>0</v>
      </c>
      <c r="O693" t="str">
        <f>IF(COUNTIFS(CA_Feed!B:B, B693)=0, "No Action Announced", IF(COUNTIFS(CA_Feed!B:B, B693, CA_Feed!D:D, "&gt;="&amp;C693)&gt;0, "Processed (Eligible)", "Ineligible (Post Ex-Date)"))</f>
        <v>Processed (Eligible)</v>
      </c>
    </row>
    <row r="694" spans="1:15" x14ac:dyDescent="0.3">
      <c r="A694" t="s">
        <v>770</v>
      </c>
      <c r="B694" t="s">
        <v>43</v>
      </c>
      <c r="C694" s="5">
        <v>44675</v>
      </c>
      <c r="D694" s="2">
        <v>400</v>
      </c>
      <c r="E694">
        <f>SUMIFS(CA_Feed!F:F, CA_Feed!B:B, B694, CA_Feed!E:E, "*DIVIDEND*", CA_Feed!D:D, "&gt;="&amp;C694)</f>
        <v>1.35</v>
      </c>
      <c r="F694">
        <f t="shared" si="96"/>
        <v>540</v>
      </c>
      <c r="G694">
        <f t="shared" si="97"/>
        <v>54</v>
      </c>
      <c r="H694">
        <f t="shared" si="98"/>
        <v>486</v>
      </c>
      <c r="I694">
        <f>D694 * SUMIFS(CA_Feed!G:G, CA_Feed!B:B, B694, CA_Feed!E:E, "*BONUS*", CA_Feed!D:D, "&gt;="&amp;C694)</f>
        <v>0</v>
      </c>
      <c r="J694">
        <f t="shared" si="99"/>
        <v>0</v>
      </c>
      <c r="K694">
        <f t="shared" si="100"/>
        <v>0</v>
      </c>
      <c r="L694">
        <f>IF(K694&gt;0, K694 * VLOOKUP(B694, CA_Feed!B:N, 13, FALSE), 0)</f>
        <v>0</v>
      </c>
      <c r="M694">
        <f t="shared" si="95"/>
        <v>486</v>
      </c>
      <c r="N694" s="2">
        <f t="shared" si="94"/>
        <v>0</v>
      </c>
      <c r="O694" t="str">
        <f>IF(COUNTIFS(CA_Feed!B:B, B694)=0, "No Action Announced", IF(COUNTIFS(CA_Feed!B:B, B694, CA_Feed!D:D, "&gt;="&amp;C694)&gt;0, "Processed (Eligible)", "Ineligible (Post Ex-Date)"))</f>
        <v>Processed (Eligible)</v>
      </c>
    </row>
    <row r="695" spans="1:15" x14ac:dyDescent="0.3">
      <c r="A695" t="s">
        <v>771</v>
      </c>
      <c r="B695" t="s">
        <v>23</v>
      </c>
      <c r="C695" s="5">
        <v>42254</v>
      </c>
      <c r="D695" s="2">
        <v>10000</v>
      </c>
      <c r="E695">
        <f>SUMIFS(CA_Feed!F:F, CA_Feed!B:B, B695, CA_Feed!E:E, "*DIVIDEND*", CA_Feed!D:D, "&gt;="&amp;C695)</f>
        <v>1.5000000000000002</v>
      </c>
      <c r="F695">
        <f t="shared" si="96"/>
        <v>15000.000000000002</v>
      </c>
      <c r="G695">
        <f t="shared" si="97"/>
        <v>1500.0000000000002</v>
      </c>
      <c r="H695">
        <f t="shared" si="98"/>
        <v>13500.000000000002</v>
      </c>
      <c r="I695">
        <f>D695 * SUMIFS(CA_Feed!G:G, CA_Feed!B:B, B695, CA_Feed!E:E, "*BONUS*", CA_Feed!D:D, "&gt;="&amp;C695)</f>
        <v>0</v>
      </c>
      <c r="J695">
        <f t="shared" si="99"/>
        <v>0</v>
      </c>
      <c r="K695">
        <f t="shared" si="100"/>
        <v>0</v>
      </c>
      <c r="L695">
        <f>IF(K695&gt;0, K695 * VLOOKUP(B695, CA_Feed!B:N, 13, FALSE), 0)</f>
        <v>0</v>
      </c>
      <c r="M695">
        <f t="shared" si="95"/>
        <v>13500.000000000002</v>
      </c>
      <c r="N695" s="2">
        <f t="shared" si="94"/>
        <v>0</v>
      </c>
      <c r="O695" t="str">
        <f>IF(COUNTIFS(CA_Feed!B:B, B695)=0, "No Action Announced", IF(COUNTIFS(CA_Feed!B:B, B695, CA_Feed!D:D, "&gt;="&amp;C695)&gt;0, "Processed (Eligible)", "Ineligible (Post Ex-Date)"))</f>
        <v>Processed (Eligible)</v>
      </c>
    </row>
    <row r="696" spans="1:15" x14ac:dyDescent="0.3">
      <c r="A696" t="s">
        <v>772</v>
      </c>
      <c r="B696" t="s">
        <v>47</v>
      </c>
      <c r="C696" s="5">
        <v>43339</v>
      </c>
      <c r="D696" s="2">
        <v>2900</v>
      </c>
      <c r="E696">
        <f>SUMIFS(CA_Feed!F:F, CA_Feed!B:B, B696, CA_Feed!E:E, "*DIVIDEND*", CA_Feed!D:D, "&gt;="&amp;C696)</f>
        <v>0.1</v>
      </c>
      <c r="F696">
        <f t="shared" si="96"/>
        <v>290</v>
      </c>
      <c r="G696">
        <f t="shared" si="97"/>
        <v>29</v>
      </c>
      <c r="H696">
        <f t="shared" si="98"/>
        <v>261</v>
      </c>
      <c r="I696">
        <f>D696 * SUMIFS(CA_Feed!G:G, CA_Feed!B:B, B696, CA_Feed!E:E, "*BONUS*", CA_Feed!D:D, "&gt;="&amp;C696)</f>
        <v>0</v>
      </c>
      <c r="J696">
        <f t="shared" si="99"/>
        <v>0</v>
      </c>
      <c r="K696">
        <f t="shared" si="100"/>
        <v>0</v>
      </c>
      <c r="L696">
        <f>IF(K696&gt;0, K696 * VLOOKUP(B696, CA_Feed!B:N, 13, FALSE), 0)</f>
        <v>0</v>
      </c>
      <c r="M696">
        <f t="shared" si="95"/>
        <v>261</v>
      </c>
      <c r="N696" s="2">
        <f t="shared" si="94"/>
        <v>0</v>
      </c>
      <c r="O696" t="str">
        <f>IF(COUNTIFS(CA_Feed!B:B, B696)=0, "No Action Announced", IF(COUNTIFS(CA_Feed!B:B, B696, CA_Feed!D:D, "&gt;="&amp;C696)&gt;0, "Processed (Eligible)", "Ineligible (Post Ex-Date)"))</f>
        <v>Processed (Eligible)</v>
      </c>
    </row>
    <row r="697" spans="1:15" x14ac:dyDescent="0.3">
      <c r="A697" t="s">
        <v>166</v>
      </c>
      <c r="B697" t="s">
        <v>12</v>
      </c>
      <c r="C697" s="5">
        <v>46234</v>
      </c>
      <c r="D697" s="2">
        <v>53</v>
      </c>
      <c r="E697">
        <f>SUMIFS(CA_Feed!F:F, CA_Feed!B:B, B697, CA_Feed!E:E, "*DIVIDEND*", CA_Feed!D:D, "&gt;="&amp;C697)</f>
        <v>0</v>
      </c>
      <c r="F697">
        <f t="shared" si="96"/>
        <v>0</v>
      </c>
      <c r="G697">
        <f t="shared" si="97"/>
        <v>0</v>
      </c>
      <c r="H697">
        <f t="shared" si="98"/>
        <v>0</v>
      </c>
      <c r="I697">
        <f>D697 * SUMIFS(CA_Feed!G:G, CA_Feed!B:B, B697, CA_Feed!E:E, "*BONUS*", CA_Feed!D:D, "&gt;="&amp;C697)</f>
        <v>0</v>
      </c>
      <c r="J697">
        <f t="shared" si="99"/>
        <v>0</v>
      </c>
      <c r="K697">
        <f t="shared" si="100"/>
        <v>0</v>
      </c>
      <c r="L697">
        <f>IF(K697&gt;0, K697 * VLOOKUP(B697, CA_Feed!B:N, 13, FALSE), 0)</f>
        <v>0</v>
      </c>
      <c r="M697">
        <f t="shared" si="95"/>
        <v>0</v>
      </c>
      <c r="N697" s="2">
        <f t="shared" si="94"/>
        <v>0</v>
      </c>
      <c r="O697" t="str">
        <f>IF(COUNTIFS(CA_Feed!B:B, B697)=0, "No Action Announced", IF(COUNTIFS(CA_Feed!B:B, B697, CA_Feed!D:D, "&gt;="&amp;C697)&gt;0, "Processed (Eligible)", "Ineligible (Post Ex-Date)"))</f>
        <v>Ineligible (Post Ex-Date)</v>
      </c>
    </row>
    <row r="698" spans="1:15" x14ac:dyDescent="0.3">
      <c r="A698" t="s">
        <v>774</v>
      </c>
      <c r="B698" t="s">
        <v>39</v>
      </c>
      <c r="C698" s="5">
        <v>43147</v>
      </c>
      <c r="D698" s="2">
        <v>5550</v>
      </c>
      <c r="E698">
        <f>SUMIFS(CA_Feed!F:F, CA_Feed!B:B, B698, CA_Feed!E:E, "*DIVIDEND*", CA_Feed!D:D, "&gt;="&amp;C698)</f>
        <v>1.2</v>
      </c>
      <c r="F698">
        <f t="shared" si="96"/>
        <v>6660</v>
      </c>
      <c r="G698">
        <f t="shared" si="97"/>
        <v>666</v>
      </c>
      <c r="H698">
        <f t="shared" si="98"/>
        <v>5994</v>
      </c>
      <c r="I698">
        <f>D698 * SUMIFS(CA_Feed!G:G, CA_Feed!B:B, B698, CA_Feed!E:E, "*BONUS*", CA_Feed!D:D, "&gt;="&amp;C698)</f>
        <v>0</v>
      </c>
      <c r="J698">
        <f t="shared" si="99"/>
        <v>0</v>
      </c>
      <c r="K698">
        <f t="shared" si="100"/>
        <v>0</v>
      </c>
      <c r="L698">
        <f>IF(K698&gt;0, K698 * VLOOKUP(B698, CA_Feed!B:N, 13, FALSE), 0)</f>
        <v>0</v>
      </c>
      <c r="M698">
        <f t="shared" si="95"/>
        <v>5994</v>
      </c>
      <c r="N698" s="2">
        <f t="shared" si="94"/>
        <v>0</v>
      </c>
      <c r="O698" t="str">
        <f>IF(COUNTIFS(CA_Feed!B:B, B698)=0, "No Action Announced", IF(COUNTIFS(CA_Feed!B:B, B698, CA_Feed!D:D, "&gt;="&amp;C698)&gt;0, "Processed (Eligible)", "Ineligible (Post Ex-Date)"))</f>
        <v>Processed (Eligible)</v>
      </c>
    </row>
    <row r="699" spans="1:15" x14ac:dyDescent="0.3">
      <c r="A699" t="s">
        <v>727</v>
      </c>
      <c r="B699" t="s">
        <v>12</v>
      </c>
      <c r="C699" s="5">
        <v>46235</v>
      </c>
      <c r="D699" s="2">
        <v>50</v>
      </c>
      <c r="E699">
        <f>SUMIFS(CA_Feed!F:F, CA_Feed!B:B, B699, CA_Feed!E:E, "*DIVIDEND*", CA_Feed!D:D, "&gt;="&amp;C699)</f>
        <v>0</v>
      </c>
      <c r="F699">
        <f t="shared" si="96"/>
        <v>0</v>
      </c>
      <c r="G699">
        <f t="shared" si="97"/>
        <v>0</v>
      </c>
      <c r="H699">
        <f t="shared" si="98"/>
        <v>0</v>
      </c>
      <c r="I699">
        <f>D699 * SUMIFS(CA_Feed!G:G, CA_Feed!B:B, B699, CA_Feed!E:E, "*BONUS*", CA_Feed!D:D, "&gt;="&amp;C699)</f>
        <v>0</v>
      </c>
      <c r="J699">
        <f t="shared" si="99"/>
        <v>0</v>
      </c>
      <c r="K699">
        <f t="shared" si="100"/>
        <v>0</v>
      </c>
      <c r="L699">
        <f>IF(K699&gt;0, K699 * VLOOKUP(B699, CA_Feed!B:N, 13, FALSE), 0)</f>
        <v>0</v>
      </c>
      <c r="M699">
        <f t="shared" si="95"/>
        <v>0</v>
      </c>
      <c r="N699" s="2">
        <f t="shared" si="94"/>
        <v>0</v>
      </c>
      <c r="O699" t="str">
        <f>IF(COUNTIFS(CA_Feed!B:B, B699)=0, "No Action Announced", IF(COUNTIFS(CA_Feed!B:B, B699, CA_Feed!D:D, "&gt;="&amp;C699)&gt;0, "Processed (Eligible)", "Ineligible (Post Ex-Date)"))</f>
        <v>Ineligible (Post Ex-Date)</v>
      </c>
    </row>
    <row r="700" spans="1:15" x14ac:dyDescent="0.3">
      <c r="A700" t="s">
        <v>776</v>
      </c>
      <c r="B700" t="s">
        <v>31</v>
      </c>
      <c r="C700" s="5">
        <v>44299</v>
      </c>
      <c r="D700" s="2">
        <v>3800</v>
      </c>
      <c r="E700">
        <f>SUMIFS(CA_Feed!F:F, CA_Feed!B:B, B700, CA_Feed!E:E, "*DIVIDEND*", CA_Feed!D:D, "&gt;="&amp;C700)</f>
        <v>3</v>
      </c>
      <c r="F700">
        <f t="shared" si="96"/>
        <v>11400</v>
      </c>
      <c r="G700">
        <f t="shared" si="97"/>
        <v>1140</v>
      </c>
      <c r="H700">
        <f t="shared" si="98"/>
        <v>10260</v>
      </c>
      <c r="I700">
        <f>D700 * SUMIFS(CA_Feed!G:G, CA_Feed!B:B, B700, CA_Feed!E:E, "*BONUS*", CA_Feed!D:D, "&gt;="&amp;C700)</f>
        <v>0</v>
      </c>
      <c r="J700">
        <f t="shared" si="99"/>
        <v>0</v>
      </c>
      <c r="K700">
        <f t="shared" si="100"/>
        <v>0</v>
      </c>
      <c r="L700">
        <f>IF(K700&gt;0, K700 * VLOOKUP(B700, CA_Feed!B:N, 13, FALSE), 0)</f>
        <v>0</v>
      </c>
      <c r="M700">
        <f t="shared" si="95"/>
        <v>10260</v>
      </c>
      <c r="N700" s="2">
        <f t="shared" si="94"/>
        <v>0</v>
      </c>
      <c r="O700" t="str">
        <f>IF(COUNTIFS(CA_Feed!B:B, B700)=0, "No Action Announced", IF(COUNTIFS(CA_Feed!B:B, B700, CA_Feed!D:D, "&gt;="&amp;C700)&gt;0, "Processed (Eligible)", "Ineligible (Post Ex-Date)"))</f>
        <v>Processed (Eligible)</v>
      </c>
    </row>
    <row r="701" spans="1:15" x14ac:dyDescent="0.3">
      <c r="A701" t="s">
        <v>777</v>
      </c>
      <c r="B701" t="s">
        <v>39</v>
      </c>
      <c r="C701" s="5">
        <v>45368</v>
      </c>
      <c r="D701" s="2">
        <v>9900</v>
      </c>
      <c r="E701">
        <f>SUMIFS(CA_Feed!F:F, CA_Feed!B:B, B701, CA_Feed!E:E, "*DIVIDEND*", CA_Feed!D:D, "&gt;="&amp;C701)</f>
        <v>1.2</v>
      </c>
      <c r="F701">
        <f t="shared" si="96"/>
        <v>11880</v>
      </c>
      <c r="G701">
        <f t="shared" si="97"/>
        <v>1188</v>
      </c>
      <c r="H701">
        <f t="shared" si="98"/>
        <v>10692</v>
      </c>
      <c r="I701">
        <f>D701 * SUMIFS(CA_Feed!G:G, CA_Feed!B:B, B701, CA_Feed!E:E, "*BONUS*", CA_Feed!D:D, "&gt;="&amp;C701)</f>
        <v>0</v>
      </c>
      <c r="J701">
        <f t="shared" si="99"/>
        <v>0</v>
      </c>
      <c r="K701">
        <f t="shared" si="100"/>
        <v>0</v>
      </c>
      <c r="L701">
        <f>IF(K701&gt;0, K701 * VLOOKUP(B701, CA_Feed!B:N, 13, FALSE), 0)</f>
        <v>0</v>
      </c>
      <c r="M701">
        <f t="shared" si="95"/>
        <v>10692</v>
      </c>
      <c r="N701" s="2">
        <f t="shared" si="94"/>
        <v>0</v>
      </c>
      <c r="O701" t="str">
        <f>IF(COUNTIFS(CA_Feed!B:B, B701)=0, "No Action Announced", IF(COUNTIFS(CA_Feed!B:B, B701, CA_Feed!D:D, "&gt;="&amp;C701)&gt;0, "Processed (Eligible)", "Ineligible (Post Ex-Date)"))</f>
        <v>Processed (Eligible)</v>
      </c>
    </row>
    <row r="702" spans="1:15" x14ac:dyDescent="0.3">
      <c r="A702" t="s">
        <v>531</v>
      </c>
      <c r="B702" t="s">
        <v>12</v>
      </c>
      <c r="C702" s="5">
        <v>45482</v>
      </c>
      <c r="D702" s="2">
        <v>50</v>
      </c>
      <c r="E702">
        <f>SUMIFS(CA_Feed!F:F, CA_Feed!B:B, B702, CA_Feed!E:E, "*DIVIDEND*", CA_Feed!D:D, "&gt;="&amp;C702)</f>
        <v>19</v>
      </c>
      <c r="F702">
        <f t="shared" si="96"/>
        <v>950</v>
      </c>
      <c r="G702">
        <f t="shared" si="97"/>
        <v>95</v>
      </c>
      <c r="H702">
        <f t="shared" si="98"/>
        <v>855</v>
      </c>
      <c r="I702">
        <f>D702 * SUMIFS(CA_Feed!G:G, CA_Feed!B:B, B702, CA_Feed!E:E, "*BONUS*", CA_Feed!D:D, "&gt;="&amp;C702)</f>
        <v>0</v>
      </c>
      <c r="J702">
        <f t="shared" si="99"/>
        <v>0</v>
      </c>
      <c r="K702">
        <f t="shared" si="100"/>
        <v>0</v>
      </c>
      <c r="L702">
        <f>IF(K702&gt;0, K702 * VLOOKUP(B702, CA_Feed!B:N, 13, FALSE), 0)</f>
        <v>0</v>
      </c>
      <c r="M702">
        <f t="shared" si="95"/>
        <v>855</v>
      </c>
      <c r="N702" s="2">
        <f t="shared" si="94"/>
        <v>0</v>
      </c>
      <c r="O702" t="str">
        <f>IF(COUNTIFS(CA_Feed!B:B, B702)=0, "No Action Announced", IF(COUNTIFS(CA_Feed!B:B, B702, CA_Feed!D:D, "&gt;="&amp;C702)&gt;0, "Processed (Eligible)", "Ineligible (Post Ex-Date)"))</f>
        <v>Processed (Eligible)</v>
      </c>
    </row>
    <row r="703" spans="1:15" x14ac:dyDescent="0.3">
      <c r="A703" t="s">
        <v>779</v>
      </c>
      <c r="B703" t="s">
        <v>31</v>
      </c>
      <c r="C703" s="5">
        <v>45454</v>
      </c>
      <c r="D703" s="2">
        <v>3400</v>
      </c>
      <c r="E703">
        <f>SUMIFS(CA_Feed!F:F, CA_Feed!B:B, B703, CA_Feed!E:E, "*DIVIDEND*", CA_Feed!D:D, "&gt;="&amp;C703)</f>
        <v>3</v>
      </c>
      <c r="F703">
        <f t="shared" si="96"/>
        <v>10200</v>
      </c>
      <c r="G703">
        <f t="shared" si="97"/>
        <v>1020</v>
      </c>
      <c r="H703">
        <f t="shared" si="98"/>
        <v>9180</v>
      </c>
      <c r="I703">
        <f>D703 * SUMIFS(CA_Feed!G:G, CA_Feed!B:B, B703, CA_Feed!E:E, "*BONUS*", CA_Feed!D:D, "&gt;="&amp;C703)</f>
        <v>0</v>
      </c>
      <c r="J703">
        <f t="shared" si="99"/>
        <v>0</v>
      </c>
      <c r="K703">
        <f t="shared" si="100"/>
        <v>0</v>
      </c>
      <c r="L703">
        <f>IF(K703&gt;0, K703 * VLOOKUP(B703, CA_Feed!B:N, 13, FALSE), 0)</f>
        <v>0</v>
      </c>
      <c r="M703">
        <f t="shared" si="95"/>
        <v>9180</v>
      </c>
      <c r="N703" s="2">
        <f t="shared" si="94"/>
        <v>0</v>
      </c>
      <c r="O703" t="str">
        <f>IF(COUNTIFS(CA_Feed!B:B, B703)=0, "No Action Announced", IF(COUNTIFS(CA_Feed!B:B, B703, CA_Feed!D:D, "&gt;="&amp;C703)&gt;0, "Processed (Eligible)", "Ineligible (Post Ex-Date)"))</f>
        <v>Processed (Eligible)</v>
      </c>
    </row>
    <row r="704" spans="1:15" x14ac:dyDescent="0.3">
      <c r="A704" t="s">
        <v>780</v>
      </c>
      <c r="B704" t="s">
        <v>29</v>
      </c>
      <c r="C704" s="5">
        <v>43853</v>
      </c>
      <c r="D704" s="2">
        <v>900</v>
      </c>
      <c r="E704">
        <f>SUMIFS(CA_Feed!F:F, CA_Feed!B:B, B704, CA_Feed!E:E, "*DIVIDEND*", CA_Feed!D:D, "&gt;="&amp;C704)</f>
        <v>3</v>
      </c>
      <c r="F704">
        <f t="shared" si="96"/>
        <v>2700</v>
      </c>
      <c r="G704">
        <f t="shared" si="97"/>
        <v>270</v>
      </c>
      <c r="H704">
        <f t="shared" si="98"/>
        <v>2430</v>
      </c>
      <c r="I704">
        <f>D704 * SUMIFS(CA_Feed!G:G, CA_Feed!B:B, B704, CA_Feed!E:E, "*BONUS*", CA_Feed!D:D, "&gt;="&amp;C704)</f>
        <v>0</v>
      </c>
      <c r="J704">
        <f t="shared" si="99"/>
        <v>0</v>
      </c>
      <c r="K704">
        <f t="shared" si="100"/>
        <v>0</v>
      </c>
      <c r="L704">
        <f>IF(K704&gt;0, K704 * VLOOKUP(B704, CA_Feed!B:N, 13, FALSE), 0)</f>
        <v>0</v>
      </c>
      <c r="M704">
        <f t="shared" si="95"/>
        <v>2430</v>
      </c>
      <c r="N704" s="2">
        <f t="shared" si="94"/>
        <v>0</v>
      </c>
      <c r="O704" t="str">
        <f>IF(COUNTIFS(CA_Feed!B:B, B704)=0, "No Action Announced", IF(COUNTIFS(CA_Feed!B:B, B704, CA_Feed!D:D, "&gt;="&amp;C704)&gt;0, "Processed (Eligible)", "Ineligible (Post Ex-Date)"))</f>
        <v>Processed (Eligible)</v>
      </c>
    </row>
    <row r="705" spans="1:15" x14ac:dyDescent="0.3">
      <c r="A705" t="s">
        <v>781</v>
      </c>
      <c r="B705" t="s">
        <v>23</v>
      </c>
      <c r="C705" s="5">
        <v>43724</v>
      </c>
      <c r="D705" s="2">
        <v>9350</v>
      </c>
      <c r="E705">
        <f>SUMIFS(CA_Feed!F:F, CA_Feed!B:B, B705, CA_Feed!E:E, "*DIVIDEND*", CA_Feed!D:D, "&gt;="&amp;C705)</f>
        <v>1.5000000000000002</v>
      </c>
      <c r="F705">
        <f t="shared" si="96"/>
        <v>14025.000000000002</v>
      </c>
      <c r="G705">
        <f t="shared" si="97"/>
        <v>1402.5000000000002</v>
      </c>
      <c r="H705">
        <f t="shared" si="98"/>
        <v>12622.500000000002</v>
      </c>
      <c r="I705">
        <f>D705 * SUMIFS(CA_Feed!G:G, CA_Feed!B:B, B705, CA_Feed!E:E, "*BONUS*", CA_Feed!D:D, "&gt;="&amp;C705)</f>
        <v>0</v>
      </c>
      <c r="J705">
        <f t="shared" si="99"/>
        <v>0</v>
      </c>
      <c r="K705">
        <f t="shared" si="100"/>
        <v>0</v>
      </c>
      <c r="L705">
        <f>IF(K705&gt;0, K705 * VLOOKUP(B705, CA_Feed!B:N, 13, FALSE), 0)</f>
        <v>0</v>
      </c>
      <c r="M705">
        <f t="shared" si="95"/>
        <v>12622.500000000002</v>
      </c>
      <c r="N705" s="2">
        <f t="shared" si="94"/>
        <v>0</v>
      </c>
      <c r="O705" t="str">
        <f>IF(COUNTIFS(CA_Feed!B:B, B705)=0, "No Action Announced", IF(COUNTIFS(CA_Feed!B:B, B705, CA_Feed!D:D, "&gt;="&amp;C705)&gt;0, "Processed (Eligible)", "Ineligible (Post Ex-Date)"))</f>
        <v>Processed (Eligible)</v>
      </c>
    </row>
    <row r="706" spans="1:15" x14ac:dyDescent="0.3">
      <c r="A706" t="s">
        <v>365</v>
      </c>
      <c r="B706" t="s">
        <v>12</v>
      </c>
      <c r="C706" s="5">
        <v>45465</v>
      </c>
      <c r="D706" s="2">
        <v>40</v>
      </c>
      <c r="E706">
        <f>SUMIFS(CA_Feed!F:F, CA_Feed!B:B, B706, CA_Feed!E:E, "*DIVIDEND*", CA_Feed!D:D, "&gt;="&amp;C706)</f>
        <v>19</v>
      </c>
      <c r="F706">
        <f t="shared" si="96"/>
        <v>760</v>
      </c>
      <c r="G706">
        <f t="shared" si="97"/>
        <v>76</v>
      </c>
      <c r="H706">
        <f t="shared" si="98"/>
        <v>684</v>
      </c>
      <c r="I706">
        <f>D706 * SUMIFS(CA_Feed!G:G, CA_Feed!B:B, B706, CA_Feed!E:E, "*BONUS*", CA_Feed!D:D, "&gt;="&amp;C706)</f>
        <v>0</v>
      </c>
      <c r="J706">
        <f t="shared" si="99"/>
        <v>0</v>
      </c>
      <c r="K706">
        <f t="shared" si="100"/>
        <v>0</v>
      </c>
      <c r="L706">
        <f>IF(K706&gt;0, K706 * VLOOKUP(B706, CA_Feed!B:N, 13, FALSE), 0)</f>
        <v>0</v>
      </c>
      <c r="M706">
        <f t="shared" si="95"/>
        <v>684</v>
      </c>
      <c r="N706" s="2">
        <f t="shared" si="94"/>
        <v>0</v>
      </c>
      <c r="O706" t="str">
        <f>IF(COUNTIFS(CA_Feed!B:B, B706)=0, "No Action Announced", IF(COUNTIFS(CA_Feed!B:B, B706, CA_Feed!D:D, "&gt;="&amp;C706)&gt;0, "Processed (Eligible)", "Ineligible (Post Ex-Date)"))</f>
        <v>Processed (Eligible)</v>
      </c>
    </row>
    <row r="707" spans="1:15" x14ac:dyDescent="0.3">
      <c r="A707" t="s">
        <v>783</v>
      </c>
      <c r="B707" t="s">
        <v>19</v>
      </c>
      <c r="C707" s="5">
        <v>43453</v>
      </c>
      <c r="D707" s="2">
        <v>3550</v>
      </c>
      <c r="E707">
        <f>SUMIFS(CA_Feed!F:F, CA_Feed!B:B, B707, CA_Feed!E:E, "*DIVIDEND*", CA_Feed!D:D, "&gt;="&amp;C707)</f>
        <v>1.5</v>
      </c>
      <c r="F707">
        <f t="shared" si="96"/>
        <v>5325</v>
      </c>
      <c r="G707">
        <f t="shared" si="97"/>
        <v>532.5</v>
      </c>
      <c r="H707">
        <f t="shared" si="98"/>
        <v>4792.5</v>
      </c>
      <c r="I707">
        <f>D707 * SUMIFS(CA_Feed!G:G, CA_Feed!B:B, B707, CA_Feed!E:E, "*BONUS*", CA_Feed!D:D, "&gt;="&amp;C707)</f>
        <v>0</v>
      </c>
      <c r="J707">
        <f t="shared" si="99"/>
        <v>0</v>
      </c>
      <c r="K707">
        <f t="shared" si="100"/>
        <v>0</v>
      </c>
      <c r="L707">
        <f>IF(K707&gt;0, K707 * VLOOKUP(B707, CA_Feed!B:N, 13, FALSE), 0)</f>
        <v>0</v>
      </c>
      <c r="M707">
        <f t="shared" si="95"/>
        <v>4792.5</v>
      </c>
      <c r="N707" s="2">
        <f t="shared" ref="N707:N765" si="101">IF(J707&gt;0,D707 +J707,0)</f>
        <v>0</v>
      </c>
      <c r="O707" t="str">
        <f>IF(COUNTIFS(CA_Feed!B:B, B707)=0, "No Action Announced", IF(COUNTIFS(CA_Feed!B:B, B707, CA_Feed!D:D, "&gt;="&amp;C707)&gt;0, "Processed (Eligible)", "Ineligible (Post Ex-Date)"))</f>
        <v>Processed (Eligible)</v>
      </c>
    </row>
    <row r="708" spans="1:15" x14ac:dyDescent="0.3">
      <c r="A708" t="s">
        <v>255</v>
      </c>
      <c r="B708" t="s">
        <v>12</v>
      </c>
      <c r="C708" s="5">
        <v>44288</v>
      </c>
      <c r="D708" s="2">
        <v>30</v>
      </c>
      <c r="E708">
        <f>SUMIFS(CA_Feed!F:F, CA_Feed!B:B, B708, CA_Feed!E:E, "*DIVIDEND*", CA_Feed!D:D, "&gt;="&amp;C708)</f>
        <v>19</v>
      </c>
      <c r="F708">
        <f t="shared" si="96"/>
        <v>570</v>
      </c>
      <c r="G708">
        <f t="shared" si="97"/>
        <v>57</v>
      </c>
      <c r="H708">
        <f t="shared" si="98"/>
        <v>513</v>
      </c>
      <c r="I708">
        <f>D708 * SUMIFS(CA_Feed!G:G, CA_Feed!B:B, B708, CA_Feed!E:E, "*BONUS*", CA_Feed!D:D, "&gt;="&amp;C708)</f>
        <v>0</v>
      </c>
      <c r="J708">
        <f t="shared" si="99"/>
        <v>0</v>
      </c>
      <c r="K708">
        <f t="shared" si="100"/>
        <v>0</v>
      </c>
      <c r="L708">
        <f>IF(K708&gt;0, K708 * VLOOKUP(B708, CA_Feed!B:N, 13, FALSE), 0)</f>
        <v>0</v>
      </c>
      <c r="M708">
        <f t="shared" si="95"/>
        <v>513</v>
      </c>
      <c r="N708" s="2">
        <f t="shared" si="101"/>
        <v>0</v>
      </c>
      <c r="O708" t="str">
        <f>IF(COUNTIFS(CA_Feed!B:B, B708)=0, "No Action Announced", IF(COUNTIFS(CA_Feed!B:B, B708, CA_Feed!D:D, "&gt;="&amp;C708)&gt;0, "Processed (Eligible)", "Ineligible (Post Ex-Date)"))</f>
        <v>Processed (Eligible)</v>
      </c>
    </row>
    <row r="709" spans="1:15" x14ac:dyDescent="0.3">
      <c r="A709" t="s">
        <v>785</v>
      </c>
      <c r="B709" t="s">
        <v>29</v>
      </c>
      <c r="C709" s="5">
        <v>44880</v>
      </c>
      <c r="D709" s="2">
        <v>5850</v>
      </c>
      <c r="E709">
        <f>SUMIFS(CA_Feed!F:F, CA_Feed!B:B, B709, CA_Feed!E:E, "*DIVIDEND*", CA_Feed!D:D, "&gt;="&amp;C709)</f>
        <v>3</v>
      </c>
      <c r="F709">
        <f t="shared" si="96"/>
        <v>17550</v>
      </c>
      <c r="G709">
        <f t="shared" si="97"/>
        <v>1755</v>
      </c>
      <c r="H709">
        <f t="shared" si="98"/>
        <v>15795</v>
      </c>
      <c r="I709">
        <f>D709 * SUMIFS(CA_Feed!G:G, CA_Feed!B:B, B709, CA_Feed!E:E, "*BONUS*", CA_Feed!D:D, "&gt;="&amp;C709)</f>
        <v>0</v>
      </c>
      <c r="J709">
        <f t="shared" si="99"/>
        <v>0</v>
      </c>
      <c r="K709">
        <f t="shared" si="100"/>
        <v>0</v>
      </c>
      <c r="L709">
        <f>IF(K709&gt;0, K709 * VLOOKUP(B709, CA_Feed!B:N, 13, FALSE), 0)</f>
        <v>0</v>
      </c>
      <c r="M709">
        <f t="shared" si="95"/>
        <v>15795</v>
      </c>
      <c r="N709" s="2">
        <f t="shared" si="101"/>
        <v>0</v>
      </c>
      <c r="O709" t="str">
        <f>IF(COUNTIFS(CA_Feed!B:B, B709)=0, "No Action Announced", IF(COUNTIFS(CA_Feed!B:B, B709, CA_Feed!D:D, "&gt;="&amp;C709)&gt;0, "Processed (Eligible)", "Ineligible (Post Ex-Date)"))</f>
        <v>Processed (Eligible)</v>
      </c>
    </row>
    <row r="710" spans="1:15" x14ac:dyDescent="0.3">
      <c r="A710" t="s">
        <v>786</v>
      </c>
      <c r="B710" t="s">
        <v>33</v>
      </c>
      <c r="C710" s="5">
        <v>42269</v>
      </c>
      <c r="D710" s="2">
        <v>5050</v>
      </c>
      <c r="E710">
        <f>SUMIFS(CA_Feed!F:F, CA_Feed!B:B, B710, CA_Feed!E:E, "*DIVIDEND*", CA_Feed!D:D, "&gt;="&amp;C710)</f>
        <v>1.5</v>
      </c>
      <c r="F710">
        <f t="shared" si="96"/>
        <v>7575</v>
      </c>
      <c r="G710">
        <f t="shared" si="97"/>
        <v>757.5</v>
      </c>
      <c r="H710">
        <f t="shared" si="98"/>
        <v>6817.5</v>
      </c>
      <c r="I710">
        <f>D710 * SUMIFS(CA_Feed!G:G, CA_Feed!B:B, B710, CA_Feed!E:E, "*BONUS*", CA_Feed!D:D, "&gt;="&amp;C710)</f>
        <v>0</v>
      </c>
      <c r="J710">
        <f t="shared" si="99"/>
        <v>0</v>
      </c>
      <c r="K710">
        <f t="shared" si="100"/>
        <v>0</v>
      </c>
      <c r="L710">
        <f>IF(K710&gt;0, K710 * VLOOKUP(B710, CA_Feed!B:N, 13, FALSE), 0)</f>
        <v>0</v>
      </c>
      <c r="M710">
        <f t="shared" si="95"/>
        <v>6817.5</v>
      </c>
      <c r="N710" s="2">
        <f t="shared" si="101"/>
        <v>0</v>
      </c>
      <c r="O710" t="str">
        <f>IF(COUNTIFS(CA_Feed!B:B, B710)=0, "No Action Announced", IF(COUNTIFS(CA_Feed!B:B, B710, CA_Feed!D:D, "&gt;="&amp;C710)&gt;0, "Processed (Eligible)", "Ineligible (Post Ex-Date)"))</f>
        <v>Processed (Eligible)</v>
      </c>
    </row>
    <row r="711" spans="1:15" x14ac:dyDescent="0.3">
      <c r="A711" t="s">
        <v>787</v>
      </c>
      <c r="B711" t="s">
        <v>23</v>
      </c>
      <c r="C711" s="5">
        <v>44501</v>
      </c>
      <c r="D711" s="2">
        <v>3050</v>
      </c>
      <c r="E711">
        <f>SUMIFS(CA_Feed!F:F, CA_Feed!B:B, B711, CA_Feed!E:E, "*DIVIDEND*", CA_Feed!D:D, "&gt;="&amp;C711)</f>
        <v>1.5000000000000002</v>
      </c>
      <c r="F711">
        <f t="shared" si="96"/>
        <v>4575.0000000000009</v>
      </c>
      <c r="G711">
        <f t="shared" si="97"/>
        <v>457.50000000000011</v>
      </c>
      <c r="H711">
        <f t="shared" si="98"/>
        <v>4117.5000000000009</v>
      </c>
      <c r="I711">
        <f>D711 * SUMIFS(CA_Feed!G:G, CA_Feed!B:B, B711, CA_Feed!E:E, "*BONUS*", CA_Feed!D:D, "&gt;="&amp;C711)</f>
        <v>0</v>
      </c>
      <c r="J711">
        <f t="shared" si="99"/>
        <v>0</v>
      </c>
      <c r="K711">
        <f t="shared" si="100"/>
        <v>0</v>
      </c>
      <c r="L711">
        <f>IF(K711&gt;0, K711 * VLOOKUP(B711, CA_Feed!B:N, 13, FALSE), 0)</f>
        <v>0</v>
      </c>
      <c r="M711">
        <f t="shared" si="95"/>
        <v>4117.5000000000009</v>
      </c>
      <c r="N711" s="2">
        <f t="shared" si="101"/>
        <v>0</v>
      </c>
      <c r="O711" t="str">
        <f>IF(COUNTIFS(CA_Feed!B:B, B711)=0, "No Action Announced", IF(COUNTIFS(CA_Feed!B:B, B711, CA_Feed!D:D, "&gt;="&amp;C711)&gt;0, "Processed (Eligible)", "Ineligible (Post Ex-Date)"))</f>
        <v>Processed (Eligible)</v>
      </c>
    </row>
    <row r="712" spans="1:15" x14ac:dyDescent="0.3">
      <c r="A712" t="s">
        <v>788</v>
      </c>
      <c r="B712" t="s">
        <v>25</v>
      </c>
      <c r="C712" s="5">
        <v>44806</v>
      </c>
      <c r="D712" s="2">
        <v>2050</v>
      </c>
      <c r="E712">
        <f>SUMIFS(CA_Feed!F:F, CA_Feed!B:B, B712, CA_Feed!E:E, "*DIVIDEND*", CA_Feed!D:D, "&gt;="&amp;C712)</f>
        <v>2.5</v>
      </c>
      <c r="F712">
        <f t="shared" si="96"/>
        <v>5125</v>
      </c>
      <c r="G712">
        <f t="shared" si="97"/>
        <v>512.5</v>
      </c>
      <c r="H712">
        <f t="shared" si="98"/>
        <v>4612.5</v>
      </c>
      <c r="I712">
        <f>D712 * SUMIFS(CA_Feed!G:G, CA_Feed!B:B, B712, CA_Feed!E:E, "*BONUS*", CA_Feed!D:D, "&gt;="&amp;C712)</f>
        <v>0</v>
      </c>
      <c r="J712">
        <f t="shared" si="99"/>
        <v>0</v>
      </c>
      <c r="K712">
        <f t="shared" si="100"/>
        <v>0</v>
      </c>
      <c r="L712">
        <f>IF(K712&gt;0, K712 * VLOOKUP(B712, CA_Feed!B:N, 13, FALSE), 0)</f>
        <v>0</v>
      </c>
      <c r="M712">
        <f t="shared" si="95"/>
        <v>4612.5</v>
      </c>
      <c r="N712" s="2">
        <f t="shared" si="101"/>
        <v>0</v>
      </c>
      <c r="O712" t="str">
        <f>IF(COUNTIFS(CA_Feed!B:B, B712)=0, "No Action Announced", IF(COUNTIFS(CA_Feed!B:B, B712, CA_Feed!D:D, "&gt;="&amp;C712)&gt;0, "Processed (Eligible)", "Ineligible (Post Ex-Date)"))</f>
        <v>Processed (Eligible)</v>
      </c>
    </row>
    <row r="713" spans="1:15" x14ac:dyDescent="0.3">
      <c r="A713" t="s">
        <v>138</v>
      </c>
      <c r="B713" t="s">
        <v>12</v>
      </c>
      <c r="C713" s="5">
        <v>46235</v>
      </c>
      <c r="D713" s="2">
        <v>15</v>
      </c>
      <c r="E713">
        <f>SUMIFS(CA_Feed!F:F, CA_Feed!B:B, B713, CA_Feed!E:E, "*DIVIDEND*", CA_Feed!D:D, "&gt;="&amp;C713)</f>
        <v>0</v>
      </c>
      <c r="F713">
        <f t="shared" si="96"/>
        <v>0</v>
      </c>
      <c r="G713">
        <f t="shared" si="97"/>
        <v>0</v>
      </c>
      <c r="H713">
        <f t="shared" si="98"/>
        <v>0</v>
      </c>
      <c r="I713">
        <f>D713 * SUMIFS(CA_Feed!G:G, CA_Feed!B:B, B713, CA_Feed!E:E, "*BONUS*", CA_Feed!D:D, "&gt;="&amp;C713)</f>
        <v>0</v>
      </c>
      <c r="J713">
        <f t="shared" si="99"/>
        <v>0</v>
      </c>
      <c r="K713">
        <f t="shared" si="100"/>
        <v>0</v>
      </c>
      <c r="L713">
        <f>IF(K713&gt;0, K713 * VLOOKUP(B713, CA_Feed!B:N, 13, FALSE), 0)</f>
        <v>0</v>
      </c>
      <c r="M713">
        <f t="shared" si="95"/>
        <v>0</v>
      </c>
      <c r="N713" s="2">
        <f t="shared" si="101"/>
        <v>0</v>
      </c>
      <c r="O713" t="str">
        <f>IF(COUNTIFS(CA_Feed!B:B, B713)=0, "No Action Announced", IF(COUNTIFS(CA_Feed!B:B, B713, CA_Feed!D:D, "&gt;="&amp;C713)&gt;0, "Processed (Eligible)", "Ineligible (Post Ex-Date)"))</f>
        <v>Ineligible (Post Ex-Date)</v>
      </c>
    </row>
    <row r="714" spans="1:15" x14ac:dyDescent="0.3">
      <c r="A714" t="s">
        <v>363</v>
      </c>
      <c r="B714" t="s">
        <v>12</v>
      </c>
      <c r="C714" s="5">
        <v>45431</v>
      </c>
      <c r="D714" s="2">
        <v>15</v>
      </c>
      <c r="E714">
        <f>SUMIFS(CA_Feed!F:F, CA_Feed!B:B, B714, CA_Feed!E:E, "*DIVIDEND*", CA_Feed!D:D, "&gt;="&amp;C714)</f>
        <v>19</v>
      </c>
      <c r="F714">
        <f t="shared" si="96"/>
        <v>285</v>
      </c>
      <c r="G714">
        <f t="shared" si="97"/>
        <v>28.5</v>
      </c>
      <c r="H714">
        <f t="shared" si="98"/>
        <v>256.5</v>
      </c>
      <c r="I714">
        <f>D714 * SUMIFS(CA_Feed!G:G, CA_Feed!B:B, B714, CA_Feed!E:E, "*BONUS*", CA_Feed!D:D, "&gt;="&amp;C714)</f>
        <v>0</v>
      </c>
      <c r="J714">
        <f t="shared" si="99"/>
        <v>0</v>
      </c>
      <c r="K714">
        <f t="shared" si="100"/>
        <v>0</v>
      </c>
      <c r="L714">
        <f>IF(K714&gt;0, K714 * VLOOKUP(B714, CA_Feed!B:N, 13, FALSE), 0)</f>
        <v>0</v>
      </c>
      <c r="M714">
        <f t="shared" si="95"/>
        <v>256.5</v>
      </c>
      <c r="N714" s="2">
        <f t="shared" si="101"/>
        <v>0</v>
      </c>
      <c r="O714" t="str">
        <f>IF(COUNTIFS(CA_Feed!B:B, B714)=0, "No Action Announced", IF(COUNTIFS(CA_Feed!B:B, B714, CA_Feed!D:D, "&gt;="&amp;C714)&gt;0, "Processed (Eligible)", "Ineligible (Post Ex-Date)"))</f>
        <v>Processed (Eligible)</v>
      </c>
    </row>
    <row r="715" spans="1:15" x14ac:dyDescent="0.3">
      <c r="A715" t="s">
        <v>784</v>
      </c>
      <c r="B715" t="s">
        <v>12</v>
      </c>
      <c r="C715" s="5">
        <v>44492</v>
      </c>
      <c r="D715" s="2">
        <v>15</v>
      </c>
      <c r="E715">
        <f>SUMIFS(CA_Feed!F:F, CA_Feed!B:B, B715, CA_Feed!E:E, "*DIVIDEND*", CA_Feed!D:D, "&gt;="&amp;C715)</f>
        <v>19</v>
      </c>
      <c r="F715">
        <f t="shared" si="96"/>
        <v>285</v>
      </c>
      <c r="G715">
        <f t="shared" si="97"/>
        <v>28.5</v>
      </c>
      <c r="H715">
        <f t="shared" si="98"/>
        <v>256.5</v>
      </c>
      <c r="I715">
        <f>D715 * SUMIFS(CA_Feed!G:G, CA_Feed!B:B, B715, CA_Feed!E:E, "*BONUS*", CA_Feed!D:D, "&gt;="&amp;C715)</f>
        <v>0</v>
      </c>
      <c r="J715">
        <f t="shared" si="99"/>
        <v>0</v>
      </c>
      <c r="K715">
        <f t="shared" si="100"/>
        <v>0</v>
      </c>
      <c r="L715">
        <f>IF(K715&gt;0, K715 * VLOOKUP(B715, CA_Feed!B:N, 13, FALSE), 0)</f>
        <v>0</v>
      </c>
      <c r="M715">
        <f t="shared" si="95"/>
        <v>256.5</v>
      </c>
      <c r="N715" s="2">
        <f t="shared" si="101"/>
        <v>0</v>
      </c>
      <c r="O715" t="str">
        <f>IF(COUNTIFS(CA_Feed!B:B, B715)=0, "No Action Announced", IF(COUNTIFS(CA_Feed!B:B, B715, CA_Feed!D:D, "&gt;="&amp;C715)&gt;0, "Processed (Eligible)", "Ineligible (Post Ex-Date)"))</f>
        <v>Processed (Eligible)</v>
      </c>
    </row>
    <row r="716" spans="1:15" x14ac:dyDescent="0.3">
      <c r="A716" t="s">
        <v>792</v>
      </c>
      <c r="B716" t="s">
        <v>37</v>
      </c>
      <c r="C716" s="5">
        <v>43876</v>
      </c>
      <c r="D716" s="2">
        <v>5300</v>
      </c>
      <c r="E716">
        <f>SUMIFS(CA_Feed!F:F, CA_Feed!B:B, B716, CA_Feed!E:E, "*DIVIDEND*", CA_Feed!D:D, "&gt;="&amp;C716)</f>
        <v>6.5</v>
      </c>
      <c r="F716">
        <f t="shared" si="96"/>
        <v>34450</v>
      </c>
      <c r="G716">
        <f t="shared" si="97"/>
        <v>3445</v>
      </c>
      <c r="H716">
        <f t="shared" si="98"/>
        <v>31005</v>
      </c>
      <c r="I716">
        <f>D716 * SUMIFS(CA_Feed!G:G, CA_Feed!B:B, B716, CA_Feed!E:E, "*BONUS*", CA_Feed!D:D, "&gt;="&amp;C716)</f>
        <v>0</v>
      </c>
      <c r="J716">
        <f t="shared" si="99"/>
        <v>0</v>
      </c>
      <c r="K716">
        <f t="shared" si="100"/>
        <v>0</v>
      </c>
      <c r="L716">
        <f>IF(K716&gt;0, K716 * VLOOKUP(B716, CA_Feed!B:N, 13, FALSE), 0)</f>
        <v>0</v>
      </c>
      <c r="M716">
        <f t="shared" si="95"/>
        <v>31005</v>
      </c>
      <c r="N716" s="2">
        <f t="shared" si="101"/>
        <v>0</v>
      </c>
      <c r="O716" t="str">
        <f>IF(COUNTIFS(CA_Feed!B:B, B716)=0, "No Action Announced", IF(COUNTIFS(CA_Feed!B:B, B716, CA_Feed!D:D, "&gt;="&amp;C716)&gt;0, "Processed (Eligible)", "Ineligible (Post Ex-Date)"))</f>
        <v>Processed (Eligible)</v>
      </c>
    </row>
    <row r="717" spans="1:15" x14ac:dyDescent="0.3">
      <c r="A717" t="s">
        <v>793</v>
      </c>
      <c r="B717" t="s">
        <v>61</v>
      </c>
      <c r="C717" s="5">
        <v>44494</v>
      </c>
      <c r="D717" s="2">
        <v>2150</v>
      </c>
      <c r="E717">
        <f>SUMIFS(CA_Feed!F:F, CA_Feed!B:B, B717, CA_Feed!E:E, "*DIVIDEND*", CA_Feed!D:D, "&gt;="&amp;C717)</f>
        <v>8</v>
      </c>
      <c r="F717">
        <f t="shared" si="96"/>
        <v>17200</v>
      </c>
      <c r="G717">
        <f t="shared" si="97"/>
        <v>1720</v>
      </c>
      <c r="H717">
        <f t="shared" si="98"/>
        <v>15480</v>
      </c>
      <c r="I717">
        <f>D717 * SUMIFS(CA_Feed!G:G, CA_Feed!B:B, B717, CA_Feed!E:E, "*BONUS*", CA_Feed!D:D, "&gt;="&amp;C717)</f>
        <v>0</v>
      </c>
      <c r="J717">
        <f t="shared" si="99"/>
        <v>0</v>
      </c>
      <c r="K717">
        <f t="shared" si="100"/>
        <v>0</v>
      </c>
      <c r="L717">
        <f>IF(K717&gt;0, K717 * VLOOKUP(B717, CA_Feed!B:N, 13, FALSE), 0)</f>
        <v>0</v>
      </c>
      <c r="M717">
        <f t="shared" si="95"/>
        <v>15480</v>
      </c>
      <c r="N717" s="2">
        <f t="shared" si="101"/>
        <v>0</v>
      </c>
      <c r="O717" t="str">
        <f>IF(COUNTIFS(CA_Feed!B:B, B717)=0, "No Action Announced", IF(COUNTIFS(CA_Feed!B:B, B717, CA_Feed!D:D, "&gt;="&amp;C717)&gt;0, "Processed (Eligible)", "Ineligible (Post Ex-Date)"))</f>
        <v>Processed (Eligible)</v>
      </c>
    </row>
    <row r="718" spans="1:15" x14ac:dyDescent="0.3">
      <c r="A718" t="s">
        <v>794</v>
      </c>
      <c r="B718" t="s">
        <v>39</v>
      </c>
      <c r="C718" s="5">
        <v>43466</v>
      </c>
      <c r="D718" s="2">
        <v>2650</v>
      </c>
      <c r="E718">
        <f>SUMIFS(CA_Feed!F:F, CA_Feed!B:B, B718, CA_Feed!E:E, "*DIVIDEND*", CA_Feed!D:D, "&gt;="&amp;C718)</f>
        <v>1.2</v>
      </c>
      <c r="F718">
        <f t="shared" si="96"/>
        <v>3180</v>
      </c>
      <c r="G718">
        <f t="shared" si="97"/>
        <v>318</v>
      </c>
      <c r="H718">
        <f t="shared" si="98"/>
        <v>2862</v>
      </c>
      <c r="I718">
        <f>D718 * SUMIFS(CA_Feed!G:G, CA_Feed!B:B, B718, CA_Feed!E:E, "*BONUS*", CA_Feed!D:D, "&gt;="&amp;C718)</f>
        <v>0</v>
      </c>
      <c r="J718">
        <f t="shared" si="99"/>
        <v>0</v>
      </c>
      <c r="K718">
        <f t="shared" si="100"/>
        <v>0</v>
      </c>
      <c r="L718">
        <f>IF(K718&gt;0, K718 * VLOOKUP(B718, CA_Feed!B:N, 13, FALSE), 0)</f>
        <v>0</v>
      </c>
      <c r="M718">
        <f t="shared" si="95"/>
        <v>2862</v>
      </c>
      <c r="N718" s="2">
        <f t="shared" si="101"/>
        <v>0</v>
      </c>
      <c r="O718" t="str">
        <f>IF(COUNTIFS(CA_Feed!B:B, B718)=0, "No Action Announced", IF(COUNTIFS(CA_Feed!B:B, B718, CA_Feed!D:D, "&gt;="&amp;C718)&gt;0, "Processed (Eligible)", "Ineligible (Post Ex-Date)"))</f>
        <v>Processed (Eligible)</v>
      </c>
    </row>
    <row r="719" spans="1:15" x14ac:dyDescent="0.3">
      <c r="A719" t="s">
        <v>88</v>
      </c>
      <c r="B719" t="s">
        <v>12</v>
      </c>
      <c r="C719" s="5">
        <v>44100</v>
      </c>
      <c r="D719" s="2">
        <v>15</v>
      </c>
      <c r="E719">
        <f>SUMIFS(CA_Feed!F:F, CA_Feed!B:B, B719, CA_Feed!E:E, "*DIVIDEND*", CA_Feed!D:D, "&gt;="&amp;C719)</f>
        <v>19</v>
      </c>
      <c r="F719">
        <f t="shared" si="96"/>
        <v>285</v>
      </c>
      <c r="G719">
        <f t="shared" si="97"/>
        <v>28.5</v>
      </c>
      <c r="H719">
        <f t="shared" si="98"/>
        <v>256.5</v>
      </c>
      <c r="I719">
        <f>D719 * SUMIFS(CA_Feed!G:G, CA_Feed!B:B, B719, CA_Feed!E:E, "*BONUS*", CA_Feed!D:D, "&gt;="&amp;C719)</f>
        <v>0</v>
      </c>
      <c r="J719">
        <f t="shared" si="99"/>
        <v>0</v>
      </c>
      <c r="K719">
        <f t="shared" si="100"/>
        <v>0</v>
      </c>
      <c r="L719">
        <f>IF(K719&gt;0, K719 * VLOOKUP(B719, CA_Feed!B:N, 13, FALSE), 0)</f>
        <v>0</v>
      </c>
      <c r="M719">
        <f t="shared" si="95"/>
        <v>256.5</v>
      </c>
      <c r="N719" s="2">
        <f t="shared" si="101"/>
        <v>0</v>
      </c>
      <c r="O719" t="str">
        <f>IF(COUNTIFS(CA_Feed!B:B, B719)=0, "No Action Announced", IF(COUNTIFS(CA_Feed!B:B, B719, CA_Feed!D:D, "&gt;="&amp;C719)&gt;0, "Processed (Eligible)", "Ineligible (Post Ex-Date)"))</f>
        <v>Processed (Eligible)</v>
      </c>
    </row>
    <row r="720" spans="1:15" x14ac:dyDescent="0.3">
      <c r="A720" t="s">
        <v>796</v>
      </c>
      <c r="B720" t="s">
        <v>63</v>
      </c>
      <c r="C720" s="5">
        <v>43374</v>
      </c>
      <c r="D720" s="2">
        <v>1800</v>
      </c>
      <c r="E720">
        <f>SUMIFS(CA_Feed!F:F, CA_Feed!B:B, B720, CA_Feed!E:E, "*DIVIDEND*", CA_Feed!D:D, "&gt;="&amp;C720)</f>
        <v>0</v>
      </c>
      <c r="F720">
        <f t="shared" si="96"/>
        <v>0</v>
      </c>
      <c r="G720">
        <f t="shared" si="97"/>
        <v>0</v>
      </c>
      <c r="H720">
        <f t="shared" si="98"/>
        <v>0</v>
      </c>
      <c r="I720">
        <f>D720 * SUMIFS(CA_Feed!G:G, CA_Feed!B:B, B720, CA_Feed!E:E, "*BONUS*", CA_Feed!D:D, "&gt;="&amp;C720)</f>
        <v>300</v>
      </c>
      <c r="J720">
        <f t="shared" si="99"/>
        <v>300</v>
      </c>
      <c r="K720">
        <f t="shared" si="100"/>
        <v>0</v>
      </c>
      <c r="L720">
        <f>IF(K720&gt;0, K720 * VLOOKUP(B720, CA_Feed!B:N, 13, FALSE), 0)</f>
        <v>0</v>
      </c>
      <c r="M720">
        <f t="shared" si="95"/>
        <v>0</v>
      </c>
      <c r="N720" s="2">
        <f t="shared" si="101"/>
        <v>2100</v>
      </c>
      <c r="O720" t="str">
        <f>IF(COUNTIFS(CA_Feed!B:B, B720)=0, "No Action Announced", IF(COUNTIFS(CA_Feed!B:B, B720, CA_Feed!D:D, "&gt;="&amp;C720)&gt;0, "Processed (Eligible)", "Ineligible (Post Ex-Date)"))</f>
        <v>Processed (Eligible)</v>
      </c>
    </row>
    <row r="721" spans="1:15" x14ac:dyDescent="0.3">
      <c r="A721" t="s">
        <v>797</v>
      </c>
      <c r="B721" t="s">
        <v>29</v>
      </c>
      <c r="C721" s="5">
        <v>44584</v>
      </c>
      <c r="D721" s="2">
        <v>5050</v>
      </c>
      <c r="E721">
        <f>SUMIFS(CA_Feed!F:F, CA_Feed!B:B, B721, CA_Feed!E:E, "*DIVIDEND*", CA_Feed!D:D, "&gt;="&amp;C721)</f>
        <v>3</v>
      </c>
      <c r="F721">
        <f t="shared" si="96"/>
        <v>15150</v>
      </c>
      <c r="G721">
        <f t="shared" si="97"/>
        <v>1515</v>
      </c>
      <c r="H721">
        <f t="shared" si="98"/>
        <v>13635</v>
      </c>
      <c r="I721">
        <f>D721 * SUMIFS(CA_Feed!G:G, CA_Feed!B:B, B721, CA_Feed!E:E, "*BONUS*", CA_Feed!D:D, "&gt;="&amp;C721)</f>
        <v>0</v>
      </c>
      <c r="J721">
        <f t="shared" si="99"/>
        <v>0</v>
      </c>
      <c r="K721">
        <f t="shared" si="100"/>
        <v>0</v>
      </c>
      <c r="L721">
        <f>IF(K721&gt;0, K721 * VLOOKUP(B721, CA_Feed!B:N, 13, FALSE), 0)</f>
        <v>0</v>
      </c>
      <c r="M721">
        <f t="shared" si="95"/>
        <v>13635</v>
      </c>
      <c r="N721" s="2">
        <f t="shared" si="101"/>
        <v>0</v>
      </c>
      <c r="O721" t="str">
        <f>IF(COUNTIFS(CA_Feed!B:B, B721)=0, "No Action Announced", IF(COUNTIFS(CA_Feed!B:B, B721, CA_Feed!D:D, "&gt;="&amp;C721)&gt;0, "Processed (Eligible)", "Ineligible (Post Ex-Date)"))</f>
        <v>Processed (Eligible)</v>
      </c>
    </row>
    <row r="722" spans="1:15" x14ac:dyDescent="0.3">
      <c r="A722" t="s">
        <v>393</v>
      </c>
      <c r="B722" t="s">
        <v>12</v>
      </c>
      <c r="C722" s="5">
        <v>43869</v>
      </c>
      <c r="D722" s="2">
        <v>15</v>
      </c>
      <c r="E722">
        <f>SUMIFS(CA_Feed!F:F, CA_Feed!B:B, B722, CA_Feed!E:E, "*DIVIDEND*", CA_Feed!D:D, "&gt;="&amp;C722)</f>
        <v>19</v>
      </c>
      <c r="F722">
        <f t="shared" si="96"/>
        <v>285</v>
      </c>
      <c r="G722">
        <f t="shared" si="97"/>
        <v>28.5</v>
      </c>
      <c r="H722">
        <f t="shared" si="98"/>
        <v>256.5</v>
      </c>
      <c r="I722">
        <f>D722 * SUMIFS(CA_Feed!G:G, CA_Feed!B:B, B722, CA_Feed!E:E, "*BONUS*", CA_Feed!D:D, "&gt;="&amp;C722)</f>
        <v>0</v>
      </c>
      <c r="J722">
        <f t="shared" si="99"/>
        <v>0</v>
      </c>
      <c r="K722">
        <f t="shared" si="100"/>
        <v>0</v>
      </c>
      <c r="L722">
        <f>IF(K722&gt;0, K722 * VLOOKUP(B722, CA_Feed!B:N, 13, FALSE), 0)</f>
        <v>0</v>
      </c>
      <c r="M722">
        <f t="shared" si="95"/>
        <v>256.5</v>
      </c>
      <c r="N722" s="2">
        <f t="shared" si="101"/>
        <v>0</v>
      </c>
      <c r="O722" t="str">
        <f>IF(COUNTIFS(CA_Feed!B:B, B722)=0, "No Action Announced", IF(COUNTIFS(CA_Feed!B:B, B722, CA_Feed!D:D, "&gt;="&amp;C722)&gt;0, "Processed (Eligible)", "Ineligible (Post Ex-Date)"))</f>
        <v>Processed (Eligible)</v>
      </c>
    </row>
    <row r="723" spans="1:15" x14ac:dyDescent="0.3">
      <c r="A723" t="s">
        <v>799</v>
      </c>
      <c r="B723" t="s">
        <v>23</v>
      </c>
      <c r="C723" s="5">
        <v>43912</v>
      </c>
      <c r="D723" s="2">
        <v>5200</v>
      </c>
      <c r="E723">
        <f>SUMIFS(CA_Feed!F:F, CA_Feed!B:B, B723, CA_Feed!E:E, "*DIVIDEND*", CA_Feed!D:D, "&gt;="&amp;C723)</f>
        <v>1.5000000000000002</v>
      </c>
      <c r="F723">
        <f t="shared" si="96"/>
        <v>7800.0000000000009</v>
      </c>
      <c r="G723">
        <f t="shared" si="97"/>
        <v>780.00000000000011</v>
      </c>
      <c r="H723">
        <f t="shared" si="98"/>
        <v>7020.0000000000009</v>
      </c>
      <c r="I723">
        <f>D723 * SUMIFS(CA_Feed!G:G, CA_Feed!B:B, B723, CA_Feed!E:E, "*BONUS*", CA_Feed!D:D, "&gt;="&amp;C723)</f>
        <v>0</v>
      </c>
      <c r="J723">
        <f t="shared" si="99"/>
        <v>0</v>
      </c>
      <c r="K723">
        <f t="shared" si="100"/>
        <v>0</v>
      </c>
      <c r="L723">
        <f>IF(K723&gt;0, K723 * VLOOKUP(B723, CA_Feed!B:N, 13, FALSE), 0)</f>
        <v>0</v>
      </c>
      <c r="M723">
        <f t="shared" si="95"/>
        <v>7020.0000000000009</v>
      </c>
      <c r="N723" s="2">
        <f t="shared" si="101"/>
        <v>0</v>
      </c>
      <c r="O723" t="str">
        <f>IF(COUNTIFS(CA_Feed!B:B, B723)=0, "No Action Announced", IF(COUNTIFS(CA_Feed!B:B, B723, CA_Feed!D:D, "&gt;="&amp;C723)&gt;0, "Processed (Eligible)", "Ineligible (Post Ex-Date)"))</f>
        <v>Processed (Eligible)</v>
      </c>
    </row>
    <row r="724" spans="1:15" x14ac:dyDescent="0.3">
      <c r="A724" t="s">
        <v>800</v>
      </c>
      <c r="B724" t="s">
        <v>16</v>
      </c>
      <c r="C724" s="5">
        <v>44148</v>
      </c>
      <c r="D724" s="2">
        <v>6500</v>
      </c>
      <c r="E724">
        <f>SUMIFS(CA_Feed!F:F, CA_Feed!B:B, B724, CA_Feed!E:E, "*DIVIDEND*", CA_Feed!D:D, "&gt;="&amp;C724)</f>
        <v>3.75</v>
      </c>
      <c r="F724">
        <f t="shared" si="96"/>
        <v>24375</v>
      </c>
      <c r="G724">
        <f t="shared" si="97"/>
        <v>2437.5</v>
      </c>
      <c r="H724">
        <f t="shared" si="98"/>
        <v>21937.5</v>
      </c>
      <c r="I724">
        <f>D724 * SUMIFS(CA_Feed!G:G, CA_Feed!B:B, B724, CA_Feed!E:E, "*BONUS*", CA_Feed!D:D, "&gt;="&amp;C724)</f>
        <v>0</v>
      </c>
      <c r="J724">
        <f t="shared" si="99"/>
        <v>0</v>
      </c>
      <c r="K724">
        <f t="shared" si="100"/>
        <v>0</v>
      </c>
      <c r="L724">
        <f>IF(K724&gt;0, K724 * VLOOKUP(B724, CA_Feed!B:N, 13, FALSE), 0)</f>
        <v>0</v>
      </c>
      <c r="M724">
        <f t="shared" si="95"/>
        <v>21937.5</v>
      </c>
      <c r="N724" s="2">
        <f t="shared" si="101"/>
        <v>0</v>
      </c>
      <c r="O724" t="str">
        <f>IF(COUNTIFS(CA_Feed!B:B, B724)=0, "No Action Announced", IF(COUNTIFS(CA_Feed!B:B, B724, CA_Feed!D:D, "&gt;="&amp;C724)&gt;0, "Processed (Eligible)", "Ineligible (Post Ex-Date)"))</f>
        <v>Processed (Eligible)</v>
      </c>
    </row>
    <row r="725" spans="1:15" x14ac:dyDescent="0.3">
      <c r="A725" t="s">
        <v>801</v>
      </c>
      <c r="B725" t="s">
        <v>33</v>
      </c>
      <c r="C725" s="5">
        <v>44713</v>
      </c>
      <c r="D725" s="2">
        <v>1250</v>
      </c>
      <c r="E725">
        <f>SUMIFS(CA_Feed!F:F, CA_Feed!B:B, B725, CA_Feed!E:E, "*DIVIDEND*", CA_Feed!D:D, "&gt;="&amp;C725)</f>
        <v>1.5</v>
      </c>
      <c r="F725">
        <f t="shared" si="96"/>
        <v>1875</v>
      </c>
      <c r="G725">
        <f t="shared" si="97"/>
        <v>187.5</v>
      </c>
      <c r="H725">
        <f t="shared" si="98"/>
        <v>1687.5</v>
      </c>
      <c r="I725">
        <f>D725 * SUMIFS(CA_Feed!G:G, CA_Feed!B:B, B725, CA_Feed!E:E, "*BONUS*", CA_Feed!D:D, "&gt;="&amp;C725)</f>
        <v>0</v>
      </c>
      <c r="J725">
        <f t="shared" si="99"/>
        <v>0</v>
      </c>
      <c r="K725">
        <f t="shared" si="100"/>
        <v>0</v>
      </c>
      <c r="L725">
        <f>IF(K725&gt;0, K725 * VLOOKUP(B725, CA_Feed!B:N, 13, FALSE), 0)</f>
        <v>0</v>
      </c>
      <c r="M725">
        <f t="shared" si="95"/>
        <v>1687.5</v>
      </c>
      <c r="N725" s="2">
        <f t="shared" si="101"/>
        <v>0</v>
      </c>
      <c r="O725" t="str">
        <f>IF(COUNTIFS(CA_Feed!B:B, B725)=0, "No Action Announced", IF(COUNTIFS(CA_Feed!B:B, B725, CA_Feed!D:D, "&gt;="&amp;C725)&gt;0, "Processed (Eligible)", "Ineligible (Post Ex-Date)"))</f>
        <v>Processed (Eligible)</v>
      </c>
    </row>
    <row r="726" spans="1:15" x14ac:dyDescent="0.3">
      <c r="A726" t="s">
        <v>802</v>
      </c>
      <c r="B726" t="s">
        <v>27</v>
      </c>
      <c r="C726" s="5">
        <v>44427</v>
      </c>
      <c r="D726" s="2">
        <v>7900</v>
      </c>
      <c r="E726">
        <f>SUMIFS(CA_Feed!F:F, CA_Feed!B:B, B726, CA_Feed!E:E, "*DIVIDEND*", CA_Feed!D:D, "&gt;="&amp;C726)</f>
        <v>3.25</v>
      </c>
      <c r="F726">
        <f t="shared" si="96"/>
        <v>25675</v>
      </c>
      <c r="G726">
        <f t="shared" si="97"/>
        <v>2567.5</v>
      </c>
      <c r="H726">
        <f t="shared" si="98"/>
        <v>23107.5</v>
      </c>
      <c r="I726">
        <f>D726 * SUMIFS(CA_Feed!G:G, CA_Feed!B:B, B726, CA_Feed!E:E, "*BONUS*", CA_Feed!D:D, "&gt;="&amp;C726)</f>
        <v>0</v>
      </c>
      <c r="J726">
        <f t="shared" si="99"/>
        <v>0</v>
      </c>
      <c r="K726">
        <f t="shared" si="100"/>
        <v>0</v>
      </c>
      <c r="L726">
        <f>IF(K726&gt;0, K726 * VLOOKUP(B726, CA_Feed!B:N, 13, FALSE), 0)</f>
        <v>0</v>
      </c>
      <c r="M726">
        <f t="shared" si="95"/>
        <v>23107.5</v>
      </c>
      <c r="N726" s="2">
        <f t="shared" si="101"/>
        <v>0</v>
      </c>
      <c r="O726" t="str">
        <f>IF(COUNTIFS(CA_Feed!B:B, B726)=0, "No Action Announced", IF(COUNTIFS(CA_Feed!B:B, B726, CA_Feed!D:D, "&gt;="&amp;C726)&gt;0, "Processed (Eligible)", "Ineligible (Post Ex-Date)"))</f>
        <v>Processed (Eligible)</v>
      </c>
    </row>
    <row r="727" spans="1:15" x14ac:dyDescent="0.3">
      <c r="A727" t="s">
        <v>803</v>
      </c>
      <c r="B727" t="s">
        <v>23</v>
      </c>
      <c r="C727" s="5">
        <v>45131</v>
      </c>
      <c r="D727" s="2">
        <v>8700</v>
      </c>
      <c r="E727">
        <f>SUMIFS(CA_Feed!F:F, CA_Feed!B:B, B727, CA_Feed!E:E, "*DIVIDEND*", CA_Feed!D:D, "&gt;="&amp;C727)</f>
        <v>1.5000000000000002</v>
      </c>
      <c r="F727">
        <f t="shared" si="96"/>
        <v>13050.000000000002</v>
      </c>
      <c r="G727">
        <f t="shared" si="97"/>
        <v>1305.0000000000002</v>
      </c>
      <c r="H727">
        <f t="shared" si="98"/>
        <v>11745.000000000002</v>
      </c>
      <c r="I727">
        <f>D727 * SUMIFS(CA_Feed!G:G, CA_Feed!B:B, B727, CA_Feed!E:E, "*BONUS*", CA_Feed!D:D, "&gt;="&amp;C727)</f>
        <v>0</v>
      </c>
      <c r="J727">
        <f t="shared" si="99"/>
        <v>0</v>
      </c>
      <c r="K727">
        <f t="shared" si="100"/>
        <v>0</v>
      </c>
      <c r="L727">
        <f>IF(K727&gt;0, K727 * VLOOKUP(B727, CA_Feed!B:N, 13, FALSE), 0)</f>
        <v>0</v>
      </c>
      <c r="M727">
        <f t="shared" si="95"/>
        <v>11745.000000000002</v>
      </c>
      <c r="N727" s="2">
        <f t="shared" si="101"/>
        <v>0</v>
      </c>
      <c r="O727" t="str">
        <f>IF(COUNTIFS(CA_Feed!B:B, B727)=0, "No Action Announced", IF(COUNTIFS(CA_Feed!B:B, B727, CA_Feed!D:D, "&gt;="&amp;C727)&gt;0, "Processed (Eligible)", "Ineligible (Post Ex-Date)"))</f>
        <v>Processed (Eligible)</v>
      </c>
    </row>
    <row r="728" spans="1:15" x14ac:dyDescent="0.3">
      <c r="A728" t="s">
        <v>674</v>
      </c>
      <c r="B728" t="s">
        <v>12</v>
      </c>
      <c r="C728" s="5">
        <v>43771</v>
      </c>
      <c r="D728" s="2">
        <v>15</v>
      </c>
      <c r="E728">
        <f>SUMIFS(CA_Feed!F:F, CA_Feed!B:B, B728, CA_Feed!E:E, "*DIVIDEND*", CA_Feed!D:D, "&gt;="&amp;C728)</f>
        <v>19</v>
      </c>
      <c r="F728">
        <f t="shared" si="96"/>
        <v>285</v>
      </c>
      <c r="G728">
        <f t="shared" si="97"/>
        <v>28.5</v>
      </c>
      <c r="H728">
        <f t="shared" si="98"/>
        <v>256.5</v>
      </c>
      <c r="I728">
        <f>D728 * SUMIFS(CA_Feed!G:G, CA_Feed!B:B, B728, CA_Feed!E:E, "*BONUS*", CA_Feed!D:D, "&gt;="&amp;C728)</f>
        <v>0</v>
      </c>
      <c r="J728">
        <f t="shared" si="99"/>
        <v>0</v>
      </c>
      <c r="K728">
        <f t="shared" si="100"/>
        <v>0</v>
      </c>
      <c r="L728">
        <f>IF(K728&gt;0, K728 * VLOOKUP(B728, CA_Feed!B:N, 13, FALSE), 0)</f>
        <v>0</v>
      </c>
      <c r="M728">
        <f t="shared" si="95"/>
        <v>256.5</v>
      </c>
      <c r="N728" s="2">
        <f t="shared" si="101"/>
        <v>0</v>
      </c>
      <c r="O728" t="str">
        <f>IF(COUNTIFS(CA_Feed!B:B, B728)=0, "No Action Announced", IF(COUNTIFS(CA_Feed!B:B, B728, CA_Feed!D:D, "&gt;="&amp;C728)&gt;0, "Processed (Eligible)", "Ineligible (Post Ex-Date)"))</f>
        <v>Processed (Eligible)</v>
      </c>
    </row>
    <row r="729" spans="1:15" x14ac:dyDescent="0.3">
      <c r="A729" t="s">
        <v>805</v>
      </c>
      <c r="B729" t="s">
        <v>16</v>
      </c>
      <c r="C729" s="5">
        <v>45538</v>
      </c>
      <c r="D729" s="2">
        <v>6750</v>
      </c>
      <c r="E729">
        <f>SUMIFS(CA_Feed!F:F, CA_Feed!B:B, B729, CA_Feed!E:E, "*DIVIDEND*", CA_Feed!D:D, "&gt;="&amp;C729)</f>
        <v>2.5</v>
      </c>
      <c r="F729">
        <f t="shared" si="96"/>
        <v>16875</v>
      </c>
      <c r="G729">
        <f t="shared" si="97"/>
        <v>1687.5</v>
      </c>
      <c r="H729">
        <f t="shared" si="98"/>
        <v>15187.5</v>
      </c>
      <c r="I729">
        <f>D729 * SUMIFS(CA_Feed!G:G, CA_Feed!B:B, B729, CA_Feed!E:E, "*BONUS*", CA_Feed!D:D, "&gt;="&amp;C729)</f>
        <v>0</v>
      </c>
      <c r="J729">
        <f t="shared" si="99"/>
        <v>0</v>
      </c>
      <c r="K729">
        <f t="shared" si="100"/>
        <v>0</v>
      </c>
      <c r="L729">
        <f>IF(K729&gt;0, K729 * VLOOKUP(B729, CA_Feed!B:N, 13, FALSE), 0)</f>
        <v>0</v>
      </c>
      <c r="M729">
        <f t="shared" si="95"/>
        <v>15187.5</v>
      </c>
      <c r="N729" s="2">
        <f t="shared" si="101"/>
        <v>0</v>
      </c>
      <c r="O729" t="str">
        <f>IF(COUNTIFS(CA_Feed!B:B, B729)=0, "No Action Announced", IF(COUNTIFS(CA_Feed!B:B, B729, CA_Feed!D:D, "&gt;="&amp;C729)&gt;0, "Processed (Eligible)", "Ineligible (Post Ex-Date)"))</f>
        <v>Processed (Eligible)</v>
      </c>
    </row>
    <row r="730" spans="1:15" x14ac:dyDescent="0.3">
      <c r="A730" t="s">
        <v>806</v>
      </c>
      <c r="B730" t="s">
        <v>31</v>
      </c>
      <c r="C730" s="5">
        <v>42663</v>
      </c>
      <c r="D730" s="2">
        <v>8200</v>
      </c>
      <c r="E730">
        <f>SUMIFS(CA_Feed!F:F, CA_Feed!B:B, B730, CA_Feed!E:E, "*DIVIDEND*", CA_Feed!D:D, "&gt;="&amp;C730)</f>
        <v>3</v>
      </c>
      <c r="F730">
        <f t="shared" si="96"/>
        <v>24600</v>
      </c>
      <c r="G730">
        <f t="shared" si="97"/>
        <v>2460</v>
      </c>
      <c r="H730">
        <f t="shared" si="98"/>
        <v>22140</v>
      </c>
      <c r="I730">
        <f>D730 * SUMIFS(CA_Feed!G:G, CA_Feed!B:B, B730, CA_Feed!E:E, "*BONUS*", CA_Feed!D:D, "&gt;="&amp;C730)</f>
        <v>0</v>
      </c>
      <c r="J730">
        <f t="shared" si="99"/>
        <v>0</v>
      </c>
      <c r="K730">
        <f t="shared" si="100"/>
        <v>0</v>
      </c>
      <c r="L730">
        <f>IF(K730&gt;0, K730 * VLOOKUP(B730, CA_Feed!B:N, 13, FALSE), 0)</f>
        <v>0</v>
      </c>
      <c r="M730">
        <f t="shared" si="95"/>
        <v>22140</v>
      </c>
      <c r="N730" s="2">
        <f t="shared" si="101"/>
        <v>0</v>
      </c>
      <c r="O730" t="str">
        <f>IF(COUNTIFS(CA_Feed!B:B, B730)=0, "No Action Announced", IF(COUNTIFS(CA_Feed!B:B, B730, CA_Feed!D:D, "&gt;="&amp;C730)&gt;0, "Processed (Eligible)", "Ineligible (Post Ex-Date)"))</f>
        <v>Processed (Eligible)</v>
      </c>
    </row>
    <row r="731" spans="1:15" x14ac:dyDescent="0.3">
      <c r="A731" t="s">
        <v>807</v>
      </c>
      <c r="B731" t="s">
        <v>23</v>
      </c>
      <c r="C731" s="5">
        <v>42685</v>
      </c>
      <c r="D731" s="2">
        <v>8350</v>
      </c>
      <c r="E731">
        <f>SUMIFS(CA_Feed!F:F, CA_Feed!B:B, B731, CA_Feed!E:E, "*DIVIDEND*", CA_Feed!D:D, "&gt;="&amp;C731)</f>
        <v>1.5000000000000002</v>
      </c>
      <c r="F731">
        <f t="shared" si="96"/>
        <v>12525.000000000002</v>
      </c>
      <c r="G731">
        <f t="shared" si="97"/>
        <v>1252.5000000000002</v>
      </c>
      <c r="H731">
        <f t="shared" si="98"/>
        <v>11272.500000000002</v>
      </c>
      <c r="I731">
        <f>D731 * SUMIFS(CA_Feed!G:G, CA_Feed!B:B, B731, CA_Feed!E:E, "*BONUS*", CA_Feed!D:D, "&gt;="&amp;C731)</f>
        <v>0</v>
      </c>
      <c r="J731">
        <f t="shared" si="99"/>
        <v>0</v>
      </c>
      <c r="K731">
        <f t="shared" si="100"/>
        <v>0</v>
      </c>
      <c r="L731">
        <f>IF(K731&gt;0, K731 * VLOOKUP(B731, CA_Feed!B:N, 13, FALSE), 0)</f>
        <v>0</v>
      </c>
      <c r="M731">
        <f t="shared" si="95"/>
        <v>11272.500000000002</v>
      </c>
      <c r="N731" s="2">
        <f t="shared" si="101"/>
        <v>0</v>
      </c>
      <c r="O731" t="str">
        <f>IF(COUNTIFS(CA_Feed!B:B, B731)=0, "No Action Announced", IF(COUNTIFS(CA_Feed!B:B, B731, CA_Feed!D:D, "&gt;="&amp;C731)&gt;0, "Processed (Eligible)", "Ineligible (Post Ex-Date)"))</f>
        <v>Processed (Eligible)</v>
      </c>
    </row>
    <row r="732" spans="1:15" x14ac:dyDescent="0.3">
      <c r="A732" t="s">
        <v>808</v>
      </c>
      <c r="B732" t="s">
        <v>25</v>
      </c>
      <c r="C732" s="5">
        <v>44574</v>
      </c>
      <c r="D732" s="2">
        <v>1250</v>
      </c>
      <c r="E732">
        <f>SUMIFS(CA_Feed!F:F, CA_Feed!B:B, B732, CA_Feed!E:E, "*DIVIDEND*", CA_Feed!D:D, "&gt;="&amp;C732)</f>
        <v>2.5</v>
      </c>
      <c r="F732">
        <f t="shared" si="96"/>
        <v>3125</v>
      </c>
      <c r="G732">
        <f t="shared" si="97"/>
        <v>312.5</v>
      </c>
      <c r="H732">
        <f t="shared" si="98"/>
        <v>2812.5</v>
      </c>
      <c r="I732">
        <f>D732 * SUMIFS(CA_Feed!G:G, CA_Feed!B:B, B732, CA_Feed!E:E, "*BONUS*", CA_Feed!D:D, "&gt;="&amp;C732)</f>
        <v>0</v>
      </c>
      <c r="J732">
        <f t="shared" si="99"/>
        <v>0</v>
      </c>
      <c r="K732">
        <f t="shared" si="100"/>
        <v>0</v>
      </c>
      <c r="L732">
        <f>IF(K732&gt;0, K732 * VLOOKUP(B732, CA_Feed!B:N, 13, FALSE), 0)</f>
        <v>0</v>
      </c>
      <c r="M732">
        <f t="shared" si="95"/>
        <v>2812.5</v>
      </c>
      <c r="N732" s="2">
        <f t="shared" si="101"/>
        <v>0</v>
      </c>
      <c r="O732" t="str">
        <f>IF(COUNTIFS(CA_Feed!B:B, B732)=0, "No Action Announced", IF(COUNTIFS(CA_Feed!B:B, B732, CA_Feed!D:D, "&gt;="&amp;C732)&gt;0, "Processed (Eligible)", "Ineligible (Post Ex-Date)"))</f>
        <v>Processed (Eligible)</v>
      </c>
    </row>
    <row r="733" spans="1:15" x14ac:dyDescent="0.3">
      <c r="A733" t="s">
        <v>809</v>
      </c>
      <c r="B733" t="s">
        <v>16</v>
      </c>
      <c r="C733" s="5">
        <v>42773</v>
      </c>
      <c r="D733" s="2">
        <v>4800</v>
      </c>
      <c r="E733">
        <f>SUMIFS(CA_Feed!F:F, CA_Feed!B:B, B733, CA_Feed!E:E, "*DIVIDEND*", CA_Feed!D:D, "&gt;="&amp;C733)</f>
        <v>3.75</v>
      </c>
      <c r="F733">
        <f t="shared" si="96"/>
        <v>18000</v>
      </c>
      <c r="G733">
        <f t="shared" si="97"/>
        <v>1800</v>
      </c>
      <c r="H733">
        <f t="shared" si="98"/>
        <v>16200</v>
      </c>
      <c r="I733">
        <f>D733 * SUMIFS(CA_Feed!G:G, CA_Feed!B:B, B733, CA_Feed!E:E, "*BONUS*", CA_Feed!D:D, "&gt;="&amp;C733)</f>
        <v>0</v>
      </c>
      <c r="J733">
        <f t="shared" si="99"/>
        <v>0</v>
      </c>
      <c r="K733">
        <f t="shared" si="100"/>
        <v>0</v>
      </c>
      <c r="L733">
        <f>IF(K733&gt;0, K733 * VLOOKUP(B733, CA_Feed!B:N, 13, FALSE), 0)</f>
        <v>0</v>
      </c>
      <c r="M733">
        <f t="shared" si="95"/>
        <v>16200</v>
      </c>
      <c r="N733" s="2">
        <f t="shared" si="101"/>
        <v>0</v>
      </c>
      <c r="O733" t="str">
        <f>IF(COUNTIFS(CA_Feed!B:B, B733)=0, "No Action Announced", IF(COUNTIFS(CA_Feed!B:B, B733, CA_Feed!D:D, "&gt;="&amp;C733)&gt;0, "Processed (Eligible)", "Ineligible (Post Ex-Date)"))</f>
        <v>Processed (Eligible)</v>
      </c>
    </row>
    <row r="734" spans="1:15" x14ac:dyDescent="0.3">
      <c r="A734" t="s">
        <v>810</v>
      </c>
      <c r="B734" t="s">
        <v>49</v>
      </c>
      <c r="C734" s="5">
        <v>44902</v>
      </c>
      <c r="D734" s="2">
        <v>4000</v>
      </c>
      <c r="E734">
        <f>SUMIFS(CA_Feed!F:F, CA_Feed!B:B, B734, CA_Feed!E:E, "*DIVIDEND*", CA_Feed!D:D, "&gt;="&amp;C734)</f>
        <v>1.1000000000000001</v>
      </c>
      <c r="F734">
        <f t="shared" si="96"/>
        <v>4400</v>
      </c>
      <c r="G734">
        <f t="shared" si="97"/>
        <v>440</v>
      </c>
      <c r="H734">
        <f t="shared" si="98"/>
        <v>3960</v>
      </c>
      <c r="I734">
        <f>D734 * SUMIFS(CA_Feed!G:G, CA_Feed!B:B, B734, CA_Feed!E:E, "*BONUS*", CA_Feed!D:D, "&gt;="&amp;C734)</f>
        <v>0</v>
      </c>
      <c r="J734">
        <f t="shared" si="99"/>
        <v>0</v>
      </c>
      <c r="K734">
        <f t="shared" si="100"/>
        <v>0</v>
      </c>
      <c r="L734">
        <f>IF(K734&gt;0, K734 * VLOOKUP(B734, CA_Feed!B:N, 13, FALSE), 0)</f>
        <v>0</v>
      </c>
      <c r="M734">
        <f t="shared" si="95"/>
        <v>3960</v>
      </c>
      <c r="N734" s="2">
        <f t="shared" si="101"/>
        <v>0</v>
      </c>
      <c r="O734" t="str">
        <f>IF(COUNTIFS(CA_Feed!B:B, B734)=0, "No Action Announced", IF(COUNTIFS(CA_Feed!B:B, B734, CA_Feed!D:D, "&gt;="&amp;C734)&gt;0, "Processed (Eligible)", "Ineligible (Post Ex-Date)"))</f>
        <v>Processed (Eligible)</v>
      </c>
    </row>
    <row r="735" spans="1:15" x14ac:dyDescent="0.3">
      <c r="A735" t="s">
        <v>811</v>
      </c>
      <c r="B735" t="s">
        <v>31</v>
      </c>
      <c r="C735" s="5">
        <v>42075</v>
      </c>
      <c r="D735" s="2">
        <v>7150</v>
      </c>
      <c r="E735">
        <f>SUMIFS(CA_Feed!F:F, CA_Feed!B:B, B735, CA_Feed!E:E, "*DIVIDEND*", CA_Feed!D:D, "&gt;="&amp;C735)</f>
        <v>3</v>
      </c>
      <c r="F735">
        <f t="shared" si="96"/>
        <v>21450</v>
      </c>
      <c r="G735">
        <f t="shared" si="97"/>
        <v>2145</v>
      </c>
      <c r="H735">
        <f t="shared" si="98"/>
        <v>19305</v>
      </c>
      <c r="I735">
        <f>D735 * SUMIFS(CA_Feed!G:G, CA_Feed!B:B, B735, CA_Feed!E:E, "*BONUS*", CA_Feed!D:D, "&gt;="&amp;C735)</f>
        <v>0</v>
      </c>
      <c r="J735">
        <f t="shared" si="99"/>
        <v>0</v>
      </c>
      <c r="K735">
        <f t="shared" si="100"/>
        <v>0</v>
      </c>
      <c r="L735">
        <f>IF(K735&gt;0, K735 * VLOOKUP(B735, CA_Feed!B:N, 13, FALSE), 0)</f>
        <v>0</v>
      </c>
      <c r="M735">
        <f t="shared" si="95"/>
        <v>19305</v>
      </c>
      <c r="N735" s="2">
        <f t="shared" si="101"/>
        <v>0</v>
      </c>
      <c r="O735" t="str">
        <f>IF(COUNTIFS(CA_Feed!B:B, B735)=0, "No Action Announced", IF(COUNTIFS(CA_Feed!B:B, B735, CA_Feed!D:D, "&gt;="&amp;C735)&gt;0, "Processed (Eligible)", "Ineligible (Post Ex-Date)"))</f>
        <v>Processed (Eligible)</v>
      </c>
    </row>
    <row r="736" spans="1:15" x14ac:dyDescent="0.3">
      <c r="A736" t="s">
        <v>812</v>
      </c>
      <c r="B736" t="s">
        <v>66</v>
      </c>
      <c r="C736" s="5">
        <v>45207</v>
      </c>
      <c r="D736" s="2">
        <v>6350</v>
      </c>
      <c r="E736">
        <f>SUMIFS(CA_Feed!F:F, CA_Feed!B:B, B736, CA_Feed!E:E, "*DIVIDEND*", CA_Feed!D:D, "&gt;="&amp;C736)</f>
        <v>0</v>
      </c>
      <c r="F736">
        <f t="shared" si="96"/>
        <v>0</v>
      </c>
      <c r="G736">
        <f t="shared" si="97"/>
        <v>0</v>
      </c>
      <c r="H736">
        <f t="shared" si="98"/>
        <v>0</v>
      </c>
      <c r="I736">
        <f>D736 * SUMIFS(CA_Feed!G:G, CA_Feed!B:B, B736, CA_Feed!E:E, "*BONUS*", CA_Feed!D:D, "&gt;="&amp;C736)</f>
        <v>1270</v>
      </c>
      <c r="J736">
        <f t="shared" si="99"/>
        <v>1270</v>
      </c>
      <c r="K736">
        <f t="shared" si="100"/>
        <v>0</v>
      </c>
      <c r="L736">
        <f>IF(K736&gt;0, K736 * VLOOKUP(B736, CA_Feed!B:N, 13, FALSE), 0)</f>
        <v>0</v>
      </c>
      <c r="M736">
        <f t="shared" ref="M736:M765" si="102">H736 + L736</f>
        <v>0</v>
      </c>
      <c r="N736" s="2">
        <f t="shared" si="101"/>
        <v>7620</v>
      </c>
      <c r="O736" t="str">
        <f>IF(COUNTIFS(CA_Feed!B:B, B736)=0, "No Action Announced", IF(COUNTIFS(CA_Feed!B:B, B736, CA_Feed!D:D, "&gt;="&amp;C736)&gt;0, "Processed (Eligible)", "Ineligible (Post Ex-Date)"))</f>
        <v>Processed (Eligible)</v>
      </c>
    </row>
    <row r="737" spans="1:15" x14ac:dyDescent="0.3">
      <c r="A737" t="s">
        <v>813</v>
      </c>
      <c r="B737" t="s">
        <v>27</v>
      </c>
      <c r="C737" s="5">
        <v>43538</v>
      </c>
      <c r="D737" s="2">
        <v>6000</v>
      </c>
      <c r="E737">
        <f>SUMIFS(CA_Feed!F:F, CA_Feed!B:B, B737, CA_Feed!E:E, "*DIVIDEND*", CA_Feed!D:D, "&gt;="&amp;C737)</f>
        <v>3.25</v>
      </c>
      <c r="F737">
        <f t="shared" ref="F737:F765" si="103">D737 * E737</f>
        <v>19500</v>
      </c>
      <c r="G737">
        <f t="shared" ref="G737:G765" si="104">F737 * 0.1</f>
        <v>1950</v>
      </c>
      <c r="H737">
        <f t="shared" ref="H737:H765" si="105">F737 - G737</f>
        <v>17550</v>
      </c>
      <c r="I737">
        <f>D737 * SUMIFS(CA_Feed!G:G, CA_Feed!B:B, B737, CA_Feed!E:E, "*BONUS*", CA_Feed!D:D, "&gt;="&amp;C737)</f>
        <v>0</v>
      </c>
      <c r="J737">
        <f t="shared" ref="J737:J765" si="106">INT(I737)</f>
        <v>0</v>
      </c>
      <c r="K737">
        <f t="shared" ref="K737:K765" si="107">I737-J737</f>
        <v>0</v>
      </c>
      <c r="L737">
        <f>IF(K737&gt;0, K737 * VLOOKUP(B737, CA_Feed!B:N, 13, FALSE), 0)</f>
        <v>0</v>
      </c>
      <c r="M737">
        <f t="shared" si="102"/>
        <v>17550</v>
      </c>
      <c r="N737" s="2">
        <f t="shared" si="101"/>
        <v>0</v>
      </c>
      <c r="O737" t="str">
        <f>IF(COUNTIFS(CA_Feed!B:B, B737)=0, "No Action Announced", IF(COUNTIFS(CA_Feed!B:B, B737, CA_Feed!D:D, "&gt;="&amp;C737)&gt;0, "Processed (Eligible)", "Ineligible (Post Ex-Date)"))</f>
        <v>Processed (Eligible)</v>
      </c>
    </row>
    <row r="738" spans="1:15" x14ac:dyDescent="0.3">
      <c r="A738" t="s">
        <v>416</v>
      </c>
      <c r="B738" t="s">
        <v>12</v>
      </c>
      <c r="C738" s="5">
        <v>43461</v>
      </c>
      <c r="D738" s="2">
        <v>15</v>
      </c>
      <c r="E738">
        <f>SUMIFS(CA_Feed!F:F, CA_Feed!B:B, B738, CA_Feed!E:E, "*DIVIDEND*", CA_Feed!D:D, "&gt;="&amp;C738)</f>
        <v>19</v>
      </c>
      <c r="F738">
        <f t="shared" si="103"/>
        <v>285</v>
      </c>
      <c r="G738">
        <f t="shared" si="104"/>
        <v>28.5</v>
      </c>
      <c r="H738">
        <f t="shared" si="105"/>
        <v>256.5</v>
      </c>
      <c r="I738">
        <f>D738 * SUMIFS(CA_Feed!G:G, CA_Feed!B:B, B738, CA_Feed!E:E, "*BONUS*", CA_Feed!D:D, "&gt;="&amp;C738)</f>
        <v>0</v>
      </c>
      <c r="J738">
        <f t="shared" si="106"/>
        <v>0</v>
      </c>
      <c r="K738">
        <f t="shared" si="107"/>
        <v>0</v>
      </c>
      <c r="L738">
        <f>IF(K738&gt;0, K738 * VLOOKUP(B738, CA_Feed!B:N, 13, FALSE), 0)</f>
        <v>0</v>
      </c>
      <c r="M738">
        <f t="shared" si="102"/>
        <v>256.5</v>
      </c>
      <c r="N738" s="2">
        <f t="shared" si="101"/>
        <v>0</v>
      </c>
      <c r="O738" t="str">
        <f>IF(COUNTIFS(CA_Feed!B:B, B738)=0, "No Action Announced", IF(COUNTIFS(CA_Feed!B:B, B738, CA_Feed!D:D, "&gt;="&amp;C738)&gt;0, "Processed (Eligible)", "Ineligible (Post Ex-Date)"))</f>
        <v>Processed (Eligible)</v>
      </c>
    </row>
    <row r="739" spans="1:15" x14ac:dyDescent="0.3">
      <c r="A739" t="s">
        <v>815</v>
      </c>
      <c r="B739" t="s">
        <v>39</v>
      </c>
      <c r="C739" s="5">
        <v>43013</v>
      </c>
      <c r="D739" s="2">
        <v>5600</v>
      </c>
      <c r="E739">
        <f>SUMIFS(CA_Feed!F:F, CA_Feed!B:B, B739, CA_Feed!E:E, "*DIVIDEND*", CA_Feed!D:D, "&gt;="&amp;C739)</f>
        <v>1.2</v>
      </c>
      <c r="F739">
        <f t="shared" si="103"/>
        <v>6720</v>
      </c>
      <c r="G739">
        <f t="shared" si="104"/>
        <v>672</v>
      </c>
      <c r="H739">
        <f t="shared" si="105"/>
        <v>6048</v>
      </c>
      <c r="I739">
        <f>D739 * SUMIFS(CA_Feed!G:G, CA_Feed!B:B, B739, CA_Feed!E:E, "*BONUS*", CA_Feed!D:D, "&gt;="&amp;C739)</f>
        <v>0</v>
      </c>
      <c r="J739">
        <f t="shared" si="106"/>
        <v>0</v>
      </c>
      <c r="K739">
        <f t="shared" si="107"/>
        <v>0</v>
      </c>
      <c r="L739">
        <f>IF(K739&gt;0, K739 * VLOOKUP(B739, CA_Feed!B:N, 13, FALSE), 0)</f>
        <v>0</v>
      </c>
      <c r="M739">
        <f t="shared" si="102"/>
        <v>6048</v>
      </c>
      <c r="N739" s="2">
        <f t="shared" si="101"/>
        <v>0</v>
      </c>
      <c r="O739" t="str">
        <f>IF(COUNTIFS(CA_Feed!B:B, B739)=0, "No Action Announced", IF(COUNTIFS(CA_Feed!B:B, B739, CA_Feed!D:D, "&gt;="&amp;C739)&gt;0, "Processed (Eligible)", "Ineligible (Post Ex-Date)"))</f>
        <v>Processed (Eligible)</v>
      </c>
    </row>
    <row r="740" spans="1:15" x14ac:dyDescent="0.3">
      <c r="A740" t="s">
        <v>323</v>
      </c>
      <c r="B740" t="s">
        <v>12</v>
      </c>
      <c r="C740" s="5">
        <v>43428</v>
      </c>
      <c r="D740" s="2">
        <v>15</v>
      </c>
      <c r="E740">
        <f>SUMIFS(CA_Feed!F:F, CA_Feed!B:B, B740, CA_Feed!E:E, "*DIVIDEND*", CA_Feed!D:D, "&gt;="&amp;C740)</f>
        <v>19</v>
      </c>
      <c r="F740">
        <f t="shared" si="103"/>
        <v>285</v>
      </c>
      <c r="G740">
        <f t="shared" si="104"/>
        <v>28.5</v>
      </c>
      <c r="H740">
        <f t="shared" si="105"/>
        <v>256.5</v>
      </c>
      <c r="I740">
        <f>D740 * SUMIFS(CA_Feed!G:G, CA_Feed!B:B, B740, CA_Feed!E:E, "*BONUS*", CA_Feed!D:D, "&gt;="&amp;C740)</f>
        <v>0</v>
      </c>
      <c r="J740">
        <f t="shared" si="106"/>
        <v>0</v>
      </c>
      <c r="K740">
        <f t="shared" si="107"/>
        <v>0</v>
      </c>
      <c r="L740">
        <f>IF(K740&gt;0, K740 * VLOOKUP(B740, CA_Feed!B:N, 13, FALSE), 0)</f>
        <v>0</v>
      </c>
      <c r="M740">
        <f t="shared" si="102"/>
        <v>256.5</v>
      </c>
      <c r="N740" s="2">
        <f t="shared" si="101"/>
        <v>0</v>
      </c>
      <c r="O740" t="str">
        <f>IF(COUNTIFS(CA_Feed!B:B, B740)=0, "No Action Announced", IF(COUNTIFS(CA_Feed!B:B, B740, CA_Feed!D:D, "&gt;="&amp;C740)&gt;0, "Processed (Eligible)", "Ineligible (Post Ex-Date)"))</f>
        <v>Processed (Eligible)</v>
      </c>
    </row>
    <row r="741" spans="1:15" x14ac:dyDescent="0.3">
      <c r="A741" t="s">
        <v>817</v>
      </c>
      <c r="B741" t="s">
        <v>25</v>
      </c>
      <c r="C741" s="5">
        <v>43379</v>
      </c>
      <c r="D741" s="2">
        <v>6100</v>
      </c>
      <c r="E741">
        <f>SUMIFS(CA_Feed!F:F, CA_Feed!B:B, B741, CA_Feed!E:E, "*DIVIDEND*", CA_Feed!D:D, "&gt;="&amp;C741)</f>
        <v>2.5</v>
      </c>
      <c r="F741">
        <f t="shared" si="103"/>
        <v>15250</v>
      </c>
      <c r="G741">
        <f t="shared" si="104"/>
        <v>1525</v>
      </c>
      <c r="H741">
        <f t="shared" si="105"/>
        <v>13725</v>
      </c>
      <c r="I741">
        <f>D741 * SUMIFS(CA_Feed!G:G, CA_Feed!B:B, B741, CA_Feed!E:E, "*BONUS*", CA_Feed!D:D, "&gt;="&amp;C741)</f>
        <v>0</v>
      </c>
      <c r="J741">
        <f t="shared" si="106"/>
        <v>0</v>
      </c>
      <c r="K741">
        <f t="shared" si="107"/>
        <v>0</v>
      </c>
      <c r="L741">
        <f>IF(K741&gt;0, K741 * VLOOKUP(B741, CA_Feed!B:N, 13, FALSE), 0)</f>
        <v>0</v>
      </c>
      <c r="M741">
        <f t="shared" si="102"/>
        <v>13725</v>
      </c>
      <c r="N741" s="2">
        <f t="shared" si="101"/>
        <v>0</v>
      </c>
      <c r="O741" t="str">
        <f>IF(COUNTIFS(CA_Feed!B:B, B741)=0, "No Action Announced", IF(COUNTIFS(CA_Feed!B:B, B741, CA_Feed!D:D, "&gt;="&amp;C741)&gt;0, "Processed (Eligible)", "Ineligible (Post Ex-Date)"))</f>
        <v>Processed (Eligible)</v>
      </c>
    </row>
    <row r="742" spans="1:15" x14ac:dyDescent="0.3">
      <c r="A742" t="s">
        <v>818</v>
      </c>
      <c r="B742" t="s">
        <v>29</v>
      </c>
      <c r="C742" s="5">
        <v>43103</v>
      </c>
      <c r="D742" s="2">
        <v>4600</v>
      </c>
      <c r="E742">
        <f>SUMIFS(CA_Feed!F:F, CA_Feed!B:B, B742, CA_Feed!E:E, "*DIVIDEND*", CA_Feed!D:D, "&gt;="&amp;C742)</f>
        <v>3</v>
      </c>
      <c r="F742">
        <f t="shared" si="103"/>
        <v>13800</v>
      </c>
      <c r="G742">
        <f t="shared" si="104"/>
        <v>1380</v>
      </c>
      <c r="H742">
        <f t="shared" si="105"/>
        <v>12420</v>
      </c>
      <c r="I742">
        <f>D742 * SUMIFS(CA_Feed!G:G, CA_Feed!B:B, B742, CA_Feed!E:E, "*BONUS*", CA_Feed!D:D, "&gt;="&amp;C742)</f>
        <v>0</v>
      </c>
      <c r="J742">
        <f t="shared" si="106"/>
        <v>0</v>
      </c>
      <c r="K742">
        <f t="shared" si="107"/>
        <v>0</v>
      </c>
      <c r="L742">
        <f>IF(K742&gt;0, K742 * VLOOKUP(B742, CA_Feed!B:N, 13, FALSE), 0)</f>
        <v>0</v>
      </c>
      <c r="M742">
        <f t="shared" si="102"/>
        <v>12420</v>
      </c>
      <c r="N742" s="2">
        <f t="shared" si="101"/>
        <v>0</v>
      </c>
      <c r="O742" t="str">
        <f>IF(COUNTIFS(CA_Feed!B:B, B742)=0, "No Action Announced", IF(COUNTIFS(CA_Feed!B:B, B742, CA_Feed!D:D, "&gt;="&amp;C742)&gt;0, "Processed (Eligible)", "Ineligible (Post Ex-Date)"))</f>
        <v>Processed (Eligible)</v>
      </c>
    </row>
    <row r="743" spans="1:15" x14ac:dyDescent="0.3">
      <c r="A743" t="s">
        <v>819</v>
      </c>
      <c r="B743" t="s">
        <v>66</v>
      </c>
      <c r="C743" s="5">
        <v>43424</v>
      </c>
      <c r="D743" s="2">
        <v>750</v>
      </c>
      <c r="E743">
        <f>SUMIFS(CA_Feed!F:F, CA_Feed!B:B, B743, CA_Feed!E:E, "*DIVIDEND*", CA_Feed!D:D, "&gt;="&amp;C743)</f>
        <v>0</v>
      </c>
      <c r="F743">
        <f t="shared" si="103"/>
        <v>0</v>
      </c>
      <c r="G743">
        <f t="shared" si="104"/>
        <v>0</v>
      </c>
      <c r="H743">
        <f t="shared" si="105"/>
        <v>0</v>
      </c>
      <c r="I743">
        <f>D743 * SUMIFS(CA_Feed!G:G, CA_Feed!B:B, B743, CA_Feed!E:E, "*BONUS*", CA_Feed!D:D, "&gt;="&amp;C743)</f>
        <v>150</v>
      </c>
      <c r="J743">
        <f>INT(I743)</f>
        <v>150</v>
      </c>
      <c r="K743">
        <f t="shared" si="107"/>
        <v>0</v>
      </c>
      <c r="L743">
        <f>IF(K743&gt;0, K743 * VLOOKUP(B743, CA_Feed!B:N, 13, FALSE), 0)</f>
        <v>0</v>
      </c>
      <c r="M743">
        <f t="shared" si="102"/>
        <v>0</v>
      </c>
      <c r="N743" s="2">
        <f t="shared" si="101"/>
        <v>900</v>
      </c>
      <c r="O743" t="str">
        <f>IF(COUNTIFS(CA_Feed!B:B, B743)=0, "No Action Announced", IF(COUNTIFS(CA_Feed!B:B, B743, CA_Feed!D:D, "&gt;="&amp;C743)&gt;0, "Processed (Eligible)", "Ineligible (Post Ex-Date)"))</f>
        <v>Processed (Eligible)</v>
      </c>
    </row>
    <row r="744" spans="1:15" x14ac:dyDescent="0.3">
      <c r="A744" t="s">
        <v>820</v>
      </c>
      <c r="B744" t="s">
        <v>45</v>
      </c>
      <c r="C744" s="5">
        <v>43400</v>
      </c>
      <c r="D744" s="2">
        <v>3300</v>
      </c>
      <c r="E744">
        <f>SUMIFS(CA_Feed!F:F, CA_Feed!B:B, B744, CA_Feed!E:E, "*DIVIDEND*", CA_Feed!D:D, "&gt;="&amp;C744)</f>
        <v>2.5</v>
      </c>
      <c r="F744">
        <f t="shared" si="103"/>
        <v>8250</v>
      </c>
      <c r="G744">
        <f t="shared" si="104"/>
        <v>825</v>
      </c>
      <c r="H744">
        <f t="shared" si="105"/>
        <v>7425</v>
      </c>
      <c r="I744">
        <f>D744 * SUMIFS(CA_Feed!G:G, CA_Feed!B:B, B744, CA_Feed!E:E, "*BONUS*", CA_Feed!D:D, "&gt;="&amp;C744)</f>
        <v>0</v>
      </c>
      <c r="J744">
        <f t="shared" si="106"/>
        <v>0</v>
      </c>
      <c r="K744">
        <f t="shared" si="107"/>
        <v>0</v>
      </c>
      <c r="L744">
        <f>IF(K744&gt;0, K744 * VLOOKUP(B744, CA_Feed!B:N, 13, FALSE), 0)</f>
        <v>0</v>
      </c>
      <c r="M744">
        <f t="shared" si="102"/>
        <v>7425</v>
      </c>
      <c r="N744" s="2">
        <f t="shared" si="101"/>
        <v>0</v>
      </c>
      <c r="O744" t="str">
        <f>IF(COUNTIFS(CA_Feed!B:B, B744)=0, "No Action Announced", IF(COUNTIFS(CA_Feed!B:B, B744, CA_Feed!D:D, "&gt;="&amp;C744)&gt;0, "Processed (Eligible)", "Ineligible (Post Ex-Date)"))</f>
        <v>Processed (Eligible)</v>
      </c>
    </row>
    <row r="745" spans="1:15" x14ac:dyDescent="0.3">
      <c r="A745" t="s">
        <v>299</v>
      </c>
      <c r="B745" t="s">
        <v>12</v>
      </c>
      <c r="C745" s="5">
        <v>46234</v>
      </c>
      <c r="D745" s="2">
        <v>15</v>
      </c>
      <c r="E745">
        <f>SUMIFS(CA_Feed!F:F, CA_Feed!B:B, B745, CA_Feed!E:E, "*DIVIDEND*", CA_Feed!D:D, "&gt;="&amp;C745)</f>
        <v>0</v>
      </c>
      <c r="F745">
        <f t="shared" si="103"/>
        <v>0</v>
      </c>
      <c r="G745">
        <f t="shared" si="104"/>
        <v>0</v>
      </c>
      <c r="H745">
        <f t="shared" si="105"/>
        <v>0</v>
      </c>
      <c r="I745">
        <f>D745 * SUMIFS(CA_Feed!G:G, CA_Feed!B:B, B745, CA_Feed!E:E, "*BONUS*", CA_Feed!D:D, "&gt;="&amp;C745)</f>
        <v>0</v>
      </c>
      <c r="J745">
        <f t="shared" si="106"/>
        <v>0</v>
      </c>
      <c r="K745">
        <f t="shared" si="107"/>
        <v>0</v>
      </c>
      <c r="L745">
        <f>IF(K745&gt;0, K745 * VLOOKUP(B745, CA_Feed!B:N, 13, FALSE), 0)</f>
        <v>0</v>
      </c>
      <c r="M745">
        <f t="shared" si="102"/>
        <v>0</v>
      </c>
      <c r="N745" s="2">
        <f t="shared" si="101"/>
        <v>0</v>
      </c>
      <c r="O745" t="str">
        <f>IF(COUNTIFS(CA_Feed!B:B, B745)=0, "No Action Announced", IF(COUNTIFS(CA_Feed!B:B, B745, CA_Feed!D:D, "&gt;="&amp;C745)&gt;0, "Processed (Eligible)", "Ineligible (Post Ex-Date)"))</f>
        <v>Ineligible (Post Ex-Date)</v>
      </c>
    </row>
    <row r="746" spans="1:15" x14ac:dyDescent="0.3">
      <c r="A746" t="s">
        <v>822</v>
      </c>
      <c r="B746" t="s">
        <v>41</v>
      </c>
      <c r="C746" s="5">
        <v>45385</v>
      </c>
      <c r="D746" s="2">
        <v>2350</v>
      </c>
      <c r="E746">
        <f>SUMIFS(CA_Feed!F:F, CA_Feed!B:B, B746, CA_Feed!E:E, "*DIVIDEND*", CA_Feed!D:D, "&gt;="&amp;C746)</f>
        <v>0.2</v>
      </c>
      <c r="F746">
        <f t="shared" si="103"/>
        <v>470</v>
      </c>
      <c r="G746">
        <f t="shared" si="104"/>
        <v>47</v>
      </c>
      <c r="H746">
        <f t="shared" si="105"/>
        <v>423</v>
      </c>
      <c r="I746">
        <f>D746 * SUMIFS(CA_Feed!G:G, CA_Feed!B:B, B746, CA_Feed!E:E, "*BONUS*", CA_Feed!D:D, "&gt;="&amp;C746)</f>
        <v>0</v>
      </c>
      <c r="J746">
        <f t="shared" si="106"/>
        <v>0</v>
      </c>
      <c r="K746">
        <f t="shared" si="107"/>
        <v>0</v>
      </c>
      <c r="L746">
        <f>IF(K746&gt;0, K746 * VLOOKUP(B746, CA_Feed!B:N, 13, FALSE), 0)</f>
        <v>0</v>
      </c>
      <c r="M746">
        <f t="shared" si="102"/>
        <v>423</v>
      </c>
      <c r="N746" s="2">
        <f t="shared" si="101"/>
        <v>0</v>
      </c>
      <c r="O746" t="str">
        <f>IF(COUNTIFS(CA_Feed!B:B, B746)=0, "No Action Announced", IF(COUNTIFS(CA_Feed!B:B, B746, CA_Feed!D:D, "&gt;="&amp;C746)&gt;0, "Processed (Eligible)", "Ineligible (Post Ex-Date)"))</f>
        <v>Processed (Eligible)</v>
      </c>
    </row>
    <row r="747" spans="1:15" x14ac:dyDescent="0.3">
      <c r="A747" t="s">
        <v>823</v>
      </c>
      <c r="B747" t="s">
        <v>21</v>
      </c>
      <c r="C747" s="5">
        <v>44780</v>
      </c>
      <c r="D747" s="2">
        <v>6000</v>
      </c>
      <c r="E747">
        <f>SUMIFS(CA_Feed!F:F, CA_Feed!B:B, B747, CA_Feed!E:E, "*DIVIDEND*", CA_Feed!D:D, "&gt;="&amp;C747)</f>
        <v>1</v>
      </c>
      <c r="F747">
        <f t="shared" si="103"/>
        <v>6000</v>
      </c>
      <c r="G747">
        <f t="shared" si="104"/>
        <v>600</v>
      </c>
      <c r="H747">
        <f t="shared" si="105"/>
        <v>5400</v>
      </c>
      <c r="I747">
        <f>D747 * SUMIFS(CA_Feed!G:G, CA_Feed!B:B, B747, CA_Feed!E:E, "*BONUS*", CA_Feed!D:D, "&gt;="&amp;C747)</f>
        <v>0</v>
      </c>
      <c r="J747">
        <f t="shared" si="106"/>
        <v>0</v>
      </c>
      <c r="K747">
        <f t="shared" si="107"/>
        <v>0</v>
      </c>
      <c r="L747">
        <f>IF(K747&gt;0, K747 * VLOOKUP(B747, CA_Feed!B:N, 13, FALSE), 0)</f>
        <v>0</v>
      </c>
      <c r="M747">
        <f t="shared" si="102"/>
        <v>5400</v>
      </c>
      <c r="N747" s="2">
        <f t="shared" si="101"/>
        <v>0</v>
      </c>
      <c r="O747" t="str">
        <f>IF(COUNTIFS(CA_Feed!B:B, B747)=0, "No Action Announced", IF(COUNTIFS(CA_Feed!B:B, B747, CA_Feed!D:D, "&gt;="&amp;C747)&gt;0, "Processed (Eligible)", "Ineligible (Post Ex-Date)"))</f>
        <v>Processed (Eligible)</v>
      </c>
    </row>
    <row r="748" spans="1:15" x14ac:dyDescent="0.3">
      <c r="A748" t="s">
        <v>824</v>
      </c>
      <c r="B748" t="s">
        <v>43</v>
      </c>
      <c r="C748" s="5">
        <v>42391</v>
      </c>
      <c r="D748" s="2">
        <v>1000</v>
      </c>
      <c r="E748">
        <f>SUMIFS(CA_Feed!F:F, CA_Feed!B:B, B748, CA_Feed!E:E, "*DIVIDEND*", CA_Feed!D:D, "&gt;="&amp;C748)</f>
        <v>1.35</v>
      </c>
      <c r="F748">
        <f t="shared" si="103"/>
        <v>1350</v>
      </c>
      <c r="G748">
        <f t="shared" si="104"/>
        <v>135</v>
      </c>
      <c r="H748">
        <f t="shared" si="105"/>
        <v>1215</v>
      </c>
      <c r="I748">
        <f>D748 * SUMIFS(CA_Feed!G:G, CA_Feed!B:B, B748, CA_Feed!E:E, "*BONUS*", CA_Feed!D:D, "&gt;="&amp;C748)</f>
        <v>0</v>
      </c>
      <c r="J748">
        <f t="shared" si="106"/>
        <v>0</v>
      </c>
      <c r="K748">
        <f t="shared" si="107"/>
        <v>0</v>
      </c>
      <c r="L748">
        <f>IF(K748&gt;0, K748 * VLOOKUP(B748, CA_Feed!B:N, 13, FALSE), 0)</f>
        <v>0</v>
      </c>
      <c r="M748">
        <f t="shared" si="102"/>
        <v>1215</v>
      </c>
      <c r="N748" s="2">
        <f t="shared" si="101"/>
        <v>0</v>
      </c>
      <c r="O748" t="str">
        <f>IF(COUNTIFS(CA_Feed!B:B, B748)=0, "No Action Announced", IF(COUNTIFS(CA_Feed!B:B, B748, CA_Feed!D:D, "&gt;="&amp;C748)&gt;0, "Processed (Eligible)", "Ineligible (Post Ex-Date)"))</f>
        <v>Processed (Eligible)</v>
      </c>
    </row>
    <row r="749" spans="1:15" x14ac:dyDescent="0.3">
      <c r="A749" t="s">
        <v>825</v>
      </c>
      <c r="B749" t="s">
        <v>39</v>
      </c>
      <c r="C749" s="5">
        <v>44732</v>
      </c>
      <c r="D749" s="2">
        <v>2950</v>
      </c>
      <c r="E749">
        <f>SUMIFS(CA_Feed!F:F, CA_Feed!B:B, B749, CA_Feed!E:E, "*DIVIDEND*", CA_Feed!D:D, "&gt;="&amp;C749)</f>
        <v>1.2</v>
      </c>
      <c r="F749">
        <f t="shared" si="103"/>
        <v>3540</v>
      </c>
      <c r="G749">
        <f t="shared" si="104"/>
        <v>354</v>
      </c>
      <c r="H749">
        <f t="shared" si="105"/>
        <v>3186</v>
      </c>
      <c r="I749">
        <f>D749 * SUMIFS(CA_Feed!G:G, CA_Feed!B:B, B749, CA_Feed!E:E, "*BONUS*", CA_Feed!D:D, "&gt;="&amp;C749)</f>
        <v>0</v>
      </c>
      <c r="J749">
        <f t="shared" si="106"/>
        <v>0</v>
      </c>
      <c r="K749">
        <f t="shared" si="107"/>
        <v>0</v>
      </c>
      <c r="L749">
        <f>IF(K749&gt;0, K749 * VLOOKUP(B749, CA_Feed!B:N, 13, FALSE), 0)</f>
        <v>0</v>
      </c>
      <c r="M749">
        <f t="shared" si="102"/>
        <v>3186</v>
      </c>
      <c r="N749" s="2">
        <f t="shared" si="101"/>
        <v>0</v>
      </c>
      <c r="O749" t="str">
        <f>IF(COUNTIFS(CA_Feed!B:B, B749)=0, "No Action Announced", IF(COUNTIFS(CA_Feed!B:B, B749, CA_Feed!D:D, "&gt;="&amp;C749)&gt;0, "Processed (Eligible)", "Ineligible (Post Ex-Date)"))</f>
        <v>Processed (Eligible)</v>
      </c>
    </row>
    <row r="750" spans="1:15" x14ac:dyDescent="0.3">
      <c r="A750" t="s">
        <v>623</v>
      </c>
      <c r="B750" t="s">
        <v>12</v>
      </c>
      <c r="C750" s="5">
        <v>46234</v>
      </c>
      <c r="D750" s="2">
        <v>15</v>
      </c>
      <c r="E750">
        <f>SUMIFS(CA_Feed!F:F, CA_Feed!B:B, B750, CA_Feed!E:E, "*DIVIDEND*", CA_Feed!D:D, "&gt;="&amp;C750)</f>
        <v>0</v>
      </c>
      <c r="F750">
        <f t="shared" si="103"/>
        <v>0</v>
      </c>
      <c r="G750">
        <f t="shared" si="104"/>
        <v>0</v>
      </c>
      <c r="H750">
        <f t="shared" si="105"/>
        <v>0</v>
      </c>
      <c r="I750">
        <f>D750 * SUMIFS(CA_Feed!G:G, CA_Feed!B:B, B750, CA_Feed!E:E, "*BONUS*", CA_Feed!D:D, "&gt;="&amp;C750)</f>
        <v>0</v>
      </c>
      <c r="J750">
        <f t="shared" si="106"/>
        <v>0</v>
      </c>
      <c r="K750">
        <f t="shared" si="107"/>
        <v>0</v>
      </c>
      <c r="L750">
        <f>IF(K750&gt;0, K750 * VLOOKUP(B750, CA_Feed!B:N, 13, FALSE), 0)</f>
        <v>0</v>
      </c>
      <c r="M750">
        <f t="shared" si="102"/>
        <v>0</v>
      </c>
      <c r="N750" s="2">
        <f t="shared" si="101"/>
        <v>0</v>
      </c>
      <c r="O750" t="str">
        <f>IF(COUNTIFS(CA_Feed!B:B, B750)=0, "No Action Announced", IF(COUNTIFS(CA_Feed!B:B, B750, CA_Feed!D:D, "&gt;="&amp;C750)&gt;0, "Processed (Eligible)", "Ineligible (Post Ex-Date)"))</f>
        <v>Ineligible (Post Ex-Date)</v>
      </c>
    </row>
    <row r="751" spans="1:15" x14ac:dyDescent="0.3">
      <c r="A751" t="s">
        <v>431</v>
      </c>
      <c r="B751" t="s">
        <v>12</v>
      </c>
      <c r="C751" s="5">
        <v>46234</v>
      </c>
      <c r="D751" s="2">
        <v>15</v>
      </c>
      <c r="E751">
        <f>SUMIFS(CA_Feed!F:F, CA_Feed!B:B, B751, CA_Feed!E:E, "*DIVIDEND*", CA_Feed!D:D, "&gt;="&amp;C751)</f>
        <v>0</v>
      </c>
      <c r="F751">
        <f t="shared" si="103"/>
        <v>0</v>
      </c>
      <c r="G751">
        <f t="shared" si="104"/>
        <v>0</v>
      </c>
      <c r="H751">
        <f t="shared" si="105"/>
        <v>0</v>
      </c>
      <c r="I751">
        <f>D751 * SUMIFS(CA_Feed!G:G, CA_Feed!B:B, B751, CA_Feed!E:E, "*BONUS*", CA_Feed!D:D, "&gt;="&amp;C751)</f>
        <v>0</v>
      </c>
      <c r="J751">
        <f t="shared" si="106"/>
        <v>0</v>
      </c>
      <c r="K751">
        <f t="shared" si="107"/>
        <v>0</v>
      </c>
      <c r="L751">
        <f>IF(K751&gt;0, K751 * VLOOKUP(B751, CA_Feed!B:N, 13, FALSE), 0)</f>
        <v>0</v>
      </c>
      <c r="M751">
        <f t="shared" si="102"/>
        <v>0</v>
      </c>
      <c r="N751" s="2">
        <f t="shared" si="101"/>
        <v>0</v>
      </c>
      <c r="O751" t="str">
        <f>IF(COUNTIFS(CA_Feed!B:B, B751)=0, "No Action Announced", IF(COUNTIFS(CA_Feed!B:B, B751, CA_Feed!D:D, "&gt;="&amp;C751)&gt;0, "Processed (Eligible)", "Ineligible (Post Ex-Date)"))</f>
        <v>Ineligible (Post Ex-Date)</v>
      </c>
    </row>
    <row r="752" spans="1:15" x14ac:dyDescent="0.3">
      <c r="A752" t="s">
        <v>828</v>
      </c>
      <c r="B752" t="s">
        <v>25</v>
      </c>
      <c r="C752" s="5">
        <v>42820</v>
      </c>
      <c r="D752" s="2">
        <v>2700</v>
      </c>
      <c r="E752">
        <f>SUMIFS(CA_Feed!F:F, CA_Feed!B:B, B752, CA_Feed!E:E, "*DIVIDEND*", CA_Feed!D:D, "&gt;="&amp;C752)</f>
        <v>2.5</v>
      </c>
      <c r="F752">
        <f t="shared" si="103"/>
        <v>6750</v>
      </c>
      <c r="G752">
        <f t="shared" si="104"/>
        <v>675</v>
      </c>
      <c r="H752">
        <f t="shared" si="105"/>
        <v>6075</v>
      </c>
      <c r="I752">
        <f>D752 * SUMIFS(CA_Feed!G:G, CA_Feed!B:B, B752, CA_Feed!E:E, "*BONUS*", CA_Feed!D:D, "&gt;="&amp;C752)</f>
        <v>0</v>
      </c>
      <c r="J752">
        <f t="shared" si="106"/>
        <v>0</v>
      </c>
      <c r="K752">
        <f t="shared" si="107"/>
        <v>0</v>
      </c>
      <c r="L752">
        <f>IF(K752&gt;0, K752 * VLOOKUP(B752, CA_Feed!B:N, 13, FALSE), 0)</f>
        <v>0</v>
      </c>
      <c r="M752">
        <f t="shared" si="102"/>
        <v>6075</v>
      </c>
      <c r="N752" s="2">
        <f t="shared" si="101"/>
        <v>0</v>
      </c>
      <c r="O752" t="str">
        <f>IF(COUNTIFS(CA_Feed!B:B, B752)=0, "No Action Announced", IF(COUNTIFS(CA_Feed!B:B, B752, CA_Feed!D:D, "&gt;="&amp;C752)&gt;0, "Processed (Eligible)", "Ineligible (Post Ex-Date)"))</f>
        <v>Processed (Eligible)</v>
      </c>
    </row>
    <row r="753" spans="1:15" x14ac:dyDescent="0.3">
      <c r="A753" t="s">
        <v>736</v>
      </c>
      <c r="B753" t="s">
        <v>12</v>
      </c>
      <c r="C753" s="5">
        <v>42917</v>
      </c>
      <c r="D753" s="2">
        <v>15</v>
      </c>
      <c r="E753">
        <f>SUMIFS(CA_Feed!F:F, CA_Feed!B:B, B753, CA_Feed!E:E, "*DIVIDEND*", CA_Feed!D:D, "&gt;="&amp;C753)</f>
        <v>19</v>
      </c>
      <c r="F753">
        <f t="shared" si="103"/>
        <v>285</v>
      </c>
      <c r="G753">
        <f t="shared" si="104"/>
        <v>28.5</v>
      </c>
      <c r="H753">
        <f t="shared" si="105"/>
        <v>256.5</v>
      </c>
      <c r="I753">
        <f>D753 * SUMIFS(CA_Feed!G:G, CA_Feed!B:B, B753, CA_Feed!E:E, "*BONUS*", CA_Feed!D:D, "&gt;="&amp;C753)</f>
        <v>0</v>
      </c>
      <c r="J753">
        <f t="shared" si="106"/>
        <v>0</v>
      </c>
      <c r="K753">
        <f t="shared" si="107"/>
        <v>0</v>
      </c>
      <c r="L753">
        <f>IF(K753&gt;0, K753 * VLOOKUP(B753, CA_Feed!B:N, 13, FALSE), 0)</f>
        <v>0</v>
      </c>
      <c r="M753">
        <f t="shared" si="102"/>
        <v>256.5</v>
      </c>
      <c r="N753" s="2">
        <f t="shared" si="101"/>
        <v>0</v>
      </c>
      <c r="O753" t="str">
        <f>IF(COUNTIFS(CA_Feed!B:B, B753)=0, "No Action Announced", IF(COUNTIFS(CA_Feed!B:B, B753, CA_Feed!D:D, "&gt;="&amp;C753)&gt;0, "Processed (Eligible)", "Ineligible (Post Ex-Date)"))</f>
        <v>Processed (Eligible)</v>
      </c>
    </row>
    <row r="754" spans="1:15" x14ac:dyDescent="0.3">
      <c r="A754" t="s">
        <v>830</v>
      </c>
      <c r="B754" t="s">
        <v>35</v>
      </c>
      <c r="C754" s="5">
        <v>44749</v>
      </c>
      <c r="D754" s="2">
        <v>1100</v>
      </c>
      <c r="E754">
        <f>SUMIFS(CA_Feed!F:F, CA_Feed!B:B, B754, CA_Feed!E:E, "*DIVIDEND*", CA_Feed!D:D, "&gt;="&amp;C754)</f>
        <v>1</v>
      </c>
      <c r="F754">
        <f t="shared" si="103"/>
        <v>1100</v>
      </c>
      <c r="G754">
        <f t="shared" si="104"/>
        <v>110</v>
      </c>
      <c r="H754">
        <f t="shared" si="105"/>
        <v>990</v>
      </c>
      <c r="I754">
        <f>D754 * SUMIFS(CA_Feed!G:G, CA_Feed!B:B, B754, CA_Feed!E:E, "*BONUS*", CA_Feed!D:D, "&gt;="&amp;C754)</f>
        <v>0</v>
      </c>
      <c r="J754">
        <f t="shared" si="106"/>
        <v>0</v>
      </c>
      <c r="K754">
        <f t="shared" si="107"/>
        <v>0</v>
      </c>
      <c r="L754">
        <f>IF(K754&gt;0, K754 * VLOOKUP(B754, CA_Feed!B:N, 13, FALSE), 0)</f>
        <v>0</v>
      </c>
      <c r="M754">
        <f t="shared" si="102"/>
        <v>990</v>
      </c>
      <c r="N754" s="2">
        <f t="shared" si="101"/>
        <v>0</v>
      </c>
      <c r="O754" t="str">
        <f>IF(COUNTIFS(CA_Feed!B:B, B754)=0, "No Action Announced", IF(COUNTIFS(CA_Feed!B:B, B754, CA_Feed!D:D, "&gt;="&amp;C754)&gt;0, "Processed (Eligible)", "Ineligible (Post Ex-Date)"))</f>
        <v>Processed (Eligible)</v>
      </c>
    </row>
    <row r="755" spans="1:15" x14ac:dyDescent="0.3">
      <c r="A755" t="s">
        <v>831</v>
      </c>
      <c r="B755" t="s">
        <v>43</v>
      </c>
      <c r="C755" s="5">
        <v>44740</v>
      </c>
      <c r="D755" s="2">
        <v>2400</v>
      </c>
      <c r="E755">
        <f>SUMIFS(CA_Feed!F:F, CA_Feed!B:B, B755, CA_Feed!E:E, "*DIVIDEND*", CA_Feed!D:D, "&gt;="&amp;C755)</f>
        <v>1.35</v>
      </c>
      <c r="F755">
        <f t="shared" si="103"/>
        <v>3240</v>
      </c>
      <c r="G755">
        <f t="shared" si="104"/>
        <v>324</v>
      </c>
      <c r="H755">
        <f t="shared" si="105"/>
        <v>2916</v>
      </c>
      <c r="I755">
        <f>D755 * SUMIFS(CA_Feed!G:G, CA_Feed!B:B, B755, CA_Feed!E:E, "*BONUS*", CA_Feed!D:D, "&gt;="&amp;C755)</f>
        <v>0</v>
      </c>
      <c r="J755">
        <f t="shared" si="106"/>
        <v>0</v>
      </c>
      <c r="K755">
        <f t="shared" si="107"/>
        <v>0</v>
      </c>
      <c r="L755">
        <f>IF(K755&gt;0, K755 * VLOOKUP(B755, CA_Feed!B:N, 13, FALSE), 0)</f>
        <v>0</v>
      </c>
      <c r="M755">
        <f t="shared" si="102"/>
        <v>2916</v>
      </c>
      <c r="N755" s="2">
        <f t="shared" si="101"/>
        <v>0</v>
      </c>
      <c r="O755" t="str">
        <f>IF(COUNTIFS(CA_Feed!B:B, B755)=0, "No Action Announced", IF(COUNTIFS(CA_Feed!B:B, B755, CA_Feed!D:D, "&gt;="&amp;C755)&gt;0, "Processed (Eligible)", "Ineligible (Post Ex-Date)"))</f>
        <v>Processed (Eligible)</v>
      </c>
    </row>
    <row r="756" spans="1:15" x14ac:dyDescent="0.3">
      <c r="A756" t="s">
        <v>832</v>
      </c>
      <c r="B756" t="s">
        <v>21</v>
      </c>
      <c r="C756" s="5">
        <v>43486</v>
      </c>
      <c r="D756" s="2">
        <v>2450</v>
      </c>
      <c r="E756">
        <f>SUMIFS(CA_Feed!F:F, CA_Feed!B:B, B756, CA_Feed!E:E, "*DIVIDEND*", CA_Feed!D:D, "&gt;="&amp;C756)</f>
        <v>1</v>
      </c>
      <c r="F756">
        <f t="shared" si="103"/>
        <v>2450</v>
      </c>
      <c r="G756">
        <f t="shared" si="104"/>
        <v>245</v>
      </c>
      <c r="H756">
        <f t="shared" si="105"/>
        <v>2205</v>
      </c>
      <c r="I756">
        <f>D756 * SUMIFS(CA_Feed!G:G, CA_Feed!B:B, B756, CA_Feed!E:E, "*BONUS*", CA_Feed!D:D, "&gt;="&amp;C756)</f>
        <v>0</v>
      </c>
      <c r="J756">
        <f t="shared" si="106"/>
        <v>0</v>
      </c>
      <c r="K756">
        <f t="shared" si="107"/>
        <v>0</v>
      </c>
      <c r="L756">
        <f>IF(K756&gt;0, K756 * VLOOKUP(B756, CA_Feed!B:N, 13, FALSE), 0)</f>
        <v>0</v>
      </c>
      <c r="M756">
        <f t="shared" si="102"/>
        <v>2205</v>
      </c>
      <c r="N756" s="2">
        <f t="shared" si="101"/>
        <v>0</v>
      </c>
      <c r="O756" t="str">
        <f>IF(COUNTIFS(CA_Feed!B:B, B756)=0, "No Action Announced", IF(COUNTIFS(CA_Feed!B:B, B756, CA_Feed!D:D, "&gt;="&amp;C756)&gt;0, "Processed (Eligible)", "Ineligible (Post Ex-Date)"))</f>
        <v>Processed (Eligible)</v>
      </c>
    </row>
    <row r="757" spans="1:15" x14ac:dyDescent="0.3">
      <c r="A757" t="s">
        <v>833</v>
      </c>
      <c r="B757" t="s">
        <v>19</v>
      </c>
      <c r="C757" s="5">
        <v>42827</v>
      </c>
      <c r="D757" s="2">
        <v>6150</v>
      </c>
      <c r="E757">
        <f>SUMIFS(CA_Feed!F:F, CA_Feed!B:B, B757, CA_Feed!E:E, "*DIVIDEND*", CA_Feed!D:D, "&gt;="&amp;C757)</f>
        <v>1.5</v>
      </c>
      <c r="F757">
        <f t="shared" si="103"/>
        <v>9225</v>
      </c>
      <c r="G757">
        <f t="shared" si="104"/>
        <v>922.5</v>
      </c>
      <c r="H757">
        <f t="shared" si="105"/>
        <v>8302.5</v>
      </c>
      <c r="I757">
        <f>D757 * SUMIFS(CA_Feed!G:G, CA_Feed!B:B, B757, CA_Feed!E:E, "*BONUS*", CA_Feed!D:D, "&gt;="&amp;C757)</f>
        <v>0</v>
      </c>
      <c r="J757">
        <f t="shared" si="106"/>
        <v>0</v>
      </c>
      <c r="K757">
        <f t="shared" si="107"/>
        <v>0</v>
      </c>
      <c r="L757">
        <f>IF(K757&gt;0, K757 * VLOOKUP(B757, CA_Feed!B:N, 13, FALSE), 0)</f>
        <v>0</v>
      </c>
      <c r="M757">
        <f t="shared" si="102"/>
        <v>8302.5</v>
      </c>
      <c r="N757" s="2">
        <f t="shared" si="101"/>
        <v>0</v>
      </c>
      <c r="O757" t="str">
        <f>IF(COUNTIFS(CA_Feed!B:B, B757)=0, "No Action Announced", IF(COUNTIFS(CA_Feed!B:B, B757, CA_Feed!D:D, "&gt;="&amp;C757)&gt;0, "Processed (Eligible)", "Ineligible (Post Ex-Date)"))</f>
        <v>Processed (Eligible)</v>
      </c>
    </row>
    <row r="758" spans="1:15" x14ac:dyDescent="0.3">
      <c r="A758" t="s">
        <v>834</v>
      </c>
      <c r="B758" t="s">
        <v>41</v>
      </c>
      <c r="C758" s="5">
        <v>42188</v>
      </c>
      <c r="D758" s="2">
        <v>1400</v>
      </c>
      <c r="E758">
        <f>SUMIFS(CA_Feed!F:F, CA_Feed!B:B, B758, CA_Feed!E:E, "*DIVIDEND*", CA_Feed!D:D, "&gt;="&amp;C758)</f>
        <v>0.2</v>
      </c>
      <c r="F758">
        <f t="shared" si="103"/>
        <v>280</v>
      </c>
      <c r="G758">
        <f t="shared" si="104"/>
        <v>28</v>
      </c>
      <c r="H758">
        <f t="shared" si="105"/>
        <v>252</v>
      </c>
      <c r="I758">
        <f>D758 * SUMIFS(CA_Feed!G:G, CA_Feed!B:B, B758, CA_Feed!E:E, "*BONUS*", CA_Feed!D:D, "&gt;="&amp;C758)</f>
        <v>0</v>
      </c>
      <c r="J758">
        <f t="shared" si="106"/>
        <v>0</v>
      </c>
      <c r="K758">
        <f t="shared" si="107"/>
        <v>0</v>
      </c>
      <c r="L758">
        <f>IF(K758&gt;0, K758 * VLOOKUP(B758, CA_Feed!B:N, 13, FALSE), 0)</f>
        <v>0</v>
      </c>
      <c r="M758">
        <f t="shared" si="102"/>
        <v>252</v>
      </c>
      <c r="N758" s="2">
        <f t="shared" si="101"/>
        <v>0</v>
      </c>
      <c r="O758" t="str">
        <f>IF(COUNTIFS(CA_Feed!B:B, B758)=0, "No Action Announced", IF(COUNTIFS(CA_Feed!B:B, B758, CA_Feed!D:D, "&gt;="&amp;C758)&gt;0, "Processed (Eligible)", "Ineligible (Post Ex-Date)"))</f>
        <v>Processed (Eligible)</v>
      </c>
    </row>
    <row r="759" spans="1:15" x14ac:dyDescent="0.3">
      <c r="A759" t="s">
        <v>835</v>
      </c>
      <c r="B759" t="s">
        <v>45</v>
      </c>
      <c r="C759" s="5">
        <v>43900</v>
      </c>
      <c r="D759" s="2">
        <v>1050</v>
      </c>
      <c r="E759">
        <f>SUMIFS(CA_Feed!F:F, CA_Feed!B:B, B759, CA_Feed!E:E, "*DIVIDEND*", CA_Feed!D:D, "&gt;="&amp;C759)</f>
        <v>2.5</v>
      </c>
      <c r="F759">
        <f t="shared" si="103"/>
        <v>2625</v>
      </c>
      <c r="G759">
        <f t="shared" si="104"/>
        <v>262.5</v>
      </c>
      <c r="H759">
        <f t="shared" si="105"/>
        <v>2362.5</v>
      </c>
      <c r="I759">
        <f>D759 * SUMIFS(CA_Feed!G:G, CA_Feed!B:B, B759, CA_Feed!E:E, "*BONUS*", CA_Feed!D:D, "&gt;="&amp;C759)</f>
        <v>0</v>
      </c>
      <c r="J759">
        <f t="shared" si="106"/>
        <v>0</v>
      </c>
      <c r="K759">
        <f t="shared" si="107"/>
        <v>0</v>
      </c>
      <c r="L759">
        <f>IF(K759&gt;0, K759 * VLOOKUP(B759, CA_Feed!B:N, 13, FALSE), 0)</f>
        <v>0</v>
      </c>
      <c r="M759">
        <f t="shared" si="102"/>
        <v>2362.5</v>
      </c>
      <c r="N759" s="2">
        <f t="shared" si="101"/>
        <v>0</v>
      </c>
      <c r="O759" t="str">
        <f>IF(COUNTIFS(CA_Feed!B:B, B759)=0, "No Action Announced", IF(COUNTIFS(CA_Feed!B:B, B759, CA_Feed!D:D, "&gt;="&amp;C759)&gt;0, "Processed (Eligible)", "Ineligible (Post Ex-Date)"))</f>
        <v>Processed (Eligible)</v>
      </c>
    </row>
    <row r="760" spans="1:15" x14ac:dyDescent="0.3">
      <c r="A760" t="s">
        <v>427</v>
      </c>
      <c r="B760" t="s">
        <v>12</v>
      </c>
      <c r="C760" s="5">
        <v>42637</v>
      </c>
      <c r="D760" s="2">
        <v>15</v>
      </c>
      <c r="E760">
        <f>SUMIFS(CA_Feed!F:F, CA_Feed!B:B, B760, CA_Feed!E:E, "*DIVIDEND*", CA_Feed!D:D, "&gt;="&amp;C760)</f>
        <v>19</v>
      </c>
      <c r="F760">
        <f t="shared" si="103"/>
        <v>285</v>
      </c>
      <c r="G760">
        <f t="shared" si="104"/>
        <v>28.5</v>
      </c>
      <c r="H760">
        <f t="shared" si="105"/>
        <v>256.5</v>
      </c>
      <c r="I760">
        <f>D760 * SUMIFS(CA_Feed!G:G, CA_Feed!B:B, B760, CA_Feed!E:E, "*BONUS*", CA_Feed!D:D, "&gt;="&amp;C760)</f>
        <v>0</v>
      </c>
      <c r="J760">
        <f t="shared" si="106"/>
        <v>0</v>
      </c>
      <c r="K760">
        <f t="shared" si="107"/>
        <v>0</v>
      </c>
      <c r="L760">
        <f>IF(K760&gt;0, K760 * VLOOKUP(B760, CA_Feed!B:N, 13, FALSE), 0)</f>
        <v>0</v>
      </c>
      <c r="M760">
        <f t="shared" si="102"/>
        <v>256.5</v>
      </c>
      <c r="N760" s="2">
        <f t="shared" si="101"/>
        <v>0</v>
      </c>
      <c r="O760" t="str">
        <f>IF(COUNTIFS(CA_Feed!B:B, B760)=0, "No Action Announced", IF(COUNTIFS(CA_Feed!B:B, B760, CA_Feed!D:D, "&gt;="&amp;C760)&gt;0, "Processed (Eligible)", "Ineligible (Post Ex-Date)"))</f>
        <v>Processed (Eligible)</v>
      </c>
    </row>
    <row r="761" spans="1:15" x14ac:dyDescent="0.3">
      <c r="A761" t="s">
        <v>216</v>
      </c>
      <c r="B761" t="s">
        <v>12</v>
      </c>
      <c r="C761" s="5">
        <v>42599</v>
      </c>
      <c r="D761" s="2">
        <v>15</v>
      </c>
      <c r="E761">
        <f>SUMIFS(CA_Feed!F:F, CA_Feed!B:B, B761, CA_Feed!E:E, "*DIVIDEND*", CA_Feed!D:D, "&gt;="&amp;C761)</f>
        <v>19</v>
      </c>
      <c r="F761">
        <f t="shared" si="103"/>
        <v>285</v>
      </c>
      <c r="G761">
        <f t="shared" si="104"/>
        <v>28.5</v>
      </c>
      <c r="H761">
        <f t="shared" si="105"/>
        <v>256.5</v>
      </c>
      <c r="I761">
        <f>D761 * SUMIFS(CA_Feed!G:G, CA_Feed!B:B, B761, CA_Feed!E:E, "*BONUS*", CA_Feed!D:D, "&gt;="&amp;C761)</f>
        <v>0</v>
      </c>
      <c r="J761">
        <f t="shared" si="106"/>
        <v>0</v>
      </c>
      <c r="K761">
        <f t="shared" si="107"/>
        <v>0</v>
      </c>
      <c r="L761">
        <f>IF(K761&gt;0, K761 * VLOOKUP(B761, CA_Feed!B:N, 13, FALSE), 0)</f>
        <v>0</v>
      </c>
      <c r="M761">
        <f t="shared" si="102"/>
        <v>256.5</v>
      </c>
      <c r="N761" s="2">
        <f t="shared" si="101"/>
        <v>0</v>
      </c>
      <c r="O761" t="str">
        <f>IF(COUNTIFS(CA_Feed!B:B, B761)=0, "No Action Announced", IF(COUNTIFS(CA_Feed!B:B, B761, CA_Feed!D:D, "&gt;="&amp;C761)&gt;0, "Processed (Eligible)", "Ineligible (Post Ex-Date)"))</f>
        <v>Processed (Eligible)</v>
      </c>
    </row>
    <row r="762" spans="1:15" x14ac:dyDescent="0.3">
      <c r="A762" t="s">
        <v>838</v>
      </c>
      <c r="B762" t="s">
        <v>23</v>
      </c>
      <c r="C762" s="5">
        <v>43519</v>
      </c>
      <c r="D762" s="2">
        <v>9050</v>
      </c>
      <c r="E762">
        <f>SUMIFS(CA_Feed!F:F, CA_Feed!B:B, B762, CA_Feed!E:E, "*DIVIDEND*", CA_Feed!D:D, "&gt;="&amp;C762)</f>
        <v>1.5000000000000002</v>
      </c>
      <c r="F762">
        <f t="shared" si="103"/>
        <v>13575.000000000002</v>
      </c>
      <c r="G762">
        <f t="shared" si="104"/>
        <v>1357.5000000000002</v>
      </c>
      <c r="H762">
        <f t="shared" si="105"/>
        <v>12217.500000000002</v>
      </c>
      <c r="I762">
        <f>D762 * SUMIFS(CA_Feed!G:G, CA_Feed!B:B, B762, CA_Feed!E:E, "*BONUS*", CA_Feed!D:D, "&gt;="&amp;C762)</f>
        <v>0</v>
      </c>
      <c r="J762">
        <f t="shared" si="106"/>
        <v>0</v>
      </c>
      <c r="K762">
        <f t="shared" si="107"/>
        <v>0</v>
      </c>
      <c r="L762">
        <f>IF(K762&gt;0, K762 * VLOOKUP(B762, CA_Feed!B:N, 13, FALSE), 0)</f>
        <v>0</v>
      </c>
      <c r="M762">
        <f t="shared" si="102"/>
        <v>12217.500000000002</v>
      </c>
      <c r="N762" s="2">
        <f t="shared" si="101"/>
        <v>0</v>
      </c>
      <c r="O762" t="str">
        <f>IF(COUNTIFS(CA_Feed!B:B, B762)=0, "No Action Announced", IF(COUNTIFS(CA_Feed!B:B, B762, CA_Feed!D:D, "&gt;="&amp;C762)&gt;0, "Processed (Eligible)", "Ineligible (Post Ex-Date)"))</f>
        <v>Processed (Eligible)</v>
      </c>
    </row>
    <row r="763" spans="1:15" x14ac:dyDescent="0.3">
      <c r="A763" t="s">
        <v>839</v>
      </c>
      <c r="B763" t="s">
        <v>27</v>
      </c>
      <c r="C763" s="5">
        <v>45631</v>
      </c>
      <c r="D763" s="2">
        <v>3000</v>
      </c>
      <c r="E763">
        <f>SUMIFS(CA_Feed!F:F, CA_Feed!B:B, B763, CA_Feed!E:E, "*DIVIDEND*", CA_Feed!D:D, "&gt;="&amp;C763)</f>
        <v>2.25</v>
      </c>
      <c r="F763">
        <f t="shared" si="103"/>
        <v>6750</v>
      </c>
      <c r="G763">
        <f t="shared" si="104"/>
        <v>675</v>
      </c>
      <c r="H763">
        <f t="shared" si="105"/>
        <v>6075</v>
      </c>
      <c r="I763">
        <f>D763 * SUMIFS(CA_Feed!G:G, CA_Feed!B:B, B763, CA_Feed!E:E, "*BONUS*", CA_Feed!D:D, "&gt;="&amp;C763)</f>
        <v>0</v>
      </c>
      <c r="J763">
        <f t="shared" si="106"/>
        <v>0</v>
      </c>
      <c r="K763">
        <f t="shared" si="107"/>
        <v>0</v>
      </c>
      <c r="L763">
        <f>IF(K763&gt;0, K763 * VLOOKUP(B763, CA_Feed!B:N, 13, FALSE), 0)</f>
        <v>0</v>
      </c>
      <c r="M763">
        <f t="shared" si="102"/>
        <v>6075</v>
      </c>
      <c r="N763" s="2">
        <f t="shared" si="101"/>
        <v>0</v>
      </c>
      <c r="O763" t="str">
        <f>IF(COUNTIFS(CA_Feed!B:B, B763)=0, "No Action Announced", IF(COUNTIFS(CA_Feed!B:B, B763, CA_Feed!D:D, "&gt;="&amp;C763)&gt;0, "Processed (Eligible)", "Ineligible (Post Ex-Date)"))</f>
        <v>Processed (Eligible)</v>
      </c>
    </row>
    <row r="764" spans="1:15" x14ac:dyDescent="0.3">
      <c r="A764" t="s">
        <v>840</v>
      </c>
      <c r="B764" t="s">
        <v>61</v>
      </c>
      <c r="C764" s="5">
        <v>43762</v>
      </c>
      <c r="D764" s="2">
        <v>4100</v>
      </c>
      <c r="E764">
        <f>SUMIFS(CA_Feed!F:F, CA_Feed!B:B, B764, CA_Feed!E:E, "*DIVIDEND*", CA_Feed!D:D, "&gt;="&amp;C764)</f>
        <v>8</v>
      </c>
      <c r="F764">
        <f t="shared" si="103"/>
        <v>32800</v>
      </c>
      <c r="G764">
        <f t="shared" si="104"/>
        <v>3280</v>
      </c>
      <c r="H764">
        <f t="shared" si="105"/>
        <v>29520</v>
      </c>
      <c r="I764">
        <f>D764 * SUMIFS(CA_Feed!G:G, CA_Feed!B:B, B764, CA_Feed!E:E, "*BONUS*", CA_Feed!D:D, "&gt;="&amp;C764)</f>
        <v>0</v>
      </c>
      <c r="J764">
        <f t="shared" si="106"/>
        <v>0</v>
      </c>
      <c r="K764">
        <f t="shared" si="107"/>
        <v>0</v>
      </c>
      <c r="L764">
        <f>IF(K764&gt;0, K764 * VLOOKUP(B764, CA_Feed!B:N, 13, FALSE), 0)</f>
        <v>0</v>
      </c>
      <c r="M764">
        <f t="shared" si="102"/>
        <v>29520</v>
      </c>
      <c r="N764" s="2">
        <f t="shared" si="101"/>
        <v>0</v>
      </c>
      <c r="O764" t="str">
        <f>IF(COUNTIFS(CA_Feed!B:B, B764)=0, "No Action Announced", IF(COUNTIFS(CA_Feed!B:B, B764, CA_Feed!D:D, "&gt;="&amp;C764)&gt;0, "Processed (Eligible)", "Ineligible (Post Ex-Date)"))</f>
        <v>Processed (Eligible)</v>
      </c>
    </row>
    <row r="765" spans="1:15" x14ac:dyDescent="0.3">
      <c r="A765" t="s">
        <v>570</v>
      </c>
      <c r="B765" t="s">
        <v>12</v>
      </c>
      <c r="C765" s="5">
        <v>42438</v>
      </c>
      <c r="D765" s="2">
        <v>15</v>
      </c>
      <c r="E765">
        <f>SUMIFS(CA_Feed!F:F, CA_Feed!B:B, B765, CA_Feed!E:E, "*DIVIDEND*", CA_Feed!D:D, "&gt;="&amp;C765)</f>
        <v>19</v>
      </c>
      <c r="F765">
        <f t="shared" si="103"/>
        <v>285</v>
      </c>
      <c r="G765">
        <f t="shared" si="104"/>
        <v>28.5</v>
      </c>
      <c r="H765">
        <f t="shared" si="105"/>
        <v>256.5</v>
      </c>
      <c r="I765">
        <f>D765 * SUMIFS(CA_Feed!G:G, CA_Feed!B:B, B765, CA_Feed!E:E, "*BONUS*", CA_Feed!D:D, "&gt;="&amp;C765)</f>
        <v>0</v>
      </c>
      <c r="J765">
        <f t="shared" si="106"/>
        <v>0</v>
      </c>
      <c r="K765">
        <f t="shared" si="107"/>
        <v>0</v>
      </c>
      <c r="L765">
        <f>IF(K765&gt;0, K765 * VLOOKUP(B765, CA_Feed!B:N, 13, FALSE), 0)</f>
        <v>0</v>
      </c>
      <c r="M765">
        <f t="shared" si="102"/>
        <v>256.5</v>
      </c>
      <c r="N765" s="2">
        <f t="shared" si="101"/>
        <v>0</v>
      </c>
      <c r="O765" t="str">
        <f>IF(COUNTIFS(CA_Feed!B:B, B765)=0, "No Action Announced", IF(COUNTIFS(CA_Feed!B:B, B765, CA_Feed!D:D, "&gt;="&amp;C765)&gt;0, "Processed (Eligible)", "Ineligible (Post Ex-Date)"))</f>
        <v>Processed (Eligible)</v>
      </c>
    </row>
  </sheetData>
  <autoFilter ref="A1:O765" xr:uid="{A392948D-9C31-46E3-BD5F-29F66127172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31388-E9EE-4C89-8581-F49DD97C8327}">
  <sheetPr codeName="Sheet1"/>
  <dimension ref="A1:N60"/>
  <sheetViews>
    <sheetView workbookViewId="0">
      <pane ySplit="1" topLeftCell="A2" activePane="bottomLeft" state="frozen"/>
      <selection pane="bottomLeft" activeCell="E54" sqref="E54"/>
    </sheetView>
  </sheetViews>
  <sheetFormatPr defaultRowHeight="14.4" x14ac:dyDescent="0.3"/>
  <cols>
    <col min="1" max="1" width="14.21875" bestFit="1" customWidth="1"/>
    <col min="2" max="2" width="14.88671875" bestFit="1" customWidth="1"/>
    <col min="3" max="3" width="41.5546875" bestFit="1" customWidth="1"/>
    <col min="4" max="4" width="9.5546875" bestFit="1" customWidth="1"/>
    <col min="5" max="5" width="14.33203125" bestFit="1" customWidth="1"/>
    <col min="6" max="6" width="17.6640625" bestFit="1" customWidth="1"/>
    <col min="7" max="7" width="17.6640625" customWidth="1"/>
    <col min="8" max="8" width="13.109375" bestFit="1" customWidth="1"/>
    <col min="9" max="9" width="13.77734375" bestFit="1" customWidth="1"/>
    <col min="10" max="10" width="14.21875" bestFit="1" customWidth="1"/>
    <col min="11" max="11" width="14" bestFit="1" customWidth="1"/>
    <col min="12" max="12" width="13.21875" bestFit="1" customWidth="1"/>
    <col min="13" max="13" width="20" bestFit="1" customWidth="1"/>
  </cols>
  <sheetData>
    <row r="1" spans="1:14" x14ac:dyDescent="0.3">
      <c r="A1" t="s">
        <v>0</v>
      </c>
      <c r="B1" t="s">
        <v>1</v>
      </c>
      <c r="C1" t="s">
        <v>2</v>
      </c>
      <c r="D1" t="s">
        <v>3</v>
      </c>
      <c r="E1" t="s">
        <v>4</v>
      </c>
      <c r="F1" t="s">
        <v>5</v>
      </c>
      <c r="G1" t="s">
        <v>854</v>
      </c>
      <c r="H1" t="s">
        <v>6</v>
      </c>
      <c r="I1" t="s">
        <v>7</v>
      </c>
      <c r="J1" t="s">
        <v>8</v>
      </c>
      <c r="K1" t="s">
        <v>9</v>
      </c>
      <c r="L1" t="s">
        <v>10</v>
      </c>
      <c r="M1" t="s">
        <v>11</v>
      </c>
      <c r="N1" t="s">
        <v>857</v>
      </c>
    </row>
    <row r="2" spans="1:14" x14ac:dyDescent="0.3">
      <c r="A2">
        <v>531688</v>
      </c>
      <c r="B2" t="s">
        <v>37</v>
      </c>
      <c r="C2" t="s">
        <v>38</v>
      </c>
      <c r="D2" s="1">
        <v>46253</v>
      </c>
      <c r="E2" t="s">
        <v>14</v>
      </c>
      <c r="F2">
        <v>0.5</v>
      </c>
      <c r="G2">
        <f>IF(ISNUMBER(SEARCH("BONUS", E2)), VALUE(LEFT(F2, FIND(":", F2)-1)) / VALUE(MID(F2, FIND(":", F2)+1, 10)), 0)</f>
        <v>0</v>
      </c>
      <c r="H2" s="1">
        <v>46253</v>
      </c>
      <c r="I2" t="s">
        <v>15</v>
      </c>
      <c r="J2" t="s">
        <v>15</v>
      </c>
      <c r="K2" s="1">
        <v>46253</v>
      </c>
      <c r="L2" s="1">
        <v>46253</v>
      </c>
      <c r="M2" t="s">
        <v>15</v>
      </c>
    </row>
    <row r="3" spans="1:14" x14ac:dyDescent="0.3">
      <c r="A3">
        <v>531278</v>
      </c>
      <c r="B3" t="s">
        <v>16</v>
      </c>
      <c r="C3" t="s">
        <v>17</v>
      </c>
      <c r="D3" s="1">
        <v>46252</v>
      </c>
      <c r="E3" t="s">
        <v>14</v>
      </c>
      <c r="F3">
        <v>1.25</v>
      </c>
      <c r="G3">
        <f t="shared" ref="G3:G60" si="0">IF(ISNUMBER(SEARCH("BONUS", E3)), VALUE(LEFT(F3, FIND(":", F3)-1)) / VALUE(MID(F3, FIND(":", F3)+1, 10)), 0)</f>
        <v>0</v>
      </c>
      <c r="H3" s="1">
        <v>46252</v>
      </c>
      <c r="I3" t="s">
        <v>15</v>
      </c>
      <c r="J3" t="s">
        <v>15</v>
      </c>
      <c r="K3" s="1">
        <v>46252</v>
      </c>
      <c r="L3" s="1">
        <v>46252</v>
      </c>
      <c r="M3" t="s">
        <v>15</v>
      </c>
    </row>
    <row r="4" spans="1:14" x14ac:dyDescent="0.3">
      <c r="A4">
        <v>532333</v>
      </c>
      <c r="B4" t="s">
        <v>27</v>
      </c>
      <c r="C4" t="s">
        <v>28</v>
      </c>
      <c r="D4" s="1">
        <v>46248</v>
      </c>
      <c r="E4" t="s">
        <v>18</v>
      </c>
      <c r="F4">
        <v>1.25</v>
      </c>
      <c r="G4">
        <f t="shared" si="0"/>
        <v>0</v>
      </c>
      <c r="H4" s="1">
        <v>46248</v>
      </c>
      <c r="I4" t="s">
        <v>15</v>
      </c>
      <c r="J4" t="s">
        <v>15</v>
      </c>
      <c r="K4" s="1">
        <v>46248</v>
      </c>
      <c r="L4" s="1">
        <v>46248</v>
      </c>
      <c r="M4" t="s">
        <v>15</v>
      </c>
    </row>
    <row r="5" spans="1:14" x14ac:dyDescent="0.3">
      <c r="A5">
        <v>530419</v>
      </c>
      <c r="B5" t="s">
        <v>29</v>
      </c>
      <c r="C5" t="s">
        <v>30</v>
      </c>
      <c r="D5" s="1">
        <v>46247</v>
      </c>
      <c r="E5" t="s">
        <v>14</v>
      </c>
      <c r="F5">
        <v>1</v>
      </c>
      <c r="G5">
        <f t="shared" si="0"/>
        <v>0</v>
      </c>
      <c r="H5" s="1">
        <v>46247</v>
      </c>
      <c r="I5" t="s">
        <v>15</v>
      </c>
      <c r="J5" t="s">
        <v>15</v>
      </c>
      <c r="K5" s="1">
        <v>46247</v>
      </c>
      <c r="L5" s="1">
        <v>46247</v>
      </c>
      <c r="M5" t="s">
        <v>15</v>
      </c>
    </row>
    <row r="6" spans="1:14" x14ac:dyDescent="0.3">
      <c r="A6">
        <v>501386</v>
      </c>
      <c r="B6" t="s">
        <v>31</v>
      </c>
      <c r="C6" t="s">
        <v>32</v>
      </c>
      <c r="D6" s="1">
        <v>46245</v>
      </c>
      <c r="E6" t="s">
        <v>14</v>
      </c>
      <c r="F6">
        <v>1</v>
      </c>
      <c r="G6">
        <f t="shared" si="0"/>
        <v>0</v>
      </c>
      <c r="H6" s="1">
        <v>46245</v>
      </c>
      <c r="I6" t="s">
        <v>15</v>
      </c>
      <c r="J6" t="s">
        <v>15</v>
      </c>
      <c r="K6" s="1">
        <v>46245</v>
      </c>
      <c r="L6" s="1">
        <v>46245</v>
      </c>
      <c r="M6" t="s">
        <v>15</v>
      </c>
    </row>
    <row r="7" spans="1:14" x14ac:dyDescent="0.3">
      <c r="A7">
        <v>523019</v>
      </c>
      <c r="B7" t="s">
        <v>25</v>
      </c>
      <c r="C7" t="s">
        <v>26</v>
      </c>
      <c r="D7" s="1">
        <v>46241</v>
      </c>
      <c r="E7" t="s">
        <v>14</v>
      </c>
      <c r="F7">
        <v>0.5</v>
      </c>
      <c r="G7">
        <f t="shared" si="0"/>
        <v>0</v>
      </c>
      <c r="H7" s="1">
        <v>46241</v>
      </c>
      <c r="I7" t="s">
        <v>15</v>
      </c>
      <c r="J7" t="s">
        <v>15</v>
      </c>
      <c r="K7" s="1">
        <v>46241</v>
      </c>
      <c r="L7" s="1">
        <v>46241</v>
      </c>
      <c r="M7" t="s">
        <v>15</v>
      </c>
    </row>
    <row r="8" spans="1:14" x14ac:dyDescent="0.3">
      <c r="A8">
        <v>508905</v>
      </c>
      <c r="B8" t="s">
        <v>33</v>
      </c>
      <c r="C8" t="s">
        <v>34</v>
      </c>
      <c r="D8" s="1">
        <v>46234</v>
      </c>
      <c r="E8" t="s">
        <v>14</v>
      </c>
      <c r="F8">
        <v>1.5</v>
      </c>
      <c r="G8">
        <f t="shared" si="0"/>
        <v>0</v>
      </c>
      <c r="H8" s="1">
        <v>46234</v>
      </c>
      <c r="I8" t="s">
        <v>15</v>
      </c>
      <c r="J8" t="s">
        <v>15</v>
      </c>
      <c r="K8" s="1">
        <v>46234</v>
      </c>
      <c r="L8" s="1">
        <v>46234</v>
      </c>
      <c r="M8" t="s">
        <v>15</v>
      </c>
    </row>
    <row r="9" spans="1:14" x14ac:dyDescent="0.3">
      <c r="A9">
        <v>500092</v>
      </c>
      <c r="B9" t="s">
        <v>12</v>
      </c>
      <c r="C9" t="s">
        <v>13</v>
      </c>
      <c r="D9" s="1">
        <v>46230</v>
      </c>
      <c r="E9" t="s">
        <v>18</v>
      </c>
      <c r="F9">
        <v>4</v>
      </c>
      <c r="G9">
        <f t="shared" si="0"/>
        <v>0</v>
      </c>
      <c r="H9" s="1">
        <v>46230</v>
      </c>
      <c r="I9" t="s">
        <v>15</v>
      </c>
      <c r="J9" t="s">
        <v>15</v>
      </c>
      <c r="K9" s="1">
        <v>46230</v>
      </c>
      <c r="L9" s="1">
        <v>46230</v>
      </c>
      <c r="M9" t="s">
        <v>15</v>
      </c>
    </row>
    <row r="10" spans="1:14" x14ac:dyDescent="0.3">
      <c r="A10">
        <v>532410</v>
      </c>
      <c r="B10" t="s">
        <v>23</v>
      </c>
      <c r="C10" t="s">
        <v>24</v>
      </c>
      <c r="D10" s="1">
        <v>46206</v>
      </c>
      <c r="E10" t="s">
        <v>14</v>
      </c>
      <c r="F10">
        <v>0.4</v>
      </c>
      <c r="G10">
        <f t="shared" si="0"/>
        <v>0</v>
      </c>
      <c r="H10" s="1">
        <v>46206</v>
      </c>
      <c r="I10" t="s">
        <v>15</v>
      </c>
      <c r="J10" t="s">
        <v>15</v>
      </c>
      <c r="K10" s="1">
        <v>46206</v>
      </c>
      <c r="L10" s="1">
        <v>46206</v>
      </c>
      <c r="M10" t="s">
        <v>15</v>
      </c>
    </row>
    <row r="11" spans="1:14" x14ac:dyDescent="0.3">
      <c r="A11">
        <v>500092</v>
      </c>
      <c r="B11" t="s">
        <v>12</v>
      </c>
      <c r="C11" t="s">
        <v>13</v>
      </c>
      <c r="D11" s="1">
        <v>46135</v>
      </c>
      <c r="E11" t="s">
        <v>18</v>
      </c>
      <c r="F11">
        <v>5</v>
      </c>
      <c r="G11">
        <f t="shared" si="0"/>
        <v>0</v>
      </c>
      <c r="H11" s="1">
        <v>46135</v>
      </c>
      <c r="I11" t="s">
        <v>15</v>
      </c>
      <c r="J11" t="s">
        <v>15</v>
      </c>
      <c r="K11" s="1">
        <v>46135</v>
      </c>
      <c r="L11" s="1">
        <v>46135</v>
      </c>
      <c r="M11" t="s">
        <v>15</v>
      </c>
    </row>
    <row r="12" spans="1:14" x14ac:dyDescent="0.3">
      <c r="A12">
        <v>500092</v>
      </c>
      <c r="B12" t="s">
        <v>12</v>
      </c>
      <c r="C12" t="s">
        <v>13</v>
      </c>
      <c r="D12" s="1">
        <v>46114</v>
      </c>
      <c r="E12" t="s">
        <v>14</v>
      </c>
      <c r="F12">
        <v>10</v>
      </c>
      <c r="G12">
        <f t="shared" si="0"/>
        <v>0</v>
      </c>
      <c r="H12" s="1">
        <v>46115</v>
      </c>
      <c r="I12" t="s">
        <v>15</v>
      </c>
      <c r="J12" t="s">
        <v>15</v>
      </c>
      <c r="K12" s="1">
        <v>46114</v>
      </c>
      <c r="L12" s="1">
        <v>46114</v>
      </c>
      <c r="M12" t="s">
        <v>15</v>
      </c>
    </row>
    <row r="13" spans="1:14" x14ac:dyDescent="0.3">
      <c r="A13">
        <v>544536</v>
      </c>
      <c r="B13" t="s">
        <v>61</v>
      </c>
      <c r="C13" t="s">
        <v>62</v>
      </c>
      <c r="D13" s="1">
        <v>46063</v>
      </c>
      <c r="E13" t="s">
        <v>18</v>
      </c>
      <c r="F13">
        <v>4</v>
      </c>
      <c r="G13">
        <f t="shared" si="0"/>
        <v>0</v>
      </c>
      <c r="H13" s="1">
        <v>46063</v>
      </c>
      <c r="I13" t="s">
        <v>15</v>
      </c>
      <c r="J13" t="s">
        <v>15</v>
      </c>
      <c r="K13" s="1">
        <v>46063</v>
      </c>
      <c r="L13" s="1">
        <v>46063</v>
      </c>
      <c r="M13" t="s">
        <v>15</v>
      </c>
    </row>
    <row r="14" spans="1:14" x14ac:dyDescent="0.3">
      <c r="A14">
        <v>531688</v>
      </c>
      <c r="B14" t="s">
        <v>37</v>
      </c>
      <c r="C14" t="s">
        <v>38</v>
      </c>
      <c r="D14" s="1">
        <v>46062</v>
      </c>
      <c r="E14" t="s">
        <v>18</v>
      </c>
      <c r="F14">
        <v>1.5</v>
      </c>
      <c r="G14">
        <f t="shared" si="0"/>
        <v>0</v>
      </c>
      <c r="H14" s="1">
        <v>46062</v>
      </c>
      <c r="I14" t="s">
        <v>15</v>
      </c>
      <c r="J14" t="s">
        <v>15</v>
      </c>
      <c r="K14" s="1">
        <v>46062</v>
      </c>
      <c r="L14" s="1">
        <v>46062</v>
      </c>
      <c r="M14" t="s">
        <v>15</v>
      </c>
    </row>
    <row r="15" spans="1:14" x14ac:dyDescent="0.3">
      <c r="A15">
        <v>505515</v>
      </c>
      <c r="B15" t="s">
        <v>59</v>
      </c>
      <c r="C15" t="s">
        <v>60</v>
      </c>
      <c r="D15" s="1">
        <v>45987</v>
      </c>
      <c r="E15" t="s">
        <v>18</v>
      </c>
      <c r="F15">
        <v>0.1</v>
      </c>
      <c r="G15">
        <f t="shared" si="0"/>
        <v>0</v>
      </c>
      <c r="H15" s="1">
        <v>45987</v>
      </c>
      <c r="I15" t="s">
        <v>15</v>
      </c>
      <c r="J15" t="s">
        <v>15</v>
      </c>
      <c r="K15" s="1">
        <v>45987</v>
      </c>
      <c r="L15" s="1">
        <v>45987</v>
      </c>
      <c r="M15" t="s">
        <v>15</v>
      </c>
    </row>
    <row r="16" spans="1:14" x14ac:dyDescent="0.3">
      <c r="A16">
        <v>544536</v>
      </c>
      <c r="B16" t="s">
        <v>61</v>
      </c>
      <c r="C16" t="s">
        <v>62</v>
      </c>
      <c r="D16" s="1">
        <v>45980</v>
      </c>
      <c r="E16" t="s">
        <v>18</v>
      </c>
      <c r="F16">
        <v>4</v>
      </c>
      <c r="G16">
        <f t="shared" si="0"/>
        <v>0</v>
      </c>
      <c r="H16" s="1">
        <v>45980</v>
      </c>
      <c r="I16" t="s">
        <v>15</v>
      </c>
      <c r="J16" t="s">
        <v>15</v>
      </c>
      <c r="K16" s="1">
        <v>45980</v>
      </c>
      <c r="L16" s="1">
        <v>45980</v>
      </c>
      <c r="M16" t="s">
        <v>15</v>
      </c>
    </row>
    <row r="17" spans="1:13" x14ac:dyDescent="0.3">
      <c r="A17">
        <v>532333</v>
      </c>
      <c r="B17" t="s">
        <v>27</v>
      </c>
      <c r="C17" t="s">
        <v>28</v>
      </c>
      <c r="D17" s="1">
        <v>45978</v>
      </c>
      <c r="E17" t="s">
        <v>18</v>
      </c>
      <c r="F17">
        <v>1</v>
      </c>
      <c r="G17">
        <f t="shared" si="0"/>
        <v>0</v>
      </c>
      <c r="H17" s="1">
        <v>45978</v>
      </c>
      <c r="I17" t="s">
        <v>15</v>
      </c>
      <c r="J17" t="s">
        <v>15</v>
      </c>
      <c r="K17" s="1">
        <v>45978</v>
      </c>
      <c r="L17" s="1">
        <v>45978</v>
      </c>
      <c r="M17" t="s">
        <v>15</v>
      </c>
    </row>
    <row r="18" spans="1:13" x14ac:dyDescent="0.3">
      <c r="A18">
        <v>532410</v>
      </c>
      <c r="B18" t="s">
        <v>23</v>
      </c>
      <c r="C18" t="s">
        <v>24</v>
      </c>
      <c r="D18" s="1">
        <v>45971</v>
      </c>
      <c r="E18" t="s">
        <v>18</v>
      </c>
      <c r="F18">
        <v>0.2</v>
      </c>
      <c r="G18">
        <f t="shared" si="0"/>
        <v>0</v>
      </c>
      <c r="H18" s="1">
        <v>45971</v>
      </c>
      <c r="I18" t="s">
        <v>15</v>
      </c>
      <c r="J18" t="s">
        <v>15</v>
      </c>
      <c r="K18" s="1">
        <v>45971</v>
      </c>
      <c r="L18" s="1">
        <v>45971</v>
      </c>
      <c r="M18" t="s">
        <v>15</v>
      </c>
    </row>
    <row r="19" spans="1:13" x14ac:dyDescent="0.3">
      <c r="A19">
        <v>534732</v>
      </c>
      <c r="B19" t="s">
        <v>47</v>
      </c>
      <c r="C19" t="s">
        <v>48</v>
      </c>
      <c r="D19" s="1">
        <v>45926</v>
      </c>
      <c r="E19" t="s">
        <v>14</v>
      </c>
      <c r="F19">
        <v>0.05</v>
      </c>
      <c r="G19">
        <f t="shared" si="0"/>
        <v>0</v>
      </c>
      <c r="H19" s="1">
        <v>45926</v>
      </c>
      <c r="I19" t="s">
        <v>15</v>
      </c>
      <c r="J19" t="s">
        <v>15</v>
      </c>
      <c r="K19" s="1">
        <v>45926</v>
      </c>
      <c r="L19" s="1">
        <v>45926</v>
      </c>
      <c r="M19" t="s">
        <v>15</v>
      </c>
    </row>
    <row r="20" spans="1:13" x14ac:dyDescent="0.3">
      <c r="A20">
        <v>538382</v>
      </c>
      <c r="B20" t="s">
        <v>41</v>
      </c>
      <c r="C20" t="s">
        <v>42</v>
      </c>
      <c r="D20" s="1">
        <v>45926</v>
      </c>
      <c r="E20" t="s">
        <v>14</v>
      </c>
      <c r="F20">
        <v>0.1</v>
      </c>
      <c r="G20">
        <f t="shared" si="0"/>
        <v>0</v>
      </c>
      <c r="H20" s="1">
        <v>45926</v>
      </c>
      <c r="I20" t="s">
        <v>15</v>
      </c>
      <c r="J20" t="s">
        <v>15</v>
      </c>
      <c r="K20" s="1">
        <v>45926</v>
      </c>
      <c r="L20" s="1">
        <v>45926</v>
      </c>
      <c r="M20" t="s">
        <v>15</v>
      </c>
    </row>
    <row r="21" spans="1:13" x14ac:dyDescent="0.3">
      <c r="A21">
        <v>540097</v>
      </c>
      <c r="B21" t="s">
        <v>49</v>
      </c>
      <c r="C21" t="s">
        <v>50</v>
      </c>
      <c r="D21" s="1">
        <v>45915</v>
      </c>
      <c r="E21" t="s">
        <v>14</v>
      </c>
      <c r="F21">
        <v>0.1</v>
      </c>
      <c r="G21">
        <f t="shared" si="0"/>
        <v>0</v>
      </c>
      <c r="H21" s="1">
        <v>45915</v>
      </c>
      <c r="I21" t="s">
        <v>15</v>
      </c>
      <c r="J21" t="s">
        <v>15</v>
      </c>
      <c r="K21" s="1">
        <v>45915</v>
      </c>
      <c r="L21" s="1">
        <v>45915</v>
      </c>
      <c r="M21" t="s">
        <v>15</v>
      </c>
    </row>
    <row r="22" spans="1:13" x14ac:dyDescent="0.3">
      <c r="A22">
        <v>500450</v>
      </c>
      <c r="B22" t="s">
        <v>43</v>
      </c>
      <c r="C22" t="s">
        <v>44</v>
      </c>
      <c r="D22" s="1">
        <v>45912</v>
      </c>
      <c r="E22" t="s">
        <v>14</v>
      </c>
      <c r="F22">
        <v>0.45</v>
      </c>
      <c r="G22">
        <f t="shared" si="0"/>
        <v>0</v>
      </c>
      <c r="H22" s="1">
        <v>45913</v>
      </c>
      <c r="I22" t="s">
        <v>15</v>
      </c>
      <c r="J22" t="s">
        <v>15</v>
      </c>
      <c r="K22" s="1">
        <v>45912</v>
      </c>
      <c r="L22" s="1">
        <v>45912</v>
      </c>
      <c r="M22" t="s">
        <v>15</v>
      </c>
    </row>
    <row r="23" spans="1:13" x14ac:dyDescent="0.3">
      <c r="A23">
        <v>544207</v>
      </c>
      <c r="B23" t="s">
        <v>53</v>
      </c>
      <c r="C23" t="s">
        <v>54</v>
      </c>
      <c r="D23" s="1">
        <v>45912</v>
      </c>
      <c r="E23" t="s">
        <v>14</v>
      </c>
      <c r="F23">
        <v>0.04</v>
      </c>
      <c r="G23">
        <f t="shared" si="0"/>
        <v>0</v>
      </c>
      <c r="H23" s="1">
        <v>45912</v>
      </c>
      <c r="I23" t="s">
        <v>15</v>
      </c>
      <c r="J23" t="s">
        <v>15</v>
      </c>
      <c r="K23" s="1">
        <v>45912</v>
      </c>
      <c r="L23" s="1">
        <v>45912</v>
      </c>
      <c r="M23" t="s">
        <v>15</v>
      </c>
    </row>
    <row r="24" spans="1:13" x14ac:dyDescent="0.3">
      <c r="A24">
        <v>534691</v>
      </c>
      <c r="B24" t="s">
        <v>35</v>
      </c>
      <c r="C24" t="s">
        <v>36</v>
      </c>
      <c r="D24" s="1">
        <v>45904</v>
      </c>
      <c r="E24" t="s">
        <v>14</v>
      </c>
      <c r="F24">
        <v>0.5</v>
      </c>
      <c r="G24">
        <f t="shared" si="0"/>
        <v>0</v>
      </c>
      <c r="H24" s="1">
        <v>45905</v>
      </c>
      <c r="I24" t="s">
        <v>15</v>
      </c>
      <c r="J24" t="s">
        <v>15</v>
      </c>
      <c r="K24" s="1">
        <v>45905</v>
      </c>
      <c r="L24" s="1">
        <v>45905</v>
      </c>
      <c r="M24" t="s">
        <v>15</v>
      </c>
    </row>
    <row r="25" spans="1:13" x14ac:dyDescent="0.3">
      <c r="A25">
        <v>531688</v>
      </c>
      <c r="B25" t="s">
        <v>37</v>
      </c>
      <c r="C25" t="s">
        <v>38</v>
      </c>
      <c r="D25" s="1">
        <v>45902</v>
      </c>
      <c r="E25" t="s">
        <v>14</v>
      </c>
      <c r="F25">
        <v>1</v>
      </c>
      <c r="G25">
        <f t="shared" si="0"/>
        <v>0</v>
      </c>
      <c r="H25" s="1">
        <v>45902</v>
      </c>
      <c r="I25" t="s">
        <v>15</v>
      </c>
      <c r="J25" t="s">
        <v>15</v>
      </c>
      <c r="K25" s="1">
        <v>45902</v>
      </c>
      <c r="L25" s="1">
        <v>45902</v>
      </c>
      <c r="M25" t="s">
        <v>15</v>
      </c>
    </row>
    <row r="26" spans="1:13" x14ac:dyDescent="0.3">
      <c r="A26">
        <v>500189</v>
      </c>
      <c r="B26" t="s">
        <v>19</v>
      </c>
      <c r="C26" t="s">
        <v>20</v>
      </c>
      <c r="D26" s="1">
        <v>45891</v>
      </c>
      <c r="E26" t="s">
        <v>14</v>
      </c>
      <c r="F26">
        <v>0.5</v>
      </c>
      <c r="G26">
        <f t="shared" si="0"/>
        <v>0</v>
      </c>
      <c r="H26" s="1">
        <v>45891</v>
      </c>
      <c r="I26" t="s">
        <v>15</v>
      </c>
      <c r="J26" t="s">
        <v>15</v>
      </c>
      <c r="K26" s="1">
        <v>45891</v>
      </c>
      <c r="L26" s="1">
        <v>45891</v>
      </c>
      <c r="M26" t="s">
        <v>15</v>
      </c>
    </row>
    <row r="27" spans="1:13" x14ac:dyDescent="0.3">
      <c r="A27">
        <v>542866</v>
      </c>
      <c r="B27" t="s">
        <v>57</v>
      </c>
      <c r="C27" t="s">
        <v>58</v>
      </c>
      <c r="D27" s="1">
        <v>45889</v>
      </c>
      <c r="E27" t="s">
        <v>18</v>
      </c>
      <c r="F27">
        <v>0.01</v>
      </c>
      <c r="G27">
        <f t="shared" si="0"/>
        <v>0</v>
      </c>
      <c r="H27" s="1">
        <v>45889</v>
      </c>
      <c r="I27" t="s">
        <v>15</v>
      </c>
      <c r="J27" t="s">
        <v>15</v>
      </c>
      <c r="K27" s="1">
        <v>45889</v>
      </c>
      <c r="L27" s="1">
        <v>45889</v>
      </c>
      <c r="M27" t="s">
        <v>15</v>
      </c>
    </row>
    <row r="28" spans="1:13" x14ac:dyDescent="0.3">
      <c r="A28">
        <v>531278</v>
      </c>
      <c r="B28" t="s">
        <v>16</v>
      </c>
      <c r="C28" t="s">
        <v>17</v>
      </c>
      <c r="D28" s="1">
        <v>45888</v>
      </c>
      <c r="E28" t="s">
        <v>14</v>
      </c>
      <c r="F28">
        <v>1.25</v>
      </c>
      <c r="G28">
        <f t="shared" si="0"/>
        <v>0</v>
      </c>
      <c r="H28" s="1">
        <v>45888</v>
      </c>
      <c r="I28" t="s">
        <v>15</v>
      </c>
      <c r="J28" t="s">
        <v>15</v>
      </c>
      <c r="K28" s="1">
        <v>45888</v>
      </c>
      <c r="L28" s="1">
        <v>45888</v>
      </c>
      <c r="M28" t="s">
        <v>15</v>
      </c>
    </row>
    <row r="29" spans="1:13" x14ac:dyDescent="0.3">
      <c r="A29">
        <v>530419</v>
      </c>
      <c r="B29" t="s">
        <v>29</v>
      </c>
      <c r="C29" t="s">
        <v>30</v>
      </c>
      <c r="D29" s="1">
        <v>45888</v>
      </c>
      <c r="E29" t="s">
        <v>14</v>
      </c>
      <c r="F29">
        <v>1</v>
      </c>
      <c r="G29">
        <f t="shared" si="0"/>
        <v>0</v>
      </c>
      <c r="H29" s="1">
        <v>45888</v>
      </c>
      <c r="I29" t="s">
        <v>15</v>
      </c>
      <c r="J29" t="s">
        <v>15</v>
      </c>
      <c r="K29" s="1">
        <v>45888</v>
      </c>
      <c r="L29" s="1">
        <v>45888</v>
      </c>
      <c r="M29" t="s">
        <v>15</v>
      </c>
    </row>
    <row r="30" spans="1:13" x14ac:dyDescent="0.3">
      <c r="A30">
        <v>523019</v>
      </c>
      <c r="B30" t="s">
        <v>25</v>
      </c>
      <c r="C30" t="s">
        <v>26</v>
      </c>
      <c r="D30" s="1">
        <v>45863</v>
      </c>
      <c r="E30" t="s">
        <v>14</v>
      </c>
      <c r="F30">
        <v>0.5</v>
      </c>
      <c r="G30">
        <f t="shared" si="0"/>
        <v>0</v>
      </c>
      <c r="H30" s="1">
        <v>45863</v>
      </c>
      <c r="I30" t="s">
        <v>15</v>
      </c>
      <c r="J30" t="s">
        <v>15</v>
      </c>
      <c r="K30" s="1">
        <v>45863</v>
      </c>
      <c r="L30" s="1">
        <v>45863</v>
      </c>
      <c r="M30" t="s">
        <v>15</v>
      </c>
    </row>
    <row r="31" spans="1:13" x14ac:dyDescent="0.3">
      <c r="A31">
        <v>511501</v>
      </c>
      <c r="B31" t="s">
        <v>39</v>
      </c>
      <c r="C31" t="s">
        <v>40</v>
      </c>
      <c r="D31" s="1">
        <v>45835</v>
      </c>
      <c r="E31" t="s">
        <v>14</v>
      </c>
      <c r="F31">
        <v>0.6</v>
      </c>
      <c r="G31">
        <f t="shared" si="0"/>
        <v>0</v>
      </c>
      <c r="H31" s="1">
        <v>45835</v>
      </c>
      <c r="I31" t="s">
        <v>15</v>
      </c>
      <c r="J31" t="s">
        <v>15</v>
      </c>
      <c r="K31" s="1">
        <v>45835</v>
      </c>
      <c r="L31" s="1">
        <v>45835</v>
      </c>
      <c r="M31" t="s">
        <v>15</v>
      </c>
    </row>
    <row r="32" spans="1:13" x14ac:dyDescent="0.3">
      <c r="A32">
        <v>500337</v>
      </c>
      <c r="B32" t="s">
        <v>45</v>
      </c>
      <c r="C32" t="s">
        <v>46</v>
      </c>
      <c r="D32" s="1">
        <v>45834</v>
      </c>
      <c r="E32" t="s">
        <v>14</v>
      </c>
      <c r="F32">
        <v>1.5</v>
      </c>
      <c r="G32">
        <f t="shared" si="0"/>
        <v>0</v>
      </c>
      <c r="H32" s="1">
        <v>45834</v>
      </c>
      <c r="I32" t="s">
        <v>15</v>
      </c>
      <c r="J32" t="s">
        <v>15</v>
      </c>
      <c r="K32" s="1">
        <v>45834</v>
      </c>
      <c r="L32" s="1">
        <v>45834</v>
      </c>
      <c r="M32" t="s">
        <v>15</v>
      </c>
    </row>
    <row r="33" spans="1:13" x14ac:dyDescent="0.3">
      <c r="A33">
        <v>532410</v>
      </c>
      <c r="B33" t="s">
        <v>23</v>
      </c>
      <c r="C33" t="s">
        <v>24</v>
      </c>
      <c r="D33" s="1">
        <v>45828</v>
      </c>
      <c r="E33" t="s">
        <v>14</v>
      </c>
      <c r="F33">
        <v>0.3</v>
      </c>
      <c r="G33">
        <f t="shared" si="0"/>
        <v>0</v>
      </c>
      <c r="H33" s="1">
        <v>45828</v>
      </c>
      <c r="I33" t="s">
        <v>15</v>
      </c>
      <c r="J33" t="s">
        <v>15</v>
      </c>
      <c r="K33" s="1">
        <v>45828</v>
      </c>
      <c r="L33" s="1">
        <v>45828</v>
      </c>
      <c r="M33" t="s">
        <v>15</v>
      </c>
    </row>
    <row r="34" spans="1:13" x14ac:dyDescent="0.3">
      <c r="A34">
        <v>501386</v>
      </c>
      <c r="B34" t="s">
        <v>31</v>
      </c>
      <c r="C34" t="s">
        <v>32</v>
      </c>
      <c r="D34" s="1">
        <v>45820</v>
      </c>
      <c r="E34" t="s">
        <v>14</v>
      </c>
      <c r="F34">
        <v>1</v>
      </c>
      <c r="G34">
        <f t="shared" si="0"/>
        <v>0</v>
      </c>
      <c r="H34" s="1">
        <v>45820</v>
      </c>
      <c r="I34" t="s">
        <v>15</v>
      </c>
      <c r="J34" t="s">
        <v>15</v>
      </c>
      <c r="K34" s="1">
        <v>45820</v>
      </c>
      <c r="L34" s="1">
        <v>45820</v>
      </c>
      <c r="M34" t="s">
        <v>15</v>
      </c>
    </row>
    <row r="35" spans="1:13" x14ac:dyDescent="0.3">
      <c r="A35">
        <v>505515</v>
      </c>
      <c r="B35" t="s">
        <v>59</v>
      </c>
      <c r="C35" t="s">
        <v>60</v>
      </c>
      <c r="D35" s="1">
        <v>45806</v>
      </c>
      <c r="E35" t="s">
        <v>18</v>
      </c>
      <c r="F35">
        <v>0.2</v>
      </c>
      <c r="G35">
        <f t="shared" si="0"/>
        <v>0</v>
      </c>
      <c r="H35" s="1">
        <v>45806</v>
      </c>
      <c r="I35" t="s">
        <v>15</v>
      </c>
      <c r="J35" t="s">
        <v>15</v>
      </c>
      <c r="K35" s="1">
        <v>45806</v>
      </c>
      <c r="L35" s="1">
        <v>45806</v>
      </c>
      <c r="M35" t="s">
        <v>15</v>
      </c>
    </row>
    <row r="36" spans="1:13" x14ac:dyDescent="0.3">
      <c r="A36">
        <v>542866</v>
      </c>
      <c r="B36" t="s">
        <v>57</v>
      </c>
      <c r="C36" t="s">
        <v>58</v>
      </c>
      <c r="D36" s="1">
        <v>45771</v>
      </c>
      <c r="E36" t="s">
        <v>18</v>
      </c>
      <c r="F36">
        <v>0.01</v>
      </c>
      <c r="G36">
        <f t="shared" si="0"/>
        <v>0</v>
      </c>
      <c r="H36" s="1">
        <v>45771</v>
      </c>
      <c r="I36" t="s">
        <v>15</v>
      </c>
      <c r="J36" t="s">
        <v>15</v>
      </c>
      <c r="K36" s="1">
        <v>45771</v>
      </c>
      <c r="L36" s="1">
        <v>45771</v>
      </c>
      <c r="M36" t="s">
        <v>15</v>
      </c>
    </row>
    <row r="37" spans="1:13" x14ac:dyDescent="0.3">
      <c r="A37">
        <v>531688</v>
      </c>
      <c r="B37" t="s">
        <v>37</v>
      </c>
      <c r="C37" t="s">
        <v>38</v>
      </c>
      <c r="D37" s="1">
        <v>45712</v>
      </c>
      <c r="E37" t="s">
        <v>18</v>
      </c>
      <c r="F37">
        <v>1</v>
      </c>
      <c r="G37">
        <f t="shared" si="0"/>
        <v>0</v>
      </c>
      <c r="H37" s="1">
        <v>45712</v>
      </c>
      <c r="I37" t="s">
        <v>15</v>
      </c>
      <c r="J37" t="s">
        <v>15</v>
      </c>
      <c r="K37" s="1">
        <v>45712</v>
      </c>
      <c r="L37" s="1">
        <v>45712</v>
      </c>
      <c r="M37" t="s">
        <v>15</v>
      </c>
    </row>
    <row r="38" spans="1:13" x14ac:dyDescent="0.3">
      <c r="A38">
        <v>532333</v>
      </c>
      <c r="B38" t="s">
        <v>27</v>
      </c>
      <c r="C38" t="s">
        <v>28</v>
      </c>
      <c r="D38" s="1">
        <v>45625</v>
      </c>
      <c r="E38" t="s">
        <v>18</v>
      </c>
      <c r="F38">
        <v>1</v>
      </c>
      <c r="G38">
        <f t="shared" si="0"/>
        <v>0</v>
      </c>
      <c r="H38" s="1">
        <v>45625</v>
      </c>
      <c r="I38" t="s">
        <v>15</v>
      </c>
      <c r="J38" t="s">
        <v>15</v>
      </c>
      <c r="K38" s="1">
        <v>45625</v>
      </c>
      <c r="L38" s="1">
        <v>45625</v>
      </c>
      <c r="M38" t="s">
        <v>15</v>
      </c>
    </row>
    <row r="39" spans="1:13" x14ac:dyDescent="0.3">
      <c r="A39">
        <v>532410</v>
      </c>
      <c r="B39" t="s">
        <v>23</v>
      </c>
      <c r="C39" t="s">
        <v>24</v>
      </c>
      <c r="D39" s="1">
        <v>45615</v>
      </c>
      <c r="E39" t="s">
        <v>18</v>
      </c>
      <c r="F39">
        <v>0.3</v>
      </c>
      <c r="G39">
        <f t="shared" si="0"/>
        <v>0</v>
      </c>
      <c r="H39" s="1">
        <v>45616</v>
      </c>
      <c r="I39" t="s">
        <v>15</v>
      </c>
      <c r="J39" t="s">
        <v>15</v>
      </c>
      <c r="K39" s="1">
        <v>45615</v>
      </c>
      <c r="L39" s="1">
        <v>45615</v>
      </c>
      <c r="M39" t="s">
        <v>15</v>
      </c>
    </row>
    <row r="40" spans="1:13" x14ac:dyDescent="0.3">
      <c r="A40">
        <v>534732</v>
      </c>
      <c r="B40" t="s">
        <v>47</v>
      </c>
      <c r="C40" t="s">
        <v>48</v>
      </c>
      <c r="D40" s="1">
        <v>45588</v>
      </c>
      <c r="E40" t="s">
        <v>14</v>
      </c>
      <c r="F40">
        <v>0.05</v>
      </c>
      <c r="G40">
        <f t="shared" si="0"/>
        <v>0</v>
      </c>
      <c r="H40" s="1">
        <v>45588</v>
      </c>
      <c r="I40" t="s">
        <v>15</v>
      </c>
      <c r="J40" t="s">
        <v>15</v>
      </c>
      <c r="K40" s="1">
        <v>45588</v>
      </c>
      <c r="L40" s="1">
        <v>45588</v>
      </c>
      <c r="M40" t="s">
        <v>15</v>
      </c>
    </row>
    <row r="41" spans="1:13" x14ac:dyDescent="0.3">
      <c r="A41">
        <v>538382</v>
      </c>
      <c r="B41" t="s">
        <v>41</v>
      </c>
      <c r="C41" t="s">
        <v>42</v>
      </c>
      <c r="D41" s="1">
        <v>45562</v>
      </c>
      <c r="E41" t="s">
        <v>14</v>
      </c>
      <c r="F41">
        <v>0.1</v>
      </c>
      <c r="G41">
        <f t="shared" si="0"/>
        <v>0</v>
      </c>
      <c r="H41" s="1">
        <v>45563</v>
      </c>
      <c r="I41" t="s">
        <v>15</v>
      </c>
      <c r="J41" t="s">
        <v>15</v>
      </c>
      <c r="K41" t="s">
        <v>15</v>
      </c>
      <c r="L41" t="s">
        <v>15</v>
      </c>
      <c r="M41" t="s">
        <v>15</v>
      </c>
    </row>
    <row r="42" spans="1:13" x14ac:dyDescent="0.3">
      <c r="A42">
        <v>542544</v>
      </c>
      <c r="B42" t="s">
        <v>55</v>
      </c>
      <c r="C42" t="s">
        <v>56</v>
      </c>
      <c r="D42" s="1">
        <v>45558</v>
      </c>
      <c r="E42" t="s">
        <v>18</v>
      </c>
      <c r="F42">
        <v>0.05</v>
      </c>
      <c r="G42">
        <f t="shared" si="0"/>
        <v>0</v>
      </c>
      <c r="H42" s="1">
        <v>45558</v>
      </c>
      <c r="I42" t="s">
        <v>15</v>
      </c>
      <c r="J42" t="s">
        <v>15</v>
      </c>
      <c r="K42" t="s">
        <v>15</v>
      </c>
      <c r="L42" t="s">
        <v>15</v>
      </c>
      <c r="M42" t="s">
        <v>15</v>
      </c>
    </row>
    <row r="43" spans="1:13" x14ac:dyDescent="0.3">
      <c r="A43">
        <v>544207</v>
      </c>
      <c r="B43" t="s">
        <v>53</v>
      </c>
      <c r="C43" t="s">
        <v>54</v>
      </c>
      <c r="D43" s="1">
        <v>45555</v>
      </c>
      <c r="E43" t="s">
        <v>14</v>
      </c>
      <c r="F43">
        <v>0.03</v>
      </c>
      <c r="G43">
        <f t="shared" si="0"/>
        <v>0</v>
      </c>
      <c r="H43" s="1">
        <v>45555</v>
      </c>
      <c r="I43" t="s">
        <v>15</v>
      </c>
      <c r="J43" t="s">
        <v>15</v>
      </c>
      <c r="K43" s="1">
        <v>45551</v>
      </c>
      <c r="L43" s="1">
        <v>45555</v>
      </c>
      <c r="M43" t="s">
        <v>15</v>
      </c>
    </row>
    <row r="44" spans="1:13" x14ac:dyDescent="0.3">
      <c r="A44">
        <v>511501</v>
      </c>
      <c r="B44" t="s">
        <v>39</v>
      </c>
      <c r="C44" t="s">
        <v>40</v>
      </c>
      <c r="D44" s="1">
        <v>45552</v>
      </c>
      <c r="E44" t="s">
        <v>14</v>
      </c>
      <c r="F44">
        <v>0.6</v>
      </c>
      <c r="G44">
        <f t="shared" si="0"/>
        <v>0</v>
      </c>
      <c r="H44" t="s">
        <v>15</v>
      </c>
      <c r="I44" s="1">
        <v>45553</v>
      </c>
      <c r="J44" s="1">
        <v>45559</v>
      </c>
      <c r="K44" s="1">
        <v>45553</v>
      </c>
      <c r="L44" s="1">
        <v>45553</v>
      </c>
      <c r="M44" t="s">
        <v>15</v>
      </c>
    </row>
    <row r="45" spans="1:13" x14ac:dyDescent="0.3">
      <c r="A45">
        <v>534691</v>
      </c>
      <c r="B45" t="s">
        <v>35</v>
      </c>
      <c r="C45" t="s">
        <v>36</v>
      </c>
      <c r="D45" s="1">
        <v>45548</v>
      </c>
      <c r="E45" t="s">
        <v>14</v>
      </c>
      <c r="F45">
        <v>0.5</v>
      </c>
      <c r="G45">
        <f t="shared" si="0"/>
        <v>0</v>
      </c>
      <c r="H45" s="1">
        <v>45551</v>
      </c>
      <c r="I45" t="s">
        <v>15</v>
      </c>
      <c r="J45" t="s">
        <v>15</v>
      </c>
      <c r="K45" s="1">
        <v>45551</v>
      </c>
      <c r="L45" s="1">
        <v>45551</v>
      </c>
      <c r="M45" t="s">
        <v>15</v>
      </c>
    </row>
    <row r="46" spans="1:13" x14ac:dyDescent="0.3">
      <c r="A46">
        <v>500450</v>
      </c>
      <c r="B46" t="s">
        <v>43</v>
      </c>
      <c r="C46" t="s">
        <v>44</v>
      </c>
      <c r="D46" s="1">
        <v>45548</v>
      </c>
      <c r="E46" t="s">
        <v>14</v>
      </c>
      <c r="F46">
        <v>0.9</v>
      </c>
      <c r="G46">
        <f t="shared" si="0"/>
        <v>0</v>
      </c>
      <c r="H46" t="s">
        <v>15</v>
      </c>
      <c r="I46" s="1">
        <v>45552</v>
      </c>
      <c r="J46" s="1">
        <v>45559</v>
      </c>
      <c r="K46" s="1">
        <v>45551</v>
      </c>
      <c r="L46" s="1">
        <v>45552</v>
      </c>
      <c r="M46" t="s">
        <v>15</v>
      </c>
    </row>
    <row r="47" spans="1:13" x14ac:dyDescent="0.3">
      <c r="A47">
        <v>500189</v>
      </c>
      <c r="B47" t="s">
        <v>19</v>
      </c>
      <c r="C47" t="s">
        <v>20</v>
      </c>
      <c r="D47" s="1">
        <v>45541</v>
      </c>
      <c r="E47" t="s">
        <v>14</v>
      </c>
      <c r="F47">
        <v>1</v>
      </c>
      <c r="G47">
        <f t="shared" si="0"/>
        <v>0</v>
      </c>
      <c r="H47" s="1">
        <v>45541</v>
      </c>
      <c r="I47" t="s">
        <v>15</v>
      </c>
      <c r="J47" t="s">
        <v>15</v>
      </c>
      <c r="K47" s="1">
        <v>45537</v>
      </c>
      <c r="L47" s="1">
        <v>45541</v>
      </c>
      <c r="M47" t="s">
        <v>15</v>
      </c>
    </row>
    <row r="48" spans="1:13" x14ac:dyDescent="0.3">
      <c r="A48">
        <v>531688</v>
      </c>
      <c r="B48" t="s">
        <v>37</v>
      </c>
      <c r="C48" t="s">
        <v>38</v>
      </c>
      <c r="D48" s="1">
        <v>45540</v>
      </c>
      <c r="E48" t="s">
        <v>14</v>
      </c>
      <c r="F48">
        <v>0.5</v>
      </c>
      <c r="G48">
        <f t="shared" si="0"/>
        <v>0</v>
      </c>
      <c r="H48" s="1">
        <v>45540</v>
      </c>
      <c r="I48" t="s">
        <v>15</v>
      </c>
      <c r="J48" t="s">
        <v>15</v>
      </c>
      <c r="K48" s="1">
        <v>45534</v>
      </c>
      <c r="L48" s="1">
        <v>45540</v>
      </c>
      <c r="M48" t="s">
        <v>15</v>
      </c>
    </row>
    <row r="49" spans="1:14" x14ac:dyDescent="0.3">
      <c r="A49">
        <v>501386</v>
      </c>
      <c r="B49" t="s">
        <v>31</v>
      </c>
      <c r="C49" t="s">
        <v>32</v>
      </c>
      <c r="D49" s="1">
        <v>45534</v>
      </c>
      <c r="E49" t="s">
        <v>14</v>
      </c>
      <c r="F49">
        <v>1</v>
      </c>
      <c r="G49">
        <f t="shared" si="0"/>
        <v>0</v>
      </c>
      <c r="H49" s="1">
        <v>45534</v>
      </c>
      <c r="I49" t="s">
        <v>15</v>
      </c>
      <c r="J49" t="s">
        <v>15</v>
      </c>
      <c r="K49" s="1">
        <v>45534</v>
      </c>
      <c r="L49" s="1">
        <v>45534</v>
      </c>
      <c r="M49" t="s">
        <v>15</v>
      </c>
    </row>
    <row r="50" spans="1:14" x14ac:dyDescent="0.3">
      <c r="A50">
        <v>530419</v>
      </c>
      <c r="B50" t="s">
        <v>29</v>
      </c>
      <c r="C50" t="s">
        <v>30</v>
      </c>
      <c r="D50" s="1">
        <v>45525</v>
      </c>
      <c r="E50" t="s">
        <v>14</v>
      </c>
      <c r="F50">
        <v>1</v>
      </c>
      <c r="G50">
        <f t="shared" si="0"/>
        <v>0</v>
      </c>
      <c r="H50" s="1">
        <v>45525</v>
      </c>
      <c r="I50" t="s">
        <v>15</v>
      </c>
      <c r="J50" t="s">
        <v>15</v>
      </c>
      <c r="K50" s="1">
        <v>45518</v>
      </c>
      <c r="L50" s="1">
        <v>45525</v>
      </c>
      <c r="M50" t="s">
        <v>15</v>
      </c>
    </row>
    <row r="51" spans="1:14" x14ac:dyDescent="0.3">
      <c r="A51">
        <v>531278</v>
      </c>
      <c r="B51" t="s">
        <v>16</v>
      </c>
      <c r="C51" t="s">
        <v>17</v>
      </c>
      <c r="D51" s="1">
        <v>45520</v>
      </c>
      <c r="E51" t="s">
        <v>14</v>
      </c>
      <c r="F51">
        <v>1.25</v>
      </c>
      <c r="G51">
        <f t="shared" si="0"/>
        <v>0</v>
      </c>
      <c r="H51" t="s">
        <v>15</v>
      </c>
      <c r="I51" s="1">
        <v>45523</v>
      </c>
      <c r="J51" s="1">
        <v>45530</v>
      </c>
      <c r="K51" s="1">
        <v>45523</v>
      </c>
      <c r="L51" s="1">
        <v>45523</v>
      </c>
      <c r="M51" t="s">
        <v>15</v>
      </c>
    </row>
    <row r="52" spans="1:14" x14ac:dyDescent="0.3">
      <c r="A52">
        <v>532410</v>
      </c>
      <c r="B52" t="s">
        <v>23</v>
      </c>
      <c r="C52" t="s">
        <v>24</v>
      </c>
      <c r="D52" s="1">
        <v>45485</v>
      </c>
      <c r="E52" t="s">
        <v>14</v>
      </c>
      <c r="F52">
        <v>0.3</v>
      </c>
      <c r="G52">
        <f t="shared" si="0"/>
        <v>0</v>
      </c>
      <c r="H52" t="s">
        <v>15</v>
      </c>
      <c r="I52" s="1">
        <v>45486</v>
      </c>
      <c r="J52" s="1">
        <v>45488</v>
      </c>
      <c r="K52" s="1">
        <v>45485</v>
      </c>
      <c r="L52" s="1">
        <v>45485</v>
      </c>
      <c r="M52" t="s">
        <v>15</v>
      </c>
    </row>
    <row r="53" spans="1:14" x14ac:dyDescent="0.3">
      <c r="A53">
        <v>534063</v>
      </c>
      <c r="B53" t="s">
        <v>21</v>
      </c>
      <c r="C53" t="s">
        <v>22</v>
      </c>
      <c r="D53" s="1">
        <v>45478</v>
      </c>
      <c r="E53" t="s">
        <v>14</v>
      </c>
      <c r="F53">
        <v>1</v>
      </c>
      <c r="G53">
        <f t="shared" si="0"/>
        <v>0</v>
      </c>
      <c r="H53" s="1">
        <v>45479</v>
      </c>
      <c r="I53" t="s">
        <v>15</v>
      </c>
      <c r="J53" t="s">
        <v>15</v>
      </c>
      <c r="K53" s="1">
        <v>45478</v>
      </c>
      <c r="L53" s="1">
        <v>45478</v>
      </c>
      <c r="M53" t="s">
        <v>15</v>
      </c>
    </row>
    <row r="54" spans="1:14" x14ac:dyDescent="0.3">
      <c r="A54">
        <v>523019</v>
      </c>
      <c r="B54" t="s">
        <v>25</v>
      </c>
      <c r="C54" t="s">
        <v>26</v>
      </c>
      <c r="D54" s="1">
        <v>45463</v>
      </c>
      <c r="E54" t="s">
        <v>18</v>
      </c>
      <c r="F54">
        <v>1.5</v>
      </c>
      <c r="G54">
        <f t="shared" si="0"/>
        <v>0</v>
      </c>
      <c r="H54" t="s">
        <v>15</v>
      </c>
      <c r="I54" s="1">
        <v>45464</v>
      </c>
      <c r="J54" s="1">
        <v>45470</v>
      </c>
      <c r="K54" s="1">
        <v>45464</v>
      </c>
      <c r="L54" s="1">
        <v>45464</v>
      </c>
      <c r="M54" t="s">
        <v>15</v>
      </c>
    </row>
    <row r="55" spans="1:14" x14ac:dyDescent="0.3">
      <c r="A55">
        <v>500337</v>
      </c>
      <c r="B55" t="s">
        <v>45</v>
      </c>
      <c r="C55" t="s">
        <v>46</v>
      </c>
      <c r="D55" s="1">
        <v>45463</v>
      </c>
      <c r="E55" t="s">
        <v>14</v>
      </c>
      <c r="F55">
        <v>1</v>
      </c>
      <c r="G55">
        <f t="shared" si="0"/>
        <v>0</v>
      </c>
      <c r="H55" t="s">
        <v>15</v>
      </c>
      <c r="I55" s="1">
        <v>45464</v>
      </c>
      <c r="J55" s="1">
        <v>45470</v>
      </c>
      <c r="K55" s="1">
        <v>45464</v>
      </c>
      <c r="L55" s="1">
        <v>45464</v>
      </c>
      <c r="M55" t="s">
        <v>15</v>
      </c>
    </row>
    <row r="56" spans="1:14" x14ac:dyDescent="0.3">
      <c r="A56">
        <v>539435</v>
      </c>
      <c r="B56" t="s">
        <v>51</v>
      </c>
      <c r="C56" t="s">
        <v>52</v>
      </c>
      <c r="D56" s="1">
        <v>45450</v>
      </c>
      <c r="E56" t="s">
        <v>18</v>
      </c>
      <c r="F56">
        <v>0.8</v>
      </c>
      <c r="G56">
        <f t="shared" si="0"/>
        <v>0</v>
      </c>
      <c r="H56" s="1">
        <v>45450</v>
      </c>
      <c r="I56" t="s">
        <v>15</v>
      </c>
      <c r="J56" t="s">
        <v>15</v>
      </c>
      <c r="K56" s="1">
        <v>45450</v>
      </c>
      <c r="L56" s="1">
        <v>45450</v>
      </c>
      <c r="M56" t="s">
        <v>15</v>
      </c>
    </row>
    <row r="57" spans="1:14" x14ac:dyDescent="0.3">
      <c r="A57">
        <v>540097</v>
      </c>
      <c r="B57" t="s">
        <v>49</v>
      </c>
      <c r="C57" t="s">
        <v>50</v>
      </c>
      <c r="D57" s="1">
        <v>45387</v>
      </c>
      <c r="E57" t="s">
        <v>18</v>
      </c>
      <c r="F57">
        <v>1</v>
      </c>
      <c r="G57">
        <f t="shared" si="0"/>
        <v>0</v>
      </c>
      <c r="H57" s="1">
        <v>45387</v>
      </c>
      <c r="I57" t="s">
        <v>15</v>
      </c>
      <c r="J57" t="s">
        <v>15</v>
      </c>
      <c r="K57" s="1">
        <v>45387</v>
      </c>
      <c r="L57" s="1">
        <v>45387</v>
      </c>
      <c r="M57" t="s">
        <v>15</v>
      </c>
    </row>
    <row r="58" spans="1:14" x14ac:dyDescent="0.3">
      <c r="A58">
        <v>531688</v>
      </c>
      <c r="B58" t="s">
        <v>37</v>
      </c>
      <c r="C58" t="s">
        <v>38</v>
      </c>
      <c r="D58" s="1">
        <v>45379</v>
      </c>
      <c r="E58" t="s">
        <v>18</v>
      </c>
      <c r="F58">
        <v>2</v>
      </c>
      <c r="G58">
        <f t="shared" si="0"/>
        <v>0</v>
      </c>
      <c r="H58" s="1">
        <v>45380</v>
      </c>
      <c r="I58" t="s">
        <v>15</v>
      </c>
      <c r="J58" t="s">
        <v>15</v>
      </c>
      <c r="K58" s="1">
        <v>45378</v>
      </c>
      <c r="L58" s="1">
        <v>45378</v>
      </c>
      <c r="M58" t="s">
        <v>15</v>
      </c>
    </row>
    <row r="59" spans="1:14" x14ac:dyDescent="0.3">
      <c r="A59">
        <v>532810</v>
      </c>
      <c r="B59" t="s">
        <v>63</v>
      </c>
      <c r="C59" t="s">
        <v>64</v>
      </c>
      <c r="D59" s="1">
        <v>45530</v>
      </c>
      <c r="E59" t="s">
        <v>65</v>
      </c>
      <c r="F59" s="18" t="s">
        <v>863</v>
      </c>
      <c r="G59">
        <f t="shared" si="0"/>
        <v>0.16666666666666666</v>
      </c>
      <c r="H59" s="1">
        <v>42611</v>
      </c>
      <c r="I59" t="s">
        <v>15</v>
      </c>
      <c r="J59" t="s">
        <v>15</v>
      </c>
      <c r="K59" s="1">
        <v>42604</v>
      </c>
      <c r="L59" s="1">
        <v>42608</v>
      </c>
      <c r="M59" t="s">
        <v>15</v>
      </c>
      <c r="N59">
        <v>250</v>
      </c>
    </row>
    <row r="60" spans="1:14" x14ac:dyDescent="0.3">
      <c r="A60">
        <v>532955</v>
      </c>
      <c r="B60" t="s">
        <v>66</v>
      </c>
      <c r="C60" t="s">
        <v>67</v>
      </c>
      <c r="D60" s="1">
        <v>45563</v>
      </c>
      <c r="E60" t="s">
        <v>65</v>
      </c>
      <c r="F60" s="18" t="s">
        <v>862</v>
      </c>
      <c r="G60">
        <f t="shared" si="0"/>
        <v>0.2</v>
      </c>
      <c r="H60" s="1">
        <v>42642</v>
      </c>
      <c r="I60" t="s">
        <v>15</v>
      </c>
      <c r="J60" t="s">
        <v>15</v>
      </c>
      <c r="K60" s="1">
        <v>42635</v>
      </c>
      <c r="L60" s="1">
        <v>42641</v>
      </c>
      <c r="M60" t="s">
        <v>15</v>
      </c>
      <c r="N60">
        <v>300</v>
      </c>
    </row>
  </sheetData>
  <autoFilter ref="A1:M60" xr:uid="{61531388-E9EE-4C89-8581-F49DD97C832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19D32-65FC-4014-8F00-0896A4F8151D}">
  <sheetPr codeName="Sheet5"/>
  <dimension ref="A1:B3"/>
  <sheetViews>
    <sheetView workbookViewId="0">
      <selection activeCell="A4" sqref="A4"/>
    </sheetView>
  </sheetViews>
  <sheetFormatPr defaultRowHeight="14.4" x14ac:dyDescent="0.3"/>
  <cols>
    <col min="1" max="1" width="16.33203125" bestFit="1" customWidth="1"/>
    <col min="2" max="2" width="12.33203125" bestFit="1" customWidth="1"/>
  </cols>
  <sheetData>
    <row r="1" spans="1:2" x14ac:dyDescent="0.3">
      <c r="A1" t="s">
        <v>850</v>
      </c>
      <c r="B1" t="s">
        <v>851</v>
      </c>
    </row>
    <row r="2" spans="1:2" x14ac:dyDescent="0.3">
      <c r="A2" t="s">
        <v>852</v>
      </c>
    </row>
    <row r="3" spans="1:2" x14ac:dyDescent="0.3">
      <c r="A3" t="s">
        <v>853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83FA8-BA30-464B-8EB8-64D879BCED1B}">
  <sheetPr codeName="Sheet4"/>
  <dimension ref="A1:K3"/>
  <sheetViews>
    <sheetView workbookViewId="0">
      <selection activeCell="J3" sqref="J3"/>
    </sheetView>
  </sheetViews>
  <sheetFormatPr defaultRowHeight="14.4" x14ac:dyDescent="0.3"/>
  <cols>
    <col min="1" max="1" width="16.77734375" bestFit="1" customWidth="1"/>
    <col min="2" max="2" width="15.33203125" bestFit="1" customWidth="1"/>
    <col min="5" max="5" width="12.44140625" bestFit="1" customWidth="1"/>
    <col min="6" max="6" width="16.109375" bestFit="1" customWidth="1"/>
    <col min="9" max="9" width="16.109375" bestFit="1" customWidth="1"/>
    <col min="10" max="10" width="23.6640625" bestFit="1" customWidth="1"/>
    <col min="11" max="11" width="26.44140625" bestFit="1" customWidth="1"/>
  </cols>
  <sheetData>
    <row r="1" spans="1:11" x14ac:dyDescent="0.3">
      <c r="A1" s="8" t="s">
        <v>844</v>
      </c>
      <c r="B1" t="s">
        <v>846</v>
      </c>
      <c r="E1" s="8" t="s">
        <v>844</v>
      </c>
      <c r="F1" t="s">
        <v>847</v>
      </c>
      <c r="I1" t="s">
        <v>847</v>
      </c>
      <c r="J1" t="s">
        <v>855</v>
      </c>
      <c r="K1" t="s">
        <v>856</v>
      </c>
    </row>
    <row r="2" spans="1:11" x14ac:dyDescent="0.3">
      <c r="A2" s="9" t="s">
        <v>842</v>
      </c>
      <c r="B2">
        <v>9</v>
      </c>
      <c r="E2" s="9" t="s">
        <v>49</v>
      </c>
      <c r="F2" s="3">
        <v>36135</v>
      </c>
      <c r="I2" s="3">
        <v>36135</v>
      </c>
      <c r="J2" s="3">
        <v>4015</v>
      </c>
      <c r="K2" s="2">
        <v>0</v>
      </c>
    </row>
    <row r="3" spans="1:11" x14ac:dyDescent="0.3">
      <c r="A3" s="9" t="s">
        <v>845</v>
      </c>
      <c r="B3">
        <v>9</v>
      </c>
      <c r="E3" s="9" t="s">
        <v>845</v>
      </c>
      <c r="F3" s="3">
        <v>36135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Ledger</vt:lpstr>
      <vt:lpstr>CA_Feed</vt:lpstr>
      <vt:lpstr>Sheet1</vt:lpstr>
      <vt:lpstr>Pivot_Data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Thakar</dc:creator>
  <cp:lastModifiedBy>Manoj Thakar</cp:lastModifiedBy>
  <dcterms:created xsi:type="dcterms:W3CDTF">2026-08-25T07:48:47Z</dcterms:created>
  <dcterms:modified xsi:type="dcterms:W3CDTF">2026-10-27T04:40:35Z</dcterms:modified>
</cp:coreProperties>
</file>