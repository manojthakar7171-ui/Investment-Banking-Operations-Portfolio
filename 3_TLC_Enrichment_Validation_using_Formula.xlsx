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defaultThemeVersion="202300"/>
  <mc:AlternateContent xmlns:mc="http://schemas.openxmlformats.org/markup-compatibility/2006">
    <mc:Choice Requires="x15">
      <x15ac:absPath xmlns:x15ac="http://schemas.microsoft.com/office/spreadsheetml/2010/11/ac" url="https://d.docs.live.net/d319e8bd5ff854c5/Documents/IB/CIBOP-71/Projects/"/>
    </mc:Choice>
  </mc:AlternateContent>
  <xr:revisionPtr revIDLastSave="41" documentId="8_{77BABA83-3581-43ED-840D-36EFD8DEAE5E}" xr6:coauthVersionLast="47" xr6:coauthVersionMax="47" xr10:uidLastSave="{1EA47517-8FAE-4967-8515-A454EEE8044F}"/>
  <bookViews>
    <workbookView xWindow="-108" yWindow="-108" windowWidth="23256" windowHeight="12456" firstSheet="1" activeTab="4" xr2:uid="{B8A86522-61E5-49ED-9861-A52E93D2C2FC}"/>
  </bookViews>
  <sheets>
    <sheet name="FO_Capture" sheetId="1" r:id="rId1"/>
    <sheet name="Reference_Data" sheetId="2" r:id="rId2"/>
    <sheet name="MO_Validated_Trades" sheetId="3" r:id="rId3"/>
    <sheet name="Pivot Data" sheetId="4" r:id="rId4"/>
    <sheet name="TLC_Dashboard" sheetId="5" r:id="rId5"/>
  </sheets>
  <definedNames>
    <definedName name="_xlnm._FilterDatabase" localSheetId="2" hidden="1">MO_Validated_Trades!$A$1:$I$2001</definedName>
    <definedName name="Slicer_Client_Name">#N/A</definedName>
    <definedName name="Slicer_Currency">#N/A</definedName>
    <definedName name="Slicer_Validation_Status">#N/A</definedName>
  </definedNames>
  <calcPr calcId="191029"/>
  <pivotCaches>
    <pivotCache cacheId="15"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A3" i="3" l="1"/>
  <c r="B3" i="3"/>
  <c r="C3" i="3"/>
  <c r="D3" i="3"/>
  <c r="E3" i="3"/>
  <c r="F3" i="3"/>
  <c r="H3" i="3" s="1"/>
  <c r="G3" i="3"/>
  <c r="A4" i="3"/>
  <c r="B4" i="3"/>
  <c r="C4" i="3"/>
  <c r="I4" i="3" s="1"/>
  <c r="D4" i="3"/>
  <c r="E4" i="3"/>
  <c r="F4" i="3"/>
  <c r="H4" i="3" s="1"/>
  <c r="G4" i="3"/>
  <c r="A5" i="3"/>
  <c r="B5" i="3"/>
  <c r="C5" i="3"/>
  <c r="D5" i="3"/>
  <c r="E5" i="3"/>
  <c r="F5" i="3"/>
  <c r="G5" i="3"/>
  <c r="H5" i="3"/>
  <c r="I5" i="3" s="1"/>
  <c r="A6" i="3"/>
  <c r="B6" i="3"/>
  <c r="C6" i="3"/>
  <c r="D6" i="3"/>
  <c r="E6" i="3"/>
  <c r="F6" i="3"/>
  <c r="G6" i="3"/>
  <c r="H6" i="3"/>
  <c r="I6" i="3"/>
  <c r="A7" i="3"/>
  <c r="B7" i="3"/>
  <c r="C7" i="3"/>
  <c r="I7" i="3" s="1"/>
  <c r="D7" i="3"/>
  <c r="E7" i="3"/>
  <c r="F7" i="3"/>
  <c r="H7" i="3" s="1"/>
  <c r="G7" i="3"/>
  <c r="A8" i="3"/>
  <c r="B8" i="3"/>
  <c r="C8" i="3"/>
  <c r="I8" i="3" s="1"/>
  <c r="D8" i="3"/>
  <c r="E8" i="3"/>
  <c r="F8" i="3"/>
  <c r="H8" i="3" s="1"/>
  <c r="G8" i="3"/>
  <c r="A9" i="3"/>
  <c r="B9" i="3"/>
  <c r="C9" i="3"/>
  <c r="D9" i="3"/>
  <c r="E9" i="3"/>
  <c r="F9" i="3"/>
  <c r="G9" i="3"/>
  <c r="H9" i="3"/>
  <c r="I9" i="3" s="1"/>
  <c r="A10" i="3"/>
  <c r="B10" i="3"/>
  <c r="C10" i="3"/>
  <c r="D10" i="3"/>
  <c r="E10" i="3"/>
  <c r="F10" i="3"/>
  <c r="G10" i="3"/>
  <c r="H10" i="3"/>
  <c r="I10" i="3"/>
  <c r="A11" i="3"/>
  <c r="B11" i="3"/>
  <c r="C11" i="3"/>
  <c r="I11" i="3" s="1"/>
  <c r="D11" i="3"/>
  <c r="E11" i="3"/>
  <c r="F11" i="3"/>
  <c r="H11" i="3" s="1"/>
  <c r="G11" i="3"/>
  <c r="A12" i="3"/>
  <c r="B12" i="3"/>
  <c r="C12" i="3"/>
  <c r="I12" i="3" s="1"/>
  <c r="D12" i="3"/>
  <c r="E12" i="3"/>
  <c r="F12" i="3"/>
  <c r="H12" i="3" s="1"/>
  <c r="G12" i="3"/>
  <c r="A13" i="3"/>
  <c r="B13" i="3"/>
  <c r="C13" i="3"/>
  <c r="D13" i="3"/>
  <c r="E13" i="3"/>
  <c r="F13" i="3"/>
  <c r="G13" i="3"/>
  <c r="H13" i="3"/>
  <c r="I13" i="3" s="1"/>
  <c r="A14" i="3"/>
  <c r="B14" i="3"/>
  <c r="C14" i="3"/>
  <c r="D14" i="3"/>
  <c r="E14" i="3"/>
  <c r="F14" i="3"/>
  <c r="G14" i="3"/>
  <c r="H14" i="3"/>
  <c r="I14" i="3"/>
  <c r="A15" i="3"/>
  <c r="B15" i="3"/>
  <c r="C15" i="3"/>
  <c r="I15" i="3" s="1"/>
  <c r="D15" i="3"/>
  <c r="E15" i="3"/>
  <c r="F15" i="3"/>
  <c r="H15" i="3" s="1"/>
  <c r="G15" i="3"/>
  <c r="A16" i="3"/>
  <c r="B16" i="3"/>
  <c r="C16" i="3"/>
  <c r="D16" i="3"/>
  <c r="E16" i="3"/>
  <c r="F16" i="3"/>
  <c r="H16" i="3" s="1"/>
  <c r="G16" i="3"/>
  <c r="A17" i="3"/>
  <c r="B17" i="3"/>
  <c r="C17" i="3"/>
  <c r="D17" i="3"/>
  <c r="E17" i="3"/>
  <c r="F17" i="3"/>
  <c r="G17" i="3"/>
  <c r="H17" i="3"/>
  <c r="I17" i="3" s="1"/>
  <c r="A18" i="3"/>
  <c r="B18" i="3"/>
  <c r="C18" i="3"/>
  <c r="D18" i="3"/>
  <c r="E18" i="3"/>
  <c r="F18" i="3"/>
  <c r="G18" i="3"/>
  <c r="H18" i="3"/>
  <c r="I18" i="3"/>
  <c r="A19" i="3"/>
  <c r="B19" i="3"/>
  <c r="C19" i="3"/>
  <c r="I19" i="3" s="1"/>
  <c r="D19" i="3"/>
  <c r="E19" i="3"/>
  <c r="F19" i="3"/>
  <c r="G19" i="3"/>
  <c r="H19" i="3" s="1"/>
  <c r="A20" i="3"/>
  <c r="B20" i="3"/>
  <c r="C20" i="3"/>
  <c r="D20" i="3"/>
  <c r="E20" i="3"/>
  <c r="F20" i="3"/>
  <c r="H20" i="3" s="1"/>
  <c r="G20" i="3"/>
  <c r="A21" i="3"/>
  <c r="B21" i="3"/>
  <c r="C21" i="3"/>
  <c r="D21" i="3"/>
  <c r="E21" i="3"/>
  <c r="F21" i="3"/>
  <c r="G21" i="3"/>
  <c r="H21" i="3"/>
  <c r="I21" i="3" s="1"/>
  <c r="A22" i="3"/>
  <c r="B22" i="3"/>
  <c r="C22" i="3"/>
  <c r="D22" i="3"/>
  <c r="E22" i="3"/>
  <c r="F22" i="3"/>
  <c r="G22" i="3"/>
  <c r="H22" i="3" s="1"/>
  <c r="I22" i="3" s="1"/>
  <c r="A23" i="3"/>
  <c r="B23" i="3"/>
  <c r="C23" i="3"/>
  <c r="I23" i="3" s="1"/>
  <c r="D23" i="3"/>
  <c r="E23" i="3"/>
  <c r="F23" i="3"/>
  <c r="G23" i="3"/>
  <c r="H23" i="3" s="1"/>
  <c r="A24" i="3"/>
  <c r="B24" i="3"/>
  <c r="C24" i="3"/>
  <c r="D24" i="3"/>
  <c r="E24" i="3"/>
  <c r="F24" i="3"/>
  <c r="H24" i="3" s="1"/>
  <c r="G24" i="3"/>
  <c r="A25" i="3"/>
  <c r="B25" i="3"/>
  <c r="C25" i="3"/>
  <c r="D25" i="3"/>
  <c r="E25" i="3"/>
  <c r="F25" i="3"/>
  <c r="G25" i="3"/>
  <c r="H25" i="3"/>
  <c r="I25" i="3" s="1"/>
  <c r="A26" i="3"/>
  <c r="B26" i="3"/>
  <c r="C26" i="3"/>
  <c r="D26" i="3"/>
  <c r="E26" i="3"/>
  <c r="F26" i="3"/>
  <c r="G26" i="3"/>
  <c r="H26" i="3" s="1"/>
  <c r="I26" i="3" s="1"/>
  <c r="A27" i="3"/>
  <c r="B27" i="3"/>
  <c r="C27" i="3"/>
  <c r="I27" i="3" s="1"/>
  <c r="D27" i="3"/>
  <c r="E27" i="3"/>
  <c r="F27" i="3"/>
  <c r="G27" i="3"/>
  <c r="H27" i="3" s="1"/>
  <c r="A28" i="3"/>
  <c r="B28" i="3"/>
  <c r="C28" i="3"/>
  <c r="I28" i="3" s="1"/>
  <c r="D28" i="3"/>
  <c r="E28" i="3"/>
  <c r="F28" i="3"/>
  <c r="H28" i="3" s="1"/>
  <c r="G28" i="3"/>
  <c r="A29" i="3"/>
  <c r="B29" i="3"/>
  <c r="C29" i="3"/>
  <c r="D29" i="3"/>
  <c r="E29" i="3"/>
  <c r="F29" i="3"/>
  <c r="G29" i="3"/>
  <c r="H29" i="3"/>
  <c r="I29" i="3" s="1"/>
  <c r="A30" i="3"/>
  <c r="B30" i="3"/>
  <c r="C30" i="3"/>
  <c r="D30" i="3"/>
  <c r="E30" i="3"/>
  <c r="F30" i="3"/>
  <c r="G30" i="3"/>
  <c r="H30" i="3" s="1"/>
  <c r="I30" i="3" s="1"/>
  <c r="A31" i="3"/>
  <c r="B31" i="3"/>
  <c r="C31" i="3"/>
  <c r="I31" i="3" s="1"/>
  <c r="D31" i="3"/>
  <c r="E31" i="3"/>
  <c r="F31" i="3"/>
  <c r="G31" i="3"/>
  <c r="H31" i="3" s="1"/>
  <c r="A32" i="3"/>
  <c r="B32" i="3"/>
  <c r="C32" i="3"/>
  <c r="I32" i="3" s="1"/>
  <c r="D32" i="3"/>
  <c r="E32" i="3"/>
  <c r="F32" i="3"/>
  <c r="H32" i="3" s="1"/>
  <c r="G32" i="3"/>
  <c r="A33" i="3"/>
  <c r="B33" i="3"/>
  <c r="C33" i="3"/>
  <c r="D33" i="3"/>
  <c r="E33" i="3"/>
  <c r="F33" i="3"/>
  <c r="G33" i="3"/>
  <c r="H33" i="3"/>
  <c r="I33" i="3" s="1"/>
  <c r="A34" i="3"/>
  <c r="B34" i="3"/>
  <c r="C34" i="3"/>
  <c r="D34" i="3"/>
  <c r="E34" i="3"/>
  <c r="F34" i="3"/>
  <c r="G34" i="3"/>
  <c r="H34" i="3" s="1"/>
  <c r="I34" i="3" s="1"/>
  <c r="A35" i="3"/>
  <c r="B35" i="3"/>
  <c r="C35" i="3"/>
  <c r="D35" i="3"/>
  <c r="E35" i="3"/>
  <c r="F35" i="3"/>
  <c r="G35" i="3"/>
  <c r="H35" i="3" s="1"/>
  <c r="A36" i="3"/>
  <c r="B36" i="3"/>
  <c r="C36" i="3"/>
  <c r="I36" i="3" s="1"/>
  <c r="D36" i="3"/>
  <c r="E36" i="3"/>
  <c r="F36" i="3"/>
  <c r="H36" i="3" s="1"/>
  <c r="G36" i="3"/>
  <c r="A37" i="3"/>
  <c r="B37" i="3"/>
  <c r="C37" i="3"/>
  <c r="D37" i="3"/>
  <c r="E37" i="3"/>
  <c r="F37" i="3"/>
  <c r="G37" i="3"/>
  <c r="H37" i="3"/>
  <c r="I37" i="3" s="1"/>
  <c r="A38" i="3"/>
  <c r="B38" i="3"/>
  <c r="C38" i="3"/>
  <c r="D38" i="3"/>
  <c r="E38" i="3"/>
  <c r="F38" i="3"/>
  <c r="G38" i="3"/>
  <c r="H38" i="3" s="1"/>
  <c r="I38" i="3" s="1"/>
  <c r="A39" i="3"/>
  <c r="B39" i="3"/>
  <c r="C39" i="3"/>
  <c r="I39" i="3" s="1"/>
  <c r="D39" i="3"/>
  <c r="E39" i="3"/>
  <c r="F39" i="3"/>
  <c r="G39" i="3"/>
  <c r="H39" i="3" s="1"/>
  <c r="A40" i="3"/>
  <c r="B40" i="3"/>
  <c r="C40" i="3"/>
  <c r="D40" i="3"/>
  <c r="E40" i="3"/>
  <c r="F40" i="3"/>
  <c r="H40" i="3" s="1"/>
  <c r="G40" i="3"/>
  <c r="A41" i="3"/>
  <c r="B41" i="3"/>
  <c r="C41" i="3"/>
  <c r="D41" i="3"/>
  <c r="E41" i="3"/>
  <c r="F41" i="3"/>
  <c r="G41" i="3"/>
  <c r="H41" i="3"/>
  <c r="I41" i="3" s="1"/>
  <c r="A42" i="3"/>
  <c r="B42" i="3"/>
  <c r="C42" i="3"/>
  <c r="D42" i="3"/>
  <c r="E42" i="3"/>
  <c r="F42" i="3"/>
  <c r="G42" i="3"/>
  <c r="H42" i="3" s="1"/>
  <c r="I42" i="3" s="1"/>
  <c r="A43" i="3"/>
  <c r="B43" i="3"/>
  <c r="C43" i="3"/>
  <c r="D43" i="3"/>
  <c r="E43" i="3"/>
  <c r="F43" i="3"/>
  <c r="G43" i="3"/>
  <c r="H43" i="3" s="1"/>
  <c r="A44" i="3"/>
  <c r="B44" i="3"/>
  <c r="C44" i="3"/>
  <c r="I44" i="3" s="1"/>
  <c r="D44" i="3"/>
  <c r="E44" i="3"/>
  <c r="F44" i="3"/>
  <c r="H44" i="3" s="1"/>
  <c r="G44" i="3"/>
  <c r="A45" i="3"/>
  <c r="B45" i="3"/>
  <c r="C45" i="3"/>
  <c r="D45" i="3"/>
  <c r="E45" i="3"/>
  <c r="F45" i="3"/>
  <c r="G45" i="3"/>
  <c r="H45" i="3"/>
  <c r="I45" i="3" s="1"/>
  <c r="A46" i="3"/>
  <c r="B46" i="3"/>
  <c r="C46" i="3"/>
  <c r="D46" i="3"/>
  <c r="E46" i="3"/>
  <c r="F46" i="3"/>
  <c r="G46" i="3"/>
  <c r="H46" i="3" s="1"/>
  <c r="I46" i="3" s="1"/>
  <c r="A47" i="3"/>
  <c r="B47" i="3"/>
  <c r="C47" i="3"/>
  <c r="D47" i="3"/>
  <c r="E47" i="3"/>
  <c r="F47" i="3"/>
  <c r="G47" i="3"/>
  <c r="H47" i="3" s="1"/>
  <c r="A48" i="3"/>
  <c r="B48" i="3"/>
  <c r="C48" i="3"/>
  <c r="I48" i="3" s="1"/>
  <c r="D48" i="3"/>
  <c r="E48" i="3"/>
  <c r="F48" i="3"/>
  <c r="H48" i="3" s="1"/>
  <c r="G48" i="3"/>
  <c r="A49" i="3"/>
  <c r="B49" i="3"/>
  <c r="C49" i="3"/>
  <c r="D49" i="3"/>
  <c r="E49" i="3"/>
  <c r="F49" i="3"/>
  <c r="G49" i="3"/>
  <c r="H49" i="3"/>
  <c r="I49" i="3" s="1"/>
  <c r="A50" i="3"/>
  <c r="B50" i="3"/>
  <c r="C50" i="3"/>
  <c r="D50" i="3"/>
  <c r="E50" i="3"/>
  <c r="F50" i="3"/>
  <c r="G50" i="3"/>
  <c r="H50" i="3" s="1"/>
  <c r="I50" i="3" s="1"/>
  <c r="A51" i="3"/>
  <c r="B51" i="3"/>
  <c r="C51" i="3"/>
  <c r="I51" i="3" s="1"/>
  <c r="D51" i="3"/>
  <c r="E51" i="3"/>
  <c r="F51" i="3"/>
  <c r="G51" i="3"/>
  <c r="H51" i="3" s="1"/>
  <c r="A52" i="3"/>
  <c r="B52" i="3"/>
  <c r="C52" i="3"/>
  <c r="D52" i="3"/>
  <c r="E52" i="3"/>
  <c r="F52" i="3"/>
  <c r="H52" i="3" s="1"/>
  <c r="G52" i="3"/>
  <c r="A53" i="3"/>
  <c r="B53" i="3"/>
  <c r="C53" i="3"/>
  <c r="D53" i="3"/>
  <c r="E53" i="3"/>
  <c r="F53" i="3"/>
  <c r="G53" i="3"/>
  <c r="H53" i="3"/>
  <c r="I53" i="3" s="1"/>
  <c r="A54" i="3"/>
  <c r="B54" i="3"/>
  <c r="C54" i="3"/>
  <c r="D54" i="3"/>
  <c r="E54" i="3"/>
  <c r="F54" i="3"/>
  <c r="G54" i="3"/>
  <c r="H54" i="3"/>
  <c r="I54" i="3"/>
  <c r="A55" i="3"/>
  <c r="B55" i="3"/>
  <c r="C55" i="3"/>
  <c r="D55" i="3"/>
  <c r="E55" i="3"/>
  <c r="F55" i="3"/>
  <c r="G55" i="3"/>
  <c r="H55" i="3" s="1"/>
  <c r="A56" i="3"/>
  <c r="B56" i="3"/>
  <c r="C56" i="3"/>
  <c r="I56" i="3" s="1"/>
  <c r="D56" i="3"/>
  <c r="E56" i="3"/>
  <c r="F56" i="3"/>
  <c r="H56" i="3" s="1"/>
  <c r="G56" i="3"/>
  <c r="A57" i="3"/>
  <c r="B57" i="3"/>
  <c r="C57" i="3"/>
  <c r="D57" i="3"/>
  <c r="E57" i="3"/>
  <c r="F57" i="3"/>
  <c r="G57" i="3"/>
  <c r="H57" i="3"/>
  <c r="I57" i="3" s="1"/>
  <c r="A58" i="3"/>
  <c r="B58" i="3"/>
  <c r="C58" i="3"/>
  <c r="D58" i="3"/>
  <c r="E58" i="3"/>
  <c r="F58" i="3"/>
  <c r="G58" i="3"/>
  <c r="H58" i="3"/>
  <c r="I58" i="3"/>
  <c r="A59" i="3"/>
  <c r="B59" i="3"/>
  <c r="C59" i="3"/>
  <c r="D59" i="3"/>
  <c r="E59" i="3"/>
  <c r="F59" i="3"/>
  <c r="G59" i="3"/>
  <c r="H59" i="3" s="1"/>
  <c r="A60" i="3"/>
  <c r="B60" i="3"/>
  <c r="C60" i="3"/>
  <c r="I60" i="3" s="1"/>
  <c r="D60" i="3"/>
  <c r="E60" i="3"/>
  <c r="F60" i="3"/>
  <c r="H60" i="3" s="1"/>
  <c r="G60" i="3"/>
  <c r="A61" i="3"/>
  <c r="B61" i="3"/>
  <c r="C61" i="3"/>
  <c r="D61" i="3"/>
  <c r="E61" i="3"/>
  <c r="F61" i="3"/>
  <c r="G61" i="3"/>
  <c r="H61" i="3"/>
  <c r="I61" i="3" s="1"/>
  <c r="A62" i="3"/>
  <c r="B62" i="3"/>
  <c r="C62" i="3"/>
  <c r="D62" i="3"/>
  <c r="E62" i="3"/>
  <c r="F62" i="3"/>
  <c r="G62" i="3"/>
  <c r="H62" i="3"/>
  <c r="I62" i="3"/>
  <c r="A63" i="3"/>
  <c r="B63" i="3"/>
  <c r="C63" i="3"/>
  <c r="I63" i="3" s="1"/>
  <c r="D63" i="3"/>
  <c r="E63" i="3"/>
  <c r="F63" i="3"/>
  <c r="G63" i="3"/>
  <c r="H63" i="3" s="1"/>
  <c r="A64" i="3"/>
  <c r="B64" i="3"/>
  <c r="C64" i="3"/>
  <c r="D64" i="3"/>
  <c r="E64" i="3"/>
  <c r="F64" i="3"/>
  <c r="H64" i="3" s="1"/>
  <c r="G64" i="3"/>
  <c r="A65" i="3"/>
  <c r="B65" i="3"/>
  <c r="C65" i="3"/>
  <c r="D65" i="3"/>
  <c r="E65" i="3"/>
  <c r="F65" i="3"/>
  <c r="G65" i="3"/>
  <c r="H65" i="3"/>
  <c r="I65" i="3" s="1"/>
  <c r="A66" i="3"/>
  <c r="B66" i="3"/>
  <c r="C66" i="3"/>
  <c r="D66" i="3"/>
  <c r="E66" i="3"/>
  <c r="F66" i="3"/>
  <c r="G66" i="3"/>
  <c r="H66" i="3"/>
  <c r="I66" i="3"/>
  <c r="A67" i="3"/>
  <c r="B67" i="3"/>
  <c r="C67" i="3"/>
  <c r="D67" i="3"/>
  <c r="E67" i="3"/>
  <c r="F67" i="3"/>
  <c r="G67" i="3"/>
  <c r="H67" i="3" s="1"/>
  <c r="A68" i="3"/>
  <c r="B68" i="3"/>
  <c r="C68" i="3"/>
  <c r="I68" i="3" s="1"/>
  <c r="D68" i="3"/>
  <c r="E68" i="3"/>
  <c r="F68" i="3"/>
  <c r="H68" i="3" s="1"/>
  <c r="G68" i="3"/>
  <c r="A69" i="3"/>
  <c r="B69" i="3"/>
  <c r="C69" i="3"/>
  <c r="D69" i="3"/>
  <c r="E69" i="3"/>
  <c r="F69" i="3"/>
  <c r="G69" i="3"/>
  <c r="H69" i="3"/>
  <c r="I69" i="3" s="1"/>
  <c r="A70" i="3"/>
  <c r="B70" i="3"/>
  <c r="C70" i="3"/>
  <c r="D70" i="3"/>
  <c r="E70" i="3"/>
  <c r="F70" i="3"/>
  <c r="G70" i="3"/>
  <c r="H70" i="3"/>
  <c r="I70" i="3"/>
  <c r="A71" i="3"/>
  <c r="B71" i="3"/>
  <c r="C71" i="3"/>
  <c r="I71" i="3" s="1"/>
  <c r="D71" i="3"/>
  <c r="E71" i="3"/>
  <c r="F71" i="3"/>
  <c r="G71" i="3"/>
  <c r="H71" i="3" s="1"/>
  <c r="A72" i="3"/>
  <c r="B72" i="3"/>
  <c r="C72" i="3"/>
  <c r="I72" i="3" s="1"/>
  <c r="D72" i="3"/>
  <c r="E72" i="3"/>
  <c r="F72" i="3"/>
  <c r="H72" i="3" s="1"/>
  <c r="G72" i="3"/>
  <c r="A73" i="3"/>
  <c r="B73" i="3"/>
  <c r="C73" i="3"/>
  <c r="D73" i="3"/>
  <c r="E73" i="3"/>
  <c r="F73" i="3"/>
  <c r="G73" i="3"/>
  <c r="H73" i="3"/>
  <c r="I73" i="3" s="1"/>
  <c r="A74" i="3"/>
  <c r="B74" i="3"/>
  <c r="C74" i="3"/>
  <c r="I74" i="3" s="1"/>
  <c r="D74" i="3"/>
  <c r="E74" i="3"/>
  <c r="F74" i="3"/>
  <c r="G74" i="3"/>
  <c r="H74" i="3"/>
  <c r="A75" i="3"/>
  <c r="B75" i="3"/>
  <c r="C75" i="3"/>
  <c r="D75" i="3"/>
  <c r="E75" i="3"/>
  <c r="F75" i="3"/>
  <c r="H75" i="3" s="1"/>
  <c r="G75" i="3"/>
  <c r="A76" i="3"/>
  <c r="B76" i="3"/>
  <c r="C76" i="3"/>
  <c r="D76" i="3"/>
  <c r="E76" i="3"/>
  <c r="F76" i="3"/>
  <c r="H76" i="3" s="1"/>
  <c r="G76" i="3"/>
  <c r="I76" i="3"/>
  <c r="A77" i="3"/>
  <c r="B77" i="3"/>
  <c r="C77" i="3"/>
  <c r="D77" i="3"/>
  <c r="E77" i="3"/>
  <c r="F77" i="3"/>
  <c r="G77" i="3"/>
  <c r="H77" i="3"/>
  <c r="I77" i="3" s="1"/>
  <c r="A78" i="3"/>
  <c r="B78" i="3"/>
  <c r="C78" i="3"/>
  <c r="I78" i="3" s="1"/>
  <c r="D78" i="3"/>
  <c r="E78" i="3"/>
  <c r="F78" i="3"/>
  <c r="G78" i="3"/>
  <c r="H78" i="3"/>
  <c r="A79" i="3"/>
  <c r="B79" i="3"/>
  <c r="C79" i="3"/>
  <c r="D79" i="3"/>
  <c r="E79" i="3"/>
  <c r="F79" i="3"/>
  <c r="G79" i="3"/>
  <c r="H79" i="3"/>
  <c r="A80" i="3"/>
  <c r="B80" i="3"/>
  <c r="C80" i="3"/>
  <c r="D80" i="3"/>
  <c r="E80" i="3"/>
  <c r="F80" i="3"/>
  <c r="H80" i="3" s="1"/>
  <c r="I80" i="3" s="1"/>
  <c r="G80" i="3"/>
  <c r="A81" i="3"/>
  <c r="B81" i="3"/>
  <c r="C81" i="3"/>
  <c r="D81" i="3"/>
  <c r="E81" i="3"/>
  <c r="F81" i="3"/>
  <c r="G81" i="3"/>
  <c r="H81" i="3"/>
  <c r="I81" i="3" s="1"/>
  <c r="A82" i="3"/>
  <c r="B82" i="3"/>
  <c r="C82" i="3"/>
  <c r="I82" i="3" s="1"/>
  <c r="D82" i="3"/>
  <c r="E82" i="3"/>
  <c r="F82" i="3"/>
  <c r="G82" i="3"/>
  <c r="H82" i="3"/>
  <c r="A83" i="3"/>
  <c r="B83" i="3"/>
  <c r="C83" i="3"/>
  <c r="D83" i="3"/>
  <c r="E83" i="3"/>
  <c r="F83" i="3"/>
  <c r="H83" i="3" s="1"/>
  <c r="G83" i="3"/>
  <c r="A84" i="3"/>
  <c r="B84" i="3"/>
  <c r="C84" i="3"/>
  <c r="D84" i="3"/>
  <c r="E84" i="3"/>
  <c r="F84" i="3"/>
  <c r="H84" i="3" s="1"/>
  <c r="I84" i="3" s="1"/>
  <c r="G84" i="3"/>
  <c r="A85" i="3"/>
  <c r="B85" i="3"/>
  <c r="C85" i="3"/>
  <c r="D85" i="3"/>
  <c r="E85" i="3"/>
  <c r="F85" i="3"/>
  <c r="G85" i="3"/>
  <c r="H85" i="3"/>
  <c r="I85" i="3" s="1"/>
  <c r="A86" i="3"/>
  <c r="B86" i="3"/>
  <c r="C86" i="3"/>
  <c r="I86" i="3" s="1"/>
  <c r="D86" i="3"/>
  <c r="E86" i="3"/>
  <c r="F86" i="3"/>
  <c r="G86" i="3"/>
  <c r="H86" i="3"/>
  <c r="A87" i="3"/>
  <c r="B87" i="3"/>
  <c r="C87" i="3"/>
  <c r="D87" i="3"/>
  <c r="E87" i="3"/>
  <c r="F87" i="3"/>
  <c r="H87" i="3" s="1"/>
  <c r="G87" i="3"/>
  <c r="A88" i="3"/>
  <c r="B88" i="3"/>
  <c r="C88" i="3"/>
  <c r="D88" i="3"/>
  <c r="E88" i="3"/>
  <c r="F88" i="3"/>
  <c r="H88" i="3" s="1"/>
  <c r="G88" i="3"/>
  <c r="I88" i="3"/>
  <c r="A89" i="3"/>
  <c r="B89" i="3"/>
  <c r="C89" i="3"/>
  <c r="D89" i="3"/>
  <c r="E89" i="3"/>
  <c r="F89" i="3"/>
  <c r="G89" i="3"/>
  <c r="H89" i="3"/>
  <c r="I89" i="3" s="1"/>
  <c r="A90" i="3"/>
  <c r="B90" i="3"/>
  <c r="C90" i="3"/>
  <c r="I90" i="3" s="1"/>
  <c r="D90" i="3"/>
  <c r="E90" i="3"/>
  <c r="F90" i="3"/>
  <c r="G90" i="3"/>
  <c r="H90" i="3"/>
  <c r="A91" i="3"/>
  <c r="B91" i="3"/>
  <c r="C91" i="3"/>
  <c r="D91" i="3"/>
  <c r="E91" i="3"/>
  <c r="F91" i="3"/>
  <c r="G91" i="3"/>
  <c r="H91" i="3"/>
  <c r="A92" i="3"/>
  <c r="B92" i="3"/>
  <c r="C92" i="3"/>
  <c r="D92" i="3"/>
  <c r="E92" i="3"/>
  <c r="F92" i="3"/>
  <c r="H92" i="3" s="1"/>
  <c r="I92" i="3" s="1"/>
  <c r="G92" i="3"/>
  <c r="A93" i="3"/>
  <c r="B93" i="3"/>
  <c r="C93" i="3"/>
  <c r="D93" i="3"/>
  <c r="E93" i="3"/>
  <c r="F93" i="3"/>
  <c r="G93" i="3"/>
  <c r="H93" i="3"/>
  <c r="I93" i="3" s="1"/>
  <c r="A94" i="3"/>
  <c r="B94" i="3"/>
  <c r="C94" i="3"/>
  <c r="I94" i="3" s="1"/>
  <c r="D94" i="3"/>
  <c r="E94" i="3"/>
  <c r="F94" i="3"/>
  <c r="G94" i="3"/>
  <c r="H94" i="3"/>
  <c r="A95" i="3"/>
  <c r="B95" i="3"/>
  <c r="C95" i="3"/>
  <c r="D95" i="3"/>
  <c r="E95" i="3"/>
  <c r="F95" i="3"/>
  <c r="H95" i="3" s="1"/>
  <c r="G95" i="3"/>
  <c r="A96" i="3"/>
  <c r="B96" i="3"/>
  <c r="C96" i="3"/>
  <c r="D96" i="3"/>
  <c r="E96" i="3"/>
  <c r="F96" i="3"/>
  <c r="H96" i="3" s="1"/>
  <c r="I96" i="3" s="1"/>
  <c r="G96" i="3"/>
  <c r="A97" i="3"/>
  <c r="B97" i="3"/>
  <c r="C97" i="3"/>
  <c r="D97" i="3"/>
  <c r="E97" i="3"/>
  <c r="F97" i="3"/>
  <c r="G97" i="3"/>
  <c r="H97" i="3"/>
  <c r="I97" i="3" s="1"/>
  <c r="A98" i="3"/>
  <c r="B98" i="3"/>
  <c r="C98" i="3"/>
  <c r="I98" i="3" s="1"/>
  <c r="D98" i="3"/>
  <c r="E98" i="3"/>
  <c r="F98" i="3"/>
  <c r="G98" i="3"/>
  <c r="H98" i="3"/>
  <c r="A99" i="3"/>
  <c r="B99" i="3"/>
  <c r="C99" i="3"/>
  <c r="D99" i="3"/>
  <c r="E99" i="3"/>
  <c r="F99" i="3"/>
  <c r="H99" i="3" s="1"/>
  <c r="G99" i="3"/>
  <c r="A100" i="3"/>
  <c r="B100" i="3"/>
  <c r="C100" i="3"/>
  <c r="D100" i="3"/>
  <c r="E100" i="3"/>
  <c r="F100" i="3"/>
  <c r="H100" i="3" s="1"/>
  <c r="G100" i="3"/>
  <c r="I100" i="3"/>
  <c r="A101" i="3"/>
  <c r="B101" i="3"/>
  <c r="C101" i="3"/>
  <c r="D101" i="3"/>
  <c r="E101" i="3"/>
  <c r="F101" i="3"/>
  <c r="G101" i="3"/>
  <c r="H101" i="3"/>
  <c r="I101" i="3" s="1"/>
  <c r="A102" i="3"/>
  <c r="B102" i="3"/>
  <c r="C102" i="3"/>
  <c r="I102" i="3" s="1"/>
  <c r="D102" i="3"/>
  <c r="E102" i="3"/>
  <c r="F102" i="3"/>
  <c r="G102" i="3"/>
  <c r="H102" i="3"/>
  <c r="A103" i="3"/>
  <c r="B103" i="3"/>
  <c r="C103" i="3"/>
  <c r="D103" i="3"/>
  <c r="E103" i="3"/>
  <c r="F103" i="3"/>
  <c r="G103" i="3"/>
  <c r="H103" i="3"/>
  <c r="A104" i="3"/>
  <c r="B104" i="3"/>
  <c r="C104" i="3"/>
  <c r="D104" i="3"/>
  <c r="E104" i="3"/>
  <c r="F104" i="3"/>
  <c r="H104" i="3" s="1"/>
  <c r="I104" i="3" s="1"/>
  <c r="G104" i="3"/>
  <c r="A105" i="3"/>
  <c r="B105" i="3"/>
  <c r="C105" i="3"/>
  <c r="D105" i="3"/>
  <c r="E105" i="3"/>
  <c r="F105" i="3"/>
  <c r="G105" i="3"/>
  <c r="H105" i="3"/>
  <c r="I105" i="3" s="1"/>
  <c r="A106" i="3"/>
  <c r="B106" i="3"/>
  <c r="C106" i="3"/>
  <c r="I106" i="3" s="1"/>
  <c r="D106" i="3"/>
  <c r="E106" i="3"/>
  <c r="F106" i="3"/>
  <c r="G106" i="3"/>
  <c r="H106" i="3"/>
  <c r="A107" i="3"/>
  <c r="B107" i="3"/>
  <c r="C107" i="3"/>
  <c r="D107" i="3"/>
  <c r="E107" i="3"/>
  <c r="F107" i="3"/>
  <c r="H107" i="3" s="1"/>
  <c r="G107" i="3"/>
  <c r="A108" i="3"/>
  <c r="B108" i="3"/>
  <c r="C108" i="3"/>
  <c r="D108" i="3"/>
  <c r="E108" i="3"/>
  <c r="F108" i="3"/>
  <c r="H108" i="3" s="1"/>
  <c r="I108" i="3" s="1"/>
  <c r="G108" i="3"/>
  <c r="A109" i="3"/>
  <c r="B109" i="3"/>
  <c r="C109" i="3"/>
  <c r="D109" i="3"/>
  <c r="E109" i="3"/>
  <c r="F109" i="3"/>
  <c r="G109" i="3"/>
  <c r="H109" i="3"/>
  <c r="I109" i="3" s="1"/>
  <c r="A110" i="3"/>
  <c r="B110" i="3"/>
  <c r="C110" i="3"/>
  <c r="I110" i="3" s="1"/>
  <c r="D110" i="3"/>
  <c r="E110" i="3"/>
  <c r="F110" i="3"/>
  <c r="G110" i="3"/>
  <c r="H110" i="3"/>
  <c r="A111" i="3"/>
  <c r="B111" i="3"/>
  <c r="C111" i="3"/>
  <c r="I111" i="3" s="1"/>
  <c r="D111" i="3"/>
  <c r="E111" i="3"/>
  <c r="F111" i="3"/>
  <c r="H111" i="3" s="1"/>
  <c r="G111" i="3"/>
  <c r="A112" i="3"/>
  <c r="B112" i="3"/>
  <c r="C112" i="3"/>
  <c r="D112" i="3"/>
  <c r="E112" i="3"/>
  <c r="F112" i="3"/>
  <c r="G112" i="3"/>
  <c r="H112" i="3"/>
  <c r="I112" i="3" s="1"/>
  <c r="A113" i="3"/>
  <c r="B113" i="3"/>
  <c r="C113" i="3"/>
  <c r="D113" i="3"/>
  <c r="E113" i="3"/>
  <c r="F113" i="3"/>
  <c r="G113" i="3"/>
  <c r="H113" i="3"/>
  <c r="I113" i="3"/>
  <c r="A114" i="3"/>
  <c r="B114" i="3"/>
  <c r="C114" i="3"/>
  <c r="I114" i="3" s="1"/>
  <c r="D114" i="3"/>
  <c r="E114" i="3"/>
  <c r="F114" i="3"/>
  <c r="G114" i="3"/>
  <c r="H114" i="3"/>
  <c r="A115" i="3"/>
  <c r="B115" i="3"/>
  <c r="C115" i="3"/>
  <c r="D115" i="3"/>
  <c r="E115" i="3"/>
  <c r="F115" i="3"/>
  <c r="H115" i="3" s="1"/>
  <c r="G115" i="3"/>
  <c r="A116" i="3"/>
  <c r="B116" i="3"/>
  <c r="C116" i="3"/>
  <c r="D116" i="3"/>
  <c r="E116" i="3"/>
  <c r="F116" i="3"/>
  <c r="I116" i="3" s="1"/>
  <c r="G116" i="3"/>
  <c r="H116" i="3" s="1"/>
  <c r="A117" i="3"/>
  <c r="B117" i="3"/>
  <c r="C117" i="3"/>
  <c r="D117" i="3"/>
  <c r="E117" i="3"/>
  <c r="F117" i="3"/>
  <c r="G117" i="3"/>
  <c r="H117" i="3"/>
  <c r="I117" i="3"/>
  <c r="A118" i="3"/>
  <c r="B118" i="3"/>
  <c r="C118" i="3"/>
  <c r="I118" i="3" s="1"/>
  <c r="D118" i="3"/>
  <c r="E118" i="3"/>
  <c r="F118" i="3"/>
  <c r="G118" i="3"/>
  <c r="H118" i="3"/>
  <c r="A119" i="3"/>
  <c r="B119" i="3"/>
  <c r="C119" i="3"/>
  <c r="D119" i="3"/>
  <c r="E119" i="3"/>
  <c r="F119" i="3"/>
  <c r="G119" i="3"/>
  <c r="H119" i="3"/>
  <c r="A120" i="3"/>
  <c r="B120" i="3"/>
  <c r="C120" i="3"/>
  <c r="D120" i="3"/>
  <c r="E120" i="3"/>
  <c r="F120" i="3"/>
  <c r="H120" i="3" s="1"/>
  <c r="G120" i="3"/>
  <c r="A121" i="3"/>
  <c r="B121" i="3"/>
  <c r="C121" i="3"/>
  <c r="D121" i="3"/>
  <c r="E121" i="3"/>
  <c r="F121" i="3"/>
  <c r="G121" i="3"/>
  <c r="H121" i="3"/>
  <c r="I121" i="3"/>
  <c r="A122" i="3"/>
  <c r="B122" i="3"/>
  <c r="C122" i="3"/>
  <c r="I122" i="3" s="1"/>
  <c r="D122" i="3"/>
  <c r="E122" i="3"/>
  <c r="F122" i="3"/>
  <c r="G122" i="3"/>
  <c r="H122" i="3"/>
  <c r="A123" i="3"/>
  <c r="B123" i="3"/>
  <c r="C123" i="3"/>
  <c r="D123" i="3"/>
  <c r="E123" i="3"/>
  <c r="F123" i="3"/>
  <c r="G123" i="3"/>
  <c r="H123" i="3" s="1"/>
  <c r="A124" i="3"/>
  <c r="B124" i="3"/>
  <c r="C124" i="3"/>
  <c r="D124" i="3"/>
  <c r="E124" i="3"/>
  <c r="F124" i="3"/>
  <c r="G124" i="3"/>
  <c r="A125" i="3"/>
  <c r="B125" i="3"/>
  <c r="C125" i="3"/>
  <c r="D125" i="3"/>
  <c r="E125" i="3"/>
  <c r="F125" i="3"/>
  <c r="G125" i="3"/>
  <c r="H125" i="3"/>
  <c r="I125" i="3"/>
  <c r="A126" i="3"/>
  <c r="B126" i="3"/>
  <c r="C126" i="3"/>
  <c r="I126" i="3" s="1"/>
  <c r="D126" i="3"/>
  <c r="E126" i="3"/>
  <c r="F126" i="3"/>
  <c r="G126" i="3"/>
  <c r="H126" i="3"/>
  <c r="A127" i="3"/>
  <c r="B127" i="3"/>
  <c r="C127" i="3"/>
  <c r="D127" i="3"/>
  <c r="E127" i="3"/>
  <c r="F127" i="3"/>
  <c r="H127" i="3" s="1"/>
  <c r="G127" i="3"/>
  <c r="A128" i="3"/>
  <c r="B128" i="3"/>
  <c r="C128" i="3"/>
  <c r="D128" i="3"/>
  <c r="E128" i="3"/>
  <c r="F128" i="3"/>
  <c r="H128" i="3" s="1"/>
  <c r="I128" i="3" s="1"/>
  <c r="G128" i="3"/>
  <c r="A129" i="3"/>
  <c r="B129" i="3"/>
  <c r="C129" i="3"/>
  <c r="D129" i="3"/>
  <c r="E129" i="3"/>
  <c r="F129" i="3"/>
  <c r="G129" i="3"/>
  <c r="H129" i="3"/>
  <c r="I129" i="3"/>
  <c r="A130" i="3"/>
  <c r="B130" i="3"/>
  <c r="C130" i="3"/>
  <c r="I130" i="3" s="1"/>
  <c r="D130" i="3"/>
  <c r="E130" i="3"/>
  <c r="F130" i="3"/>
  <c r="G130" i="3"/>
  <c r="H130" i="3"/>
  <c r="A131" i="3"/>
  <c r="B131" i="3"/>
  <c r="C131" i="3"/>
  <c r="D131" i="3"/>
  <c r="E131" i="3"/>
  <c r="F131" i="3"/>
  <c r="G131" i="3"/>
  <c r="H131" i="3" s="1"/>
  <c r="A132" i="3"/>
  <c r="B132" i="3"/>
  <c r="C132" i="3"/>
  <c r="D132" i="3"/>
  <c r="E132" i="3"/>
  <c r="F132" i="3"/>
  <c r="G132" i="3"/>
  <c r="A133" i="3"/>
  <c r="B133" i="3"/>
  <c r="C133" i="3"/>
  <c r="D133" i="3"/>
  <c r="E133" i="3"/>
  <c r="F133" i="3"/>
  <c r="G133" i="3"/>
  <c r="H133" i="3"/>
  <c r="I133" i="3"/>
  <c r="A134" i="3"/>
  <c r="B134" i="3"/>
  <c r="C134" i="3"/>
  <c r="I134" i="3" s="1"/>
  <c r="D134" i="3"/>
  <c r="E134" i="3"/>
  <c r="F134" i="3"/>
  <c r="G134" i="3"/>
  <c r="H134" i="3"/>
  <c r="A135" i="3"/>
  <c r="B135" i="3"/>
  <c r="C135" i="3"/>
  <c r="D135" i="3"/>
  <c r="E135" i="3"/>
  <c r="F135" i="3"/>
  <c r="H135" i="3" s="1"/>
  <c r="G135" i="3"/>
  <c r="A136" i="3"/>
  <c r="B136" i="3"/>
  <c r="C136" i="3"/>
  <c r="D136" i="3"/>
  <c r="E136" i="3"/>
  <c r="F136" i="3"/>
  <c r="G136" i="3"/>
  <c r="H136" i="3"/>
  <c r="I136" i="3" s="1"/>
  <c r="A137" i="3"/>
  <c r="B137" i="3"/>
  <c r="C137" i="3"/>
  <c r="D137" i="3"/>
  <c r="E137" i="3"/>
  <c r="F137" i="3"/>
  <c r="G137" i="3"/>
  <c r="H137" i="3"/>
  <c r="I137" i="3"/>
  <c r="A138" i="3"/>
  <c r="B138" i="3"/>
  <c r="C138" i="3"/>
  <c r="I138" i="3" s="1"/>
  <c r="D138" i="3"/>
  <c r="E138" i="3"/>
  <c r="F138" i="3"/>
  <c r="G138" i="3"/>
  <c r="H138" i="3"/>
  <c r="A139" i="3"/>
  <c r="B139" i="3"/>
  <c r="C139" i="3"/>
  <c r="D139" i="3"/>
  <c r="E139" i="3"/>
  <c r="F139" i="3"/>
  <c r="H139" i="3" s="1"/>
  <c r="G139" i="3"/>
  <c r="A140" i="3"/>
  <c r="B140" i="3"/>
  <c r="C140" i="3"/>
  <c r="D140" i="3"/>
  <c r="E140" i="3"/>
  <c r="F140" i="3"/>
  <c r="I140" i="3" s="1"/>
  <c r="G140" i="3"/>
  <c r="H140" i="3" s="1"/>
  <c r="A141" i="3"/>
  <c r="B141" i="3"/>
  <c r="C141" i="3"/>
  <c r="D141" i="3"/>
  <c r="E141" i="3"/>
  <c r="F141" i="3"/>
  <c r="G141" i="3"/>
  <c r="H141" i="3"/>
  <c r="I141" i="3"/>
  <c r="A142" i="3"/>
  <c r="B142" i="3"/>
  <c r="C142" i="3"/>
  <c r="I142" i="3" s="1"/>
  <c r="D142" i="3"/>
  <c r="E142" i="3"/>
  <c r="F142" i="3"/>
  <c r="G142" i="3"/>
  <c r="H142" i="3"/>
  <c r="A143" i="3"/>
  <c r="B143" i="3"/>
  <c r="C143" i="3"/>
  <c r="D143" i="3"/>
  <c r="E143" i="3"/>
  <c r="F143" i="3"/>
  <c r="G143" i="3"/>
  <c r="H143" i="3"/>
  <c r="A144" i="3"/>
  <c r="B144" i="3"/>
  <c r="C144" i="3"/>
  <c r="D144" i="3"/>
  <c r="E144" i="3"/>
  <c r="F144" i="3"/>
  <c r="G144" i="3"/>
  <c r="A145" i="3"/>
  <c r="B145" i="3"/>
  <c r="C145" i="3"/>
  <c r="D145" i="3"/>
  <c r="E145" i="3"/>
  <c r="F145" i="3"/>
  <c r="G145" i="3"/>
  <c r="H145" i="3"/>
  <c r="I145" i="3"/>
  <c r="A146" i="3"/>
  <c r="B146" i="3"/>
  <c r="C146" i="3"/>
  <c r="D146" i="3"/>
  <c r="E146" i="3"/>
  <c r="F146" i="3"/>
  <c r="G146" i="3"/>
  <c r="H146" i="3" s="1"/>
  <c r="A147" i="3"/>
  <c r="B147" i="3"/>
  <c r="C147" i="3"/>
  <c r="D147" i="3"/>
  <c r="E147" i="3"/>
  <c r="F147" i="3"/>
  <c r="H147" i="3" s="1"/>
  <c r="G147" i="3"/>
  <c r="A148" i="3"/>
  <c r="B148" i="3"/>
  <c r="C148" i="3"/>
  <c r="D148" i="3"/>
  <c r="E148" i="3"/>
  <c r="F148" i="3"/>
  <c r="G148" i="3"/>
  <c r="H148" i="3"/>
  <c r="I148" i="3" s="1"/>
  <c r="A149" i="3"/>
  <c r="B149" i="3"/>
  <c r="C149" i="3"/>
  <c r="D149" i="3"/>
  <c r="E149" i="3"/>
  <c r="F149" i="3"/>
  <c r="G149" i="3"/>
  <c r="H149" i="3"/>
  <c r="I149" i="3"/>
  <c r="A150" i="3"/>
  <c r="B150" i="3"/>
  <c r="C150" i="3"/>
  <c r="I150" i="3" s="1"/>
  <c r="D150" i="3"/>
  <c r="E150" i="3"/>
  <c r="F150" i="3"/>
  <c r="G150" i="3"/>
  <c r="H150" i="3" s="1"/>
  <c r="A151" i="3"/>
  <c r="B151" i="3"/>
  <c r="C151" i="3"/>
  <c r="D151" i="3"/>
  <c r="E151" i="3"/>
  <c r="F151" i="3"/>
  <c r="G151" i="3"/>
  <c r="H151" i="3" s="1"/>
  <c r="A152" i="3"/>
  <c r="B152" i="3"/>
  <c r="C152" i="3"/>
  <c r="D152" i="3"/>
  <c r="E152" i="3"/>
  <c r="F152" i="3"/>
  <c r="G152" i="3"/>
  <c r="A153" i="3"/>
  <c r="B153" i="3"/>
  <c r="C153" i="3"/>
  <c r="D153" i="3"/>
  <c r="E153" i="3"/>
  <c r="F153" i="3"/>
  <c r="G153" i="3"/>
  <c r="H153" i="3"/>
  <c r="I153" i="3"/>
  <c r="A154" i="3"/>
  <c r="B154" i="3"/>
  <c r="C154" i="3"/>
  <c r="I154" i="3" s="1"/>
  <c r="D154" i="3"/>
  <c r="E154" i="3"/>
  <c r="F154" i="3"/>
  <c r="G154" i="3"/>
  <c r="H154" i="3" s="1"/>
  <c r="A155" i="3"/>
  <c r="B155" i="3"/>
  <c r="C155" i="3"/>
  <c r="D155" i="3"/>
  <c r="E155" i="3"/>
  <c r="F155" i="3"/>
  <c r="G155" i="3"/>
  <c r="H155" i="3"/>
  <c r="A156" i="3"/>
  <c r="B156" i="3"/>
  <c r="C156" i="3"/>
  <c r="D156" i="3"/>
  <c r="E156" i="3"/>
  <c r="F156" i="3"/>
  <c r="H156" i="3" s="1"/>
  <c r="G156" i="3"/>
  <c r="I156" i="3"/>
  <c r="A157" i="3"/>
  <c r="B157" i="3"/>
  <c r="C157" i="3"/>
  <c r="D157" i="3"/>
  <c r="E157" i="3"/>
  <c r="F157" i="3"/>
  <c r="G157" i="3"/>
  <c r="A158" i="3"/>
  <c r="B158" i="3"/>
  <c r="C158" i="3"/>
  <c r="D158" i="3"/>
  <c r="E158" i="3"/>
  <c r="F158" i="3"/>
  <c r="G158" i="3"/>
  <c r="H158" i="3" s="1"/>
  <c r="I158" i="3"/>
  <c r="A159" i="3"/>
  <c r="B159" i="3"/>
  <c r="C159" i="3"/>
  <c r="D159" i="3"/>
  <c r="E159" i="3"/>
  <c r="F159" i="3"/>
  <c r="G159" i="3"/>
  <c r="H159" i="3" s="1"/>
  <c r="A160" i="3"/>
  <c r="B160" i="3"/>
  <c r="C160" i="3"/>
  <c r="D160" i="3"/>
  <c r="E160" i="3"/>
  <c r="F160" i="3"/>
  <c r="H160" i="3" s="1"/>
  <c r="G160" i="3"/>
  <c r="A161" i="3"/>
  <c r="B161" i="3"/>
  <c r="C161" i="3"/>
  <c r="D161" i="3"/>
  <c r="E161" i="3"/>
  <c r="F161" i="3"/>
  <c r="G161" i="3"/>
  <c r="H161" i="3"/>
  <c r="A162" i="3"/>
  <c r="B162" i="3"/>
  <c r="C162" i="3"/>
  <c r="D162" i="3"/>
  <c r="E162" i="3"/>
  <c r="F162" i="3"/>
  <c r="G162" i="3"/>
  <c r="H162" i="3" s="1"/>
  <c r="I162" i="3"/>
  <c r="A163" i="3"/>
  <c r="B163" i="3"/>
  <c r="C163" i="3"/>
  <c r="D163" i="3"/>
  <c r="E163" i="3"/>
  <c r="F163" i="3"/>
  <c r="H163" i="3" s="1"/>
  <c r="G163" i="3"/>
  <c r="A164" i="3"/>
  <c r="B164" i="3"/>
  <c r="C164" i="3"/>
  <c r="D164" i="3"/>
  <c r="E164" i="3"/>
  <c r="F164" i="3"/>
  <c r="G164" i="3"/>
  <c r="A165" i="3"/>
  <c r="B165" i="3"/>
  <c r="C165" i="3"/>
  <c r="D165" i="3"/>
  <c r="E165" i="3"/>
  <c r="F165" i="3"/>
  <c r="H165" i="3" s="1"/>
  <c r="G165" i="3"/>
  <c r="I165" i="3"/>
  <c r="A166" i="3"/>
  <c r="B166" i="3"/>
  <c r="C166" i="3"/>
  <c r="D166" i="3"/>
  <c r="E166" i="3"/>
  <c r="F166" i="3"/>
  <c r="G166" i="3"/>
  <c r="A167" i="3"/>
  <c r="B167" i="3"/>
  <c r="C167" i="3"/>
  <c r="D167" i="3"/>
  <c r="E167" i="3"/>
  <c r="F167" i="3"/>
  <c r="H167" i="3" s="1"/>
  <c r="G167" i="3"/>
  <c r="A168" i="3"/>
  <c r="B168" i="3"/>
  <c r="C168" i="3"/>
  <c r="D168" i="3"/>
  <c r="E168" i="3"/>
  <c r="F168" i="3"/>
  <c r="G168" i="3"/>
  <c r="H168" i="3"/>
  <c r="I168" i="3"/>
  <c r="A169" i="3"/>
  <c r="B169" i="3"/>
  <c r="C169" i="3"/>
  <c r="D169" i="3"/>
  <c r="E169" i="3"/>
  <c r="F169" i="3"/>
  <c r="G169" i="3"/>
  <c r="A170" i="3"/>
  <c r="B170" i="3"/>
  <c r="C170" i="3"/>
  <c r="I170" i="3" s="1"/>
  <c r="D170" i="3"/>
  <c r="E170" i="3"/>
  <c r="F170" i="3"/>
  <c r="G170" i="3"/>
  <c r="H170" i="3" s="1"/>
  <c r="A171" i="3"/>
  <c r="B171" i="3"/>
  <c r="C171" i="3"/>
  <c r="D171" i="3"/>
  <c r="E171" i="3"/>
  <c r="F171" i="3"/>
  <c r="G171" i="3"/>
  <c r="A172" i="3"/>
  <c r="B172" i="3"/>
  <c r="C172" i="3"/>
  <c r="D172" i="3"/>
  <c r="E172" i="3"/>
  <c r="F172" i="3"/>
  <c r="G172" i="3"/>
  <c r="I172" i="3" s="1"/>
  <c r="H172" i="3"/>
  <c r="A173" i="3"/>
  <c r="B173" i="3"/>
  <c r="C173" i="3"/>
  <c r="D173" i="3"/>
  <c r="E173" i="3"/>
  <c r="F173" i="3"/>
  <c r="G173" i="3"/>
  <c r="H173" i="3"/>
  <c r="I173" i="3" s="1"/>
  <c r="A174" i="3"/>
  <c r="B174" i="3"/>
  <c r="C174" i="3"/>
  <c r="I174" i="3" s="1"/>
  <c r="D174" i="3"/>
  <c r="E174" i="3"/>
  <c r="F174" i="3"/>
  <c r="G174" i="3"/>
  <c r="H174" i="3" s="1"/>
  <c r="A175" i="3"/>
  <c r="B175" i="3"/>
  <c r="C175" i="3"/>
  <c r="I175" i="3" s="1"/>
  <c r="D175" i="3"/>
  <c r="E175" i="3"/>
  <c r="F175" i="3"/>
  <c r="G175" i="3"/>
  <c r="H175" i="3"/>
  <c r="A176" i="3"/>
  <c r="B176" i="3"/>
  <c r="C176" i="3"/>
  <c r="D176" i="3"/>
  <c r="E176" i="3"/>
  <c r="F176" i="3"/>
  <c r="G176" i="3"/>
  <c r="A177" i="3"/>
  <c r="B177" i="3"/>
  <c r="C177" i="3"/>
  <c r="D177" i="3"/>
  <c r="E177" i="3"/>
  <c r="F177" i="3"/>
  <c r="I177" i="3" s="1"/>
  <c r="G177" i="3"/>
  <c r="H177" i="3" s="1"/>
  <c r="A178" i="3"/>
  <c r="B178" i="3"/>
  <c r="C178" i="3"/>
  <c r="I178" i="3" s="1"/>
  <c r="D178" i="3"/>
  <c r="E178" i="3"/>
  <c r="F178" i="3"/>
  <c r="G178" i="3"/>
  <c r="H178" i="3" s="1"/>
  <c r="A179" i="3"/>
  <c r="B179" i="3"/>
  <c r="C179" i="3"/>
  <c r="D179" i="3"/>
  <c r="E179" i="3"/>
  <c r="F179" i="3"/>
  <c r="G179" i="3"/>
  <c r="H179" i="3"/>
  <c r="A180" i="3"/>
  <c r="B180" i="3"/>
  <c r="C180" i="3"/>
  <c r="I180" i="3" s="1"/>
  <c r="D180" i="3"/>
  <c r="E180" i="3"/>
  <c r="F180" i="3"/>
  <c r="H180" i="3" s="1"/>
  <c r="G180" i="3"/>
  <c r="A181" i="3"/>
  <c r="B181" i="3"/>
  <c r="C181" i="3"/>
  <c r="D181" i="3"/>
  <c r="E181" i="3"/>
  <c r="F181" i="3"/>
  <c r="G181" i="3"/>
  <c r="A182" i="3"/>
  <c r="B182" i="3"/>
  <c r="C182" i="3"/>
  <c r="D182" i="3"/>
  <c r="E182" i="3"/>
  <c r="F182" i="3"/>
  <c r="G182" i="3"/>
  <c r="H182" i="3" s="1"/>
  <c r="I182" i="3"/>
  <c r="A183" i="3"/>
  <c r="B183" i="3"/>
  <c r="C183" i="3"/>
  <c r="D183" i="3"/>
  <c r="E183" i="3"/>
  <c r="F183" i="3"/>
  <c r="G183" i="3"/>
  <c r="H183" i="3" s="1"/>
  <c r="A184" i="3"/>
  <c r="B184" i="3"/>
  <c r="C184" i="3"/>
  <c r="D184" i="3"/>
  <c r="E184" i="3"/>
  <c r="F184" i="3"/>
  <c r="H184" i="3" s="1"/>
  <c r="G184" i="3"/>
  <c r="A185" i="3"/>
  <c r="B185" i="3"/>
  <c r="C185" i="3"/>
  <c r="D185" i="3"/>
  <c r="E185" i="3"/>
  <c r="F185" i="3"/>
  <c r="G185" i="3"/>
  <c r="H185" i="3" s="1"/>
  <c r="A186" i="3"/>
  <c r="B186" i="3"/>
  <c r="C186" i="3"/>
  <c r="D186" i="3"/>
  <c r="E186" i="3"/>
  <c r="F186" i="3"/>
  <c r="G186" i="3"/>
  <c r="H186" i="3" s="1"/>
  <c r="I186" i="3"/>
  <c r="A187" i="3"/>
  <c r="B187" i="3"/>
  <c r="C187" i="3"/>
  <c r="D187" i="3"/>
  <c r="E187" i="3"/>
  <c r="F187" i="3"/>
  <c r="H187" i="3" s="1"/>
  <c r="G187" i="3"/>
  <c r="A188" i="3"/>
  <c r="B188" i="3"/>
  <c r="C188" i="3"/>
  <c r="I188" i="3" s="1"/>
  <c r="D188" i="3"/>
  <c r="E188" i="3"/>
  <c r="F188" i="3"/>
  <c r="H188" i="3" s="1"/>
  <c r="G188" i="3"/>
  <c r="A189" i="3"/>
  <c r="B189" i="3"/>
  <c r="C189" i="3"/>
  <c r="D189" i="3"/>
  <c r="E189" i="3"/>
  <c r="F189" i="3"/>
  <c r="H189" i="3" s="1"/>
  <c r="G189" i="3"/>
  <c r="I189" i="3"/>
  <c r="A190" i="3"/>
  <c r="B190" i="3"/>
  <c r="C190" i="3"/>
  <c r="D190" i="3"/>
  <c r="E190" i="3"/>
  <c r="F190" i="3"/>
  <c r="G190" i="3"/>
  <c r="A191" i="3"/>
  <c r="B191" i="3"/>
  <c r="C191" i="3"/>
  <c r="I191" i="3" s="1"/>
  <c r="D191" i="3"/>
  <c r="E191" i="3"/>
  <c r="F191" i="3"/>
  <c r="H191" i="3" s="1"/>
  <c r="G191" i="3"/>
  <c r="A192" i="3"/>
  <c r="B192" i="3"/>
  <c r="C192" i="3"/>
  <c r="I192" i="3" s="1"/>
  <c r="D192" i="3"/>
  <c r="E192" i="3"/>
  <c r="F192" i="3"/>
  <c r="G192" i="3"/>
  <c r="H192" i="3" s="1"/>
  <c r="A193" i="3"/>
  <c r="B193" i="3"/>
  <c r="C193" i="3"/>
  <c r="D193" i="3"/>
  <c r="E193" i="3"/>
  <c r="F193" i="3"/>
  <c r="G193" i="3"/>
  <c r="A194" i="3"/>
  <c r="B194" i="3"/>
  <c r="C194" i="3"/>
  <c r="I194" i="3" s="1"/>
  <c r="D194" i="3"/>
  <c r="E194" i="3"/>
  <c r="F194" i="3"/>
  <c r="G194" i="3"/>
  <c r="H194" i="3" s="1"/>
  <c r="A195" i="3"/>
  <c r="B195" i="3"/>
  <c r="C195" i="3"/>
  <c r="D195" i="3"/>
  <c r="E195" i="3"/>
  <c r="F195" i="3"/>
  <c r="G195" i="3"/>
  <c r="A196" i="3"/>
  <c r="B196" i="3"/>
  <c r="C196" i="3"/>
  <c r="D196" i="3"/>
  <c r="E196" i="3"/>
  <c r="F196" i="3"/>
  <c r="G196" i="3"/>
  <c r="H196" i="3"/>
  <c r="I196" i="3"/>
  <c r="A197" i="3"/>
  <c r="B197" i="3"/>
  <c r="C197" i="3"/>
  <c r="D197" i="3"/>
  <c r="E197" i="3"/>
  <c r="F197" i="3"/>
  <c r="G197" i="3"/>
  <c r="H197" i="3"/>
  <c r="I197" i="3" s="1"/>
  <c r="A198" i="3"/>
  <c r="B198" i="3"/>
  <c r="C198" i="3"/>
  <c r="I198" i="3" s="1"/>
  <c r="D198" i="3"/>
  <c r="E198" i="3"/>
  <c r="F198" i="3"/>
  <c r="G198" i="3"/>
  <c r="H198" i="3" s="1"/>
  <c r="A199" i="3"/>
  <c r="B199" i="3"/>
  <c r="C199" i="3"/>
  <c r="I199" i="3" s="1"/>
  <c r="D199" i="3"/>
  <c r="E199" i="3"/>
  <c r="F199" i="3"/>
  <c r="G199" i="3"/>
  <c r="H199" i="3"/>
  <c r="A200" i="3"/>
  <c r="B200" i="3"/>
  <c r="C200" i="3"/>
  <c r="D200" i="3"/>
  <c r="E200" i="3"/>
  <c r="F200" i="3"/>
  <c r="G200" i="3"/>
  <c r="A201" i="3"/>
  <c r="B201" i="3"/>
  <c r="C201" i="3"/>
  <c r="D201" i="3"/>
  <c r="E201" i="3"/>
  <c r="F201" i="3"/>
  <c r="I201" i="3" s="1"/>
  <c r="G201" i="3"/>
  <c r="H201" i="3" s="1"/>
  <c r="A202" i="3"/>
  <c r="B202" i="3"/>
  <c r="C202" i="3"/>
  <c r="I202" i="3" s="1"/>
  <c r="D202" i="3"/>
  <c r="E202" i="3"/>
  <c r="F202" i="3"/>
  <c r="G202" i="3"/>
  <c r="H202" i="3" s="1"/>
  <c r="A203" i="3"/>
  <c r="B203" i="3"/>
  <c r="C203" i="3"/>
  <c r="D203" i="3"/>
  <c r="E203" i="3"/>
  <c r="F203" i="3"/>
  <c r="G203" i="3"/>
  <c r="H203" i="3"/>
  <c r="A204" i="3"/>
  <c r="B204" i="3"/>
  <c r="C204" i="3"/>
  <c r="I204" i="3" s="1"/>
  <c r="D204" i="3"/>
  <c r="E204" i="3"/>
  <c r="F204" i="3"/>
  <c r="H204" i="3" s="1"/>
  <c r="G204" i="3"/>
  <c r="A205" i="3"/>
  <c r="B205" i="3"/>
  <c r="C205" i="3"/>
  <c r="D205" i="3"/>
  <c r="E205" i="3"/>
  <c r="F205" i="3"/>
  <c r="G205" i="3"/>
  <c r="A206" i="3"/>
  <c r="B206" i="3"/>
  <c r="C206" i="3"/>
  <c r="D206" i="3"/>
  <c r="E206" i="3"/>
  <c r="F206" i="3"/>
  <c r="G206" i="3"/>
  <c r="H206" i="3" s="1"/>
  <c r="I206" i="3"/>
  <c r="A207" i="3"/>
  <c r="B207" i="3"/>
  <c r="C207" i="3"/>
  <c r="D207" i="3"/>
  <c r="E207" i="3"/>
  <c r="F207" i="3"/>
  <c r="G207" i="3"/>
  <c r="H207" i="3" s="1"/>
  <c r="A208" i="3"/>
  <c r="B208" i="3"/>
  <c r="C208" i="3"/>
  <c r="D208" i="3"/>
  <c r="E208" i="3"/>
  <c r="F208" i="3"/>
  <c r="H208" i="3" s="1"/>
  <c r="G208" i="3"/>
  <c r="A209" i="3"/>
  <c r="B209" i="3"/>
  <c r="C209" i="3"/>
  <c r="D209" i="3"/>
  <c r="E209" i="3"/>
  <c r="F209" i="3"/>
  <c r="H209" i="3" s="1"/>
  <c r="G209" i="3"/>
  <c r="A210" i="3"/>
  <c r="B210" i="3"/>
  <c r="C210" i="3"/>
  <c r="D210" i="3"/>
  <c r="E210" i="3"/>
  <c r="F210" i="3"/>
  <c r="G210" i="3"/>
  <c r="H210" i="3" s="1"/>
  <c r="I210" i="3"/>
  <c r="A211" i="3"/>
  <c r="B211" i="3"/>
  <c r="C211" i="3"/>
  <c r="D211" i="3"/>
  <c r="E211" i="3"/>
  <c r="F211" i="3"/>
  <c r="H211" i="3" s="1"/>
  <c r="G211" i="3"/>
  <c r="A212" i="3"/>
  <c r="B212" i="3"/>
  <c r="C212" i="3"/>
  <c r="I212" i="3" s="1"/>
  <c r="D212" i="3"/>
  <c r="E212" i="3"/>
  <c r="F212" i="3"/>
  <c r="H212" i="3" s="1"/>
  <c r="G212" i="3"/>
  <c r="A213" i="3"/>
  <c r="B213" i="3"/>
  <c r="C213" i="3"/>
  <c r="D213" i="3"/>
  <c r="E213" i="3"/>
  <c r="F213" i="3"/>
  <c r="G213" i="3"/>
  <c r="H213" i="3"/>
  <c r="I213" i="3" s="1"/>
  <c r="A214" i="3"/>
  <c r="B214" i="3"/>
  <c r="C214" i="3"/>
  <c r="D214" i="3"/>
  <c r="E214" i="3"/>
  <c r="F214" i="3"/>
  <c r="G214" i="3"/>
  <c r="A215" i="3"/>
  <c r="B215" i="3"/>
  <c r="C215" i="3"/>
  <c r="D215" i="3"/>
  <c r="E215" i="3"/>
  <c r="F215" i="3"/>
  <c r="H215" i="3" s="1"/>
  <c r="G215" i="3"/>
  <c r="A216" i="3"/>
  <c r="B216" i="3"/>
  <c r="C216" i="3"/>
  <c r="D216" i="3"/>
  <c r="E216" i="3"/>
  <c r="F216" i="3"/>
  <c r="G216" i="3"/>
  <c r="H216" i="3" s="1"/>
  <c r="I216" i="3"/>
  <c r="A217" i="3"/>
  <c r="B217" i="3"/>
  <c r="C217" i="3"/>
  <c r="D217" i="3"/>
  <c r="E217" i="3"/>
  <c r="F217" i="3"/>
  <c r="G217" i="3"/>
  <c r="A218" i="3"/>
  <c r="B218" i="3"/>
  <c r="C218" i="3"/>
  <c r="I218" i="3" s="1"/>
  <c r="D218" i="3"/>
  <c r="E218" i="3"/>
  <c r="F218" i="3"/>
  <c r="G218" i="3"/>
  <c r="H218" i="3" s="1"/>
  <c r="A219" i="3"/>
  <c r="B219" i="3"/>
  <c r="C219" i="3"/>
  <c r="D219" i="3"/>
  <c r="E219" i="3"/>
  <c r="F219" i="3"/>
  <c r="H219" i="3" s="1"/>
  <c r="G219" i="3"/>
  <c r="A220" i="3"/>
  <c r="B220" i="3"/>
  <c r="C220" i="3"/>
  <c r="D220" i="3"/>
  <c r="E220" i="3"/>
  <c r="F220" i="3"/>
  <c r="G220" i="3"/>
  <c r="H220" i="3"/>
  <c r="I220" i="3"/>
  <c r="A221" i="3"/>
  <c r="B221" i="3"/>
  <c r="C221" i="3"/>
  <c r="D221" i="3"/>
  <c r="E221" i="3"/>
  <c r="F221" i="3"/>
  <c r="G221" i="3"/>
  <c r="H221" i="3"/>
  <c r="I221" i="3" s="1"/>
  <c r="A222" i="3"/>
  <c r="B222" i="3"/>
  <c r="C222" i="3"/>
  <c r="I222" i="3" s="1"/>
  <c r="D222" i="3"/>
  <c r="E222" i="3"/>
  <c r="F222" i="3"/>
  <c r="G222" i="3"/>
  <c r="H222" i="3" s="1"/>
  <c r="A223" i="3"/>
  <c r="B223" i="3"/>
  <c r="C223" i="3"/>
  <c r="I223" i="3" s="1"/>
  <c r="D223" i="3"/>
  <c r="E223" i="3"/>
  <c r="F223" i="3"/>
  <c r="G223" i="3"/>
  <c r="H223" i="3"/>
  <c r="A224" i="3"/>
  <c r="B224" i="3"/>
  <c r="C224" i="3"/>
  <c r="D224" i="3"/>
  <c r="E224" i="3"/>
  <c r="F224" i="3"/>
  <c r="G224" i="3"/>
  <c r="A225" i="3"/>
  <c r="B225" i="3"/>
  <c r="C225" i="3"/>
  <c r="D225" i="3"/>
  <c r="E225" i="3"/>
  <c r="F225" i="3"/>
  <c r="I225" i="3" s="1"/>
  <c r="G225" i="3"/>
  <c r="H225" i="3"/>
  <c r="A226" i="3"/>
  <c r="B226" i="3"/>
  <c r="C226" i="3"/>
  <c r="I226" i="3" s="1"/>
  <c r="D226" i="3"/>
  <c r="E226" i="3"/>
  <c r="F226" i="3"/>
  <c r="G226" i="3"/>
  <c r="H226" i="3" s="1"/>
  <c r="A227" i="3"/>
  <c r="B227" i="3"/>
  <c r="C227" i="3"/>
  <c r="D227" i="3"/>
  <c r="E227" i="3"/>
  <c r="F227" i="3"/>
  <c r="G227" i="3"/>
  <c r="H227" i="3" s="1"/>
  <c r="A228" i="3"/>
  <c r="B228" i="3"/>
  <c r="C228" i="3"/>
  <c r="I228" i="3" s="1"/>
  <c r="D228" i="3"/>
  <c r="E228" i="3"/>
  <c r="F228" i="3"/>
  <c r="H228" i="3" s="1"/>
  <c r="G228" i="3"/>
  <c r="A229" i="3"/>
  <c r="B229" i="3"/>
  <c r="C229" i="3"/>
  <c r="D229" i="3"/>
  <c r="E229" i="3"/>
  <c r="F229" i="3"/>
  <c r="G229" i="3"/>
  <c r="A230" i="3"/>
  <c r="B230" i="3"/>
  <c r="C230" i="3"/>
  <c r="D230" i="3"/>
  <c r="E230" i="3"/>
  <c r="F230" i="3"/>
  <c r="G230" i="3"/>
  <c r="H230" i="3" s="1"/>
  <c r="A231" i="3"/>
  <c r="B231" i="3"/>
  <c r="C231" i="3"/>
  <c r="D231" i="3"/>
  <c r="E231" i="3"/>
  <c r="F231" i="3"/>
  <c r="G231" i="3"/>
  <c r="H231" i="3" s="1"/>
  <c r="A232" i="3"/>
  <c r="B232" i="3"/>
  <c r="C232" i="3"/>
  <c r="D232" i="3"/>
  <c r="E232" i="3"/>
  <c r="F232" i="3"/>
  <c r="H232" i="3" s="1"/>
  <c r="G232" i="3"/>
  <c r="A233" i="3"/>
  <c r="B233" i="3"/>
  <c r="C233" i="3"/>
  <c r="D233" i="3"/>
  <c r="E233" i="3"/>
  <c r="F233" i="3"/>
  <c r="H233" i="3" s="1"/>
  <c r="G233" i="3"/>
  <c r="A234" i="3"/>
  <c r="B234" i="3"/>
  <c r="C234" i="3"/>
  <c r="D234" i="3"/>
  <c r="E234" i="3"/>
  <c r="F234" i="3"/>
  <c r="G234" i="3"/>
  <c r="H234" i="3" s="1"/>
  <c r="A235" i="3"/>
  <c r="B235" i="3"/>
  <c r="C235" i="3"/>
  <c r="D235" i="3"/>
  <c r="E235" i="3"/>
  <c r="F235" i="3"/>
  <c r="H235" i="3" s="1"/>
  <c r="G235" i="3"/>
  <c r="A236" i="3"/>
  <c r="B236" i="3"/>
  <c r="C236" i="3"/>
  <c r="D236" i="3"/>
  <c r="E236" i="3"/>
  <c r="F236" i="3"/>
  <c r="G236" i="3"/>
  <c r="A237" i="3"/>
  <c r="B237" i="3"/>
  <c r="C237" i="3"/>
  <c r="D237" i="3"/>
  <c r="E237" i="3"/>
  <c r="F237" i="3"/>
  <c r="G237" i="3"/>
  <c r="H237" i="3"/>
  <c r="I237" i="3" s="1"/>
  <c r="A238" i="3"/>
  <c r="B238" i="3"/>
  <c r="C238" i="3"/>
  <c r="D238" i="3"/>
  <c r="E238" i="3"/>
  <c r="F238" i="3"/>
  <c r="G238" i="3"/>
  <c r="A239" i="3"/>
  <c r="B239" i="3"/>
  <c r="C239" i="3"/>
  <c r="D239" i="3"/>
  <c r="E239" i="3"/>
  <c r="F239" i="3"/>
  <c r="H239" i="3" s="1"/>
  <c r="G239" i="3"/>
  <c r="A240" i="3"/>
  <c r="B240" i="3"/>
  <c r="C240" i="3"/>
  <c r="D240" i="3"/>
  <c r="E240" i="3"/>
  <c r="F240" i="3"/>
  <c r="G240" i="3"/>
  <c r="H240" i="3" s="1"/>
  <c r="I240" i="3" s="1"/>
  <c r="A241" i="3"/>
  <c r="B241" i="3"/>
  <c r="C241" i="3"/>
  <c r="D241" i="3"/>
  <c r="E241" i="3"/>
  <c r="F241" i="3"/>
  <c r="G241" i="3"/>
  <c r="A242" i="3"/>
  <c r="B242" i="3"/>
  <c r="C242" i="3"/>
  <c r="I242" i="3" s="1"/>
  <c r="D242" i="3"/>
  <c r="E242" i="3"/>
  <c r="F242" i="3"/>
  <c r="G242" i="3"/>
  <c r="H242" i="3" s="1"/>
  <c r="A243" i="3"/>
  <c r="B243" i="3"/>
  <c r="C243" i="3"/>
  <c r="D243" i="3"/>
  <c r="E243" i="3"/>
  <c r="F243" i="3"/>
  <c r="H243" i="3" s="1"/>
  <c r="G243" i="3"/>
  <c r="A244" i="3"/>
  <c r="B244" i="3"/>
  <c r="C244" i="3"/>
  <c r="D244" i="3"/>
  <c r="E244" i="3"/>
  <c r="F244" i="3"/>
  <c r="G244" i="3"/>
  <c r="H244" i="3" s="1"/>
  <c r="I244" i="3"/>
  <c r="A245" i="3"/>
  <c r="B245" i="3"/>
  <c r="C245" i="3"/>
  <c r="D245" i="3"/>
  <c r="E245" i="3"/>
  <c r="F245" i="3"/>
  <c r="G245" i="3"/>
  <c r="H245" i="3"/>
  <c r="A246" i="3"/>
  <c r="B246" i="3"/>
  <c r="C246" i="3"/>
  <c r="I246" i="3" s="1"/>
  <c r="D246" i="3"/>
  <c r="E246" i="3"/>
  <c r="F246" i="3"/>
  <c r="G246" i="3"/>
  <c r="H246" i="3" s="1"/>
  <c r="A247" i="3"/>
  <c r="B247" i="3"/>
  <c r="C247" i="3"/>
  <c r="I247" i="3" s="1"/>
  <c r="D247" i="3"/>
  <c r="E247" i="3"/>
  <c r="F247" i="3"/>
  <c r="G247" i="3"/>
  <c r="H247" i="3"/>
  <c r="A248" i="3"/>
  <c r="B248" i="3"/>
  <c r="C248" i="3"/>
  <c r="D248" i="3"/>
  <c r="E248" i="3"/>
  <c r="F248" i="3"/>
  <c r="G248" i="3"/>
  <c r="A249" i="3"/>
  <c r="B249" i="3"/>
  <c r="C249" i="3"/>
  <c r="D249" i="3"/>
  <c r="E249" i="3"/>
  <c r="F249" i="3"/>
  <c r="I249" i="3" s="1"/>
  <c r="G249" i="3"/>
  <c r="H249" i="3"/>
  <c r="A250" i="3"/>
  <c r="B250" i="3"/>
  <c r="C250" i="3"/>
  <c r="D250" i="3"/>
  <c r="E250" i="3"/>
  <c r="F250" i="3"/>
  <c r="G250" i="3"/>
  <c r="H250" i="3" s="1"/>
  <c r="A251" i="3"/>
  <c r="B251" i="3"/>
  <c r="C251" i="3"/>
  <c r="D251" i="3"/>
  <c r="E251" i="3"/>
  <c r="F251" i="3"/>
  <c r="G251" i="3"/>
  <c r="H251" i="3" s="1"/>
  <c r="A252" i="3"/>
  <c r="B252" i="3"/>
  <c r="C252" i="3"/>
  <c r="I252" i="3" s="1"/>
  <c r="D252" i="3"/>
  <c r="E252" i="3"/>
  <c r="F252" i="3"/>
  <c r="H252" i="3" s="1"/>
  <c r="G252" i="3"/>
  <c r="A253" i="3"/>
  <c r="B253" i="3"/>
  <c r="C253" i="3"/>
  <c r="D253" i="3"/>
  <c r="E253" i="3"/>
  <c r="F253" i="3"/>
  <c r="G253" i="3"/>
  <c r="A254" i="3"/>
  <c r="B254" i="3"/>
  <c r="C254" i="3"/>
  <c r="D254" i="3"/>
  <c r="E254" i="3"/>
  <c r="F254" i="3"/>
  <c r="G254" i="3"/>
  <c r="H254" i="3" s="1"/>
  <c r="I254" i="3"/>
  <c r="A255" i="3"/>
  <c r="B255" i="3"/>
  <c r="C255" i="3"/>
  <c r="D255" i="3"/>
  <c r="E255" i="3"/>
  <c r="F255" i="3"/>
  <c r="G255" i="3"/>
  <c r="H255" i="3" s="1"/>
  <c r="A256" i="3"/>
  <c r="B256" i="3"/>
  <c r="C256" i="3"/>
  <c r="D256" i="3"/>
  <c r="E256" i="3"/>
  <c r="F256" i="3"/>
  <c r="H256" i="3" s="1"/>
  <c r="G256" i="3"/>
  <c r="A257" i="3"/>
  <c r="B257" i="3"/>
  <c r="C257" i="3"/>
  <c r="D257" i="3"/>
  <c r="E257" i="3"/>
  <c r="F257" i="3"/>
  <c r="H257" i="3" s="1"/>
  <c r="G257" i="3"/>
  <c r="A258" i="3"/>
  <c r="B258" i="3"/>
  <c r="C258" i="3"/>
  <c r="D258" i="3"/>
  <c r="E258" i="3"/>
  <c r="F258" i="3"/>
  <c r="G258" i="3"/>
  <c r="H258" i="3" s="1"/>
  <c r="A259" i="3"/>
  <c r="B259" i="3"/>
  <c r="C259" i="3"/>
  <c r="I259" i="3" s="1"/>
  <c r="D259" i="3"/>
  <c r="E259" i="3"/>
  <c r="F259" i="3"/>
  <c r="H259" i="3" s="1"/>
  <c r="G259" i="3"/>
  <c r="A260" i="3"/>
  <c r="B260" i="3"/>
  <c r="C260" i="3"/>
  <c r="D260" i="3"/>
  <c r="E260" i="3"/>
  <c r="F260" i="3"/>
  <c r="H260" i="3" s="1"/>
  <c r="G260" i="3"/>
  <c r="A261" i="3"/>
  <c r="B261" i="3"/>
  <c r="C261" i="3"/>
  <c r="D261" i="3"/>
  <c r="E261" i="3"/>
  <c r="F261" i="3"/>
  <c r="G261" i="3"/>
  <c r="H261" i="3"/>
  <c r="I261" i="3"/>
  <c r="A262" i="3"/>
  <c r="B262" i="3"/>
  <c r="C262" i="3"/>
  <c r="I262" i="3" s="1"/>
  <c r="D262" i="3"/>
  <c r="E262" i="3"/>
  <c r="F262" i="3"/>
  <c r="G262" i="3"/>
  <c r="H262" i="3" s="1"/>
  <c r="A263" i="3"/>
  <c r="B263" i="3"/>
  <c r="C263" i="3"/>
  <c r="I263" i="3" s="1"/>
  <c r="D263" i="3"/>
  <c r="E263" i="3"/>
  <c r="F263" i="3"/>
  <c r="H263" i="3" s="1"/>
  <c r="G263" i="3"/>
  <c r="A264" i="3"/>
  <c r="B264" i="3"/>
  <c r="C264" i="3"/>
  <c r="D264" i="3"/>
  <c r="E264" i="3"/>
  <c r="F264" i="3"/>
  <c r="G264" i="3"/>
  <c r="H264" i="3" s="1"/>
  <c r="A265" i="3"/>
  <c r="B265" i="3"/>
  <c r="C265" i="3"/>
  <c r="D265" i="3"/>
  <c r="E265" i="3"/>
  <c r="F265" i="3"/>
  <c r="G265" i="3"/>
  <c r="A266" i="3"/>
  <c r="B266" i="3"/>
  <c r="C266" i="3"/>
  <c r="I266" i="3" s="1"/>
  <c r="D266" i="3"/>
  <c r="E266" i="3"/>
  <c r="F266" i="3"/>
  <c r="G266" i="3"/>
  <c r="H266" i="3" s="1"/>
  <c r="A267" i="3"/>
  <c r="B267" i="3"/>
  <c r="C267" i="3"/>
  <c r="D267" i="3"/>
  <c r="E267" i="3"/>
  <c r="F267" i="3"/>
  <c r="G267" i="3"/>
  <c r="A268" i="3"/>
  <c r="B268" i="3"/>
  <c r="C268" i="3"/>
  <c r="D268" i="3"/>
  <c r="E268" i="3"/>
  <c r="F268" i="3"/>
  <c r="G268" i="3"/>
  <c r="H268" i="3" s="1"/>
  <c r="I268" i="3"/>
  <c r="A269" i="3"/>
  <c r="B269" i="3"/>
  <c r="C269" i="3"/>
  <c r="D269" i="3"/>
  <c r="E269" i="3"/>
  <c r="F269" i="3"/>
  <c r="G269" i="3"/>
  <c r="H269" i="3"/>
  <c r="A270" i="3"/>
  <c r="B270" i="3"/>
  <c r="C270" i="3"/>
  <c r="I270" i="3" s="1"/>
  <c r="D270" i="3"/>
  <c r="E270" i="3"/>
  <c r="F270" i="3"/>
  <c r="G270" i="3"/>
  <c r="H270" i="3" s="1"/>
  <c r="A271" i="3"/>
  <c r="B271" i="3"/>
  <c r="C271" i="3"/>
  <c r="D271" i="3"/>
  <c r="E271" i="3"/>
  <c r="F271" i="3"/>
  <c r="G271" i="3"/>
  <c r="H271" i="3" s="1"/>
  <c r="A272" i="3"/>
  <c r="B272" i="3"/>
  <c r="C272" i="3"/>
  <c r="D272" i="3"/>
  <c r="E272" i="3"/>
  <c r="F272" i="3"/>
  <c r="G272" i="3"/>
  <c r="H272" i="3" s="1"/>
  <c r="A273" i="3"/>
  <c r="B273" i="3"/>
  <c r="C273" i="3"/>
  <c r="D273" i="3"/>
  <c r="E273" i="3"/>
  <c r="F273" i="3"/>
  <c r="I273" i="3" s="1"/>
  <c r="G273" i="3"/>
  <c r="H273" i="3"/>
  <c r="A274" i="3"/>
  <c r="B274" i="3"/>
  <c r="C274" i="3"/>
  <c r="D274" i="3"/>
  <c r="E274" i="3"/>
  <c r="F274" i="3"/>
  <c r="G274" i="3"/>
  <c r="H274" i="3" s="1"/>
  <c r="A275" i="3"/>
  <c r="B275" i="3"/>
  <c r="C275" i="3"/>
  <c r="D275" i="3"/>
  <c r="E275" i="3"/>
  <c r="F275" i="3"/>
  <c r="G275" i="3"/>
  <c r="H275" i="3" s="1"/>
  <c r="A276" i="3"/>
  <c r="B276" i="3"/>
  <c r="C276" i="3"/>
  <c r="I276" i="3" s="1"/>
  <c r="D276" i="3"/>
  <c r="E276" i="3"/>
  <c r="F276" i="3"/>
  <c r="H276" i="3" s="1"/>
  <c r="G276" i="3"/>
  <c r="A277" i="3"/>
  <c r="B277" i="3"/>
  <c r="C277" i="3"/>
  <c r="D277" i="3"/>
  <c r="E277" i="3"/>
  <c r="F277" i="3"/>
  <c r="G277" i="3"/>
  <c r="A278" i="3"/>
  <c r="B278" i="3"/>
  <c r="C278" i="3"/>
  <c r="D278" i="3"/>
  <c r="E278" i="3"/>
  <c r="F278" i="3"/>
  <c r="G278" i="3"/>
  <c r="H278" i="3" s="1"/>
  <c r="I278" i="3"/>
  <c r="A279" i="3"/>
  <c r="B279" i="3"/>
  <c r="C279" i="3"/>
  <c r="D279" i="3"/>
  <c r="E279" i="3"/>
  <c r="F279" i="3"/>
  <c r="G279" i="3"/>
  <c r="H279" i="3" s="1"/>
  <c r="A280" i="3"/>
  <c r="B280" i="3"/>
  <c r="C280" i="3"/>
  <c r="D280" i="3"/>
  <c r="E280" i="3"/>
  <c r="F280" i="3"/>
  <c r="H280" i="3" s="1"/>
  <c r="G280" i="3"/>
  <c r="A281" i="3"/>
  <c r="B281" i="3"/>
  <c r="C281" i="3"/>
  <c r="D281" i="3"/>
  <c r="E281" i="3"/>
  <c r="F281" i="3"/>
  <c r="H281" i="3" s="1"/>
  <c r="G281" i="3"/>
  <c r="A282" i="3"/>
  <c r="B282" i="3"/>
  <c r="C282" i="3"/>
  <c r="D282" i="3"/>
  <c r="E282" i="3"/>
  <c r="F282" i="3"/>
  <c r="G282" i="3"/>
  <c r="A283" i="3"/>
  <c r="B283" i="3"/>
  <c r="C283" i="3"/>
  <c r="I283" i="3" s="1"/>
  <c r="D283" i="3"/>
  <c r="E283" i="3"/>
  <c r="F283" i="3"/>
  <c r="H283" i="3" s="1"/>
  <c r="G283" i="3"/>
  <c r="A284" i="3"/>
  <c r="B284" i="3"/>
  <c r="C284" i="3"/>
  <c r="D284" i="3"/>
  <c r="E284" i="3"/>
  <c r="F284" i="3"/>
  <c r="H284" i="3" s="1"/>
  <c r="G284" i="3"/>
  <c r="A285" i="3"/>
  <c r="B285" i="3"/>
  <c r="C285" i="3"/>
  <c r="D285" i="3"/>
  <c r="E285" i="3"/>
  <c r="F285" i="3"/>
  <c r="H285" i="3" s="1"/>
  <c r="I285" i="3" s="1"/>
  <c r="G285" i="3"/>
  <c r="A286" i="3"/>
  <c r="B286" i="3"/>
  <c r="C286" i="3"/>
  <c r="I286" i="3" s="1"/>
  <c r="D286" i="3"/>
  <c r="E286" i="3"/>
  <c r="F286" i="3"/>
  <c r="G286" i="3"/>
  <c r="H286" i="3" s="1"/>
  <c r="A287" i="3"/>
  <c r="B287" i="3"/>
  <c r="C287" i="3"/>
  <c r="I287" i="3" s="1"/>
  <c r="D287" i="3"/>
  <c r="E287" i="3"/>
  <c r="F287" i="3"/>
  <c r="H287" i="3" s="1"/>
  <c r="G287" i="3"/>
  <c r="A288" i="3"/>
  <c r="B288" i="3"/>
  <c r="C288" i="3"/>
  <c r="I288" i="3" s="1"/>
  <c r="D288" i="3"/>
  <c r="E288" i="3"/>
  <c r="F288" i="3"/>
  <c r="G288" i="3"/>
  <c r="H288" i="3" s="1"/>
  <c r="A289" i="3"/>
  <c r="B289" i="3"/>
  <c r="C289" i="3"/>
  <c r="D289" i="3"/>
  <c r="E289" i="3"/>
  <c r="F289" i="3"/>
  <c r="H289" i="3" s="1"/>
  <c r="G289" i="3"/>
  <c r="A290" i="3"/>
  <c r="B290" i="3"/>
  <c r="C290" i="3"/>
  <c r="I290" i="3" s="1"/>
  <c r="D290" i="3"/>
  <c r="E290" i="3"/>
  <c r="F290" i="3"/>
  <c r="G290" i="3"/>
  <c r="H290" i="3" s="1"/>
  <c r="A291" i="3"/>
  <c r="B291" i="3"/>
  <c r="C291" i="3"/>
  <c r="D291" i="3"/>
  <c r="E291" i="3"/>
  <c r="F291" i="3"/>
  <c r="H291" i="3" s="1"/>
  <c r="G291" i="3"/>
  <c r="A292" i="3"/>
  <c r="B292" i="3"/>
  <c r="C292" i="3"/>
  <c r="D292" i="3"/>
  <c r="E292" i="3"/>
  <c r="F292" i="3"/>
  <c r="G292" i="3"/>
  <c r="H292" i="3" s="1"/>
  <c r="I292" i="3"/>
  <c r="A293" i="3"/>
  <c r="B293" i="3"/>
  <c r="C293" i="3"/>
  <c r="D293" i="3"/>
  <c r="E293" i="3"/>
  <c r="F293" i="3"/>
  <c r="G293" i="3"/>
  <c r="H293" i="3"/>
  <c r="A294" i="3"/>
  <c r="B294" i="3"/>
  <c r="C294" i="3"/>
  <c r="I294" i="3" s="1"/>
  <c r="D294" i="3"/>
  <c r="E294" i="3"/>
  <c r="F294" i="3"/>
  <c r="G294" i="3"/>
  <c r="H294" i="3" s="1"/>
  <c r="A295" i="3"/>
  <c r="B295" i="3"/>
  <c r="C295" i="3"/>
  <c r="I295" i="3" s="1"/>
  <c r="D295" i="3"/>
  <c r="E295" i="3"/>
  <c r="F295" i="3"/>
  <c r="G295" i="3"/>
  <c r="H295" i="3"/>
  <c r="A296" i="3"/>
  <c r="B296" i="3"/>
  <c r="C296" i="3"/>
  <c r="D296" i="3"/>
  <c r="E296" i="3"/>
  <c r="F296" i="3"/>
  <c r="G296" i="3"/>
  <c r="H296" i="3" s="1"/>
  <c r="I296" i="3"/>
  <c r="A297" i="3"/>
  <c r="B297" i="3"/>
  <c r="C297" i="3"/>
  <c r="D297" i="3"/>
  <c r="E297" i="3"/>
  <c r="F297" i="3"/>
  <c r="I297" i="3" s="1"/>
  <c r="G297" i="3"/>
  <c r="H297" i="3"/>
  <c r="A298" i="3"/>
  <c r="B298" i="3"/>
  <c r="C298" i="3"/>
  <c r="I298" i="3" s="1"/>
  <c r="D298" i="3"/>
  <c r="E298" i="3"/>
  <c r="F298" i="3"/>
  <c r="G298" i="3"/>
  <c r="H298" i="3" s="1"/>
  <c r="A299" i="3"/>
  <c r="B299" i="3"/>
  <c r="C299" i="3"/>
  <c r="D299" i="3"/>
  <c r="E299" i="3"/>
  <c r="F299" i="3"/>
  <c r="G299" i="3"/>
  <c r="H299" i="3" s="1"/>
  <c r="A300" i="3"/>
  <c r="B300" i="3"/>
  <c r="C300" i="3"/>
  <c r="I300" i="3" s="1"/>
  <c r="D300" i="3"/>
  <c r="E300" i="3"/>
  <c r="F300" i="3"/>
  <c r="H300" i="3" s="1"/>
  <c r="G300" i="3"/>
  <c r="A301" i="3"/>
  <c r="B301" i="3"/>
  <c r="C301" i="3"/>
  <c r="D301" i="3"/>
  <c r="E301" i="3"/>
  <c r="F301" i="3"/>
  <c r="G301" i="3"/>
  <c r="A302" i="3"/>
  <c r="B302" i="3"/>
  <c r="C302" i="3"/>
  <c r="D302" i="3"/>
  <c r="E302" i="3"/>
  <c r="F302" i="3"/>
  <c r="G302" i="3"/>
  <c r="H302" i="3" s="1"/>
  <c r="A303" i="3"/>
  <c r="B303" i="3"/>
  <c r="C303" i="3"/>
  <c r="D303" i="3"/>
  <c r="E303" i="3"/>
  <c r="F303" i="3"/>
  <c r="G303" i="3"/>
  <c r="H303" i="3" s="1"/>
  <c r="A304" i="3"/>
  <c r="B304" i="3"/>
  <c r="C304" i="3"/>
  <c r="D304" i="3"/>
  <c r="E304" i="3"/>
  <c r="F304" i="3"/>
  <c r="H304" i="3" s="1"/>
  <c r="G304" i="3"/>
  <c r="A305" i="3"/>
  <c r="B305" i="3"/>
  <c r="C305" i="3"/>
  <c r="D305" i="3"/>
  <c r="E305" i="3"/>
  <c r="F305" i="3"/>
  <c r="H305" i="3" s="1"/>
  <c r="G305" i="3"/>
  <c r="A306" i="3"/>
  <c r="B306" i="3"/>
  <c r="C306" i="3"/>
  <c r="D306" i="3"/>
  <c r="E306" i="3"/>
  <c r="F306" i="3"/>
  <c r="G306" i="3"/>
  <c r="A307" i="3"/>
  <c r="B307" i="3"/>
  <c r="C307" i="3"/>
  <c r="D307" i="3"/>
  <c r="E307" i="3"/>
  <c r="F307" i="3"/>
  <c r="H307" i="3" s="1"/>
  <c r="G307" i="3"/>
  <c r="A308" i="3"/>
  <c r="B308" i="3"/>
  <c r="C308" i="3"/>
  <c r="D308" i="3"/>
  <c r="E308" i="3"/>
  <c r="F308" i="3"/>
  <c r="G308" i="3"/>
  <c r="A309" i="3"/>
  <c r="B309" i="3"/>
  <c r="C309" i="3"/>
  <c r="D309" i="3"/>
  <c r="E309" i="3"/>
  <c r="F309" i="3"/>
  <c r="I309" i="3" s="1"/>
  <c r="G309" i="3"/>
  <c r="H309" i="3"/>
  <c r="A310" i="3"/>
  <c r="B310" i="3"/>
  <c r="C310" i="3"/>
  <c r="D310" i="3"/>
  <c r="E310" i="3"/>
  <c r="F310" i="3"/>
  <c r="G310" i="3"/>
  <c r="H310" i="3" s="1"/>
  <c r="A311" i="3"/>
  <c r="B311" i="3"/>
  <c r="C311" i="3"/>
  <c r="D311" i="3"/>
  <c r="E311" i="3"/>
  <c r="F311" i="3"/>
  <c r="H311" i="3" s="1"/>
  <c r="G311" i="3"/>
  <c r="A312" i="3"/>
  <c r="B312" i="3"/>
  <c r="C312" i="3"/>
  <c r="D312" i="3"/>
  <c r="E312" i="3"/>
  <c r="F312" i="3"/>
  <c r="H312" i="3" s="1"/>
  <c r="G312" i="3"/>
  <c r="I312" i="3"/>
  <c r="A313" i="3"/>
  <c r="B313" i="3"/>
  <c r="C313" i="3"/>
  <c r="D313" i="3"/>
  <c r="E313" i="3"/>
  <c r="F313" i="3"/>
  <c r="G313" i="3"/>
  <c r="H313" i="3"/>
  <c r="I313" i="3" s="1"/>
  <c r="A314" i="3"/>
  <c r="B314" i="3"/>
  <c r="C314" i="3"/>
  <c r="I314" i="3" s="1"/>
  <c r="D314" i="3"/>
  <c r="E314" i="3"/>
  <c r="F314" i="3"/>
  <c r="G314" i="3"/>
  <c r="H314" i="3" s="1"/>
  <c r="A315" i="3"/>
  <c r="B315" i="3"/>
  <c r="C315" i="3"/>
  <c r="I315" i="3" s="1"/>
  <c r="D315" i="3"/>
  <c r="E315" i="3"/>
  <c r="F315" i="3"/>
  <c r="H315" i="3" s="1"/>
  <c r="G315" i="3"/>
  <c r="A316" i="3"/>
  <c r="B316" i="3"/>
  <c r="C316" i="3"/>
  <c r="D316" i="3"/>
  <c r="E316" i="3"/>
  <c r="F316" i="3"/>
  <c r="G316" i="3"/>
  <c r="H316" i="3"/>
  <c r="I316" i="3" s="1"/>
  <c r="A317" i="3"/>
  <c r="B317" i="3"/>
  <c r="C317" i="3"/>
  <c r="D317" i="3"/>
  <c r="E317" i="3"/>
  <c r="F317" i="3"/>
  <c r="G317" i="3"/>
  <c r="H317" i="3" s="1"/>
  <c r="I317" i="3"/>
  <c r="A318" i="3"/>
  <c r="B318" i="3"/>
  <c r="C318" i="3"/>
  <c r="I318" i="3" s="1"/>
  <c r="D318" i="3"/>
  <c r="E318" i="3"/>
  <c r="F318" i="3"/>
  <c r="G318" i="3"/>
  <c r="H318" i="3"/>
  <c r="A319" i="3"/>
  <c r="B319" i="3"/>
  <c r="C319" i="3"/>
  <c r="D319" i="3"/>
  <c r="E319" i="3"/>
  <c r="F319" i="3"/>
  <c r="G319" i="3"/>
  <c r="A320" i="3"/>
  <c r="B320" i="3"/>
  <c r="C320" i="3"/>
  <c r="D320" i="3"/>
  <c r="E320" i="3"/>
  <c r="F320" i="3"/>
  <c r="G320" i="3"/>
  <c r="H320" i="3"/>
  <c r="I320" i="3"/>
  <c r="A321" i="3"/>
  <c r="B321" i="3"/>
  <c r="C321" i="3"/>
  <c r="D321" i="3"/>
  <c r="E321" i="3"/>
  <c r="F321" i="3"/>
  <c r="G321" i="3"/>
  <c r="H321" i="3"/>
  <c r="A322" i="3"/>
  <c r="B322" i="3"/>
  <c r="C322" i="3"/>
  <c r="D322" i="3"/>
  <c r="E322" i="3"/>
  <c r="F322" i="3"/>
  <c r="G322" i="3"/>
  <c r="H322" i="3" s="1"/>
  <c r="A323" i="3"/>
  <c r="B323" i="3"/>
  <c r="C323" i="3"/>
  <c r="D323" i="3"/>
  <c r="E323" i="3"/>
  <c r="F323" i="3"/>
  <c r="H323" i="3" s="1"/>
  <c r="G323" i="3"/>
  <c r="A324" i="3"/>
  <c r="B324" i="3"/>
  <c r="C324" i="3"/>
  <c r="D324" i="3"/>
  <c r="E324" i="3"/>
  <c r="F324" i="3"/>
  <c r="I324" i="3" s="1"/>
  <c r="G324" i="3"/>
  <c r="H324" i="3"/>
  <c r="A325" i="3"/>
  <c r="B325" i="3"/>
  <c r="C325" i="3"/>
  <c r="D325" i="3"/>
  <c r="E325" i="3"/>
  <c r="F325" i="3"/>
  <c r="H325" i="3" s="1"/>
  <c r="G325" i="3"/>
  <c r="I325" i="3"/>
  <c r="A326" i="3"/>
  <c r="B326" i="3"/>
  <c r="C326" i="3"/>
  <c r="I326" i="3" s="1"/>
  <c r="D326" i="3"/>
  <c r="E326" i="3"/>
  <c r="F326" i="3"/>
  <c r="G326" i="3"/>
  <c r="H326" i="3" s="1"/>
  <c r="A327" i="3"/>
  <c r="B327" i="3"/>
  <c r="C327" i="3"/>
  <c r="D327" i="3"/>
  <c r="E327" i="3"/>
  <c r="F327" i="3"/>
  <c r="G327" i="3"/>
  <c r="H327" i="3"/>
  <c r="A328" i="3"/>
  <c r="B328" i="3"/>
  <c r="C328" i="3"/>
  <c r="D328" i="3"/>
  <c r="E328" i="3"/>
  <c r="F328" i="3"/>
  <c r="G328" i="3"/>
  <c r="H328" i="3" s="1"/>
  <c r="I328" i="3"/>
  <c r="A329" i="3"/>
  <c r="B329" i="3"/>
  <c r="C329" i="3"/>
  <c r="D329" i="3"/>
  <c r="E329" i="3"/>
  <c r="F329" i="3"/>
  <c r="I329" i="3" s="1"/>
  <c r="G329" i="3"/>
  <c r="H329" i="3"/>
  <c r="A330" i="3"/>
  <c r="B330" i="3"/>
  <c r="C330" i="3"/>
  <c r="D330" i="3"/>
  <c r="E330" i="3"/>
  <c r="F330" i="3"/>
  <c r="G330" i="3"/>
  <c r="H330" i="3" s="1"/>
  <c r="A331" i="3"/>
  <c r="B331" i="3"/>
  <c r="C331" i="3"/>
  <c r="D331" i="3"/>
  <c r="E331" i="3"/>
  <c r="F331" i="3"/>
  <c r="H331" i="3" s="1"/>
  <c r="G331" i="3"/>
  <c r="A332" i="3"/>
  <c r="B332" i="3"/>
  <c r="C332" i="3"/>
  <c r="I332" i="3" s="1"/>
  <c r="D332" i="3"/>
  <c r="E332" i="3"/>
  <c r="F332" i="3"/>
  <c r="G332" i="3"/>
  <c r="H332" i="3"/>
  <c r="A333" i="3"/>
  <c r="B333" i="3"/>
  <c r="C333" i="3"/>
  <c r="D333" i="3"/>
  <c r="E333" i="3"/>
  <c r="F333" i="3"/>
  <c r="H333" i="3" s="1"/>
  <c r="I333" i="3" s="1"/>
  <c r="G333" i="3"/>
  <c r="A334" i="3"/>
  <c r="B334" i="3"/>
  <c r="C334" i="3"/>
  <c r="D334" i="3"/>
  <c r="E334" i="3"/>
  <c r="F334" i="3"/>
  <c r="G334" i="3"/>
  <c r="H334" i="3" s="1"/>
  <c r="A335" i="3"/>
  <c r="B335" i="3"/>
  <c r="C335" i="3"/>
  <c r="D335" i="3"/>
  <c r="E335" i="3"/>
  <c r="F335" i="3"/>
  <c r="G335" i="3"/>
  <c r="H335" i="3"/>
  <c r="A336" i="3"/>
  <c r="B336" i="3"/>
  <c r="C336" i="3"/>
  <c r="D336" i="3"/>
  <c r="E336" i="3"/>
  <c r="F336" i="3"/>
  <c r="H336" i="3" s="1"/>
  <c r="I336" i="3" s="1"/>
  <c r="G336" i="3"/>
  <c r="A337" i="3"/>
  <c r="B337" i="3"/>
  <c r="C337" i="3"/>
  <c r="D337" i="3"/>
  <c r="E337" i="3"/>
  <c r="F337" i="3"/>
  <c r="G337" i="3"/>
  <c r="A338" i="3"/>
  <c r="B338" i="3"/>
  <c r="C338" i="3"/>
  <c r="I338" i="3" s="1"/>
  <c r="D338" i="3"/>
  <c r="E338" i="3"/>
  <c r="F338" i="3"/>
  <c r="G338" i="3"/>
  <c r="H338" i="3" s="1"/>
  <c r="A339" i="3"/>
  <c r="B339" i="3"/>
  <c r="C339" i="3"/>
  <c r="D339" i="3"/>
  <c r="E339" i="3"/>
  <c r="F339" i="3"/>
  <c r="H339" i="3" s="1"/>
  <c r="G339" i="3"/>
  <c r="A340" i="3"/>
  <c r="B340" i="3"/>
  <c r="C340" i="3"/>
  <c r="I340" i="3" s="1"/>
  <c r="D340" i="3"/>
  <c r="E340" i="3"/>
  <c r="F340" i="3"/>
  <c r="G340" i="3"/>
  <c r="H340" i="3"/>
  <c r="A341" i="3"/>
  <c r="B341" i="3"/>
  <c r="C341" i="3"/>
  <c r="D341" i="3"/>
  <c r="E341" i="3"/>
  <c r="F341" i="3"/>
  <c r="H341" i="3" s="1"/>
  <c r="G341" i="3"/>
  <c r="A342" i="3"/>
  <c r="B342" i="3"/>
  <c r="C342" i="3"/>
  <c r="D342" i="3"/>
  <c r="E342" i="3"/>
  <c r="F342" i="3"/>
  <c r="G342" i="3"/>
  <c r="H342" i="3" s="1"/>
  <c r="A343" i="3"/>
  <c r="B343" i="3"/>
  <c r="C343" i="3"/>
  <c r="D343" i="3"/>
  <c r="E343" i="3"/>
  <c r="F343" i="3"/>
  <c r="G343" i="3"/>
  <c r="H343" i="3" s="1"/>
  <c r="A344" i="3"/>
  <c r="B344" i="3"/>
  <c r="C344" i="3"/>
  <c r="I344" i="3" s="1"/>
  <c r="D344" i="3"/>
  <c r="E344" i="3"/>
  <c r="F344" i="3"/>
  <c r="G344" i="3"/>
  <c r="H344" i="3"/>
  <c r="A345" i="3"/>
  <c r="B345" i="3"/>
  <c r="C345" i="3"/>
  <c r="D345" i="3"/>
  <c r="E345" i="3"/>
  <c r="F345" i="3"/>
  <c r="H345" i="3" s="1"/>
  <c r="G345" i="3"/>
  <c r="A346" i="3"/>
  <c r="B346" i="3"/>
  <c r="C346" i="3"/>
  <c r="D346" i="3"/>
  <c r="E346" i="3"/>
  <c r="F346" i="3"/>
  <c r="I346" i="3" s="1"/>
  <c r="G346" i="3"/>
  <c r="H346" i="3"/>
  <c r="A347" i="3"/>
  <c r="B347" i="3"/>
  <c r="C347" i="3"/>
  <c r="D347" i="3"/>
  <c r="E347" i="3"/>
  <c r="F347" i="3"/>
  <c r="G347" i="3"/>
  <c r="H347" i="3" s="1"/>
  <c r="I347" i="3"/>
  <c r="A348" i="3"/>
  <c r="B348" i="3"/>
  <c r="C348" i="3"/>
  <c r="I348" i="3" s="1"/>
  <c r="D348" i="3"/>
  <c r="E348" i="3"/>
  <c r="F348" i="3"/>
  <c r="G348" i="3"/>
  <c r="H348" i="3"/>
  <c r="A349" i="3"/>
  <c r="B349" i="3"/>
  <c r="C349" i="3"/>
  <c r="D349" i="3"/>
  <c r="E349" i="3"/>
  <c r="F349" i="3"/>
  <c r="G349" i="3"/>
  <c r="A350" i="3"/>
  <c r="B350" i="3"/>
  <c r="C350" i="3"/>
  <c r="D350" i="3"/>
  <c r="E350" i="3"/>
  <c r="F350" i="3"/>
  <c r="G350" i="3"/>
  <c r="A351" i="3"/>
  <c r="B351" i="3"/>
  <c r="C351" i="3"/>
  <c r="D351" i="3"/>
  <c r="E351" i="3"/>
  <c r="F351" i="3"/>
  <c r="G351" i="3"/>
  <c r="H351" i="3" s="1"/>
  <c r="A352" i="3"/>
  <c r="B352" i="3"/>
  <c r="C352" i="3"/>
  <c r="I352" i="3" s="1"/>
  <c r="D352" i="3"/>
  <c r="E352" i="3"/>
  <c r="F352" i="3"/>
  <c r="G352" i="3"/>
  <c r="H352" i="3"/>
  <c r="A353" i="3"/>
  <c r="B353" i="3"/>
  <c r="C353" i="3"/>
  <c r="D353" i="3"/>
  <c r="E353" i="3"/>
  <c r="F353" i="3"/>
  <c r="H353" i="3" s="1"/>
  <c r="G353" i="3"/>
  <c r="A354" i="3"/>
  <c r="B354" i="3"/>
  <c r="C354" i="3"/>
  <c r="D354" i="3"/>
  <c r="E354" i="3"/>
  <c r="F354" i="3"/>
  <c r="G354" i="3"/>
  <c r="H354" i="3" s="1"/>
  <c r="A355" i="3"/>
  <c r="B355" i="3"/>
  <c r="C355" i="3"/>
  <c r="D355" i="3"/>
  <c r="E355" i="3"/>
  <c r="F355" i="3"/>
  <c r="G355" i="3"/>
  <c r="H355" i="3" s="1"/>
  <c r="A356" i="3"/>
  <c r="B356" i="3"/>
  <c r="C356" i="3"/>
  <c r="D356" i="3"/>
  <c r="E356" i="3"/>
  <c r="F356" i="3"/>
  <c r="G356" i="3"/>
  <c r="H356" i="3"/>
  <c r="A357" i="3"/>
  <c r="B357" i="3"/>
  <c r="C357" i="3"/>
  <c r="D357" i="3"/>
  <c r="E357" i="3"/>
  <c r="F357" i="3"/>
  <c r="H357" i="3" s="1"/>
  <c r="G357" i="3"/>
  <c r="A358" i="3"/>
  <c r="B358" i="3"/>
  <c r="C358" i="3"/>
  <c r="D358" i="3"/>
  <c r="E358" i="3"/>
  <c r="F358" i="3"/>
  <c r="I358" i="3" s="1"/>
  <c r="G358" i="3"/>
  <c r="H358" i="3"/>
  <c r="A359" i="3"/>
  <c r="B359" i="3"/>
  <c r="C359" i="3"/>
  <c r="D359" i="3"/>
  <c r="E359" i="3"/>
  <c r="F359" i="3"/>
  <c r="G359" i="3"/>
  <c r="H359" i="3" s="1"/>
  <c r="I359" i="3"/>
  <c r="A360" i="3"/>
  <c r="B360" i="3"/>
  <c r="C360" i="3"/>
  <c r="D360" i="3"/>
  <c r="E360" i="3"/>
  <c r="F360" i="3"/>
  <c r="G360" i="3"/>
  <c r="H360" i="3"/>
  <c r="A361" i="3"/>
  <c r="B361" i="3"/>
  <c r="C361" i="3"/>
  <c r="D361" i="3"/>
  <c r="E361" i="3"/>
  <c r="F361" i="3"/>
  <c r="H361" i="3" s="1"/>
  <c r="G361" i="3"/>
  <c r="A362" i="3"/>
  <c r="B362" i="3"/>
  <c r="C362" i="3"/>
  <c r="D362" i="3"/>
  <c r="E362" i="3"/>
  <c r="F362" i="3"/>
  <c r="G362" i="3"/>
  <c r="A363" i="3"/>
  <c r="B363" i="3"/>
  <c r="C363" i="3"/>
  <c r="D363" i="3"/>
  <c r="E363" i="3"/>
  <c r="F363" i="3"/>
  <c r="G363" i="3"/>
  <c r="H363" i="3" s="1"/>
  <c r="A364" i="3"/>
  <c r="B364" i="3"/>
  <c r="C364" i="3"/>
  <c r="I364" i="3" s="1"/>
  <c r="D364" i="3"/>
  <c r="E364" i="3"/>
  <c r="F364" i="3"/>
  <c r="G364" i="3"/>
  <c r="H364" i="3"/>
  <c r="A365" i="3"/>
  <c r="B365" i="3"/>
  <c r="C365" i="3"/>
  <c r="D365" i="3"/>
  <c r="E365" i="3"/>
  <c r="F365" i="3"/>
  <c r="H365" i="3" s="1"/>
  <c r="G365" i="3"/>
  <c r="A366" i="3"/>
  <c r="B366" i="3"/>
  <c r="C366" i="3"/>
  <c r="D366" i="3"/>
  <c r="E366" i="3"/>
  <c r="F366" i="3"/>
  <c r="H366" i="3" s="1"/>
  <c r="I366" i="3" s="1"/>
  <c r="G366" i="3"/>
  <c r="A367" i="3"/>
  <c r="B367" i="3"/>
  <c r="C367" i="3"/>
  <c r="D367" i="3"/>
  <c r="E367" i="3"/>
  <c r="F367" i="3"/>
  <c r="G367" i="3"/>
  <c r="H367" i="3" s="1"/>
  <c r="I367" i="3"/>
  <c r="A368" i="3"/>
  <c r="B368" i="3"/>
  <c r="C368" i="3"/>
  <c r="I368" i="3" s="1"/>
  <c r="D368" i="3"/>
  <c r="E368" i="3"/>
  <c r="F368" i="3"/>
  <c r="G368" i="3"/>
  <c r="H368" i="3"/>
  <c r="A369" i="3"/>
  <c r="B369" i="3"/>
  <c r="C369" i="3"/>
  <c r="D369" i="3"/>
  <c r="E369" i="3"/>
  <c r="F369" i="3"/>
  <c r="G369" i="3"/>
  <c r="H369" i="3"/>
  <c r="A370" i="3"/>
  <c r="B370" i="3"/>
  <c r="C370" i="3"/>
  <c r="D370" i="3"/>
  <c r="E370" i="3"/>
  <c r="F370" i="3"/>
  <c r="G370" i="3"/>
  <c r="H370" i="3"/>
  <c r="I370" i="3" s="1"/>
  <c r="A371" i="3"/>
  <c r="B371" i="3"/>
  <c r="C371" i="3"/>
  <c r="D371" i="3"/>
  <c r="E371" i="3"/>
  <c r="F371" i="3"/>
  <c r="G371" i="3"/>
  <c r="H371" i="3" s="1"/>
  <c r="I371" i="3"/>
  <c r="A372" i="3"/>
  <c r="B372" i="3"/>
  <c r="C372" i="3"/>
  <c r="I372" i="3" s="1"/>
  <c r="D372" i="3"/>
  <c r="E372" i="3"/>
  <c r="F372" i="3"/>
  <c r="G372" i="3"/>
  <c r="H372" i="3"/>
  <c r="A373" i="3"/>
  <c r="B373" i="3"/>
  <c r="C373" i="3"/>
  <c r="D373" i="3"/>
  <c r="E373" i="3"/>
  <c r="F373" i="3"/>
  <c r="G373" i="3"/>
  <c r="H373" i="3" s="1"/>
  <c r="A374" i="3"/>
  <c r="B374" i="3"/>
  <c r="C374" i="3"/>
  <c r="D374" i="3"/>
  <c r="E374" i="3"/>
  <c r="F374" i="3"/>
  <c r="H374" i="3" s="1"/>
  <c r="G374" i="3"/>
  <c r="A375" i="3"/>
  <c r="B375" i="3"/>
  <c r="C375" i="3"/>
  <c r="I375" i="3" s="1"/>
  <c r="D375" i="3"/>
  <c r="E375" i="3"/>
  <c r="F375" i="3"/>
  <c r="G375" i="3"/>
  <c r="H375" i="3" s="1"/>
  <c r="A376" i="3"/>
  <c r="B376" i="3"/>
  <c r="C376" i="3"/>
  <c r="D376" i="3"/>
  <c r="E376" i="3"/>
  <c r="F376" i="3"/>
  <c r="H376" i="3" s="1"/>
  <c r="G376" i="3"/>
  <c r="A377" i="3"/>
  <c r="B377" i="3"/>
  <c r="C377" i="3"/>
  <c r="D377" i="3"/>
  <c r="E377" i="3"/>
  <c r="F377" i="3"/>
  <c r="H377" i="3" s="1"/>
  <c r="I377" i="3" s="1"/>
  <c r="G377" i="3"/>
  <c r="A378" i="3"/>
  <c r="B378" i="3"/>
  <c r="C378" i="3"/>
  <c r="D378" i="3"/>
  <c r="E378" i="3"/>
  <c r="F378" i="3"/>
  <c r="H378" i="3" s="1"/>
  <c r="G378" i="3"/>
  <c r="A379" i="3"/>
  <c r="B379" i="3"/>
  <c r="C379" i="3"/>
  <c r="D379" i="3"/>
  <c r="E379" i="3"/>
  <c r="F379" i="3"/>
  <c r="G379" i="3"/>
  <c r="H379" i="3" s="1"/>
  <c r="A380" i="3"/>
  <c r="B380" i="3"/>
  <c r="C380" i="3"/>
  <c r="D380" i="3"/>
  <c r="E380" i="3"/>
  <c r="F380" i="3"/>
  <c r="G380" i="3"/>
  <c r="H380" i="3"/>
  <c r="A381" i="3"/>
  <c r="B381" i="3"/>
  <c r="C381" i="3"/>
  <c r="I381" i="3" s="1"/>
  <c r="D381" i="3"/>
  <c r="E381" i="3"/>
  <c r="F381" i="3"/>
  <c r="G381" i="3"/>
  <c r="H381" i="3"/>
  <c r="A382" i="3"/>
  <c r="B382" i="3"/>
  <c r="C382" i="3"/>
  <c r="D382" i="3"/>
  <c r="E382" i="3"/>
  <c r="F382" i="3"/>
  <c r="G382" i="3"/>
  <c r="A383" i="3"/>
  <c r="B383" i="3"/>
  <c r="C383" i="3"/>
  <c r="D383" i="3"/>
  <c r="E383" i="3"/>
  <c r="F383" i="3"/>
  <c r="G383" i="3"/>
  <c r="H383" i="3" s="1"/>
  <c r="A384" i="3"/>
  <c r="B384" i="3"/>
  <c r="C384" i="3"/>
  <c r="D384" i="3"/>
  <c r="E384" i="3"/>
  <c r="F384" i="3"/>
  <c r="H384" i="3" s="1"/>
  <c r="G384" i="3"/>
  <c r="A385" i="3"/>
  <c r="B385" i="3"/>
  <c r="C385" i="3"/>
  <c r="I385" i="3" s="1"/>
  <c r="D385" i="3"/>
  <c r="E385" i="3"/>
  <c r="F385" i="3"/>
  <c r="H385" i="3" s="1"/>
  <c r="G385" i="3"/>
  <c r="A386" i="3"/>
  <c r="B386" i="3"/>
  <c r="C386" i="3"/>
  <c r="D386" i="3"/>
  <c r="E386" i="3"/>
  <c r="F386" i="3"/>
  <c r="I386" i="3" s="1"/>
  <c r="G386" i="3"/>
  <c r="H386" i="3"/>
  <c r="A387" i="3"/>
  <c r="B387" i="3"/>
  <c r="C387" i="3"/>
  <c r="D387" i="3"/>
  <c r="E387" i="3"/>
  <c r="F387" i="3"/>
  <c r="G387" i="3"/>
  <c r="H387" i="3" s="1"/>
  <c r="A388" i="3"/>
  <c r="B388" i="3"/>
  <c r="C388" i="3"/>
  <c r="I388" i="3" s="1"/>
  <c r="D388" i="3"/>
  <c r="E388" i="3"/>
  <c r="F388" i="3"/>
  <c r="G388" i="3"/>
  <c r="H388" i="3"/>
  <c r="A389" i="3"/>
  <c r="B389" i="3"/>
  <c r="C389" i="3"/>
  <c r="I389" i="3" s="1"/>
  <c r="D389" i="3"/>
  <c r="E389" i="3"/>
  <c r="F389" i="3"/>
  <c r="G389" i="3"/>
  <c r="H389" i="3" s="1"/>
  <c r="A390" i="3"/>
  <c r="B390" i="3"/>
  <c r="C390" i="3"/>
  <c r="D390" i="3"/>
  <c r="E390" i="3"/>
  <c r="F390" i="3"/>
  <c r="H390" i="3" s="1"/>
  <c r="G390" i="3"/>
  <c r="A391" i="3"/>
  <c r="B391" i="3"/>
  <c r="C391" i="3"/>
  <c r="I391" i="3" s="1"/>
  <c r="D391" i="3"/>
  <c r="E391" i="3"/>
  <c r="F391" i="3"/>
  <c r="G391" i="3"/>
  <c r="H391" i="3" s="1"/>
  <c r="A392" i="3"/>
  <c r="B392" i="3"/>
  <c r="C392" i="3"/>
  <c r="D392" i="3"/>
  <c r="E392" i="3"/>
  <c r="F392" i="3"/>
  <c r="H392" i="3" s="1"/>
  <c r="G392" i="3"/>
  <c r="A393" i="3"/>
  <c r="B393" i="3"/>
  <c r="C393" i="3"/>
  <c r="D393" i="3"/>
  <c r="E393" i="3"/>
  <c r="F393" i="3"/>
  <c r="H393" i="3" s="1"/>
  <c r="I393" i="3" s="1"/>
  <c r="G393" i="3"/>
  <c r="A394" i="3"/>
  <c r="B394" i="3"/>
  <c r="C394" i="3"/>
  <c r="D394" i="3"/>
  <c r="E394" i="3"/>
  <c r="F394" i="3"/>
  <c r="G394" i="3"/>
  <c r="H394" i="3"/>
  <c r="I394" i="3" s="1"/>
  <c r="A395" i="3"/>
  <c r="B395" i="3"/>
  <c r="C395" i="3"/>
  <c r="I395" i="3" s="1"/>
  <c r="D395" i="3"/>
  <c r="E395" i="3"/>
  <c r="F395" i="3"/>
  <c r="G395" i="3"/>
  <c r="H395" i="3"/>
  <c r="A396" i="3"/>
  <c r="B396" i="3"/>
  <c r="C396" i="3"/>
  <c r="D396" i="3"/>
  <c r="E396" i="3"/>
  <c r="F396" i="3"/>
  <c r="H396" i="3" s="1"/>
  <c r="G396" i="3"/>
  <c r="A397" i="3"/>
  <c r="B397" i="3"/>
  <c r="C397" i="3"/>
  <c r="I397" i="3" s="1"/>
  <c r="D397" i="3"/>
  <c r="E397" i="3"/>
  <c r="F397" i="3"/>
  <c r="H397" i="3" s="1"/>
  <c r="G397" i="3"/>
  <c r="A398" i="3"/>
  <c r="B398" i="3"/>
  <c r="C398" i="3"/>
  <c r="D398" i="3"/>
  <c r="E398" i="3"/>
  <c r="F398" i="3"/>
  <c r="H398" i="3" s="1"/>
  <c r="I398" i="3" s="1"/>
  <c r="G398" i="3"/>
  <c r="A399" i="3"/>
  <c r="B399" i="3"/>
  <c r="C399" i="3"/>
  <c r="D399" i="3"/>
  <c r="E399" i="3"/>
  <c r="F399" i="3"/>
  <c r="G399" i="3"/>
  <c r="H399" i="3"/>
  <c r="I399" i="3"/>
  <c r="A400" i="3"/>
  <c r="B400" i="3"/>
  <c r="C400" i="3"/>
  <c r="I400" i="3" s="1"/>
  <c r="D400" i="3"/>
  <c r="E400" i="3"/>
  <c r="F400" i="3"/>
  <c r="G400" i="3"/>
  <c r="H400" i="3"/>
  <c r="A401" i="3"/>
  <c r="B401" i="3"/>
  <c r="C401" i="3"/>
  <c r="D401" i="3"/>
  <c r="E401" i="3"/>
  <c r="F401" i="3"/>
  <c r="G401" i="3"/>
  <c r="H401" i="3" s="1"/>
  <c r="A402" i="3"/>
  <c r="B402" i="3"/>
  <c r="C402" i="3"/>
  <c r="D402" i="3"/>
  <c r="E402" i="3"/>
  <c r="F402" i="3"/>
  <c r="H402" i="3" s="1"/>
  <c r="G402" i="3"/>
  <c r="A403" i="3"/>
  <c r="B403" i="3"/>
  <c r="C403" i="3"/>
  <c r="I403" i="3" s="1"/>
  <c r="D403" i="3"/>
  <c r="E403" i="3"/>
  <c r="F403" i="3"/>
  <c r="G403" i="3"/>
  <c r="H403" i="3" s="1"/>
  <c r="A404" i="3"/>
  <c r="B404" i="3"/>
  <c r="C404" i="3"/>
  <c r="D404" i="3"/>
  <c r="E404" i="3"/>
  <c r="F404" i="3"/>
  <c r="G404" i="3"/>
  <c r="H404" i="3"/>
  <c r="A405" i="3"/>
  <c r="B405" i="3"/>
  <c r="C405" i="3"/>
  <c r="D405" i="3"/>
  <c r="E405" i="3"/>
  <c r="F405" i="3"/>
  <c r="G405" i="3"/>
  <c r="H405" i="3"/>
  <c r="I405" i="3" s="1"/>
  <c r="A406" i="3"/>
  <c r="B406" i="3"/>
  <c r="C406" i="3"/>
  <c r="D406" i="3"/>
  <c r="E406" i="3"/>
  <c r="F406" i="3"/>
  <c r="I406" i="3" s="1"/>
  <c r="G406" i="3"/>
  <c r="H406" i="3"/>
  <c r="A407" i="3"/>
  <c r="B407" i="3"/>
  <c r="C407" i="3"/>
  <c r="I407" i="3" s="1"/>
  <c r="D407" i="3"/>
  <c r="E407" i="3"/>
  <c r="F407" i="3"/>
  <c r="G407" i="3"/>
  <c r="H407" i="3"/>
  <c r="A408" i="3"/>
  <c r="B408" i="3"/>
  <c r="C408" i="3"/>
  <c r="D408" i="3"/>
  <c r="E408" i="3"/>
  <c r="F408" i="3"/>
  <c r="H408" i="3" s="1"/>
  <c r="G408" i="3"/>
  <c r="A409" i="3"/>
  <c r="B409" i="3"/>
  <c r="C409" i="3"/>
  <c r="D409" i="3"/>
  <c r="E409" i="3"/>
  <c r="F409" i="3"/>
  <c r="H409" i="3" s="1"/>
  <c r="I409" i="3" s="1"/>
  <c r="G409" i="3"/>
  <c r="A410" i="3"/>
  <c r="B410" i="3"/>
  <c r="C410" i="3"/>
  <c r="D410" i="3"/>
  <c r="E410" i="3"/>
  <c r="F410" i="3"/>
  <c r="H410" i="3" s="1"/>
  <c r="G410" i="3"/>
  <c r="A411" i="3"/>
  <c r="B411" i="3"/>
  <c r="C411" i="3"/>
  <c r="D411" i="3"/>
  <c r="E411" i="3"/>
  <c r="F411" i="3"/>
  <c r="G411" i="3"/>
  <c r="H411" i="3" s="1"/>
  <c r="A412" i="3"/>
  <c r="B412" i="3"/>
  <c r="C412" i="3"/>
  <c r="D412" i="3"/>
  <c r="E412" i="3"/>
  <c r="F412" i="3"/>
  <c r="H412" i="3" s="1"/>
  <c r="G412" i="3"/>
  <c r="A413" i="3"/>
  <c r="B413" i="3"/>
  <c r="C413" i="3"/>
  <c r="D413" i="3"/>
  <c r="E413" i="3"/>
  <c r="F413" i="3"/>
  <c r="H413" i="3" s="1"/>
  <c r="G413" i="3"/>
  <c r="A414" i="3"/>
  <c r="B414" i="3"/>
  <c r="C414" i="3"/>
  <c r="D414" i="3"/>
  <c r="E414" i="3"/>
  <c r="F414" i="3"/>
  <c r="H414" i="3" s="1"/>
  <c r="G414" i="3"/>
  <c r="A415" i="3"/>
  <c r="B415" i="3"/>
  <c r="C415" i="3"/>
  <c r="D415" i="3"/>
  <c r="E415" i="3"/>
  <c r="F415" i="3"/>
  <c r="G415" i="3"/>
  <c r="H415" i="3"/>
  <c r="I415" i="3" s="1"/>
  <c r="A416" i="3"/>
  <c r="B416" i="3"/>
  <c r="C416" i="3"/>
  <c r="D416" i="3"/>
  <c r="E416" i="3"/>
  <c r="F416" i="3"/>
  <c r="G416" i="3"/>
  <c r="H416" i="3" s="1"/>
  <c r="A417" i="3"/>
  <c r="B417" i="3"/>
  <c r="C417" i="3"/>
  <c r="I417" i="3" s="1"/>
  <c r="D417" i="3"/>
  <c r="E417" i="3"/>
  <c r="F417" i="3"/>
  <c r="G417" i="3"/>
  <c r="H417" i="3"/>
  <c r="A418" i="3"/>
  <c r="B418" i="3"/>
  <c r="C418" i="3"/>
  <c r="D418" i="3"/>
  <c r="E418" i="3"/>
  <c r="F418" i="3"/>
  <c r="G418" i="3"/>
  <c r="A419" i="3"/>
  <c r="B419" i="3"/>
  <c r="C419" i="3"/>
  <c r="D419" i="3"/>
  <c r="E419" i="3"/>
  <c r="F419" i="3"/>
  <c r="G419" i="3"/>
  <c r="H419" i="3" s="1"/>
  <c r="I419" i="3"/>
  <c r="A420" i="3"/>
  <c r="B420" i="3"/>
  <c r="C420" i="3"/>
  <c r="D420" i="3"/>
  <c r="E420" i="3"/>
  <c r="F420" i="3"/>
  <c r="G420" i="3"/>
  <c r="H420" i="3"/>
  <c r="A421" i="3"/>
  <c r="B421" i="3"/>
  <c r="C421" i="3"/>
  <c r="D421" i="3"/>
  <c r="E421" i="3"/>
  <c r="F421" i="3"/>
  <c r="H421" i="3" s="1"/>
  <c r="G421" i="3"/>
  <c r="A422" i="3"/>
  <c r="B422" i="3"/>
  <c r="C422" i="3"/>
  <c r="D422" i="3"/>
  <c r="E422" i="3"/>
  <c r="F422" i="3"/>
  <c r="G422" i="3"/>
  <c r="A423" i="3"/>
  <c r="B423" i="3"/>
  <c r="C423" i="3"/>
  <c r="I423" i="3" s="1"/>
  <c r="D423" i="3"/>
  <c r="E423" i="3"/>
  <c r="F423" i="3"/>
  <c r="G423" i="3"/>
  <c r="H423" i="3" s="1"/>
  <c r="A424" i="3"/>
  <c r="B424" i="3"/>
  <c r="C424" i="3"/>
  <c r="D424" i="3"/>
  <c r="E424" i="3"/>
  <c r="F424" i="3"/>
  <c r="H424" i="3" s="1"/>
  <c r="G424" i="3"/>
  <c r="A425" i="3"/>
  <c r="B425" i="3"/>
  <c r="C425" i="3"/>
  <c r="D425" i="3"/>
  <c r="E425" i="3"/>
  <c r="F425" i="3"/>
  <c r="H425" i="3" s="1"/>
  <c r="G425" i="3"/>
  <c r="A426" i="3"/>
  <c r="B426" i="3"/>
  <c r="C426" i="3"/>
  <c r="D426" i="3"/>
  <c r="E426" i="3"/>
  <c r="F426" i="3"/>
  <c r="I426" i="3" s="1"/>
  <c r="G426" i="3"/>
  <c r="H426" i="3"/>
  <c r="A427" i="3"/>
  <c r="B427" i="3"/>
  <c r="C427" i="3"/>
  <c r="D427" i="3"/>
  <c r="E427" i="3"/>
  <c r="F427" i="3"/>
  <c r="G427" i="3"/>
  <c r="H427" i="3" s="1"/>
  <c r="A428" i="3"/>
  <c r="B428" i="3"/>
  <c r="C428" i="3"/>
  <c r="D428" i="3"/>
  <c r="E428" i="3"/>
  <c r="F428" i="3"/>
  <c r="H428" i="3" s="1"/>
  <c r="G428" i="3"/>
  <c r="A429" i="3"/>
  <c r="B429" i="3"/>
  <c r="C429" i="3"/>
  <c r="I429" i="3" s="1"/>
  <c r="D429" i="3"/>
  <c r="E429" i="3"/>
  <c r="F429" i="3"/>
  <c r="H429" i="3" s="1"/>
  <c r="G429" i="3"/>
  <c r="A430" i="3"/>
  <c r="B430" i="3"/>
  <c r="C430" i="3"/>
  <c r="D430" i="3"/>
  <c r="E430" i="3"/>
  <c r="F430" i="3"/>
  <c r="H430" i="3" s="1"/>
  <c r="I430" i="3" s="1"/>
  <c r="G430" i="3"/>
  <c r="A431" i="3"/>
  <c r="B431" i="3"/>
  <c r="C431" i="3"/>
  <c r="D431" i="3"/>
  <c r="E431" i="3"/>
  <c r="F431" i="3"/>
  <c r="G431" i="3"/>
  <c r="H431" i="3"/>
  <c r="I431" i="3" s="1"/>
  <c r="A432" i="3"/>
  <c r="B432" i="3"/>
  <c r="C432" i="3"/>
  <c r="I432" i="3" s="1"/>
  <c r="D432" i="3"/>
  <c r="E432" i="3"/>
  <c r="F432" i="3"/>
  <c r="G432" i="3"/>
  <c r="H432" i="3"/>
  <c r="A433" i="3"/>
  <c r="B433" i="3"/>
  <c r="C433" i="3"/>
  <c r="I433" i="3" s="1"/>
  <c r="D433" i="3"/>
  <c r="E433" i="3"/>
  <c r="F433" i="3"/>
  <c r="G433" i="3"/>
  <c r="H433" i="3" s="1"/>
  <c r="A434" i="3"/>
  <c r="B434" i="3"/>
  <c r="C434" i="3"/>
  <c r="D434" i="3"/>
  <c r="E434" i="3"/>
  <c r="F434" i="3"/>
  <c r="H434" i="3" s="1"/>
  <c r="G434" i="3"/>
  <c r="I434" i="3"/>
  <c r="A435" i="3"/>
  <c r="B435" i="3"/>
  <c r="C435" i="3"/>
  <c r="D435" i="3"/>
  <c r="E435" i="3"/>
  <c r="F435" i="3"/>
  <c r="G435" i="3"/>
  <c r="H435" i="3"/>
  <c r="I435" i="3"/>
  <c r="A436" i="3"/>
  <c r="B436" i="3"/>
  <c r="C436" i="3"/>
  <c r="D436" i="3"/>
  <c r="E436" i="3"/>
  <c r="F436" i="3"/>
  <c r="H436" i="3" s="1"/>
  <c r="G436" i="3"/>
  <c r="A437" i="3"/>
  <c r="B437" i="3"/>
  <c r="C437" i="3"/>
  <c r="D437" i="3"/>
  <c r="E437" i="3"/>
  <c r="F437" i="3"/>
  <c r="I437" i="3" s="1"/>
  <c r="G437" i="3"/>
  <c r="H437" i="3"/>
  <c r="A438" i="3"/>
  <c r="B438" i="3"/>
  <c r="C438" i="3"/>
  <c r="D438" i="3"/>
  <c r="E438" i="3"/>
  <c r="F438" i="3"/>
  <c r="G438" i="3"/>
  <c r="H438" i="3" s="1"/>
  <c r="A439" i="3"/>
  <c r="B439" i="3"/>
  <c r="C439" i="3"/>
  <c r="I439" i="3" s="1"/>
  <c r="D439" i="3"/>
  <c r="E439" i="3"/>
  <c r="F439" i="3"/>
  <c r="G439" i="3"/>
  <c r="H439" i="3" s="1"/>
  <c r="A440" i="3"/>
  <c r="B440" i="3"/>
  <c r="C440" i="3"/>
  <c r="D440" i="3"/>
  <c r="E440" i="3"/>
  <c r="F440" i="3"/>
  <c r="H440" i="3" s="1"/>
  <c r="G440" i="3"/>
  <c r="A441" i="3"/>
  <c r="B441" i="3"/>
  <c r="C441" i="3"/>
  <c r="D441" i="3"/>
  <c r="E441" i="3"/>
  <c r="F441" i="3"/>
  <c r="H441" i="3" s="1"/>
  <c r="I441" i="3" s="1"/>
  <c r="G441" i="3"/>
  <c r="A442" i="3"/>
  <c r="B442" i="3"/>
  <c r="C442" i="3"/>
  <c r="D442" i="3"/>
  <c r="E442" i="3"/>
  <c r="F442" i="3"/>
  <c r="G442" i="3"/>
  <c r="H442" i="3"/>
  <c r="I442" i="3" s="1"/>
  <c r="A443" i="3"/>
  <c r="B443" i="3"/>
  <c r="C443" i="3"/>
  <c r="I443" i="3" s="1"/>
  <c r="D443" i="3"/>
  <c r="E443" i="3"/>
  <c r="F443" i="3"/>
  <c r="G443" i="3"/>
  <c r="H443" i="3"/>
  <c r="A444" i="3"/>
  <c r="B444" i="3"/>
  <c r="C444" i="3"/>
  <c r="D444" i="3"/>
  <c r="E444" i="3"/>
  <c r="F444" i="3"/>
  <c r="H444" i="3" s="1"/>
  <c r="G444" i="3"/>
  <c r="A445" i="3"/>
  <c r="B445" i="3"/>
  <c r="C445" i="3"/>
  <c r="D445" i="3"/>
  <c r="E445" i="3"/>
  <c r="F445" i="3"/>
  <c r="H445" i="3" s="1"/>
  <c r="G445" i="3"/>
  <c r="A446" i="3"/>
  <c r="B446" i="3"/>
  <c r="C446" i="3"/>
  <c r="D446" i="3"/>
  <c r="E446" i="3"/>
  <c r="F446" i="3"/>
  <c r="H446" i="3" s="1"/>
  <c r="I446" i="3" s="1"/>
  <c r="G446" i="3"/>
  <c r="A447" i="3"/>
  <c r="B447" i="3"/>
  <c r="C447" i="3"/>
  <c r="D447" i="3"/>
  <c r="E447" i="3"/>
  <c r="F447" i="3"/>
  <c r="G447" i="3"/>
  <c r="H447" i="3"/>
  <c r="I447" i="3"/>
  <c r="A448" i="3"/>
  <c r="B448" i="3"/>
  <c r="C448" i="3"/>
  <c r="D448" i="3"/>
  <c r="E448" i="3"/>
  <c r="F448" i="3"/>
  <c r="G448" i="3"/>
  <c r="H448" i="3" s="1"/>
  <c r="A449" i="3"/>
  <c r="B449" i="3"/>
  <c r="C449" i="3"/>
  <c r="D449" i="3"/>
  <c r="E449" i="3"/>
  <c r="F449" i="3"/>
  <c r="G449" i="3"/>
  <c r="H449" i="3" s="1"/>
  <c r="A450" i="3"/>
  <c r="B450" i="3"/>
  <c r="C450" i="3"/>
  <c r="D450" i="3"/>
  <c r="E450" i="3"/>
  <c r="F450" i="3"/>
  <c r="H450" i="3" s="1"/>
  <c r="G450" i="3"/>
  <c r="A451" i="3"/>
  <c r="B451" i="3"/>
  <c r="C451" i="3"/>
  <c r="I451" i="3" s="1"/>
  <c r="D451" i="3"/>
  <c r="E451" i="3"/>
  <c r="F451" i="3"/>
  <c r="G451" i="3"/>
  <c r="H451" i="3" s="1"/>
  <c r="A452" i="3"/>
  <c r="B452" i="3"/>
  <c r="C452" i="3"/>
  <c r="D452" i="3"/>
  <c r="E452" i="3"/>
  <c r="F452" i="3"/>
  <c r="G452" i="3"/>
  <c r="H452" i="3"/>
  <c r="A453" i="3"/>
  <c r="B453" i="3"/>
  <c r="C453" i="3"/>
  <c r="D453" i="3"/>
  <c r="E453" i="3"/>
  <c r="F453" i="3"/>
  <c r="G453" i="3"/>
  <c r="H453" i="3"/>
  <c r="I453" i="3" s="1"/>
  <c r="A454" i="3"/>
  <c r="B454" i="3"/>
  <c r="C454" i="3"/>
  <c r="D454" i="3"/>
  <c r="E454" i="3"/>
  <c r="F454" i="3"/>
  <c r="I454" i="3" s="1"/>
  <c r="G454" i="3"/>
  <c r="H454" i="3"/>
  <c r="A455" i="3"/>
  <c r="B455" i="3"/>
  <c r="C455" i="3"/>
  <c r="I455" i="3" s="1"/>
  <c r="D455" i="3"/>
  <c r="E455" i="3"/>
  <c r="F455" i="3"/>
  <c r="G455" i="3"/>
  <c r="H455" i="3"/>
  <c r="A456" i="3"/>
  <c r="B456" i="3"/>
  <c r="C456" i="3"/>
  <c r="D456" i="3"/>
  <c r="E456" i="3"/>
  <c r="F456" i="3"/>
  <c r="H456" i="3" s="1"/>
  <c r="G456" i="3"/>
  <c r="A457" i="3"/>
  <c r="B457" i="3"/>
  <c r="C457" i="3"/>
  <c r="D457" i="3"/>
  <c r="E457" i="3"/>
  <c r="F457" i="3"/>
  <c r="H457" i="3" s="1"/>
  <c r="I457" i="3" s="1"/>
  <c r="G457" i="3"/>
  <c r="A458" i="3"/>
  <c r="B458" i="3"/>
  <c r="C458" i="3"/>
  <c r="D458" i="3"/>
  <c r="E458" i="3"/>
  <c r="F458" i="3"/>
  <c r="H458" i="3" s="1"/>
  <c r="G458" i="3"/>
  <c r="A459" i="3"/>
  <c r="B459" i="3"/>
  <c r="C459" i="3"/>
  <c r="I459" i="3" s="1"/>
  <c r="D459" i="3"/>
  <c r="E459" i="3"/>
  <c r="F459" i="3"/>
  <c r="G459" i="3"/>
  <c r="H459" i="3" s="1"/>
  <c r="A460" i="3"/>
  <c r="B460" i="3"/>
  <c r="C460" i="3"/>
  <c r="D460" i="3"/>
  <c r="E460" i="3"/>
  <c r="F460" i="3"/>
  <c r="H460" i="3" s="1"/>
  <c r="G460" i="3"/>
  <c r="A461" i="3"/>
  <c r="B461" i="3"/>
  <c r="C461" i="3"/>
  <c r="I461" i="3" s="1"/>
  <c r="D461" i="3"/>
  <c r="E461" i="3"/>
  <c r="F461" i="3"/>
  <c r="H461" i="3" s="1"/>
  <c r="G461" i="3"/>
  <c r="A462" i="3"/>
  <c r="B462" i="3"/>
  <c r="C462" i="3"/>
  <c r="D462" i="3"/>
  <c r="E462" i="3"/>
  <c r="F462" i="3"/>
  <c r="H462" i="3" s="1"/>
  <c r="G462" i="3"/>
  <c r="A463" i="3"/>
  <c r="B463" i="3"/>
  <c r="C463" i="3"/>
  <c r="D463" i="3"/>
  <c r="E463" i="3"/>
  <c r="F463" i="3"/>
  <c r="G463" i="3"/>
  <c r="H463" i="3"/>
  <c r="I463" i="3" s="1"/>
  <c r="A464" i="3"/>
  <c r="B464" i="3"/>
  <c r="C464" i="3"/>
  <c r="D464" i="3"/>
  <c r="E464" i="3"/>
  <c r="F464" i="3"/>
  <c r="G464" i="3"/>
  <c r="H464" i="3" s="1"/>
  <c r="A465" i="3"/>
  <c r="B465" i="3"/>
  <c r="C465" i="3"/>
  <c r="I465" i="3" s="1"/>
  <c r="D465" i="3"/>
  <c r="E465" i="3"/>
  <c r="F465" i="3"/>
  <c r="G465" i="3"/>
  <c r="H465" i="3"/>
  <c r="A466" i="3"/>
  <c r="B466" i="3"/>
  <c r="C466" i="3"/>
  <c r="D466" i="3"/>
  <c r="E466" i="3"/>
  <c r="F466" i="3"/>
  <c r="G466" i="3"/>
  <c r="A467" i="3"/>
  <c r="B467" i="3"/>
  <c r="C467" i="3"/>
  <c r="D467" i="3"/>
  <c r="E467" i="3"/>
  <c r="F467" i="3"/>
  <c r="G467" i="3"/>
  <c r="H467" i="3" s="1"/>
  <c r="I467" i="3" s="1"/>
  <c r="A468" i="3"/>
  <c r="B468" i="3"/>
  <c r="C468" i="3"/>
  <c r="D468" i="3"/>
  <c r="E468" i="3"/>
  <c r="F468" i="3"/>
  <c r="G468" i="3"/>
  <c r="H468" i="3"/>
  <c r="A469" i="3"/>
  <c r="B469" i="3"/>
  <c r="C469" i="3"/>
  <c r="D469" i="3"/>
  <c r="E469" i="3"/>
  <c r="F469" i="3"/>
  <c r="H469" i="3" s="1"/>
  <c r="G469" i="3"/>
  <c r="A470" i="3"/>
  <c r="B470" i="3"/>
  <c r="C470" i="3"/>
  <c r="D470" i="3"/>
  <c r="E470" i="3"/>
  <c r="F470" i="3"/>
  <c r="G470" i="3"/>
  <c r="A471" i="3"/>
  <c r="B471" i="3"/>
  <c r="C471" i="3"/>
  <c r="D471" i="3"/>
  <c r="E471" i="3"/>
  <c r="F471" i="3"/>
  <c r="G471" i="3"/>
  <c r="H471" i="3" s="1"/>
  <c r="A472" i="3"/>
  <c r="B472" i="3"/>
  <c r="C472" i="3"/>
  <c r="D472" i="3"/>
  <c r="E472" i="3"/>
  <c r="F472" i="3"/>
  <c r="H472" i="3" s="1"/>
  <c r="G472" i="3"/>
  <c r="A473" i="3"/>
  <c r="B473" i="3"/>
  <c r="C473" i="3"/>
  <c r="I473" i="3" s="1"/>
  <c r="D473" i="3"/>
  <c r="E473" i="3"/>
  <c r="F473" i="3"/>
  <c r="H473" i="3" s="1"/>
  <c r="G473" i="3"/>
  <c r="A474" i="3"/>
  <c r="B474" i="3"/>
  <c r="C474" i="3"/>
  <c r="D474" i="3"/>
  <c r="E474" i="3"/>
  <c r="F474" i="3"/>
  <c r="G474" i="3"/>
  <c r="H474" i="3"/>
  <c r="A475" i="3"/>
  <c r="B475" i="3"/>
  <c r="C475" i="3"/>
  <c r="D475" i="3"/>
  <c r="E475" i="3"/>
  <c r="F475" i="3"/>
  <c r="G475" i="3"/>
  <c r="H475" i="3" s="1"/>
  <c r="A476" i="3"/>
  <c r="B476" i="3"/>
  <c r="C476" i="3"/>
  <c r="D476" i="3"/>
  <c r="E476" i="3"/>
  <c r="F476" i="3"/>
  <c r="H476" i="3" s="1"/>
  <c r="G476" i="3"/>
  <c r="A477" i="3"/>
  <c r="B477" i="3"/>
  <c r="C477" i="3"/>
  <c r="I477" i="3" s="1"/>
  <c r="D477" i="3"/>
  <c r="E477" i="3"/>
  <c r="F477" i="3"/>
  <c r="H477" i="3" s="1"/>
  <c r="G477" i="3"/>
  <c r="A478" i="3"/>
  <c r="B478" i="3"/>
  <c r="C478" i="3"/>
  <c r="D478" i="3"/>
  <c r="E478" i="3"/>
  <c r="F478" i="3"/>
  <c r="H478" i="3" s="1"/>
  <c r="G478" i="3"/>
  <c r="I478" i="3"/>
  <c r="A479" i="3"/>
  <c r="B479" i="3"/>
  <c r="C479" i="3"/>
  <c r="D479" i="3"/>
  <c r="E479" i="3"/>
  <c r="F479" i="3"/>
  <c r="G479" i="3"/>
  <c r="H479" i="3"/>
  <c r="I479" i="3" s="1"/>
  <c r="A480" i="3"/>
  <c r="B480" i="3"/>
  <c r="C480" i="3"/>
  <c r="I480" i="3" s="1"/>
  <c r="D480" i="3"/>
  <c r="E480" i="3"/>
  <c r="F480" i="3"/>
  <c r="G480" i="3"/>
  <c r="H480" i="3"/>
  <c r="A481" i="3"/>
  <c r="B481" i="3"/>
  <c r="C481" i="3"/>
  <c r="I481" i="3" s="1"/>
  <c r="D481" i="3"/>
  <c r="E481" i="3"/>
  <c r="F481" i="3"/>
  <c r="G481" i="3"/>
  <c r="H481" i="3" s="1"/>
  <c r="A482" i="3"/>
  <c r="B482" i="3"/>
  <c r="C482" i="3"/>
  <c r="D482" i="3"/>
  <c r="E482" i="3"/>
  <c r="F482" i="3"/>
  <c r="H482" i="3" s="1"/>
  <c r="G482" i="3"/>
  <c r="A483" i="3"/>
  <c r="B483" i="3"/>
  <c r="C483" i="3"/>
  <c r="D483" i="3"/>
  <c r="E483" i="3"/>
  <c r="F483" i="3"/>
  <c r="G483" i="3"/>
  <c r="H483" i="3"/>
  <c r="I483" i="3"/>
  <c r="A484" i="3"/>
  <c r="B484" i="3"/>
  <c r="C484" i="3"/>
  <c r="D484" i="3"/>
  <c r="E484" i="3"/>
  <c r="F484" i="3"/>
  <c r="H484" i="3" s="1"/>
  <c r="G484" i="3"/>
  <c r="A485" i="3"/>
  <c r="B485" i="3"/>
  <c r="C485" i="3"/>
  <c r="D485" i="3"/>
  <c r="E485" i="3"/>
  <c r="F485" i="3"/>
  <c r="I485" i="3" s="1"/>
  <c r="G485" i="3"/>
  <c r="H485" i="3"/>
  <c r="A486" i="3"/>
  <c r="B486" i="3"/>
  <c r="C486" i="3"/>
  <c r="D486" i="3"/>
  <c r="E486" i="3"/>
  <c r="F486" i="3"/>
  <c r="G486" i="3"/>
  <c r="A487" i="3"/>
  <c r="B487" i="3"/>
  <c r="C487" i="3"/>
  <c r="D487" i="3"/>
  <c r="E487" i="3"/>
  <c r="F487" i="3"/>
  <c r="G487" i="3"/>
  <c r="H487" i="3" s="1"/>
  <c r="A488" i="3"/>
  <c r="B488" i="3"/>
  <c r="C488" i="3"/>
  <c r="D488" i="3"/>
  <c r="E488" i="3"/>
  <c r="F488" i="3"/>
  <c r="H488" i="3" s="1"/>
  <c r="G488" i="3"/>
  <c r="A489" i="3"/>
  <c r="B489" i="3"/>
  <c r="C489" i="3"/>
  <c r="D489" i="3"/>
  <c r="E489" i="3"/>
  <c r="F489" i="3"/>
  <c r="H489" i="3" s="1"/>
  <c r="I489" i="3" s="1"/>
  <c r="G489" i="3"/>
  <c r="A490" i="3"/>
  <c r="B490" i="3"/>
  <c r="C490" i="3"/>
  <c r="D490" i="3"/>
  <c r="E490" i="3"/>
  <c r="F490" i="3"/>
  <c r="G490" i="3"/>
  <c r="H490" i="3"/>
  <c r="I490" i="3" s="1"/>
  <c r="A491" i="3"/>
  <c r="B491" i="3"/>
  <c r="C491" i="3"/>
  <c r="I491" i="3" s="1"/>
  <c r="D491" i="3"/>
  <c r="E491" i="3"/>
  <c r="F491" i="3"/>
  <c r="G491" i="3"/>
  <c r="H491" i="3"/>
  <c r="A492" i="3"/>
  <c r="B492" i="3"/>
  <c r="C492" i="3"/>
  <c r="D492" i="3"/>
  <c r="E492" i="3"/>
  <c r="F492" i="3"/>
  <c r="H492" i="3" s="1"/>
  <c r="G492" i="3"/>
  <c r="A493" i="3"/>
  <c r="B493" i="3"/>
  <c r="C493" i="3"/>
  <c r="I493" i="3" s="1"/>
  <c r="D493" i="3"/>
  <c r="E493" i="3"/>
  <c r="F493" i="3"/>
  <c r="H493" i="3" s="1"/>
  <c r="G493" i="3"/>
  <c r="A494" i="3"/>
  <c r="B494" i="3"/>
  <c r="C494" i="3"/>
  <c r="D494" i="3"/>
  <c r="E494" i="3"/>
  <c r="F494" i="3"/>
  <c r="H494" i="3" s="1"/>
  <c r="G494" i="3"/>
  <c r="I494" i="3"/>
  <c r="A495" i="3"/>
  <c r="B495" i="3"/>
  <c r="C495" i="3"/>
  <c r="D495" i="3"/>
  <c r="E495" i="3"/>
  <c r="F495" i="3"/>
  <c r="G495" i="3"/>
  <c r="H495" i="3"/>
  <c r="I495" i="3"/>
  <c r="A496" i="3"/>
  <c r="B496" i="3"/>
  <c r="C496" i="3"/>
  <c r="I496" i="3" s="1"/>
  <c r="D496" i="3"/>
  <c r="E496" i="3"/>
  <c r="F496" i="3"/>
  <c r="G496" i="3"/>
  <c r="H496" i="3" s="1"/>
  <c r="A497" i="3"/>
  <c r="B497" i="3"/>
  <c r="C497" i="3"/>
  <c r="D497" i="3"/>
  <c r="E497" i="3"/>
  <c r="F497" i="3"/>
  <c r="G497" i="3"/>
  <c r="A498" i="3"/>
  <c r="B498" i="3"/>
  <c r="C498" i="3"/>
  <c r="D498" i="3"/>
  <c r="E498" i="3"/>
  <c r="F498" i="3"/>
  <c r="G498" i="3"/>
  <c r="H498" i="3"/>
  <c r="A499" i="3"/>
  <c r="B499" i="3"/>
  <c r="C499" i="3"/>
  <c r="D499" i="3"/>
  <c r="E499" i="3"/>
  <c r="F499" i="3"/>
  <c r="G499" i="3"/>
  <c r="H499" i="3" s="1"/>
  <c r="A500" i="3"/>
  <c r="B500" i="3"/>
  <c r="C500" i="3"/>
  <c r="D500" i="3"/>
  <c r="E500" i="3"/>
  <c r="F500" i="3"/>
  <c r="G500" i="3"/>
  <c r="H500" i="3"/>
  <c r="A501" i="3"/>
  <c r="B501" i="3"/>
  <c r="C501" i="3"/>
  <c r="D501" i="3"/>
  <c r="E501" i="3"/>
  <c r="F501" i="3"/>
  <c r="G501" i="3"/>
  <c r="H501" i="3"/>
  <c r="A502" i="3"/>
  <c r="B502" i="3"/>
  <c r="C502" i="3"/>
  <c r="D502" i="3"/>
  <c r="E502" i="3"/>
  <c r="F502" i="3"/>
  <c r="G502" i="3"/>
  <c r="H502" i="3"/>
  <c r="I502" i="3"/>
  <c r="A503" i="3"/>
  <c r="B503" i="3"/>
  <c r="C503" i="3"/>
  <c r="I503" i="3" s="1"/>
  <c r="D503" i="3"/>
  <c r="E503" i="3"/>
  <c r="F503" i="3"/>
  <c r="G503" i="3"/>
  <c r="H503" i="3"/>
  <c r="A504" i="3"/>
  <c r="B504" i="3"/>
  <c r="C504" i="3"/>
  <c r="I504" i="3" s="1"/>
  <c r="D504" i="3"/>
  <c r="E504" i="3"/>
  <c r="F504" i="3"/>
  <c r="H504" i="3" s="1"/>
  <c r="G504" i="3"/>
  <c r="A505" i="3"/>
  <c r="B505" i="3"/>
  <c r="C505" i="3"/>
  <c r="D505" i="3"/>
  <c r="E505" i="3"/>
  <c r="F505" i="3"/>
  <c r="H505" i="3" s="1"/>
  <c r="I505" i="3" s="1"/>
  <c r="G505" i="3"/>
  <c r="A506" i="3"/>
  <c r="B506" i="3"/>
  <c r="C506" i="3"/>
  <c r="D506" i="3"/>
  <c r="E506" i="3"/>
  <c r="F506" i="3"/>
  <c r="H506" i="3" s="1"/>
  <c r="G506" i="3"/>
  <c r="A507" i="3"/>
  <c r="B507" i="3"/>
  <c r="C507" i="3"/>
  <c r="I507" i="3" s="1"/>
  <c r="D507" i="3"/>
  <c r="E507" i="3"/>
  <c r="F507" i="3"/>
  <c r="G507" i="3"/>
  <c r="H507" i="3" s="1"/>
  <c r="A508" i="3"/>
  <c r="B508" i="3"/>
  <c r="C508" i="3"/>
  <c r="D508" i="3"/>
  <c r="E508" i="3"/>
  <c r="F508" i="3"/>
  <c r="H508" i="3" s="1"/>
  <c r="G508" i="3"/>
  <c r="A509" i="3"/>
  <c r="B509" i="3"/>
  <c r="C509" i="3"/>
  <c r="D509" i="3"/>
  <c r="E509" i="3"/>
  <c r="F509" i="3"/>
  <c r="G509" i="3"/>
  <c r="H509" i="3"/>
  <c r="A510" i="3"/>
  <c r="B510" i="3"/>
  <c r="C510" i="3"/>
  <c r="D510" i="3"/>
  <c r="E510" i="3"/>
  <c r="F510" i="3"/>
  <c r="H510" i="3" s="1"/>
  <c r="G510" i="3"/>
  <c r="A511" i="3"/>
  <c r="B511" i="3"/>
  <c r="C511" i="3"/>
  <c r="D511" i="3"/>
  <c r="E511" i="3"/>
  <c r="F511" i="3"/>
  <c r="G511" i="3"/>
  <c r="H511" i="3"/>
  <c r="I511" i="3" s="1"/>
  <c r="A512" i="3"/>
  <c r="B512" i="3"/>
  <c r="C512" i="3"/>
  <c r="D512" i="3"/>
  <c r="E512" i="3"/>
  <c r="F512" i="3"/>
  <c r="G512" i="3"/>
  <c r="H512" i="3" s="1"/>
  <c r="A513" i="3"/>
  <c r="B513" i="3"/>
  <c r="C513" i="3"/>
  <c r="I513" i="3" s="1"/>
  <c r="D513" i="3"/>
  <c r="E513" i="3"/>
  <c r="F513" i="3"/>
  <c r="G513" i="3"/>
  <c r="H513" i="3"/>
  <c r="A514" i="3"/>
  <c r="B514" i="3"/>
  <c r="C514" i="3"/>
  <c r="D514" i="3"/>
  <c r="E514" i="3"/>
  <c r="F514" i="3"/>
  <c r="G514" i="3"/>
  <c r="A515" i="3"/>
  <c r="B515" i="3"/>
  <c r="C515" i="3"/>
  <c r="I515" i="3" s="1"/>
  <c r="D515" i="3"/>
  <c r="E515" i="3"/>
  <c r="F515" i="3"/>
  <c r="G515" i="3"/>
  <c r="H515" i="3" s="1"/>
  <c r="A516" i="3"/>
  <c r="B516" i="3"/>
  <c r="C516" i="3"/>
  <c r="D516" i="3"/>
  <c r="E516" i="3"/>
  <c r="F516" i="3"/>
  <c r="H516" i="3" s="1"/>
  <c r="G516" i="3"/>
  <c r="A517" i="3"/>
  <c r="B517" i="3"/>
  <c r="C517" i="3"/>
  <c r="D517" i="3"/>
  <c r="E517" i="3"/>
  <c r="F517" i="3"/>
  <c r="H517" i="3" s="1"/>
  <c r="G517" i="3"/>
  <c r="A518" i="3"/>
  <c r="B518" i="3"/>
  <c r="C518" i="3"/>
  <c r="D518" i="3"/>
  <c r="E518" i="3"/>
  <c r="F518" i="3"/>
  <c r="G518" i="3"/>
  <c r="H518" i="3" s="1"/>
  <c r="I518" i="3"/>
  <c r="A519" i="3"/>
  <c r="B519" i="3"/>
  <c r="C519" i="3"/>
  <c r="I519" i="3" s="1"/>
  <c r="D519" i="3"/>
  <c r="E519" i="3"/>
  <c r="F519" i="3"/>
  <c r="G519" i="3"/>
  <c r="H519" i="3"/>
  <c r="A520" i="3"/>
  <c r="B520" i="3"/>
  <c r="C520" i="3"/>
  <c r="D520" i="3"/>
  <c r="E520" i="3"/>
  <c r="F520" i="3"/>
  <c r="H520" i="3" s="1"/>
  <c r="G520" i="3"/>
  <c r="A521" i="3"/>
  <c r="B521" i="3"/>
  <c r="C521" i="3"/>
  <c r="D521" i="3"/>
  <c r="E521" i="3"/>
  <c r="F521" i="3"/>
  <c r="G521" i="3"/>
  <c r="A522" i="3"/>
  <c r="B522" i="3"/>
  <c r="C522" i="3"/>
  <c r="D522" i="3"/>
  <c r="E522" i="3"/>
  <c r="F522" i="3"/>
  <c r="I522" i="3" s="1"/>
  <c r="G522" i="3"/>
  <c r="H522" i="3"/>
  <c r="A523" i="3"/>
  <c r="B523" i="3"/>
  <c r="C523" i="3"/>
  <c r="D523" i="3"/>
  <c r="E523" i="3"/>
  <c r="F523" i="3"/>
  <c r="G523" i="3"/>
  <c r="A524" i="3"/>
  <c r="B524" i="3"/>
  <c r="C524" i="3"/>
  <c r="D524" i="3"/>
  <c r="E524" i="3"/>
  <c r="F524" i="3"/>
  <c r="G524" i="3"/>
  <c r="H524" i="3"/>
  <c r="A525" i="3"/>
  <c r="B525" i="3"/>
  <c r="C525" i="3"/>
  <c r="D525" i="3"/>
  <c r="E525" i="3"/>
  <c r="F525" i="3"/>
  <c r="H525" i="3" s="1"/>
  <c r="G525" i="3"/>
  <c r="A526" i="3"/>
  <c r="B526" i="3"/>
  <c r="C526" i="3"/>
  <c r="I526" i="3" s="1"/>
  <c r="D526" i="3"/>
  <c r="E526" i="3"/>
  <c r="F526" i="3"/>
  <c r="H526" i="3" s="1"/>
  <c r="G526" i="3"/>
  <c r="A527" i="3"/>
  <c r="B527" i="3"/>
  <c r="C527" i="3"/>
  <c r="D527" i="3"/>
  <c r="E527" i="3"/>
  <c r="F527" i="3"/>
  <c r="G527" i="3"/>
  <c r="A528" i="3"/>
  <c r="B528" i="3"/>
  <c r="C528" i="3"/>
  <c r="D528" i="3"/>
  <c r="E528" i="3"/>
  <c r="F528" i="3"/>
  <c r="G528" i="3"/>
  <c r="H528" i="3"/>
  <c r="I528" i="3"/>
  <c r="A529" i="3"/>
  <c r="B529" i="3"/>
  <c r="C529" i="3"/>
  <c r="D529" i="3"/>
  <c r="E529" i="3"/>
  <c r="F529" i="3"/>
  <c r="G529" i="3"/>
  <c r="H529" i="3"/>
  <c r="A530" i="3"/>
  <c r="B530" i="3"/>
  <c r="C530" i="3"/>
  <c r="D530" i="3"/>
  <c r="E530" i="3"/>
  <c r="F530" i="3"/>
  <c r="H530" i="3" s="1"/>
  <c r="I530" i="3" s="1"/>
  <c r="G530" i="3"/>
  <c r="A531" i="3"/>
  <c r="B531" i="3"/>
  <c r="C531" i="3"/>
  <c r="D531" i="3"/>
  <c r="E531" i="3"/>
  <c r="F531" i="3"/>
  <c r="H531" i="3" s="1"/>
  <c r="G531" i="3"/>
  <c r="A532" i="3"/>
  <c r="B532" i="3"/>
  <c r="C532" i="3"/>
  <c r="D532" i="3"/>
  <c r="E532" i="3"/>
  <c r="F532" i="3"/>
  <c r="G532" i="3"/>
  <c r="H532" i="3"/>
  <c r="I532" i="3"/>
  <c r="A533" i="3"/>
  <c r="B533" i="3"/>
  <c r="C533" i="3"/>
  <c r="I533" i="3" s="1"/>
  <c r="D533" i="3"/>
  <c r="E533" i="3"/>
  <c r="F533" i="3"/>
  <c r="G533" i="3"/>
  <c r="H533" i="3"/>
  <c r="A534" i="3"/>
  <c r="B534" i="3"/>
  <c r="C534" i="3"/>
  <c r="I534" i="3" s="1"/>
  <c r="D534" i="3"/>
  <c r="E534" i="3"/>
  <c r="F534" i="3"/>
  <c r="H534" i="3" s="1"/>
  <c r="G534" i="3"/>
  <c r="A535" i="3"/>
  <c r="B535" i="3"/>
  <c r="C535" i="3"/>
  <c r="D535" i="3"/>
  <c r="E535" i="3"/>
  <c r="F535" i="3"/>
  <c r="G535" i="3"/>
  <c r="H535" i="3"/>
  <c r="A536" i="3"/>
  <c r="B536" i="3"/>
  <c r="C536" i="3"/>
  <c r="I536" i="3" s="1"/>
  <c r="D536" i="3"/>
  <c r="E536" i="3"/>
  <c r="F536" i="3"/>
  <c r="G536" i="3"/>
  <c r="H536" i="3"/>
  <c r="A537" i="3"/>
  <c r="B537" i="3"/>
  <c r="C537" i="3"/>
  <c r="D537" i="3"/>
  <c r="E537" i="3"/>
  <c r="F537" i="3"/>
  <c r="G537" i="3"/>
  <c r="H537" i="3"/>
  <c r="A538" i="3"/>
  <c r="B538" i="3"/>
  <c r="C538" i="3"/>
  <c r="D538" i="3"/>
  <c r="E538" i="3"/>
  <c r="F538" i="3"/>
  <c r="H538" i="3" s="1"/>
  <c r="I538" i="3" s="1"/>
  <c r="G538" i="3"/>
  <c r="A539" i="3"/>
  <c r="B539" i="3"/>
  <c r="C539" i="3"/>
  <c r="D539" i="3"/>
  <c r="E539" i="3"/>
  <c r="F539" i="3"/>
  <c r="H539" i="3" s="1"/>
  <c r="G539" i="3"/>
  <c r="A540" i="3"/>
  <c r="B540" i="3"/>
  <c r="C540" i="3"/>
  <c r="I540" i="3" s="1"/>
  <c r="D540" i="3"/>
  <c r="E540" i="3"/>
  <c r="F540" i="3"/>
  <c r="G540" i="3"/>
  <c r="H540" i="3"/>
  <c r="A541" i="3"/>
  <c r="B541" i="3"/>
  <c r="C541" i="3"/>
  <c r="D541" i="3"/>
  <c r="E541" i="3"/>
  <c r="F541" i="3"/>
  <c r="H541" i="3" s="1"/>
  <c r="G541" i="3"/>
  <c r="A542" i="3"/>
  <c r="B542" i="3"/>
  <c r="C542" i="3"/>
  <c r="I542" i="3" s="1"/>
  <c r="D542" i="3"/>
  <c r="E542" i="3"/>
  <c r="F542" i="3"/>
  <c r="H542" i="3" s="1"/>
  <c r="G542" i="3"/>
  <c r="A543" i="3"/>
  <c r="B543" i="3"/>
  <c r="C543" i="3"/>
  <c r="D543" i="3"/>
  <c r="E543" i="3"/>
  <c r="F543" i="3"/>
  <c r="G543" i="3"/>
  <c r="A544" i="3"/>
  <c r="B544" i="3"/>
  <c r="C544" i="3"/>
  <c r="D544" i="3"/>
  <c r="E544" i="3"/>
  <c r="F544" i="3"/>
  <c r="G544" i="3"/>
  <c r="H544" i="3"/>
  <c r="I544" i="3"/>
  <c r="A545" i="3"/>
  <c r="B545" i="3"/>
  <c r="C545" i="3"/>
  <c r="D545" i="3"/>
  <c r="E545" i="3"/>
  <c r="F545" i="3"/>
  <c r="G545" i="3"/>
  <c r="H545" i="3"/>
  <c r="A546" i="3"/>
  <c r="B546" i="3"/>
  <c r="C546" i="3"/>
  <c r="D546" i="3"/>
  <c r="E546" i="3"/>
  <c r="F546" i="3"/>
  <c r="H546" i="3" s="1"/>
  <c r="I546" i="3" s="1"/>
  <c r="G546" i="3"/>
  <c r="A547" i="3"/>
  <c r="B547" i="3"/>
  <c r="C547" i="3"/>
  <c r="D547" i="3"/>
  <c r="E547" i="3"/>
  <c r="F547" i="3"/>
  <c r="H547" i="3" s="1"/>
  <c r="G547" i="3"/>
  <c r="A548" i="3"/>
  <c r="B548" i="3"/>
  <c r="C548" i="3"/>
  <c r="D548" i="3"/>
  <c r="E548" i="3"/>
  <c r="F548" i="3"/>
  <c r="G548" i="3"/>
  <c r="H548" i="3"/>
  <c r="I548" i="3"/>
  <c r="A549" i="3"/>
  <c r="B549" i="3"/>
  <c r="C549" i="3"/>
  <c r="I549" i="3" s="1"/>
  <c r="D549" i="3"/>
  <c r="E549" i="3"/>
  <c r="F549" i="3"/>
  <c r="G549" i="3"/>
  <c r="H549" i="3"/>
  <c r="A550" i="3"/>
  <c r="B550" i="3"/>
  <c r="C550" i="3"/>
  <c r="I550" i="3" s="1"/>
  <c r="D550" i="3"/>
  <c r="E550" i="3"/>
  <c r="F550" i="3"/>
  <c r="H550" i="3" s="1"/>
  <c r="G550" i="3"/>
  <c r="A551" i="3"/>
  <c r="B551" i="3"/>
  <c r="C551" i="3"/>
  <c r="D551" i="3"/>
  <c r="E551" i="3"/>
  <c r="F551" i="3"/>
  <c r="G551" i="3"/>
  <c r="H551" i="3"/>
  <c r="A552" i="3"/>
  <c r="B552" i="3"/>
  <c r="C552" i="3"/>
  <c r="I552" i="3" s="1"/>
  <c r="D552" i="3"/>
  <c r="E552" i="3"/>
  <c r="F552" i="3"/>
  <c r="G552" i="3"/>
  <c r="H552" i="3"/>
  <c r="A553" i="3"/>
  <c r="B553" i="3"/>
  <c r="C553" i="3"/>
  <c r="D553" i="3"/>
  <c r="E553" i="3"/>
  <c r="F553" i="3"/>
  <c r="G553" i="3"/>
  <c r="H553" i="3"/>
  <c r="A554" i="3"/>
  <c r="B554" i="3"/>
  <c r="C554" i="3"/>
  <c r="D554" i="3"/>
  <c r="E554" i="3"/>
  <c r="F554" i="3"/>
  <c r="H554" i="3" s="1"/>
  <c r="I554" i="3" s="1"/>
  <c r="G554" i="3"/>
  <c r="A555" i="3"/>
  <c r="B555" i="3"/>
  <c r="C555" i="3"/>
  <c r="D555" i="3"/>
  <c r="E555" i="3"/>
  <c r="F555" i="3"/>
  <c r="H555" i="3" s="1"/>
  <c r="G555" i="3"/>
  <c r="A556" i="3"/>
  <c r="B556" i="3"/>
  <c r="C556" i="3"/>
  <c r="I556" i="3" s="1"/>
  <c r="D556" i="3"/>
  <c r="E556" i="3"/>
  <c r="F556" i="3"/>
  <c r="G556" i="3"/>
  <c r="H556" i="3"/>
  <c r="A557" i="3"/>
  <c r="B557" i="3"/>
  <c r="C557" i="3"/>
  <c r="D557" i="3"/>
  <c r="E557" i="3"/>
  <c r="F557" i="3"/>
  <c r="H557" i="3" s="1"/>
  <c r="G557" i="3"/>
  <c r="A558" i="3"/>
  <c r="B558" i="3"/>
  <c r="C558" i="3"/>
  <c r="I558" i="3" s="1"/>
  <c r="D558" i="3"/>
  <c r="E558" i="3"/>
  <c r="F558" i="3"/>
  <c r="H558" i="3" s="1"/>
  <c r="G558" i="3"/>
  <c r="A559" i="3"/>
  <c r="B559" i="3"/>
  <c r="C559" i="3"/>
  <c r="D559" i="3"/>
  <c r="E559" i="3"/>
  <c r="F559" i="3"/>
  <c r="G559" i="3"/>
  <c r="A560" i="3"/>
  <c r="B560" i="3"/>
  <c r="C560" i="3"/>
  <c r="D560" i="3"/>
  <c r="E560" i="3"/>
  <c r="F560" i="3"/>
  <c r="G560" i="3"/>
  <c r="H560" i="3"/>
  <c r="I560" i="3"/>
  <c r="A561" i="3"/>
  <c r="B561" i="3"/>
  <c r="C561" i="3"/>
  <c r="D561" i="3"/>
  <c r="E561" i="3"/>
  <c r="F561" i="3"/>
  <c r="G561" i="3"/>
  <c r="H561" i="3"/>
  <c r="A562" i="3"/>
  <c r="B562" i="3"/>
  <c r="C562" i="3"/>
  <c r="D562" i="3"/>
  <c r="E562" i="3"/>
  <c r="F562" i="3"/>
  <c r="H562" i="3" s="1"/>
  <c r="I562" i="3" s="1"/>
  <c r="G562" i="3"/>
  <c r="A563" i="3"/>
  <c r="B563" i="3"/>
  <c r="C563" i="3"/>
  <c r="D563" i="3"/>
  <c r="E563" i="3"/>
  <c r="F563" i="3"/>
  <c r="H563" i="3" s="1"/>
  <c r="G563" i="3"/>
  <c r="A564" i="3"/>
  <c r="B564" i="3"/>
  <c r="C564" i="3"/>
  <c r="D564" i="3"/>
  <c r="E564" i="3"/>
  <c r="F564" i="3"/>
  <c r="G564" i="3"/>
  <c r="H564" i="3"/>
  <c r="I564" i="3"/>
  <c r="A565" i="3"/>
  <c r="B565" i="3"/>
  <c r="C565" i="3"/>
  <c r="I565" i="3" s="1"/>
  <c r="D565" i="3"/>
  <c r="E565" i="3"/>
  <c r="F565" i="3"/>
  <c r="G565" i="3"/>
  <c r="H565" i="3"/>
  <c r="A566" i="3"/>
  <c r="B566" i="3"/>
  <c r="C566" i="3"/>
  <c r="D566" i="3"/>
  <c r="E566" i="3"/>
  <c r="F566" i="3"/>
  <c r="G566" i="3"/>
  <c r="A567" i="3"/>
  <c r="B567" i="3"/>
  <c r="C567" i="3"/>
  <c r="D567" i="3"/>
  <c r="E567" i="3"/>
  <c r="F567" i="3"/>
  <c r="G567" i="3"/>
  <c r="H567" i="3"/>
  <c r="A568" i="3"/>
  <c r="B568" i="3"/>
  <c r="C568" i="3"/>
  <c r="I568" i="3" s="1"/>
  <c r="D568" i="3"/>
  <c r="E568" i="3"/>
  <c r="F568" i="3"/>
  <c r="G568" i="3"/>
  <c r="H568" i="3"/>
  <c r="A569" i="3"/>
  <c r="B569" i="3"/>
  <c r="C569" i="3"/>
  <c r="D569" i="3"/>
  <c r="E569" i="3"/>
  <c r="F569" i="3"/>
  <c r="G569" i="3"/>
  <c r="H569" i="3"/>
  <c r="A570" i="3"/>
  <c r="B570" i="3"/>
  <c r="C570" i="3"/>
  <c r="D570" i="3"/>
  <c r="E570" i="3"/>
  <c r="F570" i="3"/>
  <c r="H570" i="3" s="1"/>
  <c r="G570" i="3"/>
  <c r="I570" i="3" s="1"/>
  <c r="A571" i="3"/>
  <c r="B571" i="3"/>
  <c r="C571" i="3"/>
  <c r="D571" i="3"/>
  <c r="E571" i="3"/>
  <c r="F571" i="3"/>
  <c r="H571" i="3" s="1"/>
  <c r="G571" i="3"/>
  <c r="A572" i="3"/>
  <c r="B572" i="3"/>
  <c r="C572" i="3"/>
  <c r="I572" i="3" s="1"/>
  <c r="D572" i="3"/>
  <c r="E572" i="3"/>
  <c r="F572" i="3"/>
  <c r="G572" i="3"/>
  <c r="H572" i="3"/>
  <c r="A573" i="3"/>
  <c r="B573" i="3"/>
  <c r="C573" i="3"/>
  <c r="D573" i="3"/>
  <c r="E573" i="3"/>
  <c r="F573" i="3"/>
  <c r="H573" i="3" s="1"/>
  <c r="G573" i="3"/>
  <c r="A574" i="3"/>
  <c r="B574" i="3"/>
  <c r="C574" i="3"/>
  <c r="I574" i="3" s="1"/>
  <c r="D574" i="3"/>
  <c r="E574" i="3"/>
  <c r="F574" i="3"/>
  <c r="H574" i="3" s="1"/>
  <c r="G574" i="3"/>
  <c r="A575" i="3"/>
  <c r="B575" i="3"/>
  <c r="C575" i="3"/>
  <c r="D575" i="3"/>
  <c r="E575" i="3"/>
  <c r="F575" i="3"/>
  <c r="G575" i="3"/>
  <c r="A576" i="3"/>
  <c r="B576" i="3"/>
  <c r="C576" i="3"/>
  <c r="D576" i="3"/>
  <c r="E576" i="3"/>
  <c r="F576" i="3"/>
  <c r="G576" i="3"/>
  <c r="H576" i="3"/>
  <c r="I576" i="3"/>
  <c r="A577" i="3"/>
  <c r="B577" i="3"/>
  <c r="C577" i="3"/>
  <c r="D577" i="3"/>
  <c r="E577" i="3"/>
  <c r="F577" i="3"/>
  <c r="G577" i="3"/>
  <c r="H577" i="3"/>
  <c r="A578" i="3"/>
  <c r="B578" i="3"/>
  <c r="C578" i="3"/>
  <c r="D578" i="3"/>
  <c r="E578" i="3"/>
  <c r="F578" i="3"/>
  <c r="G578" i="3"/>
  <c r="A579" i="3"/>
  <c r="B579" i="3"/>
  <c r="C579" i="3"/>
  <c r="D579" i="3"/>
  <c r="E579" i="3"/>
  <c r="F579" i="3"/>
  <c r="H579" i="3" s="1"/>
  <c r="G579" i="3"/>
  <c r="A580" i="3"/>
  <c r="B580" i="3"/>
  <c r="C580" i="3"/>
  <c r="D580" i="3"/>
  <c r="E580" i="3"/>
  <c r="F580" i="3"/>
  <c r="G580" i="3"/>
  <c r="H580" i="3"/>
  <c r="I580" i="3"/>
  <c r="A581" i="3"/>
  <c r="B581" i="3"/>
  <c r="C581" i="3"/>
  <c r="D581" i="3"/>
  <c r="E581" i="3"/>
  <c r="F581" i="3"/>
  <c r="H581" i="3" s="1"/>
  <c r="G581" i="3"/>
  <c r="A582" i="3"/>
  <c r="B582" i="3"/>
  <c r="C582" i="3"/>
  <c r="D582" i="3"/>
  <c r="E582" i="3"/>
  <c r="F582" i="3"/>
  <c r="G582" i="3"/>
  <c r="A583" i="3"/>
  <c r="B583" i="3"/>
  <c r="C583" i="3"/>
  <c r="D583" i="3"/>
  <c r="E583" i="3"/>
  <c r="F583" i="3"/>
  <c r="H583" i="3" s="1"/>
  <c r="G583" i="3"/>
  <c r="A584" i="3"/>
  <c r="B584" i="3"/>
  <c r="C584" i="3"/>
  <c r="I584" i="3" s="1"/>
  <c r="D584" i="3"/>
  <c r="E584" i="3"/>
  <c r="F584" i="3"/>
  <c r="G584" i="3"/>
  <c r="H584" i="3"/>
  <c r="A585" i="3"/>
  <c r="B585" i="3"/>
  <c r="C585" i="3"/>
  <c r="D585" i="3"/>
  <c r="E585" i="3"/>
  <c r="F585" i="3"/>
  <c r="H585" i="3" s="1"/>
  <c r="G585" i="3"/>
  <c r="A586" i="3"/>
  <c r="B586" i="3"/>
  <c r="C586" i="3"/>
  <c r="D586" i="3"/>
  <c r="E586" i="3"/>
  <c r="F586" i="3"/>
  <c r="H586" i="3" s="1"/>
  <c r="G586" i="3"/>
  <c r="A587" i="3"/>
  <c r="B587" i="3"/>
  <c r="C587" i="3"/>
  <c r="D587" i="3"/>
  <c r="E587" i="3"/>
  <c r="F587" i="3"/>
  <c r="G587" i="3"/>
  <c r="H587" i="3"/>
  <c r="I587" i="3" s="1"/>
  <c r="A588" i="3"/>
  <c r="B588" i="3"/>
  <c r="C588" i="3"/>
  <c r="I588" i="3" s="1"/>
  <c r="D588" i="3"/>
  <c r="E588" i="3"/>
  <c r="F588" i="3"/>
  <c r="G588" i="3"/>
  <c r="H588" i="3"/>
  <c r="A589" i="3"/>
  <c r="B589" i="3"/>
  <c r="C589" i="3"/>
  <c r="D589" i="3"/>
  <c r="E589" i="3"/>
  <c r="F589" i="3"/>
  <c r="G589" i="3"/>
  <c r="H589" i="3"/>
  <c r="A590" i="3"/>
  <c r="B590" i="3"/>
  <c r="C590" i="3"/>
  <c r="D590" i="3"/>
  <c r="E590" i="3"/>
  <c r="F590" i="3"/>
  <c r="H590" i="3" s="1"/>
  <c r="G590" i="3"/>
  <c r="A591" i="3"/>
  <c r="B591" i="3"/>
  <c r="C591" i="3"/>
  <c r="D591" i="3"/>
  <c r="E591" i="3"/>
  <c r="F591" i="3"/>
  <c r="H591" i="3" s="1"/>
  <c r="G591" i="3"/>
  <c r="A592" i="3"/>
  <c r="B592" i="3"/>
  <c r="C592" i="3"/>
  <c r="I592" i="3" s="1"/>
  <c r="D592" i="3"/>
  <c r="E592" i="3"/>
  <c r="F592" i="3"/>
  <c r="G592" i="3"/>
  <c r="H592" i="3"/>
  <c r="A593" i="3"/>
  <c r="B593" i="3"/>
  <c r="C593" i="3"/>
  <c r="D593" i="3"/>
  <c r="E593" i="3"/>
  <c r="F593" i="3"/>
  <c r="H593" i="3" s="1"/>
  <c r="G593" i="3"/>
  <c r="A594" i="3"/>
  <c r="B594" i="3"/>
  <c r="C594" i="3"/>
  <c r="D594" i="3"/>
  <c r="E594" i="3"/>
  <c r="F594" i="3"/>
  <c r="H594" i="3" s="1"/>
  <c r="G594" i="3"/>
  <c r="I594" i="3"/>
  <c r="A595" i="3"/>
  <c r="B595" i="3"/>
  <c r="C595" i="3"/>
  <c r="D595" i="3"/>
  <c r="E595" i="3"/>
  <c r="F595" i="3"/>
  <c r="G595" i="3"/>
  <c r="A596" i="3"/>
  <c r="B596" i="3"/>
  <c r="C596" i="3"/>
  <c r="D596" i="3"/>
  <c r="E596" i="3"/>
  <c r="F596" i="3"/>
  <c r="G596" i="3"/>
  <c r="H596" i="3"/>
  <c r="I596" i="3"/>
  <c r="A597" i="3"/>
  <c r="B597" i="3"/>
  <c r="C597" i="3"/>
  <c r="D597" i="3"/>
  <c r="E597" i="3"/>
  <c r="F597" i="3"/>
  <c r="H597" i="3" s="1"/>
  <c r="G597" i="3"/>
  <c r="A598" i="3"/>
  <c r="B598" i="3"/>
  <c r="C598" i="3"/>
  <c r="I598" i="3" s="1"/>
  <c r="D598" i="3"/>
  <c r="E598" i="3"/>
  <c r="F598" i="3"/>
  <c r="H598" i="3" s="1"/>
  <c r="G598" i="3"/>
  <c r="A599" i="3"/>
  <c r="B599" i="3"/>
  <c r="C599" i="3"/>
  <c r="D599" i="3"/>
  <c r="E599" i="3"/>
  <c r="F599" i="3"/>
  <c r="I599" i="3" s="1"/>
  <c r="G599" i="3"/>
  <c r="H599" i="3"/>
  <c r="A600" i="3"/>
  <c r="B600" i="3"/>
  <c r="C600" i="3"/>
  <c r="D600" i="3"/>
  <c r="E600" i="3"/>
  <c r="F600" i="3"/>
  <c r="G600" i="3"/>
  <c r="H600" i="3"/>
  <c r="I600" i="3"/>
  <c r="A601" i="3"/>
  <c r="B601" i="3"/>
  <c r="C601" i="3"/>
  <c r="D601" i="3"/>
  <c r="E601" i="3"/>
  <c r="F601" i="3"/>
  <c r="G601" i="3"/>
  <c r="H601" i="3"/>
  <c r="A602" i="3"/>
  <c r="B602" i="3"/>
  <c r="C602" i="3"/>
  <c r="D602" i="3"/>
  <c r="E602" i="3"/>
  <c r="F602" i="3"/>
  <c r="G602" i="3"/>
  <c r="A603" i="3"/>
  <c r="B603" i="3"/>
  <c r="C603" i="3"/>
  <c r="D603" i="3"/>
  <c r="E603" i="3"/>
  <c r="F603" i="3"/>
  <c r="H603" i="3" s="1"/>
  <c r="G603" i="3"/>
  <c r="A604" i="3"/>
  <c r="B604" i="3"/>
  <c r="C604" i="3"/>
  <c r="D604" i="3"/>
  <c r="E604" i="3"/>
  <c r="F604" i="3"/>
  <c r="G604" i="3"/>
  <c r="H604" i="3"/>
  <c r="I604" i="3" s="1"/>
  <c r="A605" i="3"/>
  <c r="B605" i="3"/>
  <c r="C605" i="3"/>
  <c r="D605" i="3"/>
  <c r="E605" i="3"/>
  <c r="F605" i="3"/>
  <c r="H605" i="3" s="1"/>
  <c r="G605" i="3"/>
  <c r="A606" i="3"/>
  <c r="B606" i="3"/>
  <c r="C606" i="3"/>
  <c r="D606" i="3"/>
  <c r="E606" i="3"/>
  <c r="F606" i="3"/>
  <c r="G606" i="3"/>
  <c r="A607" i="3"/>
  <c r="B607" i="3"/>
  <c r="C607" i="3"/>
  <c r="D607" i="3"/>
  <c r="E607" i="3"/>
  <c r="F607" i="3"/>
  <c r="H607" i="3" s="1"/>
  <c r="G607" i="3"/>
  <c r="A608" i="3"/>
  <c r="B608" i="3"/>
  <c r="C608" i="3"/>
  <c r="I608" i="3" s="1"/>
  <c r="D608" i="3"/>
  <c r="E608" i="3"/>
  <c r="F608" i="3"/>
  <c r="G608" i="3"/>
  <c r="H608" i="3"/>
  <c r="A609" i="3"/>
  <c r="B609" i="3"/>
  <c r="C609" i="3"/>
  <c r="D609" i="3"/>
  <c r="E609" i="3"/>
  <c r="F609" i="3"/>
  <c r="H609" i="3" s="1"/>
  <c r="G609" i="3"/>
  <c r="A610" i="3"/>
  <c r="B610" i="3"/>
  <c r="C610" i="3"/>
  <c r="D610" i="3"/>
  <c r="E610" i="3"/>
  <c r="F610" i="3"/>
  <c r="H610" i="3" s="1"/>
  <c r="G610" i="3"/>
  <c r="A611" i="3"/>
  <c r="B611" i="3"/>
  <c r="C611" i="3"/>
  <c r="D611" i="3"/>
  <c r="E611" i="3"/>
  <c r="F611" i="3"/>
  <c r="G611" i="3"/>
  <c r="H611" i="3"/>
  <c r="I611" i="3" s="1"/>
  <c r="A612" i="3"/>
  <c r="B612" i="3"/>
  <c r="C612" i="3"/>
  <c r="I612" i="3" s="1"/>
  <c r="D612" i="3"/>
  <c r="E612" i="3"/>
  <c r="F612" i="3"/>
  <c r="G612" i="3"/>
  <c r="H612" i="3"/>
  <c r="A613" i="3"/>
  <c r="B613" i="3"/>
  <c r="C613" i="3"/>
  <c r="D613" i="3"/>
  <c r="E613" i="3"/>
  <c r="F613" i="3"/>
  <c r="G613" i="3"/>
  <c r="H613" i="3"/>
  <c r="A614" i="3"/>
  <c r="B614" i="3"/>
  <c r="C614" i="3"/>
  <c r="D614" i="3"/>
  <c r="E614" i="3"/>
  <c r="F614" i="3"/>
  <c r="H614" i="3" s="1"/>
  <c r="G614" i="3"/>
  <c r="A615" i="3"/>
  <c r="B615" i="3"/>
  <c r="C615" i="3"/>
  <c r="D615" i="3"/>
  <c r="E615" i="3"/>
  <c r="F615" i="3"/>
  <c r="H615" i="3" s="1"/>
  <c r="G615" i="3"/>
  <c r="A616" i="3"/>
  <c r="B616" i="3"/>
  <c r="C616" i="3"/>
  <c r="I616" i="3" s="1"/>
  <c r="D616" i="3"/>
  <c r="E616" i="3"/>
  <c r="F616" i="3"/>
  <c r="G616" i="3"/>
  <c r="H616" i="3"/>
  <c r="A617" i="3"/>
  <c r="B617" i="3"/>
  <c r="C617" i="3"/>
  <c r="D617" i="3"/>
  <c r="E617" i="3"/>
  <c r="F617" i="3"/>
  <c r="H617" i="3" s="1"/>
  <c r="G617" i="3"/>
  <c r="A618" i="3"/>
  <c r="B618" i="3"/>
  <c r="C618" i="3"/>
  <c r="D618" i="3"/>
  <c r="E618" i="3"/>
  <c r="F618" i="3"/>
  <c r="H618" i="3" s="1"/>
  <c r="G618" i="3"/>
  <c r="I618" i="3"/>
  <c r="A619" i="3"/>
  <c r="B619" i="3"/>
  <c r="C619" i="3"/>
  <c r="D619" i="3"/>
  <c r="E619" i="3"/>
  <c r="F619" i="3"/>
  <c r="G619" i="3"/>
  <c r="A620" i="3"/>
  <c r="B620" i="3"/>
  <c r="C620" i="3"/>
  <c r="D620" i="3"/>
  <c r="E620" i="3"/>
  <c r="F620" i="3"/>
  <c r="G620" i="3"/>
  <c r="H620" i="3"/>
  <c r="I620" i="3"/>
  <c r="A621" i="3"/>
  <c r="B621" i="3"/>
  <c r="C621" i="3"/>
  <c r="D621" i="3"/>
  <c r="E621" i="3"/>
  <c r="F621" i="3"/>
  <c r="H621" i="3" s="1"/>
  <c r="G621" i="3"/>
  <c r="A622" i="3"/>
  <c r="B622" i="3"/>
  <c r="C622" i="3"/>
  <c r="I622" i="3" s="1"/>
  <c r="D622" i="3"/>
  <c r="E622" i="3"/>
  <c r="F622" i="3"/>
  <c r="H622" i="3" s="1"/>
  <c r="G622" i="3"/>
  <c r="A623" i="3"/>
  <c r="B623" i="3"/>
  <c r="C623" i="3"/>
  <c r="D623" i="3"/>
  <c r="E623" i="3"/>
  <c r="F623" i="3"/>
  <c r="I623" i="3" s="1"/>
  <c r="G623" i="3"/>
  <c r="H623" i="3"/>
  <c r="A624" i="3"/>
  <c r="B624" i="3"/>
  <c r="C624" i="3"/>
  <c r="D624" i="3"/>
  <c r="E624" i="3"/>
  <c r="F624" i="3"/>
  <c r="G624" i="3"/>
  <c r="H624" i="3"/>
  <c r="I624" i="3"/>
  <c r="A625" i="3"/>
  <c r="B625" i="3"/>
  <c r="C625" i="3"/>
  <c r="D625" i="3"/>
  <c r="E625" i="3"/>
  <c r="F625" i="3"/>
  <c r="G625" i="3"/>
  <c r="H625" i="3"/>
  <c r="A626" i="3"/>
  <c r="B626" i="3"/>
  <c r="C626" i="3"/>
  <c r="D626" i="3"/>
  <c r="E626" i="3"/>
  <c r="F626" i="3"/>
  <c r="G626" i="3"/>
  <c r="A627" i="3"/>
  <c r="B627" i="3"/>
  <c r="C627" i="3"/>
  <c r="D627" i="3"/>
  <c r="E627" i="3"/>
  <c r="F627" i="3"/>
  <c r="H627" i="3" s="1"/>
  <c r="G627" i="3"/>
  <c r="A628" i="3"/>
  <c r="B628" i="3"/>
  <c r="C628" i="3"/>
  <c r="D628" i="3"/>
  <c r="E628" i="3"/>
  <c r="F628" i="3"/>
  <c r="G628" i="3"/>
  <c r="H628" i="3"/>
  <c r="I628" i="3" s="1"/>
  <c r="A629" i="3"/>
  <c r="B629" i="3"/>
  <c r="C629" i="3"/>
  <c r="D629" i="3"/>
  <c r="E629" i="3"/>
  <c r="F629" i="3"/>
  <c r="H629" i="3" s="1"/>
  <c r="G629" i="3"/>
  <c r="A630" i="3"/>
  <c r="B630" i="3"/>
  <c r="C630" i="3"/>
  <c r="D630" i="3"/>
  <c r="E630" i="3"/>
  <c r="F630" i="3"/>
  <c r="G630" i="3"/>
  <c r="A631" i="3"/>
  <c r="B631" i="3"/>
  <c r="C631" i="3"/>
  <c r="D631" i="3"/>
  <c r="E631" i="3"/>
  <c r="F631" i="3"/>
  <c r="H631" i="3" s="1"/>
  <c r="G631" i="3"/>
  <c r="A632" i="3"/>
  <c r="B632" i="3"/>
  <c r="C632" i="3"/>
  <c r="I632" i="3" s="1"/>
  <c r="D632" i="3"/>
  <c r="E632" i="3"/>
  <c r="F632" i="3"/>
  <c r="G632" i="3"/>
  <c r="H632" i="3"/>
  <c r="A633" i="3"/>
  <c r="B633" i="3"/>
  <c r="C633" i="3"/>
  <c r="D633" i="3"/>
  <c r="E633" i="3"/>
  <c r="F633" i="3"/>
  <c r="H633" i="3" s="1"/>
  <c r="G633" i="3"/>
  <c r="A634" i="3"/>
  <c r="B634" i="3"/>
  <c r="C634" i="3"/>
  <c r="D634" i="3"/>
  <c r="E634" i="3"/>
  <c r="F634" i="3"/>
  <c r="H634" i="3" s="1"/>
  <c r="G634" i="3"/>
  <c r="A635" i="3"/>
  <c r="B635" i="3"/>
  <c r="C635" i="3"/>
  <c r="D635" i="3"/>
  <c r="E635" i="3"/>
  <c r="F635" i="3"/>
  <c r="G635" i="3"/>
  <c r="H635" i="3"/>
  <c r="I635" i="3" s="1"/>
  <c r="A636" i="3"/>
  <c r="B636" i="3"/>
  <c r="C636" i="3"/>
  <c r="I636" i="3" s="1"/>
  <c r="D636" i="3"/>
  <c r="E636" i="3"/>
  <c r="F636" i="3"/>
  <c r="G636" i="3"/>
  <c r="H636" i="3"/>
  <c r="A637" i="3"/>
  <c r="B637" i="3"/>
  <c r="C637" i="3"/>
  <c r="D637" i="3"/>
  <c r="E637" i="3"/>
  <c r="F637" i="3"/>
  <c r="G637" i="3"/>
  <c r="H637" i="3"/>
  <c r="A638" i="3"/>
  <c r="B638" i="3"/>
  <c r="C638" i="3"/>
  <c r="D638" i="3"/>
  <c r="E638" i="3"/>
  <c r="F638" i="3"/>
  <c r="H638" i="3" s="1"/>
  <c r="G638" i="3"/>
  <c r="A639" i="3"/>
  <c r="B639" i="3"/>
  <c r="C639" i="3"/>
  <c r="D639" i="3"/>
  <c r="E639" i="3"/>
  <c r="F639" i="3"/>
  <c r="H639" i="3" s="1"/>
  <c r="G639" i="3"/>
  <c r="A640" i="3"/>
  <c r="B640" i="3"/>
  <c r="C640" i="3"/>
  <c r="I640" i="3" s="1"/>
  <c r="D640" i="3"/>
  <c r="E640" i="3"/>
  <c r="F640" i="3"/>
  <c r="G640" i="3"/>
  <c r="H640" i="3"/>
  <c r="A641" i="3"/>
  <c r="B641" i="3"/>
  <c r="C641" i="3"/>
  <c r="D641" i="3"/>
  <c r="E641" i="3"/>
  <c r="F641" i="3"/>
  <c r="H641" i="3" s="1"/>
  <c r="G641" i="3"/>
  <c r="A642" i="3"/>
  <c r="B642" i="3"/>
  <c r="C642" i="3"/>
  <c r="D642" i="3"/>
  <c r="E642" i="3"/>
  <c r="F642" i="3"/>
  <c r="H642" i="3" s="1"/>
  <c r="G642" i="3"/>
  <c r="I642" i="3"/>
  <c r="A643" i="3"/>
  <c r="B643" i="3"/>
  <c r="C643" i="3"/>
  <c r="D643" i="3"/>
  <c r="E643" i="3"/>
  <c r="F643" i="3"/>
  <c r="G643" i="3"/>
  <c r="A644" i="3"/>
  <c r="B644" i="3"/>
  <c r="C644" i="3"/>
  <c r="D644" i="3"/>
  <c r="E644" i="3"/>
  <c r="F644" i="3"/>
  <c r="G644" i="3"/>
  <c r="H644" i="3"/>
  <c r="I644" i="3"/>
  <c r="A645" i="3"/>
  <c r="B645" i="3"/>
  <c r="C645" i="3"/>
  <c r="D645" i="3"/>
  <c r="E645" i="3"/>
  <c r="F645" i="3"/>
  <c r="H645" i="3" s="1"/>
  <c r="G645" i="3"/>
  <c r="A646" i="3"/>
  <c r="B646" i="3"/>
  <c r="C646" i="3"/>
  <c r="I646" i="3" s="1"/>
  <c r="D646" i="3"/>
  <c r="E646" i="3"/>
  <c r="F646" i="3"/>
  <c r="H646" i="3" s="1"/>
  <c r="G646" i="3"/>
  <c r="A647" i="3"/>
  <c r="B647" i="3"/>
  <c r="C647" i="3"/>
  <c r="D647" i="3"/>
  <c r="E647" i="3"/>
  <c r="F647" i="3"/>
  <c r="G647" i="3"/>
  <c r="H647" i="3"/>
  <c r="A648" i="3"/>
  <c r="B648" i="3"/>
  <c r="C648" i="3"/>
  <c r="D648" i="3"/>
  <c r="E648" i="3"/>
  <c r="F648" i="3"/>
  <c r="G648" i="3"/>
  <c r="H648" i="3"/>
  <c r="I648" i="3"/>
  <c r="A649" i="3"/>
  <c r="B649" i="3"/>
  <c r="C649" i="3"/>
  <c r="D649" i="3"/>
  <c r="E649" i="3"/>
  <c r="F649" i="3"/>
  <c r="G649" i="3"/>
  <c r="H649" i="3"/>
  <c r="A650" i="3"/>
  <c r="B650" i="3"/>
  <c r="C650" i="3"/>
  <c r="D650" i="3"/>
  <c r="E650" i="3"/>
  <c r="F650" i="3"/>
  <c r="G650" i="3"/>
  <c r="A651" i="3"/>
  <c r="B651" i="3"/>
  <c r="C651" i="3"/>
  <c r="D651" i="3"/>
  <c r="E651" i="3"/>
  <c r="F651" i="3"/>
  <c r="H651" i="3" s="1"/>
  <c r="G651" i="3"/>
  <c r="A652" i="3"/>
  <c r="B652" i="3"/>
  <c r="C652" i="3"/>
  <c r="D652" i="3"/>
  <c r="E652" i="3"/>
  <c r="F652" i="3"/>
  <c r="G652" i="3"/>
  <c r="H652" i="3"/>
  <c r="I652" i="3" s="1"/>
  <c r="A653" i="3"/>
  <c r="B653" i="3"/>
  <c r="C653" i="3"/>
  <c r="D653" i="3"/>
  <c r="E653" i="3"/>
  <c r="F653" i="3"/>
  <c r="H653" i="3" s="1"/>
  <c r="G653" i="3"/>
  <c r="A654" i="3"/>
  <c r="B654" i="3"/>
  <c r="C654" i="3"/>
  <c r="D654" i="3"/>
  <c r="E654" i="3"/>
  <c r="F654" i="3"/>
  <c r="G654" i="3"/>
  <c r="I654" i="3"/>
  <c r="A655" i="3"/>
  <c r="B655" i="3"/>
  <c r="C655" i="3"/>
  <c r="D655" i="3"/>
  <c r="E655" i="3"/>
  <c r="F655" i="3"/>
  <c r="H655" i="3" s="1"/>
  <c r="G655" i="3"/>
  <c r="A656" i="3"/>
  <c r="B656" i="3"/>
  <c r="C656" i="3"/>
  <c r="I656" i="3" s="1"/>
  <c r="D656" i="3"/>
  <c r="E656" i="3"/>
  <c r="F656" i="3"/>
  <c r="G656" i="3"/>
  <c r="H656" i="3"/>
  <c r="A657" i="3"/>
  <c r="B657" i="3"/>
  <c r="C657" i="3"/>
  <c r="D657" i="3"/>
  <c r="E657" i="3"/>
  <c r="F657" i="3"/>
  <c r="H657" i="3" s="1"/>
  <c r="G657" i="3"/>
  <c r="A658" i="3"/>
  <c r="B658" i="3"/>
  <c r="C658" i="3"/>
  <c r="D658" i="3"/>
  <c r="E658" i="3"/>
  <c r="F658" i="3"/>
  <c r="H658" i="3" s="1"/>
  <c r="G658" i="3"/>
  <c r="A659" i="3"/>
  <c r="B659" i="3"/>
  <c r="C659" i="3"/>
  <c r="D659" i="3"/>
  <c r="E659" i="3"/>
  <c r="F659" i="3"/>
  <c r="G659" i="3"/>
  <c r="H659" i="3"/>
  <c r="I659" i="3" s="1"/>
  <c r="A660" i="3"/>
  <c r="B660" i="3"/>
  <c r="C660" i="3"/>
  <c r="I660" i="3" s="1"/>
  <c r="D660" i="3"/>
  <c r="E660" i="3"/>
  <c r="F660" i="3"/>
  <c r="G660" i="3"/>
  <c r="H660" i="3"/>
  <c r="A661" i="3"/>
  <c r="B661" i="3"/>
  <c r="C661" i="3"/>
  <c r="D661" i="3"/>
  <c r="E661" i="3"/>
  <c r="F661" i="3"/>
  <c r="G661" i="3"/>
  <c r="H661" i="3"/>
  <c r="A662" i="3"/>
  <c r="B662" i="3"/>
  <c r="C662" i="3"/>
  <c r="D662" i="3"/>
  <c r="E662" i="3"/>
  <c r="F662" i="3"/>
  <c r="H662" i="3" s="1"/>
  <c r="G662" i="3"/>
  <c r="A663" i="3"/>
  <c r="B663" i="3"/>
  <c r="C663" i="3"/>
  <c r="D663" i="3"/>
  <c r="E663" i="3"/>
  <c r="F663" i="3"/>
  <c r="H663" i="3" s="1"/>
  <c r="G663" i="3"/>
  <c r="A664" i="3"/>
  <c r="B664" i="3"/>
  <c r="C664" i="3"/>
  <c r="I664" i="3" s="1"/>
  <c r="D664" i="3"/>
  <c r="E664" i="3"/>
  <c r="F664" i="3"/>
  <c r="G664" i="3"/>
  <c r="H664" i="3"/>
  <c r="A665" i="3"/>
  <c r="B665" i="3"/>
  <c r="C665" i="3"/>
  <c r="D665" i="3"/>
  <c r="E665" i="3"/>
  <c r="F665" i="3"/>
  <c r="H665" i="3" s="1"/>
  <c r="G665" i="3"/>
  <c r="A666" i="3"/>
  <c r="B666" i="3"/>
  <c r="C666" i="3"/>
  <c r="D666" i="3"/>
  <c r="E666" i="3"/>
  <c r="F666" i="3"/>
  <c r="H666" i="3" s="1"/>
  <c r="G666" i="3"/>
  <c r="I666" i="3"/>
  <c r="A667" i="3"/>
  <c r="B667" i="3"/>
  <c r="C667" i="3"/>
  <c r="D667" i="3"/>
  <c r="E667" i="3"/>
  <c r="F667" i="3"/>
  <c r="H667" i="3" s="1"/>
  <c r="G667" i="3"/>
  <c r="I667" i="3"/>
  <c r="A668" i="3"/>
  <c r="B668" i="3"/>
  <c r="C668" i="3"/>
  <c r="D668" i="3"/>
  <c r="E668" i="3"/>
  <c r="F668" i="3"/>
  <c r="G668" i="3"/>
  <c r="H668" i="3"/>
  <c r="I668" i="3"/>
  <c r="A669" i="3"/>
  <c r="B669" i="3"/>
  <c r="C669" i="3"/>
  <c r="D669" i="3"/>
  <c r="E669" i="3"/>
  <c r="F669" i="3"/>
  <c r="H669" i="3" s="1"/>
  <c r="G669" i="3"/>
  <c r="A670" i="3"/>
  <c r="B670" i="3"/>
  <c r="C670" i="3"/>
  <c r="I670" i="3" s="1"/>
  <c r="D670" i="3"/>
  <c r="E670" i="3"/>
  <c r="F670" i="3"/>
  <c r="H670" i="3" s="1"/>
  <c r="G670" i="3"/>
  <c r="A671" i="3"/>
  <c r="B671" i="3"/>
  <c r="C671" i="3"/>
  <c r="D671" i="3"/>
  <c r="E671" i="3"/>
  <c r="F671" i="3"/>
  <c r="I671" i="3" s="1"/>
  <c r="G671" i="3"/>
  <c r="H671" i="3"/>
  <c r="A672" i="3"/>
  <c r="B672" i="3"/>
  <c r="C672" i="3"/>
  <c r="D672" i="3"/>
  <c r="E672" i="3"/>
  <c r="F672" i="3"/>
  <c r="G672" i="3"/>
  <c r="H672" i="3"/>
  <c r="I672" i="3"/>
  <c r="A673" i="3"/>
  <c r="B673" i="3"/>
  <c r="C673" i="3"/>
  <c r="D673" i="3"/>
  <c r="E673" i="3"/>
  <c r="F673" i="3"/>
  <c r="G673" i="3"/>
  <c r="H673" i="3"/>
  <c r="A674" i="3"/>
  <c r="B674" i="3"/>
  <c r="C674" i="3"/>
  <c r="D674" i="3"/>
  <c r="E674" i="3"/>
  <c r="F674" i="3"/>
  <c r="G674" i="3"/>
  <c r="A675" i="3"/>
  <c r="B675" i="3"/>
  <c r="C675" i="3"/>
  <c r="D675" i="3"/>
  <c r="E675" i="3"/>
  <c r="F675" i="3"/>
  <c r="H675" i="3" s="1"/>
  <c r="G675" i="3"/>
  <c r="A676" i="3"/>
  <c r="B676" i="3"/>
  <c r="C676" i="3"/>
  <c r="D676" i="3"/>
  <c r="E676" i="3"/>
  <c r="F676" i="3"/>
  <c r="G676" i="3"/>
  <c r="H676" i="3"/>
  <c r="I676" i="3" s="1"/>
  <c r="A677" i="3"/>
  <c r="B677" i="3"/>
  <c r="C677" i="3"/>
  <c r="D677" i="3"/>
  <c r="E677" i="3"/>
  <c r="F677" i="3"/>
  <c r="H677" i="3" s="1"/>
  <c r="G677" i="3"/>
  <c r="A678" i="3"/>
  <c r="B678" i="3"/>
  <c r="C678" i="3"/>
  <c r="D678" i="3"/>
  <c r="E678" i="3"/>
  <c r="F678" i="3"/>
  <c r="G678" i="3"/>
  <c r="A679" i="3"/>
  <c r="B679" i="3"/>
  <c r="C679" i="3"/>
  <c r="D679" i="3"/>
  <c r="E679" i="3"/>
  <c r="F679" i="3"/>
  <c r="H679" i="3" s="1"/>
  <c r="G679" i="3"/>
  <c r="A680" i="3"/>
  <c r="B680" i="3"/>
  <c r="C680" i="3"/>
  <c r="I680" i="3" s="1"/>
  <c r="D680" i="3"/>
  <c r="E680" i="3"/>
  <c r="F680" i="3"/>
  <c r="G680" i="3"/>
  <c r="H680" i="3"/>
  <c r="A681" i="3"/>
  <c r="B681" i="3"/>
  <c r="C681" i="3"/>
  <c r="D681" i="3"/>
  <c r="E681" i="3"/>
  <c r="F681" i="3"/>
  <c r="H681" i="3" s="1"/>
  <c r="G681" i="3"/>
  <c r="A682" i="3"/>
  <c r="B682" i="3"/>
  <c r="C682" i="3"/>
  <c r="D682" i="3"/>
  <c r="E682" i="3"/>
  <c r="F682" i="3"/>
  <c r="H682" i="3" s="1"/>
  <c r="G682" i="3"/>
  <c r="A683" i="3"/>
  <c r="B683" i="3"/>
  <c r="C683" i="3"/>
  <c r="D683" i="3"/>
  <c r="E683" i="3"/>
  <c r="F683" i="3"/>
  <c r="G683" i="3"/>
  <c r="H683" i="3"/>
  <c r="I683" i="3" s="1"/>
  <c r="A684" i="3"/>
  <c r="B684" i="3"/>
  <c r="C684" i="3"/>
  <c r="I684" i="3" s="1"/>
  <c r="D684" i="3"/>
  <c r="E684" i="3"/>
  <c r="F684" i="3"/>
  <c r="G684" i="3"/>
  <c r="H684" i="3"/>
  <c r="A685" i="3"/>
  <c r="B685" i="3"/>
  <c r="C685" i="3"/>
  <c r="D685" i="3"/>
  <c r="E685" i="3"/>
  <c r="F685" i="3"/>
  <c r="G685" i="3"/>
  <c r="H685" i="3"/>
  <c r="A686" i="3"/>
  <c r="B686" i="3"/>
  <c r="C686" i="3"/>
  <c r="D686" i="3"/>
  <c r="E686" i="3"/>
  <c r="F686" i="3"/>
  <c r="H686" i="3" s="1"/>
  <c r="G686" i="3"/>
  <c r="A687" i="3"/>
  <c r="B687" i="3"/>
  <c r="C687" i="3"/>
  <c r="D687" i="3"/>
  <c r="E687" i="3"/>
  <c r="F687" i="3"/>
  <c r="H687" i="3" s="1"/>
  <c r="G687" i="3"/>
  <c r="A688" i="3"/>
  <c r="B688" i="3"/>
  <c r="C688" i="3"/>
  <c r="I688" i="3" s="1"/>
  <c r="D688" i="3"/>
  <c r="E688" i="3"/>
  <c r="F688" i="3"/>
  <c r="G688" i="3"/>
  <c r="H688" i="3"/>
  <c r="A689" i="3"/>
  <c r="B689" i="3"/>
  <c r="C689" i="3"/>
  <c r="D689" i="3"/>
  <c r="E689" i="3"/>
  <c r="F689" i="3"/>
  <c r="H689" i="3" s="1"/>
  <c r="G689" i="3"/>
  <c r="A690" i="3"/>
  <c r="B690" i="3"/>
  <c r="C690" i="3"/>
  <c r="D690" i="3"/>
  <c r="E690" i="3"/>
  <c r="F690" i="3"/>
  <c r="H690" i="3" s="1"/>
  <c r="G690" i="3"/>
  <c r="I690" i="3"/>
  <c r="A691" i="3"/>
  <c r="B691" i="3"/>
  <c r="C691" i="3"/>
  <c r="D691" i="3"/>
  <c r="E691" i="3"/>
  <c r="F691" i="3"/>
  <c r="G691" i="3"/>
  <c r="A692" i="3"/>
  <c r="B692" i="3"/>
  <c r="C692" i="3"/>
  <c r="D692" i="3"/>
  <c r="E692" i="3"/>
  <c r="F692" i="3"/>
  <c r="G692" i="3"/>
  <c r="H692" i="3"/>
  <c r="I692" i="3"/>
  <c r="A693" i="3"/>
  <c r="B693" i="3"/>
  <c r="C693" i="3"/>
  <c r="D693" i="3"/>
  <c r="E693" i="3"/>
  <c r="F693" i="3"/>
  <c r="H693" i="3" s="1"/>
  <c r="G693" i="3"/>
  <c r="A694" i="3"/>
  <c r="B694" i="3"/>
  <c r="C694" i="3"/>
  <c r="I694" i="3" s="1"/>
  <c r="D694" i="3"/>
  <c r="E694" i="3"/>
  <c r="F694" i="3"/>
  <c r="H694" i="3" s="1"/>
  <c r="G694" i="3"/>
  <c r="A695" i="3"/>
  <c r="B695" i="3"/>
  <c r="C695" i="3"/>
  <c r="D695" i="3"/>
  <c r="E695" i="3"/>
  <c r="F695" i="3"/>
  <c r="I695" i="3" s="1"/>
  <c r="G695" i="3"/>
  <c r="H695" i="3"/>
  <c r="A696" i="3"/>
  <c r="B696" i="3"/>
  <c r="C696" i="3"/>
  <c r="D696" i="3"/>
  <c r="E696" i="3"/>
  <c r="F696" i="3"/>
  <c r="G696" i="3"/>
  <c r="H696" i="3"/>
  <c r="I696" i="3"/>
  <c r="A697" i="3"/>
  <c r="B697" i="3"/>
  <c r="C697" i="3"/>
  <c r="D697" i="3"/>
  <c r="E697" i="3"/>
  <c r="F697" i="3"/>
  <c r="G697" i="3"/>
  <c r="H697" i="3"/>
  <c r="A698" i="3"/>
  <c r="B698" i="3"/>
  <c r="C698" i="3"/>
  <c r="D698" i="3"/>
  <c r="E698" i="3"/>
  <c r="F698" i="3"/>
  <c r="G698" i="3"/>
  <c r="A699" i="3"/>
  <c r="B699" i="3"/>
  <c r="C699" i="3"/>
  <c r="D699" i="3"/>
  <c r="E699" i="3"/>
  <c r="F699" i="3"/>
  <c r="H699" i="3" s="1"/>
  <c r="G699" i="3"/>
  <c r="A700" i="3"/>
  <c r="B700" i="3"/>
  <c r="C700" i="3"/>
  <c r="D700" i="3"/>
  <c r="E700" i="3"/>
  <c r="F700" i="3"/>
  <c r="G700" i="3"/>
  <c r="H700" i="3"/>
  <c r="I700" i="3" s="1"/>
  <c r="A701" i="3"/>
  <c r="B701" i="3"/>
  <c r="C701" i="3"/>
  <c r="D701" i="3"/>
  <c r="E701" i="3"/>
  <c r="F701" i="3"/>
  <c r="H701" i="3" s="1"/>
  <c r="G701" i="3"/>
  <c r="A702" i="3"/>
  <c r="B702" i="3"/>
  <c r="C702" i="3"/>
  <c r="D702" i="3"/>
  <c r="E702" i="3"/>
  <c r="F702" i="3"/>
  <c r="G702" i="3"/>
  <c r="A703" i="3"/>
  <c r="B703" i="3"/>
  <c r="C703" i="3"/>
  <c r="D703" i="3"/>
  <c r="E703" i="3"/>
  <c r="F703" i="3"/>
  <c r="H703" i="3" s="1"/>
  <c r="G703" i="3"/>
  <c r="A704" i="3"/>
  <c r="B704" i="3"/>
  <c r="C704" i="3"/>
  <c r="I704" i="3" s="1"/>
  <c r="D704" i="3"/>
  <c r="E704" i="3"/>
  <c r="F704" i="3"/>
  <c r="G704" i="3"/>
  <c r="H704" i="3"/>
  <c r="A705" i="3"/>
  <c r="B705" i="3"/>
  <c r="C705" i="3"/>
  <c r="D705" i="3"/>
  <c r="E705" i="3"/>
  <c r="F705" i="3"/>
  <c r="H705" i="3" s="1"/>
  <c r="G705" i="3"/>
  <c r="A706" i="3"/>
  <c r="B706" i="3"/>
  <c r="C706" i="3"/>
  <c r="D706" i="3"/>
  <c r="E706" i="3"/>
  <c r="F706" i="3"/>
  <c r="H706" i="3" s="1"/>
  <c r="G706" i="3"/>
  <c r="A707" i="3"/>
  <c r="B707" i="3"/>
  <c r="C707" i="3"/>
  <c r="D707" i="3"/>
  <c r="E707" i="3"/>
  <c r="F707" i="3"/>
  <c r="G707" i="3"/>
  <c r="H707" i="3"/>
  <c r="I707" i="3" s="1"/>
  <c r="A708" i="3"/>
  <c r="B708" i="3"/>
  <c r="C708" i="3"/>
  <c r="I708" i="3" s="1"/>
  <c r="D708" i="3"/>
  <c r="E708" i="3"/>
  <c r="F708" i="3"/>
  <c r="G708" i="3"/>
  <c r="H708" i="3"/>
  <c r="A709" i="3"/>
  <c r="B709" i="3"/>
  <c r="C709" i="3"/>
  <c r="D709" i="3"/>
  <c r="E709" i="3"/>
  <c r="F709" i="3"/>
  <c r="G709" i="3"/>
  <c r="H709" i="3"/>
  <c r="A710" i="3"/>
  <c r="B710" i="3"/>
  <c r="C710" i="3"/>
  <c r="D710" i="3"/>
  <c r="E710" i="3"/>
  <c r="F710" i="3"/>
  <c r="H710" i="3" s="1"/>
  <c r="G710" i="3"/>
  <c r="A711" i="3"/>
  <c r="B711" i="3"/>
  <c r="C711" i="3"/>
  <c r="D711" i="3"/>
  <c r="E711" i="3"/>
  <c r="F711" i="3"/>
  <c r="H711" i="3" s="1"/>
  <c r="G711" i="3"/>
  <c r="A712" i="3"/>
  <c r="B712" i="3"/>
  <c r="C712" i="3"/>
  <c r="I712" i="3" s="1"/>
  <c r="D712" i="3"/>
  <c r="E712" i="3"/>
  <c r="F712" i="3"/>
  <c r="G712" i="3"/>
  <c r="H712" i="3"/>
  <c r="A713" i="3"/>
  <c r="B713" i="3"/>
  <c r="C713" i="3"/>
  <c r="D713" i="3"/>
  <c r="E713" i="3"/>
  <c r="F713" i="3"/>
  <c r="H713" i="3" s="1"/>
  <c r="G713" i="3"/>
  <c r="A714" i="3"/>
  <c r="B714" i="3"/>
  <c r="C714" i="3"/>
  <c r="D714" i="3"/>
  <c r="E714" i="3"/>
  <c r="F714" i="3"/>
  <c r="H714" i="3" s="1"/>
  <c r="G714" i="3"/>
  <c r="I714" i="3"/>
  <c r="A715" i="3"/>
  <c r="B715" i="3"/>
  <c r="C715" i="3"/>
  <c r="D715" i="3"/>
  <c r="E715" i="3"/>
  <c r="F715" i="3"/>
  <c r="G715" i="3"/>
  <c r="A716" i="3"/>
  <c r="B716" i="3"/>
  <c r="C716" i="3"/>
  <c r="D716" i="3"/>
  <c r="E716" i="3"/>
  <c r="F716" i="3"/>
  <c r="G716" i="3"/>
  <c r="H716" i="3"/>
  <c r="I716" i="3"/>
  <c r="A717" i="3"/>
  <c r="B717" i="3"/>
  <c r="C717" i="3"/>
  <c r="D717" i="3"/>
  <c r="E717" i="3"/>
  <c r="F717" i="3"/>
  <c r="H717" i="3" s="1"/>
  <c r="G717" i="3"/>
  <c r="A718" i="3"/>
  <c r="B718" i="3"/>
  <c r="C718" i="3"/>
  <c r="I718" i="3" s="1"/>
  <c r="D718" i="3"/>
  <c r="E718" i="3"/>
  <c r="F718" i="3"/>
  <c r="H718" i="3" s="1"/>
  <c r="G718" i="3"/>
  <c r="A719" i="3"/>
  <c r="B719" i="3"/>
  <c r="C719" i="3"/>
  <c r="D719" i="3"/>
  <c r="E719" i="3"/>
  <c r="F719" i="3"/>
  <c r="G719" i="3"/>
  <c r="H719" i="3"/>
  <c r="A720" i="3"/>
  <c r="B720" i="3"/>
  <c r="C720" i="3"/>
  <c r="D720" i="3"/>
  <c r="E720" i="3"/>
  <c r="F720" i="3"/>
  <c r="G720" i="3"/>
  <c r="H720" i="3"/>
  <c r="I720" i="3"/>
  <c r="A721" i="3"/>
  <c r="B721" i="3"/>
  <c r="C721" i="3"/>
  <c r="D721" i="3"/>
  <c r="E721" i="3"/>
  <c r="F721" i="3"/>
  <c r="G721" i="3"/>
  <c r="H721" i="3"/>
  <c r="A722" i="3"/>
  <c r="B722" i="3"/>
  <c r="C722" i="3"/>
  <c r="D722" i="3"/>
  <c r="E722" i="3"/>
  <c r="F722" i="3"/>
  <c r="G722" i="3"/>
  <c r="A723" i="3"/>
  <c r="B723" i="3"/>
  <c r="C723" i="3"/>
  <c r="D723" i="3"/>
  <c r="E723" i="3"/>
  <c r="F723" i="3"/>
  <c r="H723" i="3" s="1"/>
  <c r="G723" i="3"/>
  <c r="A724" i="3"/>
  <c r="B724" i="3"/>
  <c r="C724" i="3"/>
  <c r="D724" i="3"/>
  <c r="E724" i="3"/>
  <c r="F724" i="3"/>
  <c r="G724" i="3"/>
  <c r="H724" i="3"/>
  <c r="I724" i="3" s="1"/>
  <c r="A725" i="3"/>
  <c r="B725" i="3"/>
  <c r="C725" i="3"/>
  <c r="D725" i="3"/>
  <c r="E725" i="3"/>
  <c r="F725" i="3"/>
  <c r="H725" i="3" s="1"/>
  <c r="G725" i="3"/>
  <c r="A726" i="3"/>
  <c r="B726" i="3"/>
  <c r="C726" i="3"/>
  <c r="D726" i="3"/>
  <c r="E726" i="3"/>
  <c r="F726" i="3"/>
  <c r="G726" i="3"/>
  <c r="A727" i="3"/>
  <c r="B727" i="3"/>
  <c r="C727" i="3"/>
  <c r="I727" i="3" s="1"/>
  <c r="D727" i="3"/>
  <c r="E727" i="3"/>
  <c r="F727" i="3"/>
  <c r="H727" i="3" s="1"/>
  <c r="G727" i="3"/>
  <c r="A728" i="3"/>
  <c r="B728" i="3"/>
  <c r="C728" i="3"/>
  <c r="I728" i="3" s="1"/>
  <c r="D728" i="3"/>
  <c r="E728" i="3"/>
  <c r="F728" i="3"/>
  <c r="H728" i="3" s="1"/>
  <c r="G728" i="3"/>
  <c r="A729" i="3"/>
  <c r="B729" i="3"/>
  <c r="C729" i="3"/>
  <c r="D729" i="3"/>
  <c r="E729" i="3"/>
  <c r="F729" i="3"/>
  <c r="G729" i="3"/>
  <c r="A730" i="3"/>
  <c r="B730" i="3"/>
  <c r="C730" i="3"/>
  <c r="D730" i="3"/>
  <c r="E730" i="3"/>
  <c r="F730" i="3"/>
  <c r="G730" i="3"/>
  <c r="A731" i="3"/>
  <c r="B731" i="3"/>
  <c r="C731" i="3"/>
  <c r="D731" i="3"/>
  <c r="E731" i="3"/>
  <c r="F731" i="3"/>
  <c r="G731" i="3"/>
  <c r="H731" i="3"/>
  <c r="I731" i="3" s="1"/>
  <c r="A732" i="3"/>
  <c r="B732" i="3"/>
  <c r="C732" i="3"/>
  <c r="I732" i="3" s="1"/>
  <c r="D732" i="3"/>
  <c r="E732" i="3"/>
  <c r="F732" i="3"/>
  <c r="H732" i="3" s="1"/>
  <c r="G732" i="3"/>
  <c r="A733" i="3"/>
  <c r="B733" i="3"/>
  <c r="C733" i="3"/>
  <c r="D733" i="3"/>
  <c r="E733" i="3"/>
  <c r="F733" i="3"/>
  <c r="G733" i="3"/>
  <c r="A734" i="3"/>
  <c r="B734" i="3"/>
  <c r="C734" i="3"/>
  <c r="D734" i="3"/>
  <c r="E734" i="3"/>
  <c r="F734" i="3"/>
  <c r="H734" i="3" s="1"/>
  <c r="G734" i="3"/>
  <c r="A735" i="3"/>
  <c r="B735" i="3"/>
  <c r="C735" i="3"/>
  <c r="D735" i="3"/>
  <c r="E735" i="3"/>
  <c r="F735" i="3"/>
  <c r="G735" i="3"/>
  <c r="H735" i="3"/>
  <c r="I735" i="3" s="1"/>
  <c r="A736" i="3"/>
  <c r="B736" i="3"/>
  <c r="C736" i="3"/>
  <c r="D736" i="3"/>
  <c r="E736" i="3"/>
  <c r="F736" i="3"/>
  <c r="G736" i="3"/>
  <c r="H736" i="3" s="1"/>
  <c r="A737" i="3"/>
  <c r="B737" i="3"/>
  <c r="C737" i="3"/>
  <c r="I737" i="3" s="1"/>
  <c r="D737" i="3"/>
  <c r="E737" i="3"/>
  <c r="F737" i="3"/>
  <c r="G737" i="3"/>
  <c r="H737" i="3"/>
  <c r="A738" i="3"/>
  <c r="B738" i="3"/>
  <c r="C738" i="3"/>
  <c r="D738" i="3"/>
  <c r="E738" i="3"/>
  <c r="F738" i="3"/>
  <c r="H738" i="3" s="1"/>
  <c r="G738" i="3"/>
  <c r="A739" i="3"/>
  <c r="B739" i="3"/>
  <c r="C739" i="3"/>
  <c r="D739" i="3"/>
  <c r="E739" i="3"/>
  <c r="F739" i="3"/>
  <c r="G739" i="3"/>
  <c r="H739" i="3"/>
  <c r="I739" i="3" s="1"/>
  <c r="A740" i="3"/>
  <c r="B740" i="3"/>
  <c r="C740" i="3"/>
  <c r="D740" i="3"/>
  <c r="E740" i="3"/>
  <c r="F740" i="3"/>
  <c r="G740" i="3"/>
  <c r="H740" i="3" s="1"/>
  <c r="A741" i="3"/>
  <c r="B741" i="3"/>
  <c r="C741" i="3"/>
  <c r="D741" i="3"/>
  <c r="E741" i="3"/>
  <c r="F741" i="3"/>
  <c r="G741" i="3"/>
  <c r="H741" i="3"/>
  <c r="A742" i="3"/>
  <c r="B742" i="3"/>
  <c r="C742" i="3"/>
  <c r="D742" i="3"/>
  <c r="E742" i="3"/>
  <c r="F742" i="3"/>
  <c r="H742" i="3" s="1"/>
  <c r="G742" i="3"/>
  <c r="A743" i="3"/>
  <c r="B743" i="3"/>
  <c r="C743" i="3"/>
  <c r="D743" i="3"/>
  <c r="E743" i="3"/>
  <c r="F743" i="3"/>
  <c r="G743" i="3"/>
  <c r="H743" i="3"/>
  <c r="I743" i="3" s="1"/>
  <c r="A744" i="3"/>
  <c r="B744" i="3"/>
  <c r="C744" i="3"/>
  <c r="D744" i="3"/>
  <c r="E744" i="3"/>
  <c r="F744" i="3"/>
  <c r="G744" i="3"/>
  <c r="H744" i="3" s="1"/>
  <c r="A745" i="3"/>
  <c r="B745" i="3"/>
  <c r="C745" i="3"/>
  <c r="I745" i="3" s="1"/>
  <c r="D745" i="3"/>
  <c r="E745" i="3"/>
  <c r="F745" i="3"/>
  <c r="G745" i="3"/>
  <c r="H745" i="3"/>
  <c r="A746" i="3"/>
  <c r="B746" i="3"/>
  <c r="C746" i="3"/>
  <c r="D746" i="3"/>
  <c r="E746" i="3"/>
  <c r="F746" i="3"/>
  <c r="H746" i="3" s="1"/>
  <c r="G746" i="3"/>
  <c r="A747" i="3"/>
  <c r="B747" i="3"/>
  <c r="C747" i="3"/>
  <c r="D747" i="3"/>
  <c r="E747" i="3"/>
  <c r="F747" i="3"/>
  <c r="G747" i="3"/>
  <c r="H747" i="3"/>
  <c r="I747" i="3" s="1"/>
  <c r="A748" i="3"/>
  <c r="B748" i="3"/>
  <c r="C748" i="3"/>
  <c r="D748" i="3"/>
  <c r="E748" i="3"/>
  <c r="F748" i="3"/>
  <c r="G748" i="3"/>
  <c r="H748" i="3" s="1"/>
  <c r="A749" i="3"/>
  <c r="B749" i="3"/>
  <c r="C749" i="3"/>
  <c r="D749" i="3"/>
  <c r="E749" i="3"/>
  <c r="F749" i="3"/>
  <c r="G749" i="3"/>
  <c r="H749" i="3"/>
  <c r="A750" i="3"/>
  <c r="B750" i="3"/>
  <c r="C750" i="3"/>
  <c r="D750" i="3"/>
  <c r="E750" i="3"/>
  <c r="F750" i="3"/>
  <c r="H750" i="3" s="1"/>
  <c r="G750" i="3"/>
  <c r="A751" i="3"/>
  <c r="B751" i="3"/>
  <c r="C751" i="3"/>
  <c r="D751" i="3"/>
  <c r="E751" i="3"/>
  <c r="F751" i="3"/>
  <c r="G751" i="3"/>
  <c r="H751" i="3"/>
  <c r="I751" i="3" s="1"/>
  <c r="A752" i="3"/>
  <c r="B752" i="3"/>
  <c r="C752" i="3"/>
  <c r="D752" i="3"/>
  <c r="E752" i="3"/>
  <c r="F752" i="3"/>
  <c r="G752" i="3"/>
  <c r="H752" i="3" s="1"/>
  <c r="A753" i="3"/>
  <c r="B753" i="3"/>
  <c r="C753" i="3"/>
  <c r="I753" i="3" s="1"/>
  <c r="D753" i="3"/>
  <c r="E753" i="3"/>
  <c r="F753" i="3"/>
  <c r="G753" i="3"/>
  <c r="H753" i="3"/>
  <c r="A754" i="3"/>
  <c r="B754" i="3"/>
  <c r="C754" i="3"/>
  <c r="D754" i="3"/>
  <c r="E754" i="3"/>
  <c r="F754" i="3"/>
  <c r="H754" i="3" s="1"/>
  <c r="G754" i="3"/>
  <c r="A755" i="3"/>
  <c r="B755" i="3"/>
  <c r="C755" i="3"/>
  <c r="D755" i="3"/>
  <c r="E755" i="3"/>
  <c r="F755" i="3"/>
  <c r="G755" i="3"/>
  <c r="H755" i="3"/>
  <c r="I755" i="3" s="1"/>
  <c r="A756" i="3"/>
  <c r="B756" i="3"/>
  <c r="C756" i="3"/>
  <c r="D756" i="3"/>
  <c r="E756" i="3"/>
  <c r="F756" i="3"/>
  <c r="G756" i="3"/>
  <c r="H756" i="3" s="1"/>
  <c r="A757" i="3"/>
  <c r="B757" i="3"/>
  <c r="C757" i="3"/>
  <c r="D757" i="3"/>
  <c r="E757" i="3"/>
  <c r="F757" i="3"/>
  <c r="G757" i="3"/>
  <c r="H757" i="3"/>
  <c r="A758" i="3"/>
  <c r="B758" i="3"/>
  <c r="C758" i="3"/>
  <c r="D758" i="3"/>
  <c r="E758" i="3"/>
  <c r="F758" i="3"/>
  <c r="H758" i="3" s="1"/>
  <c r="G758" i="3"/>
  <c r="A759" i="3"/>
  <c r="B759" i="3"/>
  <c r="C759" i="3"/>
  <c r="D759" i="3"/>
  <c r="E759" i="3"/>
  <c r="F759" i="3"/>
  <c r="G759" i="3"/>
  <c r="H759" i="3"/>
  <c r="I759" i="3" s="1"/>
  <c r="A760" i="3"/>
  <c r="B760" i="3"/>
  <c r="C760" i="3"/>
  <c r="D760" i="3"/>
  <c r="E760" i="3"/>
  <c r="F760" i="3"/>
  <c r="G760" i="3"/>
  <c r="H760" i="3" s="1"/>
  <c r="A761" i="3"/>
  <c r="B761" i="3"/>
  <c r="C761" i="3"/>
  <c r="I761" i="3" s="1"/>
  <c r="D761" i="3"/>
  <c r="E761" i="3"/>
  <c r="F761" i="3"/>
  <c r="G761" i="3"/>
  <c r="H761" i="3"/>
  <c r="A762" i="3"/>
  <c r="B762" i="3"/>
  <c r="C762" i="3"/>
  <c r="D762" i="3"/>
  <c r="E762" i="3"/>
  <c r="F762" i="3"/>
  <c r="H762" i="3" s="1"/>
  <c r="G762" i="3"/>
  <c r="A763" i="3"/>
  <c r="B763" i="3"/>
  <c r="C763" i="3"/>
  <c r="D763" i="3"/>
  <c r="E763" i="3"/>
  <c r="F763" i="3"/>
  <c r="G763" i="3"/>
  <c r="H763" i="3"/>
  <c r="I763" i="3" s="1"/>
  <c r="A764" i="3"/>
  <c r="B764" i="3"/>
  <c r="C764" i="3"/>
  <c r="D764" i="3"/>
  <c r="E764" i="3"/>
  <c r="F764" i="3"/>
  <c r="G764" i="3"/>
  <c r="H764" i="3" s="1"/>
  <c r="A765" i="3"/>
  <c r="B765" i="3"/>
  <c r="C765" i="3"/>
  <c r="D765" i="3"/>
  <c r="E765" i="3"/>
  <c r="F765" i="3"/>
  <c r="G765" i="3"/>
  <c r="H765" i="3"/>
  <c r="A766" i="3"/>
  <c r="B766" i="3"/>
  <c r="C766" i="3"/>
  <c r="D766" i="3"/>
  <c r="E766" i="3"/>
  <c r="F766" i="3"/>
  <c r="H766" i="3" s="1"/>
  <c r="G766" i="3"/>
  <c r="A767" i="3"/>
  <c r="B767" i="3"/>
  <c r="C767" i="3"/>
  <c r="D767" i="3"/>
  <c r="E767" i="3"/>
  <c r="F767" i="3"/>
  <c r="G767" i="3"/>
  <c r="H767" i="3"/>
  <c r="I767" i="3" s="1"/>
  <c r="A768" i="3"/>
  <c r="B768" i="3"/>
  <c r="C768" i="3"/>
  <c r="D768" i="3"/>
  <c r="E768" i="3"/>
  <c r="F768" i="3"/>
  <c r="G768" i="3"/>
  <c r="H768" i="3" s="1"/>
  <c r="A769" i="3"/>
  <c r="B769" i="3"/>
  <c r="C769" i="3"/>
  <c r="I769" i="3" s="1"/>
  <c r="D769" i="3"/>
  <c r="E769" i="3"/>
  <c r="F769" i="3"/>
  <c r="G769" i="3"/>
  <c r="H769" i="3"/>
  <c r="A770" i="3"/>
  <c r="B770" i="3"/>
  <c r="C770" i="3"/>
  <c r="D770" i="3"/>
  <c r="E770" i="3"/>
  <c r="F770" i="3"/>
  <c r="H770" i="3" s="1"/>
  <c r="G770" i="3"/>
  <c r="A771" i="3"/>
  <c r="B771" i="3"/>
  <c r="C771" i="3"/>
  <c r="D771" i="3"/>
  <c r="E771" i="3"/>
  <c r="F771" i="3"/>
  <c r="G771" i="3"/>
  <c r="H771" i="3"/>
  <c r="I771" i="3" s="1"/>
  <c r="A772" i="3"/>
  <c r="B772" i="3"/>
  <c r="C772" i="3"/>
  <c r="D772" i="3"/>
  <c r="E772" i="3"/>
  <c r="F772" i="3"/>
  <c r="G772" i="3"/>
  <c r="H772" i="3" s="1"/>
  <c r="A773" i="3"/>
  <c r="B773" i="3"/>
  <c r="C773" i="3"/>
  <c r="D773" i="3"/>
  <c r="E773" i="3"/>
  <c r="F773" i="3"/>
  <c r="G773" i="3"/>
  <c r="H773" i="3"/>
  <c r="A774" i="3"/>
  <c r="B774" i="3"/>
  <c r="C774" i="3"/>
  <c r="D774" i="3"/>
  <c r="E774" i="3"/>
  <c r="F774" i="3"/>
  <c r="H774" i="3" s="1"/>
  <c r="G774" i="3"/>
  <c r="A775" i="3"/>
  <c r="B775" i="3"/>
  <c r="C775" i="3"/>
  <c r="D775" i="3"/>
  <c r="E775" i="3"/>
  <c r="F775" i="3"/>
  <c r="G775" i="3"/>
  <c r="H775" i="3"/>
  <c r="I775" i="3" s="1"/>
  <c r="A776" i="3"/>
  <c r="B776" i="3"/>
  <c r="C776" i="3"/>
  <c r="D776" i="3"/>
  <c r="E776" i="3"/>
  <c r="F776" i="3"/>
  <c r="G776" i="3"/>
  <c r="H776" i="3" s="1"/>
  <c r="A777" i="3"/>
  <c r="B777" i="3"/>
  <c r="C777" i="3"/>
  <c r="I777" i="3" s="1"/>
  <c r="D777" i="3"/>
  <c r="E777" i="3"/>
  <c r="F777" i="3"/>
  <c r="G777" i="3"/>
  <c r="H777" i="3"/>
  <c r="A778" i="3"/>
  <c r="B778" i="3"/>
  <c r="C778" i="3"/>
  <c r="D778" i="3"/>
  <c r="E778" i="3"/>
  <c r="F778" i="3"/>
  <c r="H778" i="3" s="1"/>
  <c r="G778" i="3"/>
  <c r="A779" i="3"/>
  <c r="B779" i="3"/>
  <c r="C779" i="3"/>
  <c r="D779" i="3"/>
  <c r="E779" i="3"/>
  <c r="F779" i="3"/>
  <c r="G779" i="3"/>
  <c r="H779" i="3"/>
  <c r="I779" i="3" s="1"/>
  <c r="A780" i="3"/>
  <c r="B780" i="3"/>
  <c r="C780" i="3"/>
  <c r="D780" i="3"/>
  <c r="E780" i="3"/>
  <c r="F780" i="3"/>
  <c r="G780" i="3"/>
  <c r="H780" i="3" s="1"/>
  <c r="A781" i="3"/>
  <c r="B781" i="3"/>
  <c r="C781" i="3"/>
  <c r="D781" i="3"/>
  <c r="E781" i="3"/>
  <c r="F781" i="3"/>
  <c r="G781" i="3"/>
  <c r="H781" i="3"/>
  <c r="A782" i="3"/>
  <c r="B782" i="3"/>
  <c r="C782" i="3"/>
  <c r="D782" i="3"/>
  <c r="E782" i="3"/>
  <c r="F782" i="3"/>
  <c r="H782" i="3" s="1"/>
  <c r="G782" i="3"/>
  <c r="A783" i="3"/>
  <c r="B783" i="3"/>
  <c r="C783" i="3"/>
  <c r="D783" i="3"/>
  <c r="E783" i="3"/>
  <c r="F783" i="3"/>
  <c r="G783" i="3"/>
  <c r="H783" i="3"/>
  <c r="I783" i="3" s="1"/>
  <c r="A784" i="3"/>
  <c r="B784" i="3"/>
  <c r="C784" i="3"/>
  <c r="D784" i="3"/>
  <c r="E784" i="3"/>
  <c r="F784" i="3"/>
  <c r="G784" i="3"/>
  <c r="H784" i="3" s="1"/>
  <c r="A785" i="3"/>
  <c r="B785" i="3"/>
  <c r="C785" i="3"/>
  <c r="I785" i="3" s="1"/>
  <c r="D785" i="3"/>
  <c r="E785" i="3"/>
  <c r="F785" i="3"/>
  <c r="G785" i="3"/>
  <c r="H785" i="3"/>
  <c r="A786" i="3"/>
  <c r="B786" i="3"/>
  <c r="C786" i="3"/>
  <c r="D786" i="3"/>
  <c r="E786" i="3"/>
  <c r="F786" i="3"/>
  <c r="H786" i="3" s="1"/>
  <c r="G786" i="3"/>
  <c r="A787" i="3"/>
  <c r="B787" i="3"/>
  <c r="C787" i="3"/>
  <c r="D787" i="3"/>
  <c r="E787" i="3"/>
  <c r="F787" i="3"/>
  <c r="G787" i="3"/>
  <c r="H787" i="3"/>
  <c r="I787" i="3" s="1"/>
  <c r="A788" i="3"/>
  <c r="B788" i="3"/>
  <c r="C788" i="3"/>
  <c r="D788" i="3"/>
  <c r="E788" i="3"/>
  <c r="F788" i="3"/>
  <c r="G788" i="3"/>
  <c r="H788" i="3" s="1"/>
  <c r="A789" i="3"/>
  <c r="B789" i="3"/>
  <c r="C789" i="3"/>
  <c r="D789" i="3"/>
  <c r="E789" i="3"/>
  <c r="F789" i="3"/>
  <c r="G789" i="3"/>
  <c r="H789" i="3"/>
  <c r="A790" i="3"/>
  <c r="B790" i="3"/>
  <c r="C790" i="3"/>
  <c r="D790" i="3"/>
  <c r="E790" i="3"/>
  <c r="F790" i="3"/>
  <c r="H790" i="3" s="1"/>
  <c r="G790" i="3"/>
  <c r="A791" i="3"/>
  <c r="B791" i="3"/>
  <c r="C791" i="3"/>
  <c r="D791" i="3"/>
  <c r="E791" i="3"/>
  <c r="F791" i="3"/>
  <c r="G791" i="3"/>
  <c r="H791" i="3"/>
  <c r="I791" i="3" s="1"/>
  <c r="A792" i="3"/>
  <c r="B792" i="3"/>
  <c r="C792" i="3"/>
  <c r="D792" i="3"/>
  <c r="E792" i="3"/>
  <c r="F792" i="3"/>
  <c r="G792" i="3"/>
  <c r="H792" i="3" s="1"/>
  <c r="A793" i="3"/>
  <c r="B793" i="3"/>
  <c r="C793" i="3"/>
  <c r="I793" i="3" s="1"/>
  <c r="D793" i="3"/>
  <c r="E793" i="3"/>
  <c r="F793" i="3"/>
  <c r="G793" i="3"/>
  <c r="H793" i="3"/>
  <c r="A794" i="3"/>
  <c r="B794" i="3"/>
  <c r="C794" i="3"/>
  <c r="D794" i="3"/>
  <c r="E794" i="3"/>
  <c r="F794" i="3"/>
  <c r="H794" i="3" s="1"/>
  <c r="G794" i="3"/>
  <c r="A795" i="3"/>
  <c r="B795" i="3"/>
  <c r="C795" i="3"/>
  <c r="D795" i="3"/>
  <c r="E795" i="3"/>
  <c r="F795" i="3"/>
  <c r="G795" i="3"/>
  <c r="H795" i="3"/>
  <c r="I795" i="3" s="1"/>
  <c r="A796" i="3"/>
  <c r="B796" i="3"/>
  <c r="C796" i="3"/>
  <c r="D796" i="3"/>
  <c r="E796" i="3"/>
  <c r="F796" i="3"/>
  <c r="G796" i="3"/>
  <c r="H796" i="3" s="1"/>
  <c r="A797" i="3"/>
  <c r="B797" i="3"/>
  <c r="C797" i="3"/>
  <c r="D797" i="3"/>
  <c r="E797" i="3"/>
  <c r="F797" i="3"/>
  <c r="G797" i="3"/>
  <c r="H797" i="3"/>
  <c r="A798" i="3"/>
  <c r="B798" i="3"/>
  <c r="C798" i="3"/>
  <c r="D798" i="3"/>
  <c r="E798" i="3"/>
  <c r="F798" i="3"/>
  <c r="H798" i="3" s="1"/>
  <c r="G798" i="3"/>
  <c r="A799" i="3"/>
  <c r="B799" i="3"/>
  <c r="C799" i="3"/>
  <c r="D799" i="3"/>
  <c r="E799" i="3"/>
  <c r="F799" i="3"/>
  <c r="G799" i="3"/>
  <c r="H799" i="3"/>
  <c r="I799" i="3" s="1"/>
  <c r="A800" i="3"/>
  <c r="B800" i="3"/>
  <c r="C800" i="3"/>
  <c r="D800" i="3"/>
  <c r="E800" i="3"/>
  <c r="F800" i="3"/>
  <c r="G800" i="3"/>
  <c r="H800" i="3" s="1"/>
  <c r="A801" i="3"/>
  <c r="B801" i="3"/>
  <c r="C801" i="3"/>
  <c r="I801" i="3" s="1"/>
  <c r="D801" i="3"/>
  <c r="E801" i="3"/>
  <c r="F801" i="3"/>
  <c r="G801" i="3"/>
  <c r="H801" i="3"/>
  <c r="A802" i="3"/>
  <c r="B802" i="3"/>
  <c r="C802" i="3"/>
  <c r="D802" i="3"/>
  <c r="E802" i="3"/>
  <c r="F802" i="3"/>
  <c r="H802" i="3" s="1"/>
  <c r="G802" i="3"/>
  <c r="A803" i="3"/>
  <c r="B803" i="3"/>
  <c r="C803" i="3"/>
  <c r="D803" i="3"/>
  <c r="E803" i="3"/>
  <c r="F803" i="3"/>
  <c r="G803" i="3"/>
  <c r="H803" i="3"/>
  <c r="I803" i="3" s="1"/>
  <c r="A804" i="3"/>
  <c r="B804" i="3"/>
  <c r="C804" i="3"/>
  <c r="D804" i="3"/>
  <c r="E804" i="3"/>
  <c r="F804" i="3"/>
  <c r="G804" i="3"/>
  <c r="H804" i="3" s="1"/>
  <c r="A805" i="3"/>
  <c r="B805" i="3"/>
  <c r="C805" i="3"/>
  <c r="D805" i="3"/>
  <c r="E805" i="3"/>
  <c r="F805" i="3"/>
  <c r="G805" i="3"/>
  <c r="H805" i="3"/>
  <c r="A806" i="3"/>
  <c r="B806" i="3"/>
  <c r="C806" i="3"/>
  <c r="D806" i="3"/>
  <c r="E806" i="3"/>
  <c r="F806" i="3"/>
  <c r="H806" i="3" s="1"/>
  <c r="G806" i="3"/>
  <c r="A807" i="3"/>
  <c r="B807" i="3"/>
  <c r="C807" i="3"/>
  <c r="D807" i="3"/>
  <c r="E807" i="3"/>
  <c r="F807" i="3"/>
  <c r="G807" i="3"/>
  <c r="H807" i="3"/>
  <c r="I807" i="3" s="1"/>
  <c r="A808" i="3"/>
  <c r="B808" i="3"/>
  <c r="C808" i="3"/>
  <c r="D808" i="3"/>
  <c r="E808" i="3"/>
  <c r="F808" i="3"/>
  <c r="G808" i="3"/>
  <c r="H808" i="3" s="1"/>
  <c r="A809" i="3"/>
  <c r="B809" i="3"/>
  <c r="C809" i="3"/>
  <c r="I809" i="3" s="1"/>
  <c r="D809" i="3"/>
  <c r="E809" i="3"/>
  <c r="F809" i="3"/>
  <c r="G809" i="3"/>
  <c r="H809" i="3"/>
  <c r="A810" i="3"/>
  <c r="B810" i="3"/>
  <c r="C810" i="3"/>
  <c r="D810" i="3"/>
  <c r="E810" i="3"/>
  <c r="F810" i="3"/>
  <c r="H810" i="3" s="1"/>
  <c r="G810" i="3"/>
  <c r="A811" i="3"/>
  <c r="B811" i="3"/>
  <c r="C811" i="3"/>
  <c r="D811" i="3"/>
  <c r="E811" i="3"/>
  <c r="F811" i="3"/>
  <c r="G811" i="3"/>
  <c r="H811" i="3"/>
  <c r="I811" i="3" s="1"/>
  <c r="A812" i="3"/>
  <c r="B812" i="3"/>
  <c r="C812" i="3"/>
  <c r="D812" i="3"/>
  <c r="E812" i="3"/>
  <c r="F812" i="3"/>
  <c r="G812" i="3"/>
  <c r="H812" i="3" s="1"/>
  <c r="A813" i="3"/>
  <c r="B813" i="3"/>
  <c r="C813" i="3"/>
  <c r="D813" i="3"/>
  <c r="E813" i="3"/>
  <c r="F813" i="3"/>
  <c r="G813" i="3"/>
  <c r="H813" i="3"/>
  <c r="A814" i="3"/>
  <c r="B814" i="3"/>
  <c r="C814" i="3"/>
  <c r="D814" i="3"/>
  <c r="E814" i="3"/>
  <c r="F814" i="3"/>
  <c r="H814" i="3" s="1"/>
  <c r="G814" i="3"/>
  <c r="A815" i="3"/>
  <c r="B815" i="3"/>
  <c r="C815" i="3"/>
  <c r="D815" i="3"/>
  <c r="E815" i="3"/>
  <c r="F815" i="3"/>
  <c r="G815" i="3"/>
  <c r="H815" i="3"/>
  <c r="I815" i="3" s="1"/>
  <c r="A816" i="3"/>
  <c r="B816" i="3"/>
  <c r="C816" i="3"/>
  <c r="D816" i="3"/>
  <c r="E816" i="3"/>
  <c r="F816" i="3"/>
  <c r="G816" i="3"/>
  <c r="H816" i="3" s="1"/>
  <c r="A817" i="3"/>
  <c r="B817" i="3"/>
  <c r="C817" i="3"/>
  <c r="I817" i="3" s="1"/>
  <c r="D817" i="3"/>
  <c r="E817" i="3"/>
  <c r="F817" i="3"/>
  <c r="G817" i="3"/>
  <c r="H817" i="3"/>
  <c r="A818" i="3"/>
  <c r="B818" i="3"/>
  <c r="C818" i="3"/>
  <c r="D818" i="3"/>
  <c r="E818" i="3"/>
  <c r="F818" i="3"/>
  <c r="H818" i="3" s="1"/>
  <c r="G818" i="3"/>
  <c r="A819" i="3"/>
  <c r="B819" i="3"/>
  <c r="C819" i="3"/>
  <c r="D819" i="3"/>
  <c r="E819" i="3"/>
  <c r="F819" i="3"/>
  <c r="G819" i="3"/>
  <c r="H819" i="3"/>
  <c r="I819" i="3"/>
  <c r="A820" i="3"/>
  <c r="B820" i="3"/>
  <c r="C820" i="3"/>
  <c r="I820" i="3" s="1"/>
  <c r="D820" i="3"/>
  <c r="E820" i="3"/>
  <c r="F820" i="3"/>
  <c r="G820" i="3"/>
  <c r="H820" i="3" s="1"/>
  <c r="A821" i="3"/>
  <c r="B821" i="3"/>
  <c r="C821" i="3"/>
  <c r="D821" i="3"/>
  <c r="E821" i="3"/>
  <c r="F821" i="3"/>
  <c r="G821" i="3"/>
  <c r="H821" i="3"/>
  <c r="A822" i="3"/>
  <c r="B822" i="3"/>
  <c r="C822" i="3"/>
  <c r="D822" i="3"/>
  <c r="E822" i="3"/>
  <c r="F822" i="3"/>
  <c r="G822" i="3"/>
  <c r="A823" i="3"/>
  <c r="B823" i="3"/>
  <c r="C823" i="3"/>
  <c r="D823" i="3"/>
  <c r="E823" i="3"/>
  <c r="F823" i="3"/>
  <c r="G823" i="3"/>
  <c r="H823" i="3"/>
  <c r="I823" i="3"/>
  <c r="A824" i="3"/>
  <c r="B824" i="3"/>
  <c r="C824" i="3"/>
  <c r="D824" i="3"/>
  <c r="E824" i="3"/>
  <c r="F824" i="3"/>
  <c r="G824" i="3"/>
  <c r="H824" i="3" s="1"/>
  <c r="A825" i="3"/>
  <c r="B825" i="3"/>
  <c r="C825" i="3"/>
  <c r="I825" i="3" s="1"/>
  <c r="D825" i="3"/>
  <c r="E825" i="3"/>
  <c r="F825" i="3"/>
  <c r="G825" i="3"/>
  <c r="H825" i="3"/>
  <c r="A826" i="3"/>
  <c r="B826" i="3"/>
  <c r="C826" i="3"/>
  <c r="D826" i="3"/>
  <c r="E826" i="3"/>
  <c r="F826" i="3"/>
  <c r="G826" i="3"/>
  <c r="A827" i="3"/>
  <c r="B827" i="3"/>
  <c r="C827" i="3"/>
  <c r="D827" i="3"/>
  <c r="E827" i="3"/>
  <c r="F827" i="3"/>
  <c r="G827" i="3"/>
  <c r="H827" i="3"/>
  <c r="I827" i="3"/>
  <c r="A828" i="3"/>
  <c r="B828" i="3"/>
  <c r="C828" i="3"/>
  <c r="I828" i="3" s="1"/>
  <c r="D828" i="3"/>
  <c r="E828" i="3"/>
  <c r="F828" i="3"/>
  <c r="G828" i="3"/>
  <c r="H828" i="3" s="1"/>
  <c r="A829" i="3"/>
  <c r="B829" i="3"/>
  <c r="C829" i="3"/>
  <c r="I829" i="3" s="1"/>
  <c r="D829" i="3"/>
  <c r="E829" i="3"/>
  <c r="F829" i="3"/>
  <c r="G829" i="3"/>
  <c r="H829" i="3"/>
  <c r="A830" i="3"/>
  <c r="B830" i="3"/>
  <c r="C830" i="3"/>
  <c r="D830" i="3"/>
  <c r="E830" i="3"/>
  <c r="F830" i="3"/>
  <c r="G830" i="3"/>
  <c r="A831" i="3"/>
  <c r="B831" i="3"/>
  <c r="C831" i="3"/>
  <c r="D831" i="3"/>
  <c r="E831" i="3"/>
  <c r="F831" i="3"/>
  <c r="G831" i="3"/>
  <c r="H831" i="3"/>
  <c r="I831" i="3"/>
  <c r="A832" i="3"/>
  <c r="B832" i="3"/>
  <c r="C832" i="3"/>
  <c r="I832" i="3" s="1"/>
  <c r="D832" i="3"/>
  <c r="E832" i="3"/>
  <c r="F832" i="3"/>
  <c r="G832" i="3"/>
  <c r="H832" i="3" s="1"/>
  <c r="A833" i="3"/>
  <c r="B833" i="3"/>
  <c r="C833" i="3"/>
  <c r="D833" i="3"/>
  <c r="E833" i="3"/>
  <c r="F833" i="3"/>
  <c r="G833" i="3"/>
  <c r="H833" i="3"/>
  <c r="A834" i="3"/>
  <c r="B834" i="3"/>
  <c r="C834" i="3"/>
  <c r="D834" i="3"/>
  <c r="E834" i="3"/>
  <c r="F834" i="3"/>
  <c r="G834" i="3"/>
  <c r="A835" i="3"/>
  <c r="B835" i="3"/>
  <c r="C835" i="3"/>
  <c r="D835" i="3"/>
  <c r="E835" i="3"/>
  <c r="F835" i="3"/>
  <c r="G835" i="3"/>
  <c r="H835" i="3"/>
  <c r="I835" i="3" s="1"/>
  <c r="A836" i="3"/>
  <c r="B836" i="3"/>
  <c r="C836" i="3"/>
  <c r="D836" i="3"/>
  <c r="E836" i="3"/>
  <c r="F836" i="3"/>
  <c r="G836" i="3"/>
  <c r="H836" i="3" s="1"/>
  <c r="A837" i="3"/>
  <c r="B837" i="3"/>
  <c r="C837" i="3"/>
  <c r="D837" i="3"/>
  <c r="E837" i="3"/>
  <c r="F837" i="3"/>
  <c r="G837" i="3"/>
  <c r="H837" i="3"/>
  <c r="A838" i="3"/>
  <c r="B838" i="3"/>
  <c r="C838" i="3"/>
  <c r="D838" i="3"/>
  <c r="E838" i="3"/>
  <c r="F838" i="3"/>
  <c r="G838" i="3"/>
  <c r="A839" i="3"/>
  <c r="B839" i="3"/>
  <c r="C839" i="3"/>
  <c r="D839" i="3"/>
  <c r="E839" i="3"/>
  <c r="F839" i="3"/>
  <c r="G839" i="3"/>
  <c r="H839" i="3"/>
  <c r="I839" i="3"/>
  <c r="A840" i="3"/>
  <c r="B840" i="3"/>
  <c r="C840" i="3"/>
  <c r="D840" i="3"/>
  <c r="E840" i="3"/>
  <c r="F840" i="3"/>
  <c r="G840" i="3"/>
  <c r="H840" i="3" s="1"/>
  <c r="A841" i="3"/>
  <c r="B841" i="3"/>
  <c r="C841" i="3"/>
  <c r="D841" i="3"/>
  <c r="E841" i="3"/>
  <c r="F841" i="3"/>
  <c r="G841" i="3"/>
  <c r="H841" i="3"/>
  <c r="A842" i="3"/>
  <c r="B842" i="3"/>
  <c r="C842" i="3"/>
  <c r="D842" i="3"/>
  <c r="E842" i="3"/>
  <c r="F842" i="3"/>
  <c r="G842" i="3"/>
  <c r="A843" i="3"/>
  <c r="B843" i="3"/>
  <c r="C843" i="3"/>
  <c r="D843" i="3"/>
  <c r="E843" i="3"/>
  <c r="F843" i="3"/>
  <c r="G843" i="3"/>
  <c r="H843" i="3"/>
  <c r="I843" i="3" s="1"/>
  <c r="A844" i="3"/>
  <c r="B844" i="3"/>
  <c r="C844" i="3"/>
  <c r="I844" i="3" s="1"/>
  <c r="D844" i="3"/>
  <c r="E844" i="3"/>
  <c r="F844" i="3"/>
  <c r="G844" i="3"/>
  <c r="H844" i="3" s="1"/>
  <c r="A845" i="3"/>
  <c r="B845" i="3"/>
  <c r="C845" i="3"/>
  <c r="I845" i="3" s="1"/>
  <c r="D845" i="3"/>
  <c r="E845" i="3"/>
  <c r="F845" i="3"/>
  <c r="G845" i="3"/>
  <c r="H845" i="3"/>
  <c r="A846" i="3"/>
  <c r="B846" i="3"/>
  <c r="C846" i="3"/>
  <c r="D846" i="3"/>
  <c r="E846" i="3"/>
  <c r="F846" i="3"/>
  <c r="G846" i="3"/>
  <c r="A847" i="3"/>
  <c r="B847" i="3"/>
  <c r="C847" i="3"/>
  <c r="D847" i="3"/>
  <c r="E847" i="3"/>
  <c r="F847" i="3"/>
  <c r="G847" i="3"/>
  <c r="H847" i="3"/>
  <c r="I847" i="3" s="1"/>
  <c r="A848" i="3"/>
  <c r="B848" i="3"/>
  <c r="C848" i="3"/>
  <c r="D848" i="3"/>
  <c r="E848" i="3"/>
  <c r="F848" i="3"/>
  <c r="G848" i="3"/>
  <c r="H848" i="3" s="1"/>
  <c r="A849" i="3"/>
  <c r="B849" i="3"/>
  <c r="C849" i="3"/>
  <c r="I849" i="3" s="1"/>
  <c r="D849" i="3"/>
  <c r="E849" i="3"/>
  <c r="F849" i="3"/>
  <c r="G849" i="3"/>
  <c r="H849" i="3"/>
  <c r="A850" i="3"/>
  <c r="B850" i="3"/>
  <c r="C850" i="3"/>
  <c r="D850" i="3"/>
  <c r="E850" i="3"/>
  <c r="F850" i="3"/>
  <c r="G850" i="3"/>
  <c r="A851" i="3"/>
  <c r="B851" i="3"/>
  <c r="C851" i="3"/>
  <c r="D851" i="3"/>
  <c r="E851" i="3"/>
  <c r="F851" i="3"/>
  <c r="G851" i="3"/>
  <c r="H851" i="3"/>
  <c r="I851" i="3" s="1"/>
  <c r="A852" i="3"/>
  <c r="B852" i="3"/>
  <c r="C852" i="3"/>
  <c r="I852" i="3" s="1"/>
  <c r="D852" i="3"/>
  <c r="E852" i="3"/>
  <c r="F852" i="3"/>
  <c r="G852" i="3"/>
  <c r="H852" i="3" s="1"/>
  <c r="A853" i="3"/>
  <c r="B853" i="3"/>
  <c r="C853" i="3"/>
  <c r="D853" i="3"/>
  <c r="E853" i="3"/>
  <c r="F853" i="3"/>
  <c r="G853" i="3"/>
  <c r="H853" i="3"/>
  <c r="A854" i="3"/>
  <c r="B854" i="3"/>
  <c r="C854" i="3"/>
  <c r="D854" i="3"/>
  <c r="E854" i="3"/>
  <c r="F854" i="3"/>
  <c r="G854" i="3"/>
  <c r="A855" i="3"/>
  <c r="B855" i="3"/>
  <c r="C855" i="3"/>
  <c r="D855" i="3"/>
  <c r="E855" i="3"/>
  <c r="F855" i="3"/>
  <c r="G855" i="3"/>
  <c r="H855" i="3"/>
  <c r="I855" i="3"/>
  <c r="A856" i="3"/>
  <c r="B856" i="3"/>
  <c r="C856" i="3"/>
  <c r="I856" i="3" s="1"/>
  <c r="D856" i="3"/>
  <c r="E856" i="3"/>
  <c r="F856" i="3"/>
  <c r="G856" i="3"/>
  <c r="H856" i="3" s="1"/>
  <c r="A857" i="3"/>
  <c r="B857" i="3"/>
  <c r="C857" i="3"/>
  <c r="D857" i="3"/>
  <c r="E857" i="3"/>
  <c r="F857" i="3"/>
  <c r="G857" i="3"/>
  <c r="H857" i="3"/>
  <c r="A858" i="3"/>
  <c r="B858" i="3"/>
  <c r="C858" i="3"/>
  <c r="D858" i="3"/>
  <c r="E858" i="3"/>
  <c r="F858" i="3"/>
  <c r="G858" i="3"/>
  <c r="A859" i="3"/>
  <c r="B859" i="3"/>
  <c r="C859" i="3"/>
  <c r="D859" i="3"/>
  <c r="E859" i="3"/>
  <c r="F859" i="3"/>
  <c r="G859" i="3"/>
  <c r="H859" i="3"/>
  <c r="I859" i="3"/>
  <c r="A860" i="3"/>
  <c r="B860" i="3"/>
  <c r="C860" i="3"/>
  <c r="D860" i="3"/>
  <c r="E860" i="3"/>
  <c r="F860" i="3"/>
  <c r="G860" i="3"/>
  <c r="H860" i="3" s="1"/>
  <c r="A861" i="3"/>
  <c r="B861" i="3"/>
  <c r="C861" i="3"/>
  <c r="I861" i="3" s="1"/>
  <c r="D861" i="3"/>
  <c r="E861" i="3"/>
  <c r="F861" i="3"/>
  <c r="G861" i="3"/>
  <c r="H861" i="3"/>
  <c r="A862" i="3"/>
  <c r="B862" i="3"/>
  <c r="C862" i="3"/>
  <c r="D862" i="3"/>
  <c r="E862" i="3"/>
  <c r="F862" i="3"/>
  <c r="G862" i="3"/>
  <c r="A863" i="3"/>
  <c r="B863" i="3"/>
  <c r="C863" i="3"/>
  <c r="D863" i="3"/>
  <c r="E863" i="3"/>
  <c r="F863" i="3"/>
  <c r="G863" i="3"/>
  <c r="H863" i="3"/>
  <c r="I863" i="3"/>
  <c r="A864" i="3"/>
  <c r="B864" i="3"/>
  <c r="C864" i="3"/>
  <c r="D864" i="3"/>
  <c r="E864" i="3"/>
  <c r="F864" i="3"/>
  <c r="G864" i="3"/>
  <c r="H864" i="3" s="1"/>
  <c r="A865" i="3"/>
  <c r="B865" i="3"/>
  <c r="C865" i="3"/>
  <c r="I865" i="3" s="1"/>
  <c r="D865" i="3"/>
  <c r="E865" i="3"/>
  <c r="F865" i="3"/>
  <c r="G865" i="3"/>
  <c r="H865" i="3"/>
  <c r="A866" i="3"/>
  <c r="B866" i="3"/>
  <c r="C866" i="3"/>
  <c r="D866" i="3"/>
  <c r="E866" i="3"/>
  <c r="F866" i="3"/>
  <c r="G866" i="3"/>
  <c r="A867" i="3"/>
  <c r="B867" i="3"/>
  <c r="C867" i="3"/>
  <c r="D867" i="3"/>
  <c r="E867" i="3"/>
  <c r="F867" i="3"/>
  <c r="G867" i="3"/>
  <c r="H867" i="3"/>
  <c r="I867" i="3"/>
  <c r="A868" i="3"/>
  <c r="B868" i="3"/>
  <c r="C868" i="3"/>
  <c r="I868" i="3" s="1"/>
  <c r="D868" i="3"/>
  <c r="E868" i="3"/>
  <c r="F868" i="3"/>
  <c r="H868" i="3" s="1"/>
  <c r="G868" i="3"/>
  <c r="A869" i="3"/>
  <c r="B869" i="3"/>
  <c r="C869" i="3"/>
  <c r="I869" i="3" s="1"/>
  <c r="D869" i="3"/>
  <c r="E869" i="3"/>
  <c r="F869" i="3"/>
  <c r="G869" i="3"/>
  <c r="H869" i="3"/>
  <c r="A870" i="3"/>
  <c r="B870" i="3"/>
  <c r="C870" i="3"/>
  <c r="D870" i="3"/>
  <c r="E870" i="3"/>
  <c r="F870" i="3"/>
  <c r="G870" i="3"/>
  <c r="A871" i="3"/>
  <c r="B871" i="3"/>
  <c r="C871" i="3"/>
  <c r="D871" i="3"/>
  <c r="E871" i="3"/>
  <c r="F871" i="3"/>
  <c r="G871" i="3"/>
  <c r="H871" i="3"/>
  <c r="I871" i="3" s="1"/>
  <c r="A872" i="3"/>
  <c r="B872" i="3"/>
  <c r="C872" i="3"/>
  <c r="I872" i="3" s="1"/>
  <c r="D872" i="3"/>
  <c r="E872" i="3"/>
  <c r="F872" i="3"/>
  <c r="H872" i="3" s="1"/>
  <c r="G872" i="3"/>
  <c r="A873" i="3"/>
  <c r="B873" i="3"/>
  <c r="C873" i="3"/>
  <c r="D873" i="3"/>
  <c r="E873" i="3"/>
  <c r="F873" i="3"/>
  <c r="G873" i="3"/>
  <c r="H873" i="3"/>
  <c r="I873" i="3"/>
  <c r="A874" i="3"/>
  <c r="B874" i="3"/>
  <c r="C874" i="3"/>
  <c r="D874" i="3"/>
  <c r="E874" i="3"/>
  <c r="F874" i="3"/>
  <c r="G874" i="3"/>
  <c r="A875" i="3"/>
  <c r="B875" i="3"/>
  <c r="C875" i="3"/>
  <c r="I875" i="3" s="1"/>
  <c r="D875" i="3"/>
  <c r="E875" i="3"/>
  <c r="F875" i="3"/>
  <c r="G875" i="3"/>
  <c r="H875" i="3"/>
  <c r="A876" i="3"/>
  <c r="B876" i="3"/>
  <c r="C876" i="3"/>
  <c r="I876" i="3" s="1"/>
  <c r="D876" i="3"/>
  <c r="E876" i="3"/>
  <c r="F876" i="3"/>
  <c r="H876" i="3" s="1"/>
  <c r="G876" i="3"/>
  <c r="A877" i="3"/>
  <c r="B877" i="3"/>
  <c r="C877" i="3"/>
  <c r="D877" i="3"/>
  <c r="E877" i="3"/>
  <c r="F877" i="3"/>
  <c r="G877" i="3"/>
  <c r="H877" i="3"/>
  <c r="I877" i="3" s="1"/>
  <c r="A878" i="3"/>
  <c r="B878" i="3"/>
  <c r="C878" i="3"/>
  <c r="D878" i="3"/>
  <c r="E878" i="3"/>
  <c r="F878" i="3"/>
  <c r="G878" i="3"/>
  <c r="A879" i="3"/>
  <c r="B879" i="3"/>
  <c r="C879" i="3"/>
  <c r="D879" i="3"/>
  <c r="E879" i="3"/>
  <c r="F879" i="3"/>
  <c r="G879" i="3"/>
  <c r="H879" i="3"/>
  <c r="I879" i="3"/>
  <c r="A880" i="3"/>
  <c r="B880" i="3"/>
  <c r="C880" i="3"/>
  <c r="I880" i="3" s="1"/>
  <c r="D880" i="3"/>
  <c r="E880" i="3"/>
  <c r="F880" i="3"/>
  <c r="H880" i="3" s="1"/>
  <c r="G880" i="3"/>
  <c r="A881" i="3"/>
  <c r="B881" i="3"/>
  <c r="C881" i="3"/>
  <c r="I881" i="3" s="1"/>
  <c r="D881" i="3"/>
  <c r="E881" i="3"/>
  <c r="F881" i="3"/>
  <c r="G881" i="3"/>
  <c r="H881" i="3"/>
  <c r="A882" i="3"/>
  <c r="B882" i="3"/>
  <c r="C882" i="3"/>
  <c r="D882" i="3"/>
  <c r="E882" i="3"/>
  <c r="F882" i="3"/>
  <c r="G882" i="3"/>
  <c r="A883" i="3"/>
  <c r="B883" i="3"/>
  <c r="C883" i="3"/>
  <c r="D883" i="3"/>
  <c r="E883" i="3"/>
  <c r="F883" i="3"/>
  <c r="G883" i="3"/>
  <c r="H883" i="3"/>
  <c r="I883" i="3" s="1"/>
  <c r="A884" i="3"/>
  <c r="B884" i="3"/>
  <c r="C884" i="3"/>
  <c r="I884" i="3" s="1"/>
  <c r="D884" i="3"/>
  <c r="E884" i="3"/>
  <c r="F884" i="3"/>
  <c r="H884" i="3" s="1"/>
  <c r="G884" i="3"/>
  <c r="A885" i="3"/>
  <c r="B885" i="3"/>
  <c r="C885" i="3"/>
  <c r="D885" i="3"/>
  <c r="E885" i="3"/>
  <c r="F885" i="3"/>
  <c r="G885" i="3"/>
  <c r="H885" i="3"/>
  <c r="I885" i="3"/>
  <c r="A886" i="3"/>
  <c r="B886" i="3"/>
  <c r="C886" i="3"/>
  <c r="D886" i="3"/>
  <c r="E886" i="3"/>
  <c r="F886" i="3"/>
  <c r="G886" i="3"/>
  <c r="A887" i="3"/>
  <c r="B887" i="3"/>
  <c r="C887" i="3"/>
  <c r="I887" i="3" s="1"/>
  <c r="D887" i="3"/>
  <c r="E887" i="3"/>
  <c r="F887" i="3"/>
  <c r="G887" i="3"/>
  <c r="H887" i="3"/>
  <c r="A888" i="3"/>
  <c r="B888" i="3"/>
  <c r="C888" i="3"/>
  <c r="I888" i="3" s="1"/>
  <c r="D888" i="3"/>
  <c r="E888" i="3"/>
  <c r="F888" i="3"/>
  <c r="H888" i="3" s="1"/>
  <c r="G888" i="3"/>
  <c r="A889" i="3"/>
  <c r="B889" i="3"/>
  <c r="C889" i="3"/>
  <c r="D889" i="3"/>
  <c r="E889" i="3"/>
  <c r="F889" i="3"/>
  <c r="G889" i="3"/>
  <c r="H889" i="3"/>
  <c r="I889" i="3" s="1"/>
  <c r="A890" i="3"/>
  <c r="B890" i="3"/>
  <c r="C890" i="3"/>
  <c r="D890" i="3"/>
  <c r="E890" i="3"/>
  <c r="F890" i="3"/>
  <c r="G890" i="3"/>
  <c r="A891" i="3"/>
  <c r="B891" i="3"/>
  <c r="C891" i="3"/>
  <c r="D891" i="3"/>
  <c r="E891" i="3"/>
  <c r="F891" i="3"/>
  <c r="G891" i="3"/>
  <c r="H891" i="3"/>
  <c r="I891" i="3"/>
  <c r="A892" i="3"/>
  <c r="B892" i="3"/>
  <c r="C892" i="3"/>
  <c r="I892" i="3" s="1"/>
  <c r="D892" i="3"/>
  <c r="E892" i="3"/>
  <c r="F892" i="3"/>
  <c r="H892" i="3" s="1"/>
  <c r="G892" i="3"/>
  <c r="A893" i="3"/>
  <c r="B893" i="3"/>
  <c r="C893" i="3"/>
  <c r="I893" i="3" s="1"/>
  <c r="D893" i="3"/>
  <c r="E893" i="3"/>
  <c r="F893" i="3"/>
  <c r="G893" i="3"/>
  <c r="H893" i="3"/>
  <c r="A894" i="3"/>
  <c r="B894" i="3"/>
  <c r="C894" i="3"/>
  <c r="D894" i="3"/>
  <c r="E894" i="3"/>
  <c r="F894" i="3"/>
  <c r="G894" i="3"/>
  <c r="A895" i="3"/>
  <c r="B895" i="3"/>
  <c r="C895" i="3"/>
  <c r="D895" i="3"/>
  <c r="E895" i="3"/>
  <c r="F895" i="3"/>
  <c r="G895" i="3"/>
  <c r="H895" i="3"/>
  <c r="I895" i="3" s="1"/>
  <c r="A896" i="3"/>
  <c r="B896" i="3"/>
  <c r="C896" i="3"/>
  <c r="I896" i="3" s="1"/>
  <c r="D896" i="3"/>
  <c r="E896" i="3"/>
  <c r="F896" i="3"/>
  <c r="H896" i="3" s="1"/>
  <c r="G896" i="3"/>
  <c r="A897" i="3"/>
  <c r="B897" i="3"/>
  <c r="C897" i="3"/>
  <c r="D897" i="3"/>
  <c r="E897" i="3"/>
  <c r="F897" i="3"/>
  <c r="G897" i="3"/>
  <c r="H897" i="3"/>
  <c r="I897" i="3"/>
  <c r="A898" i="3"/>
  <c r="B898" i="3"/>
  <c r="C898" i="3"/>
  <c r="D898" i="3"/>
  <c r="E898" i="3"/>
  <c r="F898" i="3"/>
  <c r="G898" i="3"/>
  <c r="A899" i="3"/>
  <c r="B899" i="3"/>
  <c r="C899" i="3"/>
  <c r="I899" i="3" s="1"/>
  <c r="D899" i="3"/>
  <c r="E899" i="3"/>
  <c r="F899" i="3"/>
  <c r="G899" i="3"/>
  <c r="H899" i="3"/>
  <c r="A900" i="3"/>
  <c r="B900" i="3"/>
  <c r="C900" i="3"/>
  <c r="D900" i="3"/>
  <c r="E900" i="3"/>
  <c r="F900" i="3"/>
  <c r="G900" i="3"/>
  <c r="A901" i="3"/>
  <c r="B901" i="3"/>
  <c r="C901" i="3"/>
  <c r="D901" i="3"/>
  <c r="E901" i="3"/>
  <c r="F901" i="3"/>
  <c r="G901" i="3"/>
  <c r="H901" i="3"/>
  <c r="I901" i="3" s="1"/>
  <c r="A902" i="3"/>
  <c r="B902" i="3"/>
  <c r="C902" i="3"/>
  <c r="D902" i="3"/>
  <c r="E902" i="3"/>
  <c r="F902" i="3"/>
  <c r="G902" i="3"/>
  <c r="A903" i="3"/>
  <c r="B903" i="3"/>
  <c r="C903" i="3"/>
  <c r="D903" i="3"/>
  <c r="E903" i="3"/>
  <c r="F903" i="3"/>
  <c r="G903" i="3"/>
  <c r="H903" i="3"/>
  <c r="I903" i="3"/>
  <c r="A904" i="3"/>
  <c r="B904" i="3"/>
  <c r="C904" i="3"/>
  <c r="D904" i="3"/>
  <c r="E904" i="3"/>
  <c r="F904" i="3"/>
  <c r="G904" i="3"/>
  <c r="A905" i="3"/>
  <c r="B905" i="3"/>
  <c r="C905" i="3"/>
  <c r="I905" i="3" s="1"/>
  <c r="D905" i="3"/>
  <c r="E905" i="3"/>
  <c r="F905" i="3"/>
  <c r="G905" i="3"/>
  <c r="H905" i="3"/>
  <c r="A906" i="3"/>
  <c r="B906" i="3"/>
  <c r="C906" i="3"/>
  <c r="D906" i="3"/>
  <c r="E906" i="3"/>
  <c r="F906" i="3"/>
  <c r="G906" i="3"/>
  <c r="A907" i="3"/>
  <c r="B907" i="3"/>
  <c r="C907" i="3"/>
  <c r="D907" i="3"/>
  <c r="E907" i="3"/>
  <c r="F907" i="3"/>
  <c r="G907" i="3"/>
  <c r="H907" i="3"/>
  <c r="I907" i="3" s="1"/>
  <c r="A908" i="3"/>
  <c r="B908" i="3"/>
  <c r="C908" i="3"/>
  <c r="D908" i="3"/>
  <c r="E908" i="3"/>
  <c r="F908" i="3"/>
  <c r="G908" i="3"/>
  <c r="A909" i="3"/>
  <c r="B909" i="3"/>
  <c r="C909" i="3"/>
  <c r="D909" i="3"/>
  <c r="E909" i="3"/>
  <c r="F909" i="3"/>
  <c r="G909" i="3"/>
  <c r="H909" i="3"/>
  <c r="I909" i="3"/>
  <c r="A910" i="3"/>
  <c r="B910" i="3"/>
  <c r="C910" i="3"/>
  <c r="D910" i="3"/>
  <c r="E910" i="3"/>
  <c r="F910" i="3"/>
  <c r="G910" i="3"/>
  <c r="A911" i="3"/>
  <c r="B911" i="3"/>
  <c r="C911" i="3"/>
  <c r="I911" i="3" s="1"/>
  <c r="D911" i="3"/>
  <c r="E911" i="3"/>
  <c r="F911" i="3"/>
  <c r="G911" i="3"/>
  <c r="H911" i="3"/>
  <c r="A912" i="3"/>
  <c r="B912" i="3"/>
  <c r="C912" i="3"/>
  <c r="D912" i="3"/>
  <c r="E912" i="3"/>
  <c r="F912" i="3"/>
  <c r="G912" i="3"/>
  <c r="A913" i="3"/>
  <c r="B913" i="3"/>
  <c r="C913" i="3"/>
  <c r="D913" i="3"/>
  <c r="E913" i="3"/>
  <c r="F913" i="3"/>
  <c r="G913" i="3"/>
  <c r="I913" i="3" s="1"/>
  <c r="H913" i="3"/>
  <c r="A914" i="3"/>
  <c r="B914" i="3"/>
  <c r="C914" i="3"/>
  <c r="D914" i="3"/>
  <c r="E914" i="3"/>
  <c r="F914" i="3"/>
  <c r="G914" i="3"/>
  <c r="A915" i="3"/>
  <c r="B915" i="3"/>
  <c r="C915" i="3"/>
  <c r="D915" i="3"/>
  <c r="E915" i="3"/>
  <c r="F915" i="3"/>
  <c r="G915" i="3"/>
  <c r="H915" i="3"/>
  <c r="I915" i="3"/>
  <c r="A916" i="3"/>
  <c r="B916" i="3"/>
  <c r="C916" i="3"/>
  <c r="D916" i="3"/>
  <c r="E916" i="3"/>
  <c r="F916" i="3"/>
  <c r="G916" i="3"/>
  <c r="A917" i="3"/>
  <c r="B917" i="3"/>
  <c r="C917" i="3"/>
  <c r="I917" i="3" s="1"/>
  <c r="D917" i="3"/>
  <c r="E917" i="3"/>
  <c r="F917" i="3"/>
  <c r="G917" i="3"/>
  <c r="H917" i="3"/>
  <c r="A918" i="3"/>
  <c r="B918" i="3"/>
  <c r="C918" i="3"/>
  <c r="D918" i="3"/>
  <c r="E918" i="3"/>
  <c r="F918" i="3"/>
  <c r="G918" i="3"/>
  <c r="A919" i="3"/>
  <c r="B919" i="3"/>
  <c r="C919" i="3"/>
  <c r="D919" i="3"/>
  <c r="E919" i="3"/>
  <c r="F919" i="3"/>
  <c r="G919" i="3"/>
  <c r="H919" i="3"/>
  <c r="I919" i="3" s="1"/>
  <c r="A920" i="3"/>
  <c r="B920" i="3"/>
  <c r="C920" i="3"/>
  <c r="D920" i="3"/>
  <c r="E920" i="3"/>
  <c r="F920" i="3"/>
  <c r="G920" i="3"/>
  <c r="A921" i="3"/>
  <c r="B921" i="3"/>
  <c r="C921" i="3"/>
  <c r="D921" i="3"/>
  <c r="E921" i="3"/>
  <c r="F921" i="3"/>
  <c r="G921" i="3"/>
  <c r="H921" i="3"/>
  <c r="I921" i="3"/>
  <c r="A922" i="3"/>
  <c r="B922" i="3"/>
  <c r="C922" i="3"/>
  <c r="D922" i="3"/>
  <c r="E922" i="3"/>
  <c r="F922" i="3"/>
  <c r="G922" i="3"/>
  <c r="A923" i="3"/>
  <c r="B923" i="3"/>
  <c r="C923" i="3"/>
  <c r="I923" i="3" s="1"/>
  <c r="D923" i="3"/>
  <c r="E923" i="3"/>
  <c r="F923" i="3"/>
  <c r="G923" i="3"/>
  <c r="H923" i="3"/>
  <c r="A924" i="3"/>
  <c r="B924" i="3"/>
  <c r="C924" i="3"/>
  <c r="D924" i="3"/>
  <c r="E924" i="3"/>
  <c r="F924" i="3"/>
  <c r="G924" i="3"/>
  <c r="A925" i="3"/>
  <c r="B925" i="3"/>
  <c r="C925" i="3"/>
  <c r="D925" i="3"/>
  <c r="E925" i="3"/>
  <c r="F925" i="3"/>
  <c r="G925" i="3"/>
  <c r="I925" i="3" s="1"/>
  <c r="H925" i="3"/>
  <c r="A926" i="3"/>
  <c r="B926" i="3"/>
  <c r="C926" i="3"/>
  <c r="D926" i="3"/>
  <c r="E926" i="3"/>
  <c r="F926" i="3"/>
  <c r="G926" i="3"/>
  <c r="A927" i="3"/>
  <c r="B927" i="3"/>
  <c r="C927" i="3"/>
  <c r="D927" i="3"/>
  <c r="E927" i="3"/>
  <c r="F927" i="3"/>
  <c r="G927" i="3"/>
  <c r="H927" i="3"/>
  <c r="I927" i="3"/>
  <c r="A928" i="3"/>
  <c r="B928" i="3"/>
  <c r="C928" i="3"/>
  <c r="D928" i="3"/>
  <c r="E928" i="3"/>
  <c r="F928" i="3"/>
  <c r="G928" i="3"/>
  <c r="A929" i="3"/>
  <c r="B929" i="3"/>
  <c r="C929" i="3"/>
  <c r="I929" i="3" s="1"/>
  <c r="D929" i="3"/>
  <c r="E929" i="3"/>
  <c r="F929" i="3"/>
  <c r="G929" i="3"/>
  <c r="H929" i="3"/>
  <c r="A930" i="3"/>
  <c r="B930" i="3"/>
  <c r="C930" i="3"/>
  <c r="D930" i="3"/>
  <c r="E930" i="3"/>
  <c r="F930" i="3"/>
  <c r="G930" i="3"/>
  <c r="A931" i="3"/>
  <c r="B931" i="3"/>
  <c r="C931" i="3"/>
  <c r="D931" i="3"/>
  <c r="E931" i="3"/>
  <c r="F931" i="3"/>
  <c r="G931" i="3"/>
  <c r="H931" i="3"/>
  <c r="I931" i="3" s="1"/>
  <c r="A932" i="3"/>
  <c r="B932" i="3"/>
  <c r="C932" i="3"/>
  <c r="D932" i="3"/>
  <c r="E932" i="3"/>
  <c r="F932" i="3"/>
  <c r="G932" i="3"/>
  <c r="A933" i="3"/>
  <c r="B933" i="3"/>
  <c r="C933" i="3"/>
  <c r="D933" i="3"/>
  <c r="E933" i="3"/>
  <c r="F933" i="3"/>
  <c r="G933" i="3"/>
  <c r="H933" i="3"/>
  <c r="I933" i="3"/>
  <c r="A934" i="3"/>
  <c r="B934" i="3"/>
  <c r="C934" i="3"/>
  <c r="D934" i="3"/>
  <c r="E934" i="3"/>
  <c r="F934" i="3"/>
  <c r="G934" i="3"/>
  <c r="A935" i="3"/>
  <c r="B935" i="3"/>
  <c r="C935" i="3"/>
  <c r="I935" i="3" s="1"/>
  <c r="D935" i="3"/>
  <c r="E935" i="3"/>
  <c r="F935" i="3"/>
  <c r="G935" i="3"/>
  <c r="H935" i="3"/>
  <c r="A936" i="3"/>
  <c r="B936" i="3"/>
  <c r="C936" i="3"/>
  <c r="D936" i="3"/>
  <c r="E936" i="3"/>
  <c r="F936" i="3"/>
  <c r="G936" i="3"/>
  <c r="H936" i="3"/>
  <c r="A937" i="3"/>
  <c r="B937" i="3"/>
  <c r="C937" i="3"/>
  <c r="I937" i="3" s="1"/>
  <c r="D937" i="3"/>
  <c r="E937" i="3"/>
  <c r="F937" i="3"/>
  <c r="G937" i="3"/>
  <c r="H937" i="3" s="1"/>
  <c r="A938" i="3"/>
  <c r="B938" i="3"/>
  <c r="C938" i="3"/>
  <c r="D938" i="3"/>
  <c r="E938" i="3"/>
  <c r="F938" i="3"/>
  <c r="G938" i="3"/>
  <c r="A939" i="3"/>
  <c r="B939" i="3"/>
  <c r="C939" i="3"/>
  <c r="D939" i="3"/>
  <c r="E939" i="3"/>
  <c r="F939" i="3"/>
  <c r="G939" i="3"/>
  <c r="H939" i="3"/>
  <c r="A940" i="3"/>
  <c r="B940" i="3"/>
  <c r="C940" i="3"/>
  <c r="D940" i="3"/>
  <c r="E940" i="3"/>
  <c r="F940" i="3"/>
  <c r="H940" i="3" s="1"/>
  <c r="G940" i="3"/>
  <c r="A941" i="3"/>
  <c r="B941" i="3"/>
  <c r="C941" i="3"/>
  <c r="I941" i="3" s="1"/>
  <c r="D941" i="3"/>
  <c r="E941" i="3"/>
  <c r="F941" i="3"/>
  <c r="G941" i="3"/>
  <c r="H941" i="3"/>
  <c r="A942" i="3"/>
  <c r="B942" i="3"/>
  <c r="C942" i="3"/>
  <c r="D942" i="3"/>
  <c r="E942" i="3"/>
  <c r="F942" i="3"/>
  <c r="G942" i="3"/>
  <c r="A943" i="3"/>
  <c r="B943" i="3"/>
  <c r="C943" i="3"/>
  <c r="D943" i="3"/>
  <c r="E943" i="3"/>
  <c r="F943" i="3"/>
  <c r="G943" i="3"/>
  <c r="H943" i="3"/>
  <c r="I943" i="3"/>
  <c r="A944" i="3"/>
  <c r="B944" i="3"/>
  <c r="C944" i="3"/>
  <c r="D944" i="3"/>
  <c r="E944" i="3"/>
  <c r="F944" i="3"/>
  <c r="G944" i="3"/>
  <c r="H944" i="3" s="1"/>
  <c r="A945" i="3"/>
  <c r="B945" i="3"/>
  <c r="C945" i="3"/>
  <c r="D945" i="3"/>
  <c r="E945" i="3"/>
  <c r="F945" i="3"/>
  <c r="G945" i="3"/>
  <c r="A946" i="3"/>
  <c r="B946" i="3"/>
  <c r="C946" i="3"/>
  <c r="D946" i="3"/>
  <c r="E946" i="3"/>
  <c r="F946" i="3"/>
  <c r="G946" i="3"/>
  <c r="A947" i="3"/>
  <c r="B947" i="3"/>
  <c r="C947" i="3"/>
  <c r="D947" i="3"/>
  <c r="E947" i="3"/>
  <c r="F947" i="3"/>
  <c r="G947" i="3"/>
  <c r="H947" i="3"/>
  <c r="I947" i="3" s="1"/>
  <c r="A948" i="3"/>
  <c r="B948" i="3"/>
  <c r="C948" i="3"/>
  <c r="D948" i="3"/>
  <c r="E948" i="3"/>
  <c r="F948" i="3"/>
  <c r="H948" i="3" s="1"/>
  <c r="G948" i="3"/>
  <c r="A949" i="3"/>
  <c r="B949" i="3"/>
  <c r="C949" i="3"/>
  <c r="I949" i="3" s="1"/>
  <c r="D949" i="3"/>
  <c r="E949" i="3"/>
  <c r="F949" i="3"/>
  <c r="G949" i="3"/>
  <c r="H949" i="3"/>
  <c r="A950" i="3"/>
  <c r="B950" i="3"/>
  <c r="C950" i="3"/>
  <c r="D950" i="3"/>
  <c r="E950" i="3"/>
  <c r="F950" i="3"/>
  <c r="H950" i="3" s="1"/>
  <c r="G950" i="3"/>
  <c r="A951" i="3"/>
  <c r="B951" i="3"/>
  <c r="C951" i="3"/>
  <c r="I951" i="3" s="1"/>
  <c r="D951" i="3"/>
  <c r="E951" i="3"/>
  <c r="F951" i="3"/>
  <c r="G951" i="3"/>
  <c r="H951" i="3"/>
  <c r="A952" i="3"/>
  <c r="B952" i="3"/>
  <c r="C952" i="3"/>
  <c r="D952" i="3"/>
  <c r="E952" i="3"/>
  <c r="F952" i="3"/>
  <c r="H952" i="3" s="1"/>
  <c r="G952" i="3"/>
  <c r="A953" i="3"/>
  <c r="B953" i="3"/>
  <c r="C953" i="3"/>
  <c r="D953" i="3"/>
  <c r="E953" i="3"/>
  <c r="F953" i="3"/>
  <c r="H953" i="3" s="1"/>
  <c r="I953" i="3" s="1"/>
  <c r="G953" i="3"/>
  <c r="A954" i="3"/>
  <c r="B954" i="3"/>
  <c r="C954" i="3"/>
  <c r="D954" i="3"/>
  <c r="E954" i="3"/>
  <c r="F954" i="3"/>
  <c r="H954" i="3" s="1"/>
  <c r="G954" i="3"/>
  <c r="A955" i="3"/>
  <c r="B955" i="3"/>
  <c r="C955" i="3"/>
  <c r="I955" i="3" s="1"/>
  <c r="D955" i="3"/>
  <c r="E955" i="3"/>
  <c r="F955" i="3"/>
  <c r="G955" i="3"/>
  <c r="H955" i="3"/>
  <c r="A956" i="3"/>
  <c r="B956" i="3"/>
  <c r="C956" i="3"/>
  <c r="D956" i="3"/>
  <c r="E956" i="3"/>
  <c r="F956" i="3"/>
  <c r="G956" i="3"/>
  <c r="H956" i="3"/>
  <c r="A957" i="3"/>
  <c r="B957" i="3"/>
  <c r="C957" i="3"/>
  <c r="I957" i="3" s="1"/>
  <c r="D957" i="3"/>
  <c r="E957" i="3"/>
  <c r="F957" i="3"/>
  <c r="H957" i="3" s="1"/>
  <c r="G957" i="3"/>
  <c r="A958" i="3"/>
  <c r="B958" i="3"/>
  <c r="C958" i="3"/>
  <c r="D958" i="3"/>
  <c r="E958" i="3"/>
  <c r="F958" i="3"/>
  <c r="H958" i="3" s="1"/>
  <c r="G958" i="3"/>
  <c r="A959" i="3"/>
  <c r="B959" i="3"/>
  <c r="C959" i="3"/>
  <c r="I959" i="3" s="1"/>
  <c r="D959" i="3"/>
  <c r="E959" i="3"/>
  <c r="F959" i="3"/>
  <c r="G959" i="3"/>
  <c r="H959" i="3"/>
  <c r="A960" i="3"/>
  <c r="B960" i="3"/>
  <c r="C960" i="3"/>
  <c r="D960" i="3"/>
  <c r="E960" i="3"/>
  <c r="F960" i="3"/>
  <c r="H960" i="3" s="1"/>
  <c r="G960" i="3"/>
  <c r="A961" i="3"/>
  <c r="B961" i="3"/>
  <c r="C961" i="3"/>
  <c r="D961" i="3"/>
  <c r="E961" i="3"/>
  <c r="F961" i="3"/>
  <c r="G961" i="3"/>
  <c r="H961" i="3" s="1"/>
  <c r="A962" i="3"/>
  <c r="B962" i="3"/>
  <c r="C962" i="3"/>
  <c r="D962" i="3"/>
  <c r="E962" i="3"/>
  <c r="F962" i="3"/>
  <c r="G962" i="3"/>
  <c r="A963" i="3"/>
  <c r="B963" i="3"/>
  <c r="C963" i="3"/>
  <c r="D963" i="3"/>
  <c r="E963" i="3"/>
  <c r="F963" i="3"/>
  <c r="G963" i="3"/>
  <c r="H963" i="3"/>
  <c r="I963" i="3"/>
  <c r="A964" i="3"/>
  <c r="B964" i="3"/>
  <c r="C964" i="3"/>
  <c r="D964" i="3"/>
  <c r="E964" i="3"/>
  <c r="F964" i="3"/>
  <c r="H964" i="3" s="1"/>
  <c r="G964" i="3"/>
  <c r="A965" i="3"/>
  <c r="B965" i="3"/>
  <c r="C965" i="3"/>
  <c r="D965" i="3"/>
  <c r="E965" i="3"/>
  <c r="F965" i="3"/>
  <c r="H965" i="3" s="1"/>
  <c r="G965" i="3"/>
  <c r="A966" i="3"/>
  <c r="B966" i="3"/>
  <c r="C966" i="3"/>
  <c r="D966" i="3"/>
  <c r="E966" i="3"/>
  <c r="F966" i="3"/>
  <c r="G966" i="3"/>
  <c r="A967" i="3"/>
  <c r="B967" i="3"/>
  <c r="C967" i="3"/>
  <c r="D967" i="3"/>
  <c r="E967" i="3"/>
  <c r="F967" i="3"/>
  <c r="G967" i="3"/>
  <c r="H967" i="3"/>
  <c r="I967" i="3"/>
  <c r="A968" i="3"/>
  <c r="B968" i="3"/>
  <c r="C968" i="3"/>
  <c r="D968" i="3"/>
  <c r="E968" i="3"/>
  <c r="F968" i="3"/>
  <c r="G968" i="3"/>
  <c r="H968" i="3" s="1"/>
  <c r="A969" i="3"/>
  <c r="B969" i="3"/>
  <c r="C969" i="3"/>
  <c r="D969" i="3"/>
  <c r="E969" i="3"/>
  <c r="F969" i="3"/>
  <c r="G969" i="3"/>
  <c r="A970" i="3"/>
  <c r="B970" i="3"/>
  <c r="C970" i="3"/>
  <c r="D970" i="3"/>
  <c r="E970" i="3"/>
  <c r="F970" i="3"/>
  <c r="G970" i="3"/>
  <c r="A971" i="3"/>
  <c r="B971" i="3"/>
  <c r="C971" i="3"/>
  <c r="D971" i="3"/>
  <c r="E971" i="3"/>
  <c r="F971" i="3"/>
  <c r="G971" i="3"/>
  <c r="H971" i="3"/>
  <c r="I971" i="3" s="1"/>
  <c r="A972" i="3"/>
  <c r="B972" i="3"/>
  <c r="C972" i="3"/>
  <c r="D972" i="3"/>
  <c r="E972" i="3"/>
  <c r="F972" i="3"/>
  <c r="H972" i="3" s="1"/>
  <c r="G972" i="3"/>
  <c r="A973" i="3"/>
  <c r="B973" i="3"/>
  <c r="C973" i="3"/>
  <c r="D973" i="3"/>
  <c r="E973" i="3"/>
  <c r="F973" i="3"/>
  <c r="G973" i="3"/>
  <c r="H973" i="3"/>
  <c r="A974" i="3"/>
  <c r="B974" i="3"/>
  <c r="C974" i="3"/>
  <c r="D974" i="3"/>
  <c r="E974" i="3"/>
  <c r="F974" i="3"/>
  <c r="H974" i="3" s="1"/>
  <c r="G974" i="3"/>
  <c r="A975" i="3"/>
  <c r="B975" i="3"/>
  <c r="C975" i="3"/>
  <c r="I975" i="3" s="1"/>
  <c r="D975" i="3"/>
  <c r="E975" i="3"/>
  <c r="F975" i="3"/>
  <c r="G975" i="3"/>
  <c r="H975" i="3"/>
  <c r="A976" i="3"/>
  <c r="B976" i="3"/>
  <c r="C976" i="3"/>
  <c r="D976" i="3"/>
  <c r="E976" i="3"/>
  <c r="F976" i="3"/>
  <c r="H976" i="3" s="1"/>
  <c r="G976" i="3"/>
  <c r="A977" i="3"/>
  <c r="B977" i="3"/>
  <c r="C977" i="3"/>
  <c r="D977" i="3"/>
  <c r="E977" i="3"/>
  <c r="F977" i="3"/>
  <c r="H977" i="3" s="1"/>
  <c r="I977" i="3" s="1"/>
  <c r="G977" i="3"/>
  <c r="A978" i="3"/>
  <c r="B978" i="3"/>
  <c r="C978" i="3"/>
  <c r="D978" i="3"/>
  <c r="E978" i="3"/>
  <c r="F978" i="3"/>
  <c r="H978" i="3" s="1"/>
  <c r="G978" i="3"/>
  <c r="A979" i="3"/>
  <c r="B979" i="3"/>
  <c r="C979" i="3"/>
  <c r="I979" i="3" s="1"/>
  <c r="D979" i="3"/>
  <c r="E979" i="3"/>
  <c r="F979" i="3"/>
  <c r="G979" i="3"/>
  <c r="H979" i="3"/>
  <c r="A980" i="3"/>
  <c r="B980" i="3"/>
  <c r="C980" i="3"/>
  <c r="D980" i="3"/>
  <c r="E980" i="3"/>
  <c r="F980" i="3"/>
  <c r="G980" i="3"/>
  <c r="H980" i="3"/>
  <c r="A981" i="3"/>
  <c r="B981" i="3"/>
  <c r="C981" i="3"/>
  <c r="D981" i="3"/>
  <c r="E981" i="3"/>
  <c r="F981" i="3"/>
  <c r="H981" i="3" s="1"/>
  <c r="G981" i="3"/>
  <c r="A982" i="3"/>
  <c r="B982" i="3"/>
  <c r="C982" i="3"/>
  <c r="D982" i="3"/>
  <c r="E982" i="3"/>
  <c r="F982" i="3"/>
  <c r="H982" i="3" s="1"/>
  <c r="G982" i="3"/>
  <c r="A983" i="3"/>
  <c r="B983" i="3"/>
  <c r="C983" i="3"/>
  <c r="I983" i="3" s="1"/>
  <c r="D983" i="3"/>
  <c r="E983" i="3"/>
  <c r="F983" i="3"/>
  <c r="G983" i="3"/>
  <c r="H983" i="3"/>
  <c r="A984" i="3"/>
  <c r="B984" i="3"/>
  <c r="C984" i="3"/>
  <c r="D984" i="3"/>
  <c r="E984" i="3"/>
  <c r="F984" i="3"/>
  <c r="H984" i="3" s="1"/>
  <c r="G984" i="3"/>
  <c r="A985" i="3"/>
  <c r="B985" i="3"/>
  <c r="C985" i="3"/>
  <c r="D985" i="3"/>
  <c r="E985" i="3"/>
  <c r="F985" i="3"/>
  <c r="G985" i="3"/>
  <c r="H985" i="3" s="1"/>
  <c r="A986" i="3"/>
  <c r="B986" i="3"/>
  <c r="C986" i="3"/>
  <c r="D986" i="3"/>
  <c r="E986" i="3"/>
  <c r="F986" i="3"/>
  <c r="I986" i="3" s="1"/>
  <c r="G986" i="3"/>
  <c r="H986" i="3"/>
  <c r="A987" i="3"/>
  <c r="B987" i="3"/>
  <c r="C987" i="3"/>
  <c r="I987" i="3" s="1"/>
  <c r="D987" i="3"/>
  <c r="E987" i="3"/>
  <c r="F987" i="3"/>
  <c r="G987" i="3"/>
  <c r="H987" i="3"/>
  <c r="A988" i="3"/>
  <c r="B988" i="3"/>
  <c r="C988" i="3"/>
  <c r="D988" i="3"/>
  <c r="E988" i="3"/>
  <c r="F988" i="3"/>
  <c r="H988" i="3" s="1"/>
  <c r="G988" i="3"/>
  <c r="A989" i="3"/>
  <c r="B989" i="3"/>
  <c r="C989" i="3"/>
  <c r="D989" i="3"/>
  <c r="E989" i="3"/>
  <c r="F989" i="3"/>
  <c r="H989" i="3" s="1"/>
  <c r="G989" i="3"/>
  <c r="A990" i="3"/>
  <c r="B990" i="3"/>
  <c r="C990" i="3"/>
  <c r="D990" i="3"/>
  <c r="E990" i="3"/>
  <c r="F990" i="3"/>
  <c r="G990" i="3"/>
  <c r="A991" i="3"/>
  <c r="B991" i="3"/>
  <c r="C991" i="3"/>
  <c r="D991" i="3"/>
  <c r="E991" i="3"/>
  <c r="F991" i="3"/>
  <c r="G991" i="3"/>
  <c r="H991" i="3"/>
  <c r="I991" i="3"/>
  <c r="A992" i="3"/>
  <c r="B992" i="3"/>
  <c r="C992" i="3"/>
  <c r="D992" i="3"/>
  <c r="E992" i="3"/>
  <c r="F992" i="3"/>
  <c r="H992" i="3" s="1"/>
  <c r="G992" i="3"/>
  <c r="A993" i="3"/>
  <c r="B993" i="3"/>
  <c r="C993" i="3"/>
  <c r="I993" i="3" s="1"/>
  <c r="D993" i="3"/>
  <c r="E993" i="3"/>
  <c r="F993" i="3"/>
  <c r="H993" i="3" s="1"/>
  <c r="G993" i="3"/>
  <c r="A994" i="3"/>
  <c r="B994" i="3"/>
  <c r="C994" i="3"/>
  <c r="D994" i="3"/>
  <c r="E994" i="3"/>
  <c r="F994" i="3"/>
  <c r="G994" i="3"/>
  <c r="A995" i="3"/>
  <c r="B995" i="3"/>
  <c r="C995" i="3"/>
  <c r="D995" i="3"/>
  <c r="E995" i="3"/>
  <c r="F995" i="3"/>
  <c r="G995" i="3"/>
  <c r="H995" i="3"/>
  <c r="I995" i="3"/>
  <c r="A996" i="3"/>
  <c r="B996" i="3"/>
  <c r="C996" i="3"/>
  <c r="D996" i="3"/>
  <c r="E996" i="3"/>
  <c r="F996" i="3"/>
  <c r="H996" i="3" s="1"/>
  <c r="G996" i="3"/>
  <c r="A997" i="3"/>
  <c r="B997" i="3"/>
  <c r="C997" i="3"/>
  <c r="I997" i="3" s="1"/>
  <c r="D997" i="3"/>
  <c r="E997" i="3"/>
  <c r="F997" i="3"/>
  <c r="G997" i="3"/>
  <c r="H997" i="3"/>
  <c r="A998" i="3"/>
  <c r="B998" i="3"/>
  <c r="C998" i="3"/>
  <c r="D998" i="3"/>
  <c r="E998" i="3"/>
  <c r="F998" i="3"/>
  <c r="G998" i="3"/>
  <c r="I998" i="3" s="1"/>
  <c r="H998" i="3"/>
  <c r="A999" i="3"/>
  <c r="B999" i="3"/>
  <c r="C999" i="3"/>
  <c r="D999" i="3"/>
  <c r="E999" i="3"/>
  <c r="F999" i="3"/>
  <c r="G999" i="3"/>
  <c r="H999" i="3"/>
  <c r="I999" i="3"/>
  <c r="A1000" i="3"/>
  <c r="B1000" i="3"/>
  <c r="C1000" i="3"/>
  <c r="D1000" i="3"/>
  <c r="E1000" i="3"/>
  <c r="F1000" i="3"/>
  <c r="G1000" i="3"/>
  <c r="H1000" i="3" s="1"/>
  <c r="A1001" i="3"/>
  <c r="B1001" i="3"/>
  <c r="C1001" i="3"/>
  <c r="D1001" i="3"/>
  <c r="E1001" i="3"/>
  <c r="F1001" i="3"/>
  <c r="G1001" i="3"/>
  <c r="A1002" i="3"/>
  <c r="B1002" i="3"/>
  <c r="C1002" i="3"/>
  <c r="D1002" i="3"/>
  <c r="E1002" i="3"/>
  <c r="F1002" i="3"/>
  <c r="G1002" i="3"/>
  <c r="H1002" i="3"/>
  <c r="I1002" i="3"/>
  <c r="A1003" i="3"/>
  <c r="B1003" i="3"/>
  <c r="C1003" i="3"/>
  <c r="I1003" i="3" s="1"/>
  <c r="D1003" i="3"/>
  <c r="E1003" i="3"/>
  <c r="F1003" i="3"/>
  <c r="G1003" i="3"/>
  <c r="H1003" i="3"/>
  <c r="A1004" i="3"/>
  <c r="B1004" i="3"/>
  <c r="C1004" i="3"/>
  <c r="I1004" i="3" s="1"/>
  <c r="D1004" i="3"/>
  <c r="E1004" i="3"/>
  <c r="F1004" i="3"/>
  <c r="H1004" i="3" s="1"/>
  <c r="G1004" i="3"/>
  <c r="A1005" i="3"/>
  <c r="B1005" i="3"/>
  <c r="C1005" i="3"/>
  <c r="D1005" i="3"/>
  <c r="E1005" i="3"/>
  <c r="F1005" i="3"/>
  <c r="G1005" i="3"/>
  <c r="A1006" i="3"/>
  <c r="B1006" i="3"/>
  <c r="C1006" i="3"/>
  <c r="D1006" i="3"/>
  <c r="E1006" i="3"/>
  <c r="F1006" i="3"/>
  <c r="H1006" i="3" s="1"/>
  <c r="I1006" i="3" s="1"/>
  <c r="G1006" i="3"/>
  <c r="A1007" i="3"/>
  <c r="B1007" i="3"/>
  <c r="C1007" i="3"/>
  <c r="D1007" i="3"/>
  <c r="E1007" i="3"/>
  <c r="F1007" i="3"/>
  <c r="G1007" i="3"/>
  <c r="H1007" i="3"/>
  <c r="I1007" i="3" s="1"/>
  <c r="A1008" i="3"/>
  <c r="B1008" i="3"/>
  <c r="C1008" i="3"/>
  <c r="I1008" i="3" s="1"/>
  <c r="D1008" i="3"/>
  <c r="E1008" i="3"/>
  <c r="F1008" i="3"/>
  <c r="H1008" i="3" s="1"/>
  <c r="G1008" i="3"/>
  <c r="A1009" i="3"/>
  <c r="B1009" i="3"/>
  <c r="C1009" i="3"/>
  <c r="I1009" i="3" s="1"/>
  <c r="D1009" i="3"/>
  <c r="E1009" i="3"/>
  <c r="F1009" i="3"/>
  <c r="G1009" i="3"/>
  <c r="H1009" i="3"/>
  <c r="A1010" i="3"/>
  <c r="B1010" i="3"/>
  <c r="C1010" i="3"/>
  <c r="D1010" i="3"/>
  <c r="E1010" i="3"/>
  <c r="F1010" i="3"/>
  <c r="H1010" i="3" s="1"/>
  <c r="G1010" i="3"/>
  <c r="A1011" i="3"/>
  <c r="B1011" i="3"/>
  <c r="C1011" i="3"/>
  <c r="D1011" i="3"/>
  <c r="E1011" i="3"/>
  <c r="F1011" i="3"/>
  <c r="G1011" i="3"/>
  <c r="H1011" i="3"/>
  <c r="I1011" i="3"/>
  <c r="A1012" i="3"/>
  <c r="B1012" i="3"/>
  <c r="C1012" i="3"/>
  <c r="D1012" i="3"/>
  <c r="E1012" i="3"/>
  <c r="F1012" i="3"/>
  <c r="G1012" i="3"/>
  <c r="H1012" i="3"/>
  <c r="A1013" i="3"/>
  <c r="B1013" i="3"/>
  <c r="C1013" i="3"/>
  <c r="D1013" i="3"/>
  <c r="E1013" i="3"/>
  <c r="F1013" i="3"/>
  <c r="G1013" i="3"/>
  <c r="H1013" i="3"/>
  <c r="I1013" i="3"/>
  <c r="A1014" i="3"/>
  <c r="B1014" i="3"/>
  <c r="C1014" i="3"/>
  <c r="D1014" i="3"/>
  <c r="E1014" i="3"/>
  <c r="F1014" i="3"/>
  <c r="H1014" i="3" s="1"/>
  <c r="G1014" i="3"/>
  <c r="A1015" i="3"/>
  <c r="B1015" i="3"/>
  <c r="C1015" i="3"/>
  <c r="I1015" i="3" s="1"/>
  <c r="D1015" i="3"/>
  <c r="E1015" i="3"/>
  <c r="F1015" i="3"/>
  <c r="G1015" i="3"/>
  <c r="H1015" i="3"/>
  <c r="A1016" i="3"/>
  <c r="B1016" i="3"/>
  <c r="C1016" i="3"/>
  <c r="D1016" i="3"/>
  <c r="E1016" i="3"/>
  <c r="F1016" i="3"/>
  <c r="H1016" i="3" s="1"/>
  <c r="G1016" i="3"/>
  <c r="A1017" i="3"/>
  <c r="B1017" i="3"/>
  <c r="C1017" i="3"/>
  <c r="D1017" i="3"/>
  <c r="E1017" i="3"/>
  <c r="F1017" i="3"/>
  <c r="H1017" i="3" s="1"/>
  <c r="I1017" i="3" s="1"/>
  <c r="G1017" i="3"/>
  <c r="A1018" i="3"/>
  <c r="B1018" i="3"/>
  <c r="C1018" i="3"/>
  <c r="D1018" i="3"/>
  <c r="E1018" i="3"/>
  <c r="F1018" i="3"/>
  <c r="H1018" i="3" s="1"/>
  <c r="G1018" i="3"/>
  <c r="A1019" i="3"/>
  <c r="B1019" i="3"/>
  <c r="C1019" i="3"/>
  <c r="I1019" i="3" s="1"/>
  <c r="D1019" i="3"/>
  <c r="E1019" i="3"/>
  <c r="F1019" i="3"/>
  <c r="G1019" i="3"/>
  <c r="H1019" i="3"/>
  <c r="A1020" i="3"/>
  <c r="B1020" i="3"/>
  <c r="C1020" i="3"/>
  <c r="D1020" i="3"/>
  <c r="E1020" i="3"/>
  <c r="F1020" i="3"/>
  <c r="H1020" i="3" s="1"/>
  <c r="G1020" i="3"/>
  <c r="A1021" i="3"/>
  <c r="B1021" i="3"/>
  <c r="C1021" i="3"/>
  <c r="D1021" i="3"/>
  <c r="E1021" i="3"/>
  <c r="F1021" i="3"/>
  <c r="H1021" i="3" s="1"/>
  <c r="G1021" i="3"/>
  <c r="A1022" i="3"/>
  <c r="B1022" i="3"/>
  <c r="C1022" i="3"/>
  <c r="D1022" i="3"/>
  <c r="E1022" i="3"/>
  <c r="F1022" i="3"/>
  <c r="G1022" i="3"/>
  <c r="H1022" i="3" s="1"/>
  <c r="A1023" i="3"/>
  <c r="B1023" i="3"/>
  <c r="C1023" i="3"/>
  <c r="I1023" i="3" s="1"/>
  <c r="D1023" i="3"/>
  <c r="E1023" i="3"/>
  <c r="F1023" i="3"/>
  <c r="G1023" i="3"/>
  <c r="H1023" i="3"/>
  <c r="A1024" i="3"/>
  <c r="B1024" i="3"/>
  <c r="C1024" i="3"/>
  <c r="D1024" i="3"/>
  <c r="E1024" i="3"/>
  <c r="F1024" i="3"/>
  <c r="G1024" i="3"/>
  <c r="H1024" i="3"/>
  <c r="A1025" i="3"/>
  <c r="B1025" i="3"/>
  <c r="C1025" i="3"/>
  <c r="I1025" i="3" s="1"/>
  <c r="D1025" i="3"/>
  <c r="E1025" i="3"/>
  <c r="F1025" i="3"/>
  <c r="H1025" i="3" s="1"/>
  <c r="G1025" i="3"/>
  <c r="A1026" i="3"/>
  <c r="B1026" i="3"/>
  <c r="C1026" i="3"/>
  <c r="D1026" i="3"/>
  <c r="E1026" i="3"/>
  <c r="F1026" i="3"/>
  <c r="H1026" i="3" s="1"/>
  <c r="G1026" i="3"/>
  <c r="I1026" i="3"/>
  <c r="A1027" i="3"/>
  <c r="B1027" i="3"/>
  <c r="C1027" i="3"/>
  <c r="D1027" i="3"/>
  <c r="E1027" i="3"/>
  <c r="F1027" i="3"/>
  <c r="G1027" i="3"/>
  <c r="H1027" i="3"/>
  <c r="I1027" i="3"/>
  <c r="A1028" i="3"/>
  <c r="B1028" i="3"/>
  <c r="C1028" i="3"/>
  <c r="D1028" i="3"/>
  <c r="E1028" i="3"/>
  <c r="F1028" i="3"/>
  <c r="G1028" i="3"/>
  <c r="H1028" i="3"/>
  <c r="A1029" i="3"/>
  <c r="B1029" i="3"/>
  <c r="C1029" i="3"/>
  <c r="D1029" i="3"/>
  <c r="E1029" i="3"/>
  <c r="F1029" i="3"/>
  <c r="H1029" i="3" s="1"/>
  <c r="G1029" i="3"/>
  <c r="A1030" i="3"/>
  <c r="B1030" i="3"/>
  <c r="C1030" i="3"/>
  <c r="D1030" i="3"/>
  <c r="E1030" i="3"/>
  <c r="F1030" i="3"/>
  <c r="H1030" i="3" s="1"/>
  <c r="G1030" i="3"/>
  <c r="I1030" i="3" s="1"/>
  <c r="A1031" i="3"/>
  <c r="B1031" i="3"/>
  <c r="C1031" i="3"/>
  <c r="I1031" i="3" s="1"/>
  <c r="D1031" i="3"/>
  <c r="E1031" i="3"/>
  <c r="F1031" i="3"/>
  <c r="G1031" i="3"/>
  <c r="H1031" i="3"/>
  <c r="A1032" i="3"/>
  <c r="B1032" i="3"/>
  <c r="C1032" i="3"/>
  <c r="D1032" i="3"/>
  <c r="E1032" i="3"/>
  <c r="F1032" i="3"/>
  <c r="H1032" i="3" s="1"/>
  <c r="G1032" i="3"/>
  <c r="A1033" i="3"/>
  <c r="B1033" i="3"/>
  <c r="C1033" i="3"/>
  <c r="D1033" i="3"/>
  <c r="E1033" i="3"/>
  <c r="F1033" i="3"/>
  <c r="G1033" i="3"/>
  <c r="H1033" i="3" s="1"/>
  <c r="A1034" i="3"/>
  <c r="B1034" i="3"/>
  <c r="C1034" i="3"/>
  <c r="D1034" i="3"/>
  <c r="E1034" i="3"/>
  <c r="F1034" i="3"/>
  <c r="I1034" i="3" s="1"/>
  <c r="G1034" i="3"/>
  <c r="H1034" i="3"/>
  <c r="A1035" i="3"/>
  <c r="B1035" i="3"/>
  <c r="C1035" i="3"/>
  <c r="D1035" i="3"/>
  <c r="E1035" i="3"/>
  <c r="F1035" i="3"/>
  <c r="G1035" i="3"/>
  <c r="H1035" i="3"/>
  <c r="A1036" i="3"/>
  <c r="B1036" i="3"/>
  <c r="C1036" i="3"/>
  <c r="D1036" i="3"/>
  <c r="E1036" i="3"/>
  <c r="F1036" i="3"/>
  <c r="H1036" i="3" s="1"/>
  <c r="G1036" i="3"/>
  <c r="A1037" i="3"/>
  <c r="B1037" i="3"/>
  <c r="C1037" i="3"/>
  <c r="I1037" i="3" s="1"/>
  <c r="D1037" i="3"/>
  <c r="E1037" i="3"/>
  <c r="F1037" i="3"/>
  <c r="H1037" i="3" s="1"/>
  <c r="G1037" i="3"/>
  <c r="A1038" i="3"/>
  <c r="B1038" i="3"/>
  <c r="C1038" i="3"/>
  <c r="D1038" i="3"/>
  <c r="E1038" i="3"/>
  <c r="F1038" i="3"/>
  <c r="G1038" i="3"/>
  <c r="A1039" i="3"/>
  <c r="B1039" i="3"/>
  <c r="C1039" i="3"/>
  <c r="D1039" i="3"/>
  <c r="E1039" i="3"/>
  <c r="F1039" i="3"/>
  <c r="G1039" i="3"/>
  <c r="H1039" i="3"/>
  <c r="I1039" i="3"/>
  <c r="A1040" i="3"/>
  <c r="B1040" i="3"/>
  <c r="C1040" i="3"/>
  <c r="D1040" i="3"/>
  <c r="E1040" i="3"/>
  <c r="F1040" i="3"/>
  <c r="H1040" i="3" s="1"/>
  <c r="G1040" i="3"/>
  <c r="A1041" i="3"/>
  <c r="B1041" i="3"/>
  <c r="C1041" i="3"/>
  <c r="D1041" i="3"/>
  <c r="E1041" i="3"/>
  <c r="F1041" i="3"/>
  <c r="H1041" i="3" s="1"/>
  <c r="G1041" i="3"/>
  <c r="A1042" i="3"/>
  <c r="B1042" i="3"/>
  <c r="C1042" i="3"/>
  <c r="D1042" i="3"/>
  <c r="E1042" i="3"/>
  <c r="F1042" i="3"/>
  <c r="H1042" i="3" s="1"/>
  <c r="G1042" i="3"/>
  <c r="A1043" i="3"/>
  <c r="B1043" i="3"/>
  <c r="C1043" i="3"/>
  <c r="D1043" i="3"/>
  <c r="E1043" i="3"/>
  <c r="F1043" i="3"/>
  <c r="G1043" i="3"/>
  <c r="H1043" i="3"/>
  <c r="I1043" i="3"/>
  <c r="A1044" i="3"/>
  <c r="B1044" i="3"/>
  <c r="C1044" i="3"/>
  <c r="D1044" i="3"/>
  <c r="E1044" i="3"/>
  <c r="F1044" i="3"/>
  <c r="H1044" i="3" s="1"/>
  <c r="G1044" i="3"/>
  <c r="A1045" i="3"/>
  <c r="B1045" i="3"/>
  <c r="C1045" i="3"/>
  <c r="I1045" i="3" s="1"/>
  <c r="D1045" i="3"/>
  <c r="E1045" i="3"/>
  <c r="F1045" i="3"/>
  <c r="G1045" i="3"/>
  <c r="H1045" i="3"/>
  <c r="A1046" i="3"/>
  <c r="B1046" i="3"/>
  <c r="C1046" i="3"/>
  <c r="D1046" i="3"/>
  <c r="E1046" i="3"/>
  <c r="F1046" i="3"/>
  <c r="G1046" i="3"/>
  <c r="I1046" i="3" s="1"/>
  <c r="H1046" i="3"/>
  <c r="A1047" i="3"/>
  <c r="B1047" i="3"/>
  <c r="C1047" i="3"/>
  <c r="D1047" i="3"/>
  <c r="E1047" i="3"/>
  <c r="F1047" i="3"/>
  <c r="G1047" i="3"/>
  <c r="H1047" i="3"/>
  <c r="I1047" i="3"/>
  <c r="A1048" i="3"/>
  <c r="B1048" i="3"/>
  <c r="C1048" i="3"/>
  <c r="D1048" i="3"/>
  <c r="E1048" i="3"/>
  <c r="F1048" i="3"/>
  <c r="G1048" i="3"/>
  <c r="H1048" i="3" s="1"/>
  <c r="A1049" i="3"/>
  <c r="B1049" i="3"/>
  <c r="C1049" i="3"/>
  <c r="D1049" i="3"/>
  <c r="E1049" i="3"/>
  <c r="F1049" i="3"/>
  <c r="G1049" i="3"/>
  <c r="A1050" i="3"/>
  <c r="B1050" i="3"/>
  <c r="C1050" i="3"/>
  <c r="D1050" i="3"/>
  <c r="E1050" i="3"/>
  <c r="F1050" i="3"/>
  <c r="G1050" i="3"/>
  <c r="H1050" i="3"/>
  <c r="I1050" i="3"/>
  <c r="A1051" i="3"/>
  <c r="B1051" i="3"/>
  <c r="C1051" i="3"/>
  <c r="I1051" i="3" s="1"/>
  <c r="D1051" i="3"/>
  <c r="E1051" i="3"/>
  <c r="F1051" i="3"/>
  <c r="G1051" i="3"/>
  <c r="H1051" i="3"/>
  <c r="A1052" i="3"/>
  <c r="B1052" i="3"/>
  <c r="C1052" i="3"/>
  <c r="D1052" i="3"/>
  <c r="E1052" i="3"/>
  <c r="F1052" i="3"/>
  <c r="H1052" i="3" s="1"/>
  <c r="G1052" i="3"/>
  <c r="A1053" i="3"/>
  <c r="B1053" i="3"/>
  <c r="C1053" i="3"/>
  <c r="D1053" i="3"/>
  <c r="E1053" i="3"/>
  <c r="F1053" i="3"/>
  <c r="G1053" i="3"/>
  <c r="A1054" i="3"/>
  <c r="B1054" i="3"/>
  <c r="C1054" i="3"/>
  <c r="D1054" i="3"/>
  <c r="E1054" i="3"/>
  <c r="F1054" i="3"/>
  <c r="H1054" i="3" s="1"/>
  <c r="I1054" i="3" s="1"/>
  <c r="G1054" i="3"/>
  <c r="A1055" i="3"/>
  <c r="B1055" i="3"/>
  <c r="C1055" i="3"/>
  <c r="D1055" i="3"/>
  <c r="E1055" i="3"/>
  <c r="F1055" i="3"/>
  <c r="G1055" i="3"/>
  <c r="H1055" i="3"/>
  <c r="I1055" i="3" s="1"/>
  <c r="A1056" i="3"/>
  <c r="B1056" i="3"/>
  <c r="C1056" i="3"/>
  <c r="D1056" i="3"/>
  <c r="E1056" i="3"/>
  <c r="F1056" i="3"/>
  <c r="H1056" i="3" s="1"/>
  <c r="G1056" i="3"/>
  <c r="A1057" i="3"/>
  <c r="B1057" i="3"/>
  <c r="C1057" i="3"/>
  <c r="D1057" i="3"/>
  <c r="E1057" i="3"/>
  <c r="F1057" i="3"/>
  <c r="G1057" i="3"/>
  <c r="H1057" i="3"/>
  <c r="A1058" i="3"/>
  <c r="B1058" i="3"/>
  <c r="C1058" i="3"/>
  <c r="D1058" i="3"/>
  <c r="E1058" i="3"/>
  <c r="F1058" i="3"/>
  <c r="H1058" i="3" s="1"/>
  <c r="G1058" i="3"/>
  <c r="A1059" i="3"/>
  <c r="B1059" i="3"/>
  <c r="C1059" i="3"/>
  <c r="D1059" i="3"/>
  <c r="E1059" i="3"/>
  <c r="F1059" i="3"/>
  <c r="G1059" i="3"/>
  <c r="H1059" i="3"/>
  <c r="I1059" i="3"/>
  <c r="A1060" i="3"/>
  <c r="B1060" i="3"/>
  <c r="C1060" i="3"/>
  <c r="D1060" i="3"/>
  <c r="E1060" i="3"/>
  <c r="F1060" i="3"/>
  <c r="G1060" i="3"/>
  <c r="H1060" i="3"/>
  <c r="A1061" i="3"/>
  <c r="B1061" i="3"/>
  <c r="C1061" i="3"/>
  <c r="D1061" i="3"/>
  <c r="E1061" i="3"/>
  <c r="F1061" i="3"/>
  <c r="G1061" i="3"/>
  <c r="H1061" i="3"/>
  <c r="I1061" i="3"/>
  <c r="A1062" i="3"/>
  <c r="B1062" i="3"/>
  <c r="C1062" i="3"/>
  <c r="I1062" i="3" s="1"/>
  <c r="D1062" i="3"/>
  <c r="E1062" i="3"/>
  <c r="F1062" i="3"/>
  <c r="H1062" i="3" s="1"/>
  <c r="G1062" i="3"/>
  <c r="A1063" i="3"/>
  <c r="B1063" i="3"/>
  <c r="C1063" i="3"/>
  <c r="D1063" i="3"/>
  <c r="E1063" i="3"/>
  <c r="F1063" i="3"/>
  <c r="H1063" i="3" s="1"/>
  <c r="G1063" i="3"/>
  <c r="A1064" i="3"/>
  <c r="B1064" i="3"/>
  <c r="C1064" i="3"/>
  <c r="D1064" i="3"/>
  <c r="E1064" i="3"/>
  <c r="F1064" i="3"/>
  <c r="G1064" i="3"/>
  <c r="A1065" i="3"/>
  <c r="B1065" i="3"/>
  <c r="C1065" i="3"/>
  <c r="D1065" i="3"/>
  <c r="E1065" i="3"/>
  <c r="F1065" i="3"/>
  <c r="G1065" i="3"/>
  <c r="H1065" i="3"/>
  <c r="I1065" i="3"/>
  <c r="A1066" i="3"/>
  <c r="B1066" i="3"/>
  <c r="C1066" i="3"/>
  <c r="D1066" i="3"/>
  <c r="E1066" i="3"/>
  <c r="F1066" i="3"/>
  <c r="H1066" i="3" s="1"/>
  <c r="G1066" i="3"/>
  <c r="A1067" i="3"/>
  <c r="B1067" i="3"/>
  <c r="C1067" i="3"/>
  <c r="I1067" i="3" s="1"/>
  <c r="D1067" i="3"/>
  <c r="E1067" i="3"/>
  <c r="F1067" i="3"/>
  <c r="H1067" i="3" s="1"/>
  <c r="G1067" i="3"/>
  <c r="A1068" i="3"/>
  <c r="B1068" i="3"/>
  <c r="C1068" i="3"/>
  <c r="D1068" i="3"/>
  <c r="E1068" i="3"/>
  <c r="F1068" i="3"/>
  <c r="G1068" i="3"/>
  <c r="A1069" i="3"/>
  <c r="B1069" i="3"/>
  <c r="C1069" i="3"/>
  <c r="D1069" i="3"/>
  <c r="E1069" i="3"/>
  <c r="F1069" i="3"/>
  <c r="G1069" i="3"/>
  <c r="H1069" i="3"/>
  <c r="I1069" i="3"/>
  <c r="A1070" i="3"/>
  <c r="B1070" i="3"/>
  <c r="C1070" i="3"/>
  <c r="I1070" i="3" s="1"/>
  <c r="D1070" i="3"/>
  <c r="E1070" i="3"/>
  <c r="F1070" i="3"/>
  <c r="H1070" i="3" s="1"/>
  <c r="G1070" i="3"/>
  <c r="A1071" i="3"/>
  <c r="B1071" i="3"/>
  <c r="C1071" i="3"/>
  <c r="D1071" i="3"/>
  <c r="E1071" i="3"/>
  <c r="F1071" i="3"/>
  <c r="H1071" i="3" s="1"/>
  <c r="G1071" i="3"/>
  <c r="A1072" i="3"/>
  <c r="B1072" i="3"/>
  <c r="C1072" i="3"/>
  <c r="D1072" i="3"/>
  <c r="E1072" i="3"/>
  <c r="F1072" i="3"/>
  <c r="G1072" i="3"/>
  <c r="A1073" i="3"/>
  <c r="B1073" i="3"/>
  <c r="C1073" i="3"/>
  <c r="D1073" i="3"/>
  <c r="E1073" i="3"/>
  <c r="F1073" i="3"/>
  <c r="G1073" i="3"/>
  <c r="H1073" i="3"/>
  <c r="I1073" i="3"/>
  <c r="A1074" i="3"/>
  <c r="B1074" i="3"/>
  <c r="C1074" i="3"/>
  <c r="D1074" i="3"/>
  <c r="E1074" i="3"/>
  <c r="F1074" i="3"/>
  <c r="H1074" i="3" s="1"/>
  <c r="G1074" i="3"/>
  <c r="A1075" i="3"/>
  <c r="B1075" i="3"/>
  <c r="C1075" i="3"/>
  <c r="I1075" i="3" s="1"/>
  <c r="D1075" i="3"/>
  <c r="E1075" i="3"/>
  <c r="F1075" i="3"/>
  <c r="H1075" i="3" s="1"/>
  <c r="G1075" i="3"/>
  <c r="A1076" i="3"/>
  <c r="B1076" i="3"/>
  <c r="C1076" i="3"/>
  <c r="D1076" i="3"/>
  <c r="E1076" i="3"/>
  <c r="F1076" i="3"/>
  <c r="G1076" i="3"/>
  <c r="A1077" i="3"/>
  <c r="B1077" i="3"/>
  <c r="C1077" i="3"/>
  <c r="D1077" i="3"/>
  <c r="E1077" i="3"/>
  <c r="F1077" i="3"/>
  <c r="G1077" i="3"/>
  <c r="H1077" i="3"/>
  <c r="I1077" i="3"/>
  <c r="A1078" i="3"/>
  <c r="B1078" i="3"/>
  <c r="C1078" i="3"/>
  <c r="I1078" i="3" s="1"/>
  <c r="D1078" i="3"/>
  <c r="E1078" i="3"/>
  <c r="F1078" i="3"/>
  <c r="H1078" i="3" s="1"/>
  <c r="G1078" i="3"/>
  <c r="A1079" i="3"/>
  <c r="B1079" i="3"/>
  <c r="C1079" i="3"/>
  <c r="D1079" i="3"/>
  <c r="E1079" i="3"/>
  <c r="F1079" i="3"/>
  <c r="H1079" i="3" s="1"/>
  <c r="G1079" i="3"/>
  <c r="A1080" i="3"/>
  <c r="B1080" i="3"/>
  <c r="C1080" i="3"/>
  <c r="D1080" i="3"/>
  <c r="E1080" i="3"/>
  <c r="F1080" i="3"/>
  <c r="G1080" i="3"/>
  <c r="A1081" i="3"/>
  <c r="B1081" i="3"/>
  <c r="C1081" i="3"/>
  <c r="D1081" i="3"/>
  <c r="E1081" i="3"/>
  <c r="F1081" i="3"/>
  <c r="G1081" i="3"/>
  <c r="H1081" i="3"/>
  <c r="I1081" i="3"/>
  <c r="A1082" i="3"/>
  <c r="B1082" i="3"/>
  <c r="C1082" i="3"/>
  <c r="D1082" i="3"/>
  <c r="E1082" i="3"/>
  <c r="F1082" i="3"/>
  <c r="H1082" i="3" s="1"/>
  <c r="G1082" i="3"/>
  <c r="A1083" i="3"/>
  <c r="B1083" i="3"/>
  <c r="C1083" i="3"/>
  <c r="I1083" i="3" s="1"/>
  <c r="D1083" i="3"/>
  <c r="E1083" i="3"/>
  <c r="F1083" i="3"/>
  <c r="H1083" i="3" s="1"/>
  <c r="G1083" i="3"/>
  <c r="A1084" i="3"/>
  <c r="B1084" i="3"/>
  <c r="C1084" i="3"/>
  <c r="D1084" i="3"/>
  <c r="E1084" i="3"/>
  <c r="F1084" i="3"/>
  <c r="G1084" i="3"/>
  <c r="A1085" i="3"/>
  <c r="B1085" i="3"/>
  <c r="C1085" i="3"/>
  <c r="D1085" i="3"/>
  <c r="E1085" i="3"/>
  <c r="F1085" i="3"/>
  <c r="G1085" i="3"/>
  <c r="H1085" i="3"/>
  <c r="I1085" i="3"/>
  <c r="A1086" i="3"/>
  <c r="B1086" i="3"/>
  <c r="C1086" i="3"/>
  <c r="I1086" i="3" s="1"/>
  <c r="D1086" i="3"/>
  <c r="E1086" i="3"/>
  <c r="F1086" i="3"/>
  <c r="H1086" i="3" s="1"/>
  <c r="G1086" i="3"/>
  <c r="A1087" i="3"/>
  <c r="B1087" i="3"/>
  <c r="C1087" i="3"/>
  <c r="D1087" i="3"/>
  <c r="E1087" i="3"/>
  <c r="F1087" i="3"/>
  <c r="H1087" i="3" s="1"/>
  <c r="G1087" i="3"/>
  <c r="A1088" i="3"/>
  <c r="B1088" i="3"/>
  <c r="C1088" i="3"/>
  <c r="D1088" i="3"/>
  <c r="E1088" i="3"/>
  <c r="F1088" i="3"/>
  <c r="G1088" i="3"/>
  <c r="A1089" i="3"/>
  <c r="B1089" i="3"/>
  <c r="C1089" i="3"/>
  <c r="D1089" i="3"/>
  <c r="E1089" i="3"/>
  <c r="F1089" i="3"/>
  <c r="G1089" i="3"/>
  <c r="H1089" i="3"/>
  <c r="I1089" i="3"/>
  <c r="A1090" i="3"/>
  <c r="B1090" i="3"/>
  <c r="C1090" i="3"/>
  <c r="D1090" i="3"/>
  <c r="E1090" i="3"/>
  <c r="F1090" i="3"/>
  <c r="H1090" i="3" s="1"/>
  <c r="G1090" i="3"/>
  <c r="A1091" i="3"/>
  <c r="B1091" i="3"/>
  <c r="C1091" i="3"/>
  <c r="I1091" i="3" s="1"/>
  <c r="D1091" i="3"/>
  <c r="E1091" i="3"/>
  <c r="F1091" i="3"/>
  <c r="H1091" i="3" s="1"/>
  <c r="G1091" i="3"/>
  <c r="A1092" i="3"/>
  <c r="B1092" i="3"/>
  <c r="C1092" i="3"/>
  <c r="D1092" i="3"/>
  <c r="E1092" i="3"/>
  <c r="F1092" i="3"/>
  <c r="G1092" i="3"/>
  <c r="A1093" i="3"/>
  <c r="B1093" i="3"/>
  <c r="C1093" i="3"/>
  <c r="D1093" i="3"/>
  <c r="E1093" i="3"/>
  <c r="F1093" i="3"/>
  <c r="G1093" i="3"/>
  <c r="H1093" i="3"/>
  <c r="I1093" i="3"/>
  <c r="A1094" i="3"/>
  <c r="B1094" i="3"/>
  <c r="C1094" i="3"/>
  <c r="I1094" i="3" s="1"/>
  <c r="D1094" i="3"/>
  <c r="E1094" i="3"/>
  <c r="F1094" i="3"/>
  <c r="H1094" i="3" s="1"/>
  <c r="G1094" i="3"/>
  <c r="A1095" i="3"/>
  <c r="B1095" i="3"/>
  <c r="C1095" i="3"/>
  <c r="D1095" i="3"/>
  <c r="E1095" i="3"/>
  <c r="F1095" i="3"/>
  <c r="H1095" i="3" s="1"/>
  <c r="G1095" i="3"/>
  <c r="A1096" i="3"/>
  <c r="B1096" i="3"/>
  <c r="C1096" i="3"/>
  <c r="D1096" i="3"/>
  <c r="E1096" i="3"/>
  <c r="F1096" i="3"/>
  <c r="G1096" i="3"/>
  <c r="A1097" i="3"/>
  <c r="B1097" i="3"/>
  <c r="C1097" i="3"/>
  <c r="D1097" i="3"/>
  <c r="E1097" i="3"/>
  <c r="F1097" i="3"/>
  <c r="G1097" i="3"/>
  <c r="H1097" i="3"/>
  <c r="I1097" i="3"/>
  <c r="A1098" i="3"/>
  <c r="B1098" i="3"/>
  <c r="C1098" i="3"/>
  <c r="D1098" i="3"/>
  <c r="E1098" i="3"/>
  <c r="F1098" i="3"/>
  <c r="H1098" i="3" s="1"/>
  <c r="G1098" i="3"/>
  <c r="A1099" i="3"/>
  <c r="B1099" i="3"/>
  <c r="C1099" i="3"/>
  <c r="I1099" i="3" s="1"/>
  <c r="D1099" i="3"/>
  <c r="E1099" i="3"/>
  <c r="F1099" i="3"/>
  <c r="H1099" i="3" s="1"/>
  <c r="G1099" i="3"/>
  <c r="A1100" i="3"/>
  <c r="B1100" i="3"/>
  <c r="C1100" i="3"/>
  <c r="D1100" i="3"/>
  <c r="E1100" i="3"/>
  <c r="F1100" i="3"/>
  <c r="G1100" i="3"/>
  <c r="A1101" i="3"/>
  <c r="B1101" i="3"/>
  <c r="C1101" i="3"/>
  <c r="D1101" i="3"/>
  <c r="E1101" i="3"/>
  <c r="F1101" i="3"/>
  <c r="G1101" i="3"/>
  <c r="H1101" i="3"/>
  <c r="I1101" i="3"/>
  <c r="A1102" i="3"/>
  <c r="B1102" i="3"/>
  <c r="C1102" i="3"/>
  <c r="I1102" i="3" s="1"/>
  <c r="D1102" i="3"/>
  <c r="E1102" i="3"/>
  <c r="F1102" i="3"/>
  <c r="H1102" i="3" s="1"/>
  <c r="G1102" i="3"/>
  <c r="A1103" i="3"/>
  <c r="B1103" i="3"/>
  <c r="C1103" i="3"/>
  <c r="D1103" i="3"/>
  <c r="E1103" i="3"/>
  <c r="F1103" i="3"/>
  <c r="H1103" i="3" s="1"/>
  <c r="G1103" i="3"/>
  <c r="A1104" i="3"/>
  <c r="B1104" i="3"/>
  <c r="C1104" i="3"/>
  <c r="D1104" i="3"/>
  <c r="E1104" i="3"/>
  <c r="F1104" i="3"/>
  <c r="G1104" i="3"/>
  <c r="A1105" i="3"/>
  <c r="B1105" i="3"/>
  <c r="C1105" i="3"/>
  <c r="D1105" i="3"/>
  <c r="E1105" i="3"/>
  <c r="F1105" i="3"/>
  <c r="G1105" i="3"/>
  <c r="H1105" i="3"/>
  <c r="I1105" i="3"/>
  <c r="A1106" i="3"/>
  <c r="B1106" i="3"/>
  <c r="C1106" i="3"/>
  <c r="D1106" i="3"/>
  <c r="E1106" i="3"/>
  <c r="F1106" i="3"/>
  <c r="H1106" i="3" s="1"/>
  <c r="G1106" i="3"/>
  <c r="A1107" i="3"/>
  <c r="B1107" i="3"/>
  <c r="C1107" i="3"/>
  <c r="I1107" i="3" s="1"/>
  <c r="D1107" i="3"/>
  <c r="E1107" i="3"/>
  <c r="F1107" i="3"/>
  <c r="H1107" i="3" s="1"/>
  <c r="G1107" i="3"/>
  <c r="A1108" i="3"/>
  <c r="B1108" i="3"/>
  <c r="C1108" i="3"/>
  <c r="D1108" i="3"/>
  <c r="E1108" i="3"/>
  <c r="F1108" i="3"/>
  <c r="G1108" i="3"/>
  <c r="A1109" i="3"/>
  <c r="B1109" i="3"/>
  <c r="C1109" i="3"/>
  <c r="D1109" i="3"/>
  <c r="E1109" i="3"/>
  <c r="F1109" i="3"/>
  <c r="G1109" i="3"/>
  <c r="H1109" i="3"/>
  <c r="I1109" i="3"/>
  <c r="A1110" i="3"/>
  <c r="B1110" i="3"/>
  <c r="C1110" i="3"/>
  <c r="I1110" i="3" s="1"/>
  <c r="D1110" i="3"/>
  <c r="E1110" i="3"/>
  <c r="F1110" i="3"/>
  <c r="H1110" i="3" s="1"/>
  <c r="G1110" i="3"/>
  <c r="A1111" i="3"/>
  <c r="B1111" i="3"/>
  <c r="C1111" i="3"/>
  <c r="D1111" i="3"/>
  <c r="E1111" i="3"/>
  <c r="F1111" i="3"/>
  <c r="H1111" i="3" s="1"/>
  <c r="G1111" i="3"/>
  <c r="A1112" i="3"/>
  <c r="B1112" i="3"/>
  <c r="C1112" i="3"/>
  <c r="D1112" i="3"/>
  <c r="E1112" i="3"/>
  <c r="F1112" i="3"/>
  <c r="G1112" i="3"/>
  <c r="A1113" i="3"/>
  <c r="B1113" i="3"/>
  <c r="C1113" i="3"/>
  <c r="D1113" i="3"/>
  <c r="E1113" i="3"/>
  <c r="F1113" i="3"/>
  <c r="G1113" i="3"/>
  <c r="H1113" i="3"/>
  <c r="I1113" i="3" s="1"/>
  <c r="A1114" i="3"/>
  <c r="B1114" i="3"/>
  <c r="C1114" i="3"/>
  <c r="D1114" i="3"/>
  <c r="E1114" i="3"/>
  <c r="F1114" i="3"/>
  <c r="H1114" i="3" s="1"/>
  <c r="G1114" i="3"/>
  <c r="A1115" i="3"/>
  <c r="B1115" i="3"/>
  <c r="C1115" i="3"/>
  <c r="I1115" i="3" s="1"/>
  <c r="D1115" i="3"/>
  <c r="E1115" i="3"/>
  <c r="F1115" i="3"/>
  <c r="H1115" i="3" s="1"/>
  <c r="G1115" i="3"/>
  <c r="A1116" i="3"/>
  <c r="B1116" i="3"/>
  <c r="C1116" i="3"/>
  <c r="D1116" i="3"/>
  <c r="E1116" i="3"/>
  <c r="F1116" i="3"/>
  <c r="G1116" i="3"/>
  <c r="A1117" i="3"/>
  <c r="B1117" i="3"/>
  <c r="C1117" i="3"/>
  <c r="D1117" i="3"/>
  <c r="E1117" i="3"/>
  <c r="F1117" i="3"/>
  <c r="G1117" i="3"/>
  <c r="H1117" i="3"/>
  <c r="I1117" i="3"/>
  <c r="A1118" i="3"/>
  <c r="B1118" i="3"/>
  <c r="C1118" i="3"/>
  <c r="I1118" i="3" s="1"/>
  <c r="D1118" i="3"/>
  <c r="E1118" i="3"/>
  <c r="F1118" i="3"/>
  <c r="H1118" i="3" s="1"/>
  <c r="G1118" i="3"/>
  <c r="A1119" i="3"/>
  <c r="B1119" i="3"/>
  <c r="C1119" i="3"/>
  <c r="D1119" i="3"/>
  <c r="E1119" i="3"/>
  <c r="F1119" i="3"/>
  <c r="H1119" i="3" s="1"/>
  <c r="G1119" i="3"/>
  <c r="A1120" i="3"/>
  <c r="B1120" i="3"/>
  <c r="C1120" i="3"/>
  <c r="D1120" i="3"/>
  <c r="E1120" i="3"/>
  <c r="F1120" i="3"/>
  <c r="G1120" i="3"/>
  <c r="A1121" i="3"/>
  <c r="B1121" i="3"/>
  <c r="C1121" i="3"/>
  <c r="D1121" i="3"/>
  <c r="E1121" i="3"/>
  <c r="F1121" i="3"/>
  <c r="G1121" i="3"/>
  <c r="H1121" i="3"/>
  <c r="I1121" i="3" s="1"/>
  <c r="A1122" i="3"/>
  <c r="B1122" i="3"/>
  <c r="C1122" i="3"/>
  <c r="D1122" i="3"/>
  <c r="E1122" i="3"/>
  <c r="F1122" i="3"/>
  <c r="H1122" i="3" s="1"/>
  <c r="G1122" i="3"/>
  <c r="A1123" i="3"/>
  <c r="B1123" i="3"/>
  <c r="C1123" i="3"/>
  <c r="I1123" i="3" s="1"/>
  <c r="D1123" i="3"/>
  <c r="E1123" i="3"/>
  <c r="F1123" i="3"/>
  <c r="H1123" i="3" s="1"/>
  <c r="G1123" i="3"/>
  <c r="A1124" i="3"/>
  <c r="B1124" i="3"/>
  <c r="C1124" i="3"/>
  <c r="D1124" i="3"/>
  <c r="E1124" i="3"/>
  <c r="F1124" i="3"/>
  <c r="G1124" i="3"/>
  <c r="A1125" i="3"/>
  <c r="B1125" i="3"/>
  <c r="C1125" i="3"/>
  <c r="D1125" i="3"/>
  <c r="E1125" i="3"/>
  <c r="F1125" i="3"/>
  <c r="G1125" i="3"/>
  <c r="H1125" i="3"/>
  <c r="I1125" i="3"/>
  <c r="A1126" i="3"/>
  <c r="B1126" i="3"/>
  <c r="C1126" i="3"/>
  <c r="I1126" i="3" s="1"/>
  <c r="D1126" i="3"/>
  <c r="E1126" i="3"/>
  <c r="F1126" i="3"/>
  <c r="H1126" i="3" s="1"/>
  <c r="G1126" i="3"/>
  <c r="A1127" i="3"/>
  <c r="B1127" i="3"/>
  <c r="C1127" i="3"/>
  <c r="D1127" i="3"/>
  <c r="E1127" i="3"/>
  <c r="F1127" i="3"/>
  <c r="H1127" i="3" s="1"/>
  <c r="G1127" i="3"/>
  <c r="A1128" i="3"/>
  <c r="B1128" i="3"/>
  <c r="C1128" i="3"/>
  <c r="D1128" i="3"/>
  <c r="E1128" i="3"/>
  <c r="F1128" i="3"/>
  <c r="G1128" i="3"/>
  <c r="A1129" i="3"/>
  <c r="B1129" i="3"/>
  <c r="C1129" i="3"/>
  <c r="D1129" i="3"/>
  <c r="E1129" i="3"/>
  <c r="F1129" i="3"/>
  <c r="G1129" i="3"/>
  <c r="H1129" i="3"/>
  <c r="I1129" i="3" s="1"/>
  <c r="A1130" i="3"/>
  <c r="B1130" i="3"/>
  <c r="C1130" i="3"/>
  <c r="D1130" i="3"/>
  <c r="E1130" i="3"/>
  <c r="F1130" i="3"/>
  <c r="H1130" i="3" s="1"/>
  <c r="G1130" i="3"/>
  <c r="A1131" i="3"/>
  <c r="B1131" i="3"/>
  <c r="C1131" i="3"/>
  <c r="I1131" i="3" s="1"/>
  <c r="D1131" i="3"/>
  <c r="E1131" i="3"/>
  <c r="F1131" i="3"/>
  <c r="H1131" i="3" s="1"/>
  <c r="G1131" i="3"/>
  <c r="A1132" i="3"/>
  <c r="B1132" i="3"/>
  <c r="C1132" i="3"/>
  <c r="D1132" i="3"/>
  <c r="E1132" i="3"/>
  <c r="F1132" i="3"/>
  <c r="G1132" i="3"/>
  <c r="A1133" i="3"/>
  <c r="B1133" i="3"/>
  <c r="C1133" i="3"/>
  <c r="D1133" i="3"/>
  <c r="E1133" i="3"/>
  <c r="F1133" i="3"/>
  <c r="G1133" i="3"/>
  <c r="H1133" i="3"/>
  <c r="I1133" i="3"/>
  <c r="A1134" i="3"/>
  <c r="B1134" i="3"/>
  <c r="C1134" i="3"/>
  <c r="I1134" i="3" s="1"/>
  <c r="D1134" i="3"/>
  <c r="E1134" i="3"/>
  <c r="F1134" i="3"/>
  <c r="H1134" i="3" s="1"/>
  <c r="G1134" i="3"/>
  <c r="A1135" i="3"/>
  <c r="B1135" i="3"/>
  <c r="C1135" i="3"/>
  <c r="D1135" i="3"/>
  <c r="E1135" i="3"/>
  <c r="F1135" i="3"/>
  <c r="H1135" i="3" s="1"/>
  <c r="G1135" i="3"/>
  <c r="A1136" i="3"/>
  <c r="B1136" i="3"/>
  <c r="C1136" i="3"/>
  <c r="D1136" i="3"/>
  <c r="E1136" i="3"/>
  <c r="F1136" i="3"/>
  <c r="H1136" i="3" s="1"/>
  <c r="G1136" i="3"/>
  <c r="I1136" i="3"/>
  <c r="A1137" i="3"/>
  <c r="B1137" i="3"/>
  <c r="C1137" i="3"/>
  <c r="D1137" i="3"/>
  <c r="E1137" i="3"/>
  <c r="F1137" i="3"/>
  <c r="G1137" i="3"/>
  <c r="H1137" i="3"/>
  <c r="I1137" i="3" s="1"/>
  <c r="A1138" i="3"/>
  <c r="B1138" i="3"/>
  <c r="C1138" i="3"/>
  <c r="D1138" i="3"/>
  <c r="E1138" i="3"/>
  <c r="F1138" i="3"/>
  <c r="H1138" i="3" s="1"/>
  <c r="G1138" i="3"/>
  <c r="A1139" i="3"/>
  <c r="B1139" i="3"/>
  <c r="C1139" i="3"/>
  <c r="I1139" i="3" s="1"/>
  <c r="D1139" i="3"/>
  <c r="E1139" i="3"/>
  <c r="F1139" i="3"/>
  <c r="H1139" i="3" s="1"/>
  <c r="G1139" i="3"/>
  <c r="A1140" i="3"/>
  <c r="B1140" i="3"/>
  <c r="C1140" i="3"/>
  <c r="D1140" i="3"/>
  <c r="E1140" i="3"/>
  <c r="F1140" i="3"/>
  <c r="H1140" i="3" s="1"/>
  <c r="G1140" i="3"/>
  <c r="I1140" i="3"/>
  <c r="A1141" i="3"/>
  <c r="B1141" i="3"/>
  <c r="C1141" i="3"/>
  <c r="D1141" i="3"/>
  <c r="E1141" i="3"/>
  <c r="F1141" i="3"/>
  <c r="G1141" i="3"/>
  <c r="H1141" i="3"/>
  <c r="I1141" i="3"/>
  <c r="A1142" i="3"/>
  <c r="B1142" i="3"/>
  <c r="C1142" i="3"/>
  <c r="I1142" i="3" s="1"/>
  <c r="D1142" i="3"/>
  <c r="E1142" i="3"/>
  <c r="F1142" i="3"/>
  <c r="H1142" i="3" s="1"/>
  <c r="G1142" i="3"/>
  <c r="A1143" i="3"/>
  <c r="B1143" i="3"/>
  <c r="C1143" i="3"/>
  <c r="I1143" i="3" s="1"/>
  <c r="D1143" i="3"/>
  <c r="E1143" i="3"/>
  <c r="F1143" i="3"/>
  <c r="H1143" i="3" s="1"/>
  <c r="G1143" i="3"/>
  <c r="A1144" i="3"/>
  <c r="B1144" i="3"/>
  <c r="C1144" i="3"/>
  <c r="D1144" i="3"/>
  <c r="E1144" i="3"/>
  <c r="F1144" i="3"/>
  <c r="H1144" i="3" s="1"/>
  <c r="G1144" i="3"/>
  <c r="I1144" i="3"/>
  <c r="A1145" i="3"/>
  <c r="B1145" i="3"/>
  <c r="C1145" i="3"/>
  <c r="D1145" i="3"/>
  <c r="E1145" i="3"/>
  <c r="F1145" i="3"/>
  <c r="G1145" i="3"/>
  <c r="H1145" i="3"/>
  <c r="I1145" i="3"/>
  <c r="A1146" i="3"/>
  <c r="B1146" i="3"/>
  <c r="C1146" i="3"/>
  <c r="I1146" i="3" s="1"/>
  <c r="D1146" i="3"/>
  <c r="E1146" i="3"/>
  <c r="F1146" i="3"/>
  <c r="H1146" i="3" s="1"/>
  <c r="G1146" i="3"/>
  <c r="A1147" i="3"/>
  <c r="B1147" i="3"/>
  <c r="C1147" i="3"/>
  <c r="D1147" i="3"/>
  <c r="E1147" i="3"/>
  <c r="F1147" i="3"/>
  <c r="H1147" i="3" s="1"/>
  <c r="G1147" i="3"/>
  <c r="A1148" i="3"/>
  <c r="B1148" i="3"/>
  <c r="C1148" i="3"/>
  <c r="D1148" i="3"/>
  <c r="E1148" i="3"/>
  <c r="F1148" i="3"/>
  <c r="H1148" i="3" s="1"/>
  <c r="G1148" i="3"/>
  <c r="A1149" i="3"/>
  <c r="B1149" i="3"/>
  <c r="C1149" i="3"/>
  <c r="D1149" i="3"/>
  <c r="E1149" i="3"/>
  <c r="F1149" i="3"/>
  <c r="G1149" i="3"/>
  <c r="H1149" i="3"/>
  <c r="I1149" i="3"/>
  <c r="A1150" i="3"/>
  <c r="B1150" i="3"/>
  <c r="C1150" i="3"/>
  <c r="D1150" i="3"/>
  <c r="E1150" i="3"/>
  <c r="F1150" i="3"/>
  <c r="H1150" i="3" s="1"/>
  <c r="G1150" i="3"/>
  <c r="A1151" i="3"/>
  <c r="B1151" i="3"/>
  <c r="C1151" i="3"/>
  <c r="I1151" i="3" s="1"/>
  <c r="D1151" i="3"/>
  <c r="E1151" i="3"/>
  <c r="F1151" i="3"/>
  <c r="H1151" i="3" s="1"/>
  <c r="G1151" i="3"/>
  <c r="A1152" i="3"/>
  <c r="B1152" i="3"/>
  <c r="C1152" i="3"/>
  <c r="D1152" i="3"/>
  <c r="E1152" i="3"/>
  <c r="F1152" i="3"/>
  <c r="G1152" i="3"/>
  <c r="A1153" i="3"/>
  <c r="B1153" i="3"/>
  <c r="C1153" i="3"/>
  <c r="D1153" i="3"/>
  <c r="E1153" i="3"/>
  <c r="F1153" i="3"/>
  <c r="G1153" i="3"/>
  <c r="H1153" i="3"/>
  <c r="I1153" i="3" s="1"/>
  <c r="A1154" i="3"/>
  <c r="B1154" i="3"/>
  <c r="C1154" i="3"/>
  <c r="I1154" i="3" s="1"/>
  <c r="D1154" i="3"/>
  <c r="E1154" i="3"/>
  <c r="F1154" i="3"/>
  <c r="H1154" i="3" s="1"/>
  <c r="G1154" i="3"/>
  <c r="A1155" i="3"/>
  <c r="B1155" i="3"/>
  <c r="C1155" i="3"/>
  <c r="D1155" i="3"/>
  <c r="E1155" i="3"/>
  <c r="F1155" i="3"/>
  <c r="H1155" i="3" s="1"/>
  <c r="G1155" i="3"/>
  <c r="A1156" i="3"/>
  <c r="B1156" i="3"/>
  <c r="C1156" i="3"/>
  <c r="D1156" i="3"/>
  <c r="E1156" i="3"/>
  <c r="F1156" i="3"/>
  <c r="H1156" i="3" s="1"/>
  <c r="G1156" i="3"/>
  <c r="I1156" i="3"/>
  <c r="A1157" i="3"/>
  <c r="B1157" i="3"/>
  <c r="C1157" i="3"/>
  <c r="D1157" i="3"/>
  <c r="E1157" i="3"/>
  <c r="F1157" i="3"/>
  <c r="G1157" i="3"/>
  <c r="H1157" i="3"/>
  <c r="I1157" i="3" s="1"/>
  <c r="A1158" i="3"/>
  <c r="B1158" i="3"/>
  <c r="C1158" i="3"/>
  <c r="D1158" i="3"/>
  <c r="E1158" i="3"/>
  <c r="F1158" i="3"/>
  <c r="H1158" i="3" s="1"/>
  <c r="G1158" i="3"/>
  <c r="A1159" i="3"/>
  <c r="B1159" i="3"/>
  <c r="C1159" i="3"/>
  <c r="I1159" i="3" s="1"/>
  <c r="D1159" i="3"/>
  <c r="E1159" i="3"/>
  <c r="F1159" i="3"/>
  <c r="H1159" i="3" s="1"/>
  <c r="G1159" i="3"/>
  <c r="A1160" i="3"/>
  <c r="B1160" i="3"/>
  <c r="C1160" i="3"/>
  <c r="D1160" i="3"/>
  <c r="E1160" i="3"/>
  <c r="F1160" i="3"/>
  <c r="H1160" i="3" s="1"/>
  <c r="G1160" i="3"/>
  <c r="I1160" i="3"/>
  <c r="A1161" i="3"/>
  <c r="B1161" i="3"/>
  <c r="C1161" i="3"/>
  <c r="D1161" i="3"/>
  <c r="E1161" i="3"/>
  <c r="F1161" i="3"/>
  <c r="G1161" i="3"/>
  <c r="H1161" i="3"/>
  <c r="I1161" i="3" s="1"/>
  <c r="A1162" i="3"/>
  <c r="B1162" i="3"/>
  <c r="C1162" i="3"/>
  <c r="I1162" i="3" s="1"/>
  <c r="D1162" i="3"/>
  <c r="E1162" i="3"/>
  <c r="F1162" i="3"/>
  <c r="H1162" i="3" s="1"/>
  <c r="G1162" i="3"/>
  <c r="A1163" i="3"/>
  <c r="B1163" i="3"/>
  <c r="C1163" i="3"/>
  <c r="D1163" i="3"/>
  <c r="E1163" i="3"/>
  <c r="F1163" i="3"/>
  <c r="H1163" i="3" s="1"/>
  <c r="G1163" i="3"/>
  <c r="A1164" i="3"/>
  <c r="B1164" i="3"/>
  <c r="C1164" i="3"/>
  <c r="D1164" i="3"/>
  <c r="E1164" i="3"/>
  <c r="F1164" i="3"/>
  <c r="H1164" i="3" s="1"/>
  <c r="G1164" i="3"/>
  <c r="A1165" i="3"/>
  <c r="B1165" i="3"/>
  <c r="C1165" i="3"/>
  <c r="D1165" i="3"/>
  <c r="E1165" i="3"/>
  <c r="F1165" i="3"/>
  <c r="G1165" i="3"/>
  <c r="H1165" i="3"/>
  <c r="I1165" i="3" s="1"/>
  <c r="A1166" i="3"/>
  <c r="B1166" i="3"/>
  <c r="C1166" i="3"/>
  <c r="D1166" i="3"/>
  <c r="E1166" i="3"/>
  <c r="F1166" i="3"/>
  <c r="H1166" i="3" s="1"/>
  <c r="G1166" i="3"/>
  <c r="A1167" i="3"/>
  <c r="B1167" i="3"/>
  <c r="C1167" i="3"/>
  <c r="D1167" i="3"/>
  <c r="E1167" i="3"/>
  <c r="F1167" i="3"/>
  <c r="H1167" i="3" s="1"/>
  <c r="G1167" i="3"/>
  <c r="A1168" i="3"/>
  <c r="B1168" i="3"/>
  <c r="C1168" i="3"/>
  <c r="D1168" i="3"/>
  <c r="E1168" i="3"/>
  <c r="F1168" i="3"/>
  <c r="H1168" i="3" s="1"/>
  <c r="G1168" i="3"/>
  <c r="A1169" i="3"/>
  <c r="B1169" i="3"/>
  <c r="C1169" i="3"/>
  <c r="D1169" i="3"/>
  <c r="E1169" i="3"/>
  <c r="F1169" i="3"/>
  <c r="G1169" i="3"/>
  <c r="H1169" i="3"/>
  <c r="I1169" i="3"/>
  <c r="A1170" i="3"/>
  <c r="B1170" i="3"/>
  <c r="C1170" i="3"/>
  <c r="D1170" i="3"/>
  <c r="E1170" i="3"/>
  <c r="F1170" i="3"/>
  <c r="H1170" i="3" s="1"/>
  <c r="G1170" i="3"/>
  <c r="A1171" i="3"/>
  <c r="B1171" i="3"/>
  <c r="C1171" i="3"/>
  <c r="D1171" i="3"/>
  <c r="E1171" i="3"/>
  <c r="F1171" i="3"/>
  <c r="H1171" i="3" s="1"/>
  <c r="G1171" i="3"/>
  <c r="A1172" i="3"/>
  <c r="B1172" i="3"/>
  <c r="C1172" i="3"/>
  <c r="D1172" i="3"/>
  <c r="E1172" i="3"/>
  <c r="F1172" i="3"/>
  <c r="H1172" i="3" s="1"/>
  <c r="G1172" i="3"/>
  <c r="A1173" i="3"/>
  <c r="B1173" i="3"/>
  <c r="C1173" i="3"/>
  <c r="D1173" i="3"/>
  <c r="E1173" i="3"/>
  <c r="F1173" i="3"/>
  <c r="G1173" i="3"/>
  <c r="H1173" i="3"/>
  <c r="I1173" i="3"/>
  <c r="A1174" i="3"/>
  <c r="B1174" i="3"/>
  <c r="C1174" i="3"/>
  <c r="I1174" i="3" s="1"/>
  <c r="D1174" i="3"/>
  <c r="E1174" i="3"/>
  <c r="F1174" i="3"/>
  <c r="H1174" i="3" s="1"/>
  <c r="G1174" i="3"/>
  <c r="A1175" i="3"/>
  <c r="B1175" i="3"/>
  <c r="C1175" i="3"/>
  <c r="D1175" i="3"/>
  <c r="E1175" i="3"/>
  <c r="F1175" i="3"/>
  <c r="G1175" i="3"/>
  <c r="H1175" i="3"/>
  <c r="A1176" i="3"/>
  <c r="B1176" i="3"/>
  <c r="C1176" i="3"/>
  <c r="D1176" i="3"/>
  <c r="E1176" i="3"/>
  <c r="F1176" i="3"/>
  <c r="H1176" i="3" s="1"/>
  <c r="G1176" i="3"/>
  <c r="A1177" i="3"/>
  <c r="B1177" i="3"/>
  <c r="C1177" i="3"/>
  <c r="D1177" i="3"/>
  <c r="E1177" i="3"/>
  <c r="F1177" i="3"/>
  <c r="G1177" i="3"/>
  <c r="H1177" i="3"/>
  <c r="I1177" i="3" s="1"/>
  <c r="A1178" i="3"/>
  <c r="B1178" i="3"/>
  <c r="C1178" i="3"/>
  <c r="D1178" i="3"/>
  <c r="E1178" i="3"/>
  <c r="F1178" i="3"/>
  <c r="H1178" i="3" s="1"/>
  <c r="G1178" i="3"/>
  <c r="A1179" i="3"/>
  <c r="B1179" i="3"/>
  <c r="C1179" i="3"/>
  <c r="D1179" i="3"/>
  <c r="E1179" i="3"/>
  <c r="F1179" i="3"/>
  <c r="H1179" i="3" s="1"/>
  <c r="I1179" i="3" s="1"/>
  <c r="G1179" i="3"/>
  <c r="A1180" i="3"/>
  <c r="B1180" i="3"/>
  <c r="C1180" i="3"/>
  <c r="D1180" i="3"/>
  <c r="E1180" i="3"/>
  <c r="F1180" i="3"/>
  <c r="H1180" i="3" s="1"/>
  <c r="G1180" i="3"/>
  <c r="A1181" i="3"/>
  <c r="B1181" i="3"/>
  <c r="C1181" i="3"/>
  <c r="D1181" i="3"/>
  <c r="E1181" i="3"/>
  <c r="F1181" i="3"/>
  <c r="G1181" i="3"/>
  <c r="H1181" i="3"/>
  <c r="I1181" i="3" s="1"/>
  <c r="A1182" i="3"/>
  <c r="B1182" i="3"/>
  <c r="C1182" i="3"/>
  <c r="D1182" i="3"/>
  <c r="E1182" i="3"/>
  <c r="F1182" i="3"/>
  <c r="G1182" i="3"/>
  <c r="A1183" i="3"/>
  <c r="B1183" i="3"/>
  <c r="C1183" i="3"/>
  <c r="D1183" i="3"/>
  <c r="E1183" i="3"/>
  <c r="F1183" i="3"/>
  <c r="H1183" i="3" s="1"/>
  <c r="G1183" i="3"/>
  <c r="A1184" i="3"/>
  <c r="B1184" i="3"/>
  <c r="C1184" i="3"/>
  <c r="D1184" i="3"/>
  <c r="E1184" i="3"/>
  <c r="F1184" i="3"/>
  <c r="H1184" i="3" s="1"/>
  <c r="G1184" i="3"/>
  <c r="I1184" i="3"/>
  <c r="A1185" i="3"/>
  <c r="B1185" i="3"/>
  <c r="C1185" i="3"/>
  <c r="D1185" i="3"/>
  <c r="E1185" i="3"/>
  <c r="F1185" i="3"/>
  <c r="G1185" i="3"/>
  <c r="H1185" i="3"/>
  <c r="I1185" i="3"/>
  <c r="A1186" i="3"/>
  <c r="B1186" i="3"/>
  <c r="C1186" i="3"/>
  <c r="D1186" i="3"/>
  <c r="E1186" i="3"/>
  <c r="F1186" i="3"/>
  <c r="G1186" i="3"/>
  <c r="A1187" i="3"/>
  <c r="B1187" i="3"/>
  <c r="C1187" i="3"/>
  <c r="I1187" i="3" s="1"/>
  <c r="D1187" i="3"/>
  <c r="E1187" i="3"/>
  <c r="F1187" i="3"/>
  <c r="G1187" i="3"/>
  <c r="H1187" i="3"/>
  <c r="A1188" i="3"/>
  <c r="B1188" i="3"/>
  <c r="C1188" i="3"/>
  <c r="D1188" i="3"/>
  <c r="E1188" i="3"/>
  <c r="F1188" i="3"/>
  <c r="G1188" i="3"/>
  <c r="A1189" i="3"/>
  <c r="B1189" i="3"/>
  <c r="C1189" i="3"/>
  <c r="I1189" i="3" s="1"/>
  <c r="D1189" i="3"/>
  <c r="E1189" i="3"/>
  <c r="F1189" i="3"/>
  <c r="G1189" i="3"/>
  <c r="H1189" i="3"/>
  <c r="A1190" i="3"/>
  <c r="B1190" i="3"/>
  <c r="C1190" i="3"/>
  <c r="I1190" i="3" s="1"/>
  <c r="D1190" i="3"/>
  <c r="E1190" i="3"/>
  <c r="F1190" i="3"/>
  <c r="H1190" i="3" s="1"/>
  <c r="G1190" i="3"/>
  <c r="A1191" i="3"/>
  <c r="B1191" i="3"/>
  <c r="C1191" i="3"/>
  <c r="D1191" i="3"/>
  <c r="E1191" i="3"/>
  <c r="F1191" i="3"/>
  <c r="G1191" i="3"/>
  <c r="A1192" i="3"/>
  <c r="B1192" i="3"/>
  <c r="C1192" i="3"/>
  <c r="D1192" i="3"/>
  <c r="E1192" i="3"/>
  <c r="F1192" i="3"/>
  <c r="H1192" i="3" s="1"/>
  <c r="G1192" i="3"/>
  <c r="A1193" i="3"/>
  <c r="B1193" i="3"/>
  <c r="C1193" i="3"/>
  <c r="I1193" i="3" s="1"/>
  <c r="D1193" i="3"/>
  <c r="E1193" i="3"/>
  <c r="F1193" i="3"/>
  <c r="G1193" i="3"/>
  <c r="H1193" i="3"/>
  <c r="A1194" i="3"/>
  <c r="B1194" i="3"/>
  <c r="C1194" i="3"/>
  <c r="D1194" i="3"/>
  <c r="E1194" i="3"/>
  <c r="F1194" i="3"/>
  <c r="H1194" i="3" s="1"/>
  <c r="G1194" i="3"/>
  <c r="A1195" i="3"/>
  <c r="B1195" i="3"/>
  <c r="C1195" i="3"/>
  <c r="D1195" i="3"/>
  <c r="E1195" i="3"/>
  <c r="F1195" i="3"/>
  <c r="H1195" i="3" s="1"/>
  <c r="I1195" i="3" s="1"/>
  <c r="G1195" i="3"/>
  <c r="A1196" i="3"/>
  <c r="B1196" i="3"/>
  <c r="C1196" i="3"/>
  <c r="D1196" i="3"/>
  <c r="E1196" i="3"/>
  <c r="F1196" i="3"/>
  <c r="H1196" i="3" s="1"/>
  <c r="G1196" i="3"/>
  <c r="A1197" i="3"/>
  <c r="B1197" i="3"/>
  <c r="C1197" i="3"/>
  <c r="D1197" i="3"/>
  <c r="E1197" i="3"/>
  <c r="F1197" i="3"/>
  <c r="G1197" i="3"/>
  <c r="H1197" i="3"/>
  <c r="I1197" i="3" s="1"/>
  <c r="A1198" i="3"/>
  <c r="B1198" i="3"/>
  <c r="C1198" i="3"/>
  <c r="D1198" i="3"/>
  <c r="E1198" i="3"/>
  <c r="F1198" i="3"/>
  <c r="G1198" i="3"/>
  <c r="A1199" i="3"/>
  <c r="B1199" i="3"/>
  <c r="C1199" i="3"/>
  <c r="D1199" i="3"/>
  <c r="E1199" i="3"/>
  <c r="F1199" i="3"/>
  <c r="H1199" i="3" s="1"/>
  <c r="G1199" i="3"/>
  <c r="A1200" i="3"/>
  <c r="B1200" i="3"/>
  <c r="C1200" i="3"/>
  <c r="D1200" i="3"/>
  <c r="E1200" i="3"/>
  <c r="F1200" i="3"/>
  <c r="H1200" i="3" s="1"/>
  <c r="G1200" i="3"/>
  <c r="I1200" i="3"/>
  <c r="A1201" i="3"/>
  <c r="B1201" i="3"/>
  <c r="C1201" i="3"/>
  <c r="D1201" i="3"/>
  <c r="E1201" i="3"/>
  <c r="F1201" i="3"/>
  <c r="G1201" i="3"/>
  <c r="H1201" i="3"/>
  <c r="I1201" i="3"/>
  <c r="A1202" i="3"/>
  <c r="B1202" i="3"/>
  <c r="C1202" i="3"/>
  <c r="D1202" i="3"/>
  <c r="E1202" i="3"/>
  <c r="F1202" i="3"/>
  <c r="G1202" i="3"/>
  <c r="A1203" i="3"/>
  <c r="B1203" i="3"/>
  <c r="C1203" i="3"/>
  <c r="I1203" i="3" s="1"/>
  <c r="D1203" i="3"/>
  <c r="E1203" i="3"/>
  <c r="F1203" i="3"/>
  <c r="G1203" i="3"/>
  <c r="H1203" i="3"/>
  <c r="A1204" i="3"/>
  <c r="B1204" i="3"/>
  <c r="C1204" i="3"/>
  <c r="D1204" i="3"/>
  <c r="E1204" i="3"/>
  <c r="F1204" i="3"/>
  <c r="G1204" i="3"/>
  <c r="A1205" i="3"/>
  <c r="B1205" i="3"/>
  <c r="C1205" i="3"/>
  <c r="I1205" i="3" s="1"/>
  <c r="D1205" i="3"/>
  <c r="E1205" i="3"/>
  <c r="F1205" i="3"/>
  <c r="G1205" i="3"/>
  <c r="H1205" i="3"/>
  <c r="A1206" i="3"/>
  <c r="B1206" i="3"/>
  <c r="C1206" i="3"/>
  <c r="I1206" i="3" s="1"/>
  <c r="D1206" i="3"/>
  <c r="E1206" i="3"/>
  <c r="F1206" i="3"/>
  <c r="H1206" i="3" s="1"/>
  <c r="G1206" i="3"/>
  <c r="A1207" i="3"/>
  <c r="B1207" i="3"/>
  <c r="C1207" i="3"/>
  <c r="D1207" i="3"/>
  <c r="E1207" i="3"/>
  <c r="F1207" i="3"/>
  <c r="G1207" i="3"/>
  <c r="A1208" i="3"/>
  <c r="B1208" i="3"/>
  <c r="C1208" i="3"/>
  <c r="D1208" i="3"/>
  <c r="E1208" i="3"/>
  <c r="F1208" i="3"/>
  <c r="H1208" i="3" s="1"/>
  <c r="G1208" i="3"/>
  <c r="A1209" i="3"/>
  <c r="B1209" i="3"/>
  <c r="C1209" i="3"/>
  <c r="I1209" i="3" s="1"/>
  <c r="D1209" i="3"/>
  <c r="E1209" i="3"/>
  <c r="F1209" i="3"/>
  <c r="G1209" i="3"/>
  <c r="H1209" i="3"/>
  <c r="A1210" i="3"/>
  <c r="B1210" i="3"/>
  <c r="C1210" i="3"/>
  <c r="D1210" i="3"/>
  <c r="E1210" i="3"/>
  <c r="F1210" i="3"/>
  <c r="H1210" i="3" s="1"/>
  <c r="G1210" i="3"/>
  <c r="A1211" i="3"/>
  <c r="B1211" i="3"/>
  <c r="C1211" i="3"/>
  <c r="D1211" i="3"/>
  <c r="E1211" i="3"/>
  <c r="F1211" i="3"/>
  <c r="H1211" i="3" s="1"/>
  <c r="I1211" i="3" s="1"/>
  <c r="G1211" i="3"/>
  <c r="A1212" i="3"/>
  <c r="B1212" i="3"/>
  <c r="C1212" i="3"/>
  <c r="D1212" i="3"/>
  <c r="E1212" i="3"/>
  <c r="F1212" i="3"/>
  <c r="H1212" i="3" s="1"/>
  <c r="G1212" i="3"/>
  <c r="A1213" i="3"/>
  <c r="B1213" i="3"/>
  <c r="C1213" i="3"/>
  <c r="D1213" i="3"/>
  <c r="E1213" i="3"/>
  <c r="F1213" i="3"/>
  <c r="G1213" i="3"/>
  <c r="H1213" i="3"/>
  <c r="I1213" i="3" s="1"/>
  <c r="A1214" i="3"/>
  <c r="B1214" i="3"/>
  <c r="C1214" i="3"/>
  <c r="D1214" i="3"/>
  <c r="E1214" i="3"/>
  <c r="F1214" i="3"/>
  <c r="G1214" i="3"/>
  <c r="A1215" i="3"/>
  <c r="B1215" i="3"/>
  <c r="C1215" i="3"/>
  <c r="D1215" i="3"/>
  <c r="E1215" i="3"/>
  <c r="F1215" i="3"/>
  <c r="H1215" i="3" s="1"/>
  <c r="G1215" i="3"/>
  <c r="A1216" i="3"/>
  <c r="B1216" i="3"/>
  <c r="C1216" i="3"/>
  <c r="D1216" i="3"/>
  <c r="E1216" i="3"/>
  <c r="F1216" i="3"/>
  <c r="H1216" i="3" s="1"/>
  <c r="G1216" i="3"/>
  <c r="I1216" i="3"/>
  <c r="A1217" i="3"/>
  <c r="B1217" i="3"/>
  <c r="C1217" i="3"/>
  <c r="D1217" i="3"/>
  <c r="E1217" i="3"/>
  <c r="F1217" i="3"/>
  <c r="G1217" i="3"/>
  <c r="H1217" i="3"/>
  <c r="I1217" i="3"/>
  <c r="A1218" i="3"/>
  <c r="B1218" i="3"/>
  <c r="C1218" i="3"/>
  <c r="D1218" i="3"/>
  <c r="E1218" i="3"/>
  <c r="F1218" i="3"/>
  <c r="G1218" i="3"/>
  <c r="A1219" i="3"/>
  <c r="B1219" i="3"/>
  <c r="C1219" i="3"/>
  <c r="I1219" i="3" s="1"/>
  <c r="D1219" i="3"/>
  <c r="E1219" i="3"/>
  <c r="F1219" i="3"/>
  <c r="G1219" i="3"/>
  <c r="H1219" i="3"/>
  <c r="A1220" i="3"/>
  <c r="B1220" i="3"/>
  <c r="C1220" i="3"/>
  <c r="D1220" i="3"/>
  <c r="E1220" i="3"/>
  <c r="F1220" i="3"/>
  <c r="G1220" i="3"/>
  <c r="A1221" i="3"/>
  <c r="B1221" i="3"/>
  <c r="C1221" i="3"/>
  <c r="I1221" i="3" s="1"/>
  <c r="D1221" i="3"/>
  <c r="E1221" i="3"/>
  <c r="F1221" i="3"/>
  <c r="G1221" i="3"/>
  <c r="H1221" i="3"/>
  <c r="A1222" i="3"/>
  <c r="B1222" i="3"/>
  <c r="C1222" i="3"/>
  <c r="I1222" i="3" s="1"/>
  <c r="D1222" i="3"/>
  <c r="E1222" i="3"/>
  <c r="F1222" i="3"/>
  <c r="H1222" i="3" s="1"/>
  <c r="G1222" i="3"/>
  <c r="A1223" i="3"/>
  <c r="B1223" i="3"/>
  <c r="C1223" i="3"/>
  <c r="D1223" i="3"/>
  <c r="E1223" i="3"/>
  <c r="F1223" i="3"/>
  <c r="G1223" i="3"/>
  <c r="A1224" i="3"/>
  <c r="B1224" i="3"/>
  <c r="C1224" i="3"/>
  <c r="D1224" i="3"/>
  <c r="E1224" i="3"/>
  <c r="F1224" i="3"/>
  <c r="H1224" i="3" s="1"/>
  <c r="G1224" i="3"/>
  <c r="A1225" i="3"/>
  <c r="B1225" i="3"/>
  <c r="C1225" i="3"/>
  <c r="I1225" i="3" s="1"/>
  <c r="D1225" i="3"/>
  <c r="E1225" i="3"/>
  <c r="F1225" i="3"/>
  <c r="G1225" i="3"/>
  <c r="H1225" i="3"/>
  <c r="A1226" i="3"/>
  <c r="B1226" i="3"/>
  <c r="C1226" i="3"/>
  <c r="D1226" i="3"/>
  <c r="E1226" i="3"/>
  <c r="F1226" i="3"/>
  <c r="H1226" i="3" s="1"/>
  <c r="G1226" i="3"/>
  <c r="A1227" i="3"/>
  <c r="B1227" i="3"/>
  <c r="C1227" i="3"/>
  <c r="D1227" i="3"/>
  <c r="E1227" i="3"/>
  <c r="F1227" i="3"/>
  <c r="H1227" i="3" s="1"/>
  <c r="I1227" i="3" s="1"/>
  <c r="G1227" i="3"/>
  <c r="A1228" i="3"/>
  <c r="B1228" i="3"/>
  <c r="C1228" i="3"/>
  <c r="D1228" i="3"/>
  <c r="E1228" i="3"/>
  <c r="F1228" i="3"/>
  <c r="H1228" i="3" s="1"/>
  <c r="G1228" i="3"/>
  <c r="A1229" i="3"/>
  <c r="B1229" i="3"/>
  <c r="C1229" i="3"/>
  <c r="D1229" i="3"/>
  <c r="E1229" i="3"/>
  <c r="F1229" i="3"/>
  <c r="G1229" i="3"/>
  <c r="H1229" i="3"/>
  <c r="I1229" i="3" s="1"/>
  <c r="A1230" i="3"/>
  <c r="B1230" i="3"/>
  <c r="C1230" i="3"/>
  <c r="D1230" i="3"/>
  <c r="E1230" i="3"/>
  <c r="F1230" i="3"/>
  <c r="G1230" i="3"/>
  <c r="H1230" i="3" s="1"/>
  <c r="A1231" i="3"/>
  <c r="B1231" i="3"/>
  <c r="C1231" i="3"/>
  <c r="I1231" i="3" s="1"/>
  <c r="D1231" i="3"/>
  <c r="E1231" i="3"/>
  <c r="F1231" i="3"/>
  <c r="G1231" i="3"/>
  <c r="H1231" i="3"/>
  <c r="A1232" i="3"/>
  <c r="B1232" i="3"/>
  <c r="C1232" i="3"/>
  <c r="D1232" i="3"/>
  <c r="E1232" i="3"/>
  <c r="F1232" i="3"/>
  <c r="H1232" i="3" s="1"/>
  <c r="G1232" i="3"/>
  <c r="A1233" i="3"/>
  <c r="B1233" i="3"/>
  <c r="C1233" i="3"/>
  <c r="D1233" i="3"/>
  <c r="E1233" i="3"/>
  <c r="F1233" i="3"/>
  <c r="G1233" i="3"/>
  <c r="H1233" i="3"/>
  <c r="I1233" i="3"/>
  <c r="A1234" i="3"/>
  <c r="B1234" i="3"/>
  <c r="C1234" i="3"/>
  <c r="D1234" i="3"/>
  <c r="E1234" i="3"/>
  <c r="F1234" i="3"/>
  <c r="H1234" i="3" s="1"/>
  <c r="G1234" i="3"/>
  <c r="A1235" i="3"/>
  <c r="B1235" i="3"/>
  <c r="C1235" i="3"/>
  <c r="I1235" i="3" s="1"/>
  <c r="D1235" i="3"/>
  <c r="E1235" i="3"/>
  <c r="F1235" i="3"/>
  <c r="H1235" i="3" s="1"/>
  <c r="G1235" i="3"/>
  <c r="A1236" i="3"/>
  <c r="B1236" i="3"/>
  <c r="C1236" i="3"/>
  <c r="D1236" i="3"/>
  <c r="E1236" i="3"/>
  <c r="F1236" i="3"/>
  <c r="H1236" i="3" s="1"/>
  <c r="G1236" i="3"/>
  <c r="I1236" i="3"/>
  <c r="A1237" i="3"/>
  <c r="B1237" i="3"/>
  <c r="C1237" i="3"/>
  <c r="D1237" i="3"/>
  <c r="E1237" i="3"/>
  <c r="F1237" i="3"/>
  <c r="G1237" i="3"/>
  <c r="H1237" i="3"/>
  <c r="I1237" i="3" s="1"/>
  <c r="A1238" i="3"/>
  <c r="B1238" i="3"/>
  <c r="C1238" i="3"/>
  <c r="I1238" i="3" s="1"/>
  <c r="D1238" i="3"/>
  <c r="E1238" i="3"/>
  <c r="F1238" i="3"/>
  <c r="G1238" i="3"/>
  <c r="H1238" i="3"/>
  <c r="A1239" i="3"/>
  <c r="B1239" i="3"/>
  <c r="C1239" i="3"/>
  <c r="I1239" i="3" s="1"/>
  <c r="D1239" i="3"/>
  <c r="E1239" i="3"/>
  <c r="F1239" i="3"/>
  <c r="G1239" i="3"/>
  <c r="H1239" i="3"/>
  <c r="A1240" i="3"/>
  <c r="B1240" i="3"/>
  <c r="C1240" i="3"/>
  <c r="D1240" i="3"/>
  <c r="E1240" i="3"/>
  <c r="F1240" i="3"/>
  <c r="G1240" i="3"/>
  <c r="A1241" i="3"/>
  <c r="B1241" i="3"/>
  <c r="C1241" i="3"/>
  <c r="I1241" i="3" s="1"/>
  <c r="D1241" i="3"/>
  <c r="E1241" i="3"/>
  <c r="F1241" i="3"/>
  <c r="G1241" i="3"/>
  <c r="H1241" i="3"/>
  <c r="A1242" i="3"/>
  <c r="B1242" i="3"/>
  <c r="C1242" i="3"/>
  <c r="D1242" i="3"/>
  <c r="E1242" i="3"/>
  <c r="F1242" i="3"/>
  <c r="H1242" i="3" s="1"/>
  <c r="G1242" i="3"/>
  <c r="A1243" i="3"/>
  <c r="B1243" i="3"/>
  <c r="C1243" i="3"/>
  <c r="D1243" i="3"/>
  <c r="E1243" i="3"/>
  <c r="F1243" i="3"/>
  <c r="G1243" i="3"/>
  <c r="H1243" i="3"/>
  <c r="I1243" i="3"/>
  <c r="A1244" i="3"/>
  <c r="B1244" i="3"/>
  <c r="C1244" i="3"/>
  <c r="D1244" i="3"/>
  <c r="E1244" i="3"/>
  <c r="F1244" i="3"/>
  <c r="H1244" i="3" s="1"/>
  <c r="G1244" i="3"/>
  <c r="I1244" i="3"/>
  <c r="A1245" i="3"/>
  <c r="B1245" i="3"/>
  <c r="C1245" i="3"/>
  <c r="I1245" i="3" s="1"/>
  <c r="D1245" i="3"/>
  <c r="E1245" i="3"/>
  <c r="F1245" i="3"/>
  <c r="G1245" i="3"/>
  <c r="H1245" i="3"/>
  <c r="A1246" i="3"/>
  <c r="B1246" i="3"/>
  <c r="C1246" i="3"/>
  <c r="I1246" i="3" s="1"/>
  <c r="D1246" i="3"/>
  <c r="E1246" i="3"/>
  <c r="F1246" i="3"/>
  <c r="G1246" i="3"/>
  <c r="H1246" i="3" s="1"/>
  <c r="A1247" i="3"/>
  <c r="B1247" i="3"/>
  <c r="C1247" i="3"/>
  <c r="D1247" i="3"/>
  <c r="E1247" i="3"/>
  <c r="F1247" i="3"/>
  <c r="G1247" i="3"/>
  <c r="H1247" i="3"/>
  <c r="I1247" i="3"/>
  <c r="A1248" i="3"/>
  <c r="B1248" i="3"/>
  <c r="C1248" i="3"/>
  <c r="D1248" i="3"/>
  <c r="E1248" i="3"/>
  <c r="F1248" i="3"/>
  <c r="H1248" i="3" s="1"/>
  <c r="G1248" i="3"/>
  <c r="I1248" i="3"/>
  <c r="A1249" i="3"/>
  <c r="B1249" i="3"/>
  <c r="C1249" i="3"/>
  <c r="I1249" i="3" s="1"/>
  <c r="D1249" i="3"/>
  <c r="E1249" i="3"/>
  <c r="F1249" i="3"/>
  <c r="G1249" i="3"/>
  <c r="H1249" i="3"/>
  <c r="A1250" i="3"/>
  <c r="B1250" i="3"/>
  <c r="C1250" i="3"/>
  <c r="D1250" i="3"/>
  <c r="E1250" i="3"/>
  <c r="F1250" i="3"/>
  <c r="G1250" i="3"/>
  <c r="H1250" i="3" s="1"/>
  <c r="A1251" i="3"/>
  <c r="B1251" i="3"/>
  <c r="C1251" i="3"/>
  <c r="D1251" i="3"/>
  <c r="E1251" i="3"/>
  <c r="F1251" i="3"/>
  <c r="H1251" i="3" s="1"/>
  <c r="I1251" i="3" s="1"/>
  <c r="G1251" i="3"/>
  <c r="A1252" i="3"/>
  <c r="B1252" i="3"/>
  <c r="C1252" i="3"/>
  <c r="D1252" i="3"/>
  <c r="E1252" i="3"/>
  <c r="F1252" i="3"/>
  <c r="H1252" i="3" s="1"/>
  <c r="G1252" i="3"/>
  <c r="A1253" i="3"/>
  <c r="B1253" i="3"/>
  <c r="C1253" i="3"/>
  <c r="D1253" i="3"/>
  <c r="E1253" i="3"/>
  <c r="F1253" i="3"/>
  <c r="G1253" i="3"/>
  <c r="H1253" i="3"/>
  <c r="I1253" i="3" s="1"/>
  <c r="A1254" i="3"/>
  <c r="B1254" i="3"/>
  <c r="C1254" i="3"/>
  <c r="D1254" i="3"/>
  <c r="E1254" i="3"/>
  <c r="F1254" i="3"/>
  <c r="G1254" i="3"/>
  <c r="H1254" i="3" s="1"/>
  <c r="A1255" i="3"/>
  <c r="B1255" i="3"/>
  <c r="C1255" i="3"/>
  <c r="I1255" i="3" s="1"/>
  <c r="D1255" i="3"/>
  <c r="E1255" i="3"/>
  <c r="F1255" i="3"/>
  <c r="G1255" i="3"/>
  <c r="H1255" i="3"/>
  <c r="A1256" i="3"/>
  <c r="B1256" i="3"/>
  <c r="C1256" i="3"/>
  <c r="D1256" i="3"/>
  <c r="E1256" i="3"/>
  <c r="F1256" i="3"/>
  <c r="H1256" i="3" s="1"/>
  <c r="G1256" i="3"/>
  <c r="A1257" i="3"/>
  <c r="B1257" i="3"/>
  <c r="C1257" i="3"/>
  <c r="D1257" i="3"/>
  <c r="E1257" i="3"/>
  <c r="F1257" i="3"/>
  <c r="G1257" i="3"/>
  <c r="H1257" i="3"/>
  <c r="I1257" i="3" s="1"/>
  <c r="A1258" i="3"/>
  <c r="B1258" i="3"/>
  <c r="C1258" i="3"/>
  <c r="D1258" i="3"/>
  <c r="E1258" i="3"/>
  <c r="F1258" i="3"/>
  <c r="H1258" i="3" s="1"/>
  <c r="G1258" i="3"/>
  <c r="A1259" i="3"/>
  <c r="B1259" i="3"/>
  <c r="C1259" i="3"/>
  <c r="D1259" i="3"/>
  <c r="E1259" i="3"/>
  <c r="F1259" i="3"/>
  <c r="H1259" i="3" s="1"/>
  <c r="G1259" i="3"/>
  <c r="A1260" i="3"/>
  <c r="B1260" i="3"/>
  <c r="C1260" i="3"/>
  <c r="D1260" i="3"/>
  <c r="E1260" i="3"/>
  <c r="F1260" i="3"/>
  <c r="H1260" i="3" s="1"/>
  <c r="G1260" i="3"/>
  <c r="I1260" i="3"/>
  <c r="A1261" i="3"/>
  <c r="B1261" i="3"/>
  <c r="C1261" i="3"/>
  <c r="D1261" i="3"/>
  <c r="E1261" i="3"/>
  <c r="F1261" i="3"/>
  <c r="G1261" i="3"/>
  <c r="H1261" i="3"/>
  <c r="I1261" i="3" s="1"/>
  <c r="A1262" i="3"/>
  <c r="B1262" i="3"/>
  <c r="C1262" i="3"/>
  <c r="I1262" i="3" s="1"/>
  <c r="D1262" i="3"/>
  <c r="E1262" i="3"/>
  <c r="F1262" i="3"/>
  <c r="G1262" i="3"/>
  <c r="H1262" i="3"/>
  <c r="A1263" i="3"/>
  <c r="B1263" i="3"/>
  <c r="C1263" i="3"/>
  <c r="I1263" i="3" s="1"/>
  <c r="D1263" i="3"/>
  <c r="E1263" i="3"/>
  <c r="F1263" i="3"/>
  <c r="G1263" i="3"/>
  <c r="H1263" i="3"/>
  <c r="A1264" i="3"/>
  <c r="B1264" i="3"/>
  <c r="C1264" i="3"/>
  <c r="D1264" i="3"/>
  <c r="E1264" i="3"/>
  <c r="F1264" i="3"/>
  <c r="G1264" i="3"/>
  <c r="A1265" i="3"/>
  <c r="B1265" i="3"/>
  <c r="C1265" i="3"/>
  <c r="D1265" i="3"/>
  <c r="E1265" i="3"/>
  <c r="F1265" i="3"/>
  <c r="G1265" i="3"/>
  <c r="H1265" i="3"/>
  <c r="I1265" i="3"/>
  <c r="A1266" i="3"/>
  <c r="B1266" i="3"/>
  <c r="C1266" i="3"/>
  <c r="D1266" i="3"/>
  <c r="E1266" i="3"/>
  <c r="F1266" i="3"/>
  <c r="H1266" i="3" s="1"/>
  <c r="G1266" i="3"/>
  <c r="A1267" i="3"/>
  <c r="B1267" i="3"/>
  <c r="C1267" i="3"/>
  <c r="D1267" i="3"/>
  <c r="E1267" i="3"/>
  <c r="F1267" i="3"/>
  <c r="I1267" i="3" s="1"/>
  <c r="G1267" i="3"/>
  <c r="H1267" i="3"/>
  <c r="A1268" i="3"/>
  <c r="B1268" i="3"/>
  <c r="C1268" i="3"/>
  <c r="D1268" i="3"/>
  <c r="E1268" i="3"/>
  <c r="F1268" i="3"/>
  <c r="G1268" i="3"/>
  <c r="H1268" i="3"/>
  <c r="I1268" i="3"/>
  <c r="A1269" i="3"/>
  <c r="B1269" i="3"/>
  <c r="C1269" i="3"/>
  <c r="I1269" i="3" s="1"/>
  <c r="D1269" i="3"/>
  <c r="E1269" i="3"/>
  <c r="F1269" i="3"/>
  <c r="G1269" i="3"/>
  <c r="H1269" i="3"/>
  <c r="A1270" i="3"/>
  <c r="B1270" i="3"/>
  <c r="C1270" i="3"/>
  <c r="D1270" i="3"/>
  <c r="E1270" i="3"/>
  <c r="F1270" i="3"/>
  <c r="H1270" i="3" s="1"/>
  <c r="G1270" i="3"/>
  <c r="A1271" i="3"/>
  <c r="B1271" i="3"/>
  <c r="C1271" i="3"/>
  <c r="D1271" i="3"/>
  <c r="E1271" i="3"/>
  <c r="F1271" i="3"/>
  <c r="G1271" i="3"/>
  <c r="H1271" i="3"/>
  <c r="I1271" i="3"/>
  <c r="A1272" i="3"/>
  <c r="B1272" i="3"/>
  <c r="C1272" i="3"/>
  <c r="D1272" i="3"/>
  <c r="E1272" i="3"/>
  <c r="F1272" i="3"/>
  <c r="G1272" i="3"/>
  <c r="H1272" i="3"/>
  <c r="I1272" i="3" s="1"/>
  <c r="A1273" i="3"/>
  <c r="B1273" i="3"/>
  <c r="C1273" i="3"/>
  <c r="I1273" i="3" s="1"/>
  <c r="D1273" i="3"/>
  <c r="E1273" i="3"/>
  <c r="F1273" i="3"/>
  <c r="G1273" i="3"/>
  <c r="H1273" i="3"/>
  <c r="A1274" i="3"/>
  <c r="B1274" i="3"/>
  <c r="C1274" i="3"/>
  <c r="D1274" i="3"/>
  <c r="E1274" i="3"/>
  <c r="F1274" i="3"/>
  <c r="H1274" i="3" s="1"/>
  <c r="G1274" i="3"/>
  <c r="A1275" i="3"/>
  <c r="B1275" i="3"/>
  <c r="C1275" i="3"/>
  <c r="D1275" i="3"/>
  <c r="E1275" i="3"/>
  <c r="F1275" i="3"/>
  <c r="G1275" i="3"/>
  <c r="A1276" i="3"/>
  <c r="B1276" i="3"/>
  <c r="C1276" i="3"/>
  <c r="D1276" i="3"/>
  <c r="E1276" i="3"/>
  <c r="F1276" i="3"/>
  <c r="H1276" i="3" s="1"/>
  <c r="G1276" i="3"/>
  <c r="I1276" i="3"/>
  <c r="A1277" i="3"/>
  <c r="B1277" i="3"/>
  <c r="C1277" i="3"/>
  <c r="I1277" i="3" s="1"/>
  <c r="D1277" i="3"/>
  <c r="E1277" i="3"/>
  <c r="F1277" i="3"/>
  <c r="G1277" i="3"/>
  <c r="H1277" i="3"/>
  <c r="A1278" i="3"/>
  <c r="B1278" i="3"/>
  <c r="C1278" i="3"/>
  <c r="D1278" i="3"/>
  <c r="E1278" i="3"/>
  <c r="F1278" i="3"/>
  <c r="G1278" i="3"/>
  <c r="H1278" i="3" s="1"/>
  <c r="A1279" i="3"/>
  <c r="B1279" i="3"/>
  <c r="C1279" i="3"/>
  <c r="D1279" i="3"/>
  <c r="E1279" i="3"/>
  <c r="F1279" i="3"/>
  <c r="G1279" i="3"/>
  <c r="H1279" i="3"/>
  <c r="I1279" i="3"/>
  <c r="A1280" i="3"/>
  <c r="B1280" i="3"/>
  <c r="C1280" i="3"/>
  <c r="D1280" i="3"/>
  <c r="E1280" i="3"/>
  <c r="F1280" i="3"/>
  <c r="G1280" i="3"/>
  <c r="H1280" i="3"/>
  <c r="I1280" i="3" s="1"/>
  <c r="A1281" i="3"/>
  <c r="B1281" i="3"/>
  <c r="C1281" i="3"/>
  <c r="I1281" i="3" s="1"/>
  <c r="D1281" i="3"/>
  <c r="E1281" i="3"/>
  <c r="F1281" i="3"/>
  <c r="G1281" i="3"/>
  <c r="H1281" i="3"/>
  <c r="A1282" i="3"/>
  <c r="B1282" i="3"/>
  <c r="C1282" i="3"/>
  <c r="D1282" i="3"/>
  <c r="E1282" i="3"/>
  <c r="F1282" i="3"/>
  <c r="G1282" i="3"/>
  <c r="H1282" i="3"/>
  <c r="A1283" i="3"/>
  <c r="B1283" i="3"/>
  <c r="C1283" i="3"/>
  <c r="D1283" i="3"/>
  <c r="E1283" i="3"/>
  <c r="F1283" i="3"/>
  <c r="G1283" i="3"/>
  <c r="H1283" i="3"/>
  <c r="I1283" i="3" s="1"/>
  <c r="A1284" i="3"/>
  <c r="B1284" i="3"/>
  <c r="C1284" i="3"/>
  <c r="D1284" i="3"/>
  <c r="E1284" i="3"/>
  <c r="F1284" i="3"/>
  <c r="G1284" i="3"/>
  <c r="H1284" i="3"/>
  <c r="I1284" i="3" s="1"/>
  <c r="A1285" i="3"/>
  <c r="B1285" i="3"/>
  <c r="C1285" i="3"/>
  <c r="I1285" i="3" s="1"/>
  <c r="D1285" i="3"/>
  <c r="E1285" i="3"/>
  <c r="F1285" i="3"/>
  <c r="G1285" i="3"/>
  <c r="H1285" i="3"/>
  <c r="A1286" i="3"/>
  <c r="B1286" i="3"/>
  <c r="C1286" i="3"/>
  <c r="D1286" i="3"/>
  <c r="E1286" i="3"/>
  <c r="F1286" i="3"/>
  <c r="G1286" i="3"/>
  <c r="H1286" i="3" s="1"/>
  <c r="A1287" i="3"/>
  <c r="B1287" i="3"/>
  <c r="C1287" i="3"/>
  <c r="D1287" i="3"/>
  <c r="E1287" i="3"/>
  <c r="F1287" i="3"/>
  <c r="H1287" i="3" s="1"/>
  <c r="I1287" i="3" s="1"/>
  <c r="G1287" i="3"/>
  <c r="A1288" i="3"/>
  <c r="B1288" i="3"/>
  <c r="C1288" i="3"/>
  <c r="D1288" i="3"/>
  <c r="E1288" i="3"/>
  <c r="F1288" i="3"/>
  <c r="H1288" i="3" s="1"/>
  <c r="I1288" i="3" s="1"/>
  <c r="G1288" i="3"/>
  <c r="A1289" i="3"/>
  <c r="B1289" i="3"/>
  <c r="C1289" i="3"/>
  <c r="I1289" i="3" s="1"/>
  <c r="D1289" i="3"/>
  <c r="E1289" i="3"/>
  <c r="F1289" i="3"/>
  <c r="G1289" i="3"/>
  <c r="H1289" i="3"/>
  <c r="A1290" i="3"/>
  <c r="B1290" i="3"/>
  <c r="C1290" i="3"/>
  <c r="D1290" i="3"/>
  <c r="E1290" i="3"/>
  <c r="F1290" i="3"/>
  <c r="H1290" i="3" s="1"/>
  <c r="G1290" i="3"/>
  <c r="A1291" i="3"/>
  <c r="B1291" i="3"/>
  <c r="C1291" i="3"/>
  <c r="I1291" i="3" s="1"/>
  <c r="D1291" i="3"/>
  <c r="E1291" i="3"/>
  <c r="F1291" i="3"/>
  <c r="G1291" i="3"/>
  <c r="H1291" i="3"/>
  <c r="A1292" i="3"/>
  <c r="B1292" i="3"/>
  <c r="C1292" i="3"/>
  <c r="D1292" i="3"/>
  <c r="E1292" i="3"/>
  <c r="F1292" i="3"/>
  <c r="H1292" i="3" s="1"/>
  <c r="G1292" i="3"/>
  <c r="A1293" i="3"/>
  <c r="B1293" i="3"/>
  <c r="C1293" i="3"/>
  <c r="D1293" i="3"/>
  <c r="E1293" i="3"/>
  <c r="F1293" i="3"/>
  <c r="G1293" i="3"/>
  <c r="H1293" i="3"/>
  <c r="I1293" i="3" s="1"/>
  <c r="A1294" i="3"/>
  <c r="B1294" i="3"/>
  <c r="C1294" i="3"/>
  <c r="D1294" i="3"/>
  <c r="E1294" i="3"/>
  <c r="F1294" i="3"/>
  <c r="G1294" i="3"/>
  <c r="H1294" i="3" s="1"/>
  <c r="A1295" i="3"/>
  <c r="B1295" i="3"/>
  <c r="C1295" i="3"/>
  <c r="I1295" i="3" s="1"/>
  <c r="D1295" i="3"/>
  <c r="E1295" i="3"/>
  <c r="F1295" i="3"/>
  <c r="G1295" i="3"/>
  <c r="H1295" i="3"/>
  <c r="A1296" i="3"/>
  <c r="B1296" i="3"/>
  <c r="C1296" i="3"/>
  <c r="D1296" i="3"/>
  <c r="E1296" i="3"/>
  <c r="F1296" i="3"/>
  <c r="H1296" i="3" s="1"/>
  <c r="G1296" i="3"/>
  <c r="A1297" i="3"/>
  <c r="B1297" i="3"/>
  <c r="C1297" i="3"/>
  <c r="D1297" i="3"/>
  <c r="E1297" i="3"/>
  <c r="F1297" i="3"/>
  <c r="G1297" i="3"/>
  <c r="H1297" i="3"/>
  <c r="I1297" i="3"/>
  <c r="A1298" i="3"/>
  <c r="B1298" i="3"/>
  <c r="C1298" i="3"/>
  <c r="D1298" i="3"/>
  <c r="E1298" i="3"/>
  <c r="F1298" i="3"/>
  <c r="G1298" i="3"/>
  <c r="H1298" i="3"/>
  <c r="A1299" i="3"/>
  <c r="B1299" i="3"/>
  <c r="C1299" i="3"/>
  <c r="D1299" i="3"/>
  <c r="E1299" i="3"/>
  <c r="F1299" i="3"/>
  <c r="H1299" i="3" s="1"/>
  <c r="G1299" i="3"/>
  <c r="A1300" i="3"/>
  <c r="B1300" i="3"/>
  <c r="C1300" i="3"/>
  <c r="D1300" i="3"/>
  <c r="E1300" i="3"/>
  <c r="F1300" i="3"/>
  <c r="I1300" i="3" s="1"/>
  <c r="G1300" i="3"/>
  <c r="H1300" i="3" s="1"/>
  <c r="A1301" i="3"/>
  <c r="B1301" i="3"/>
  <c r="C1301" i="3"/>
  <c r="D1301" i="3"/>
  <c r="E1301" i="3"/>
  <c r="F1301" i="3"/>
  <c r="G1301" i="3"/>
  <c r="H1301" i="3"/>
  <c r="I1301" i="3" s="1"/>
  <c r="A1302" i="3"/>
  <c r="B1302" i="3"/>
  <c r="C1302" i="3"/>
  <c r="D1302" i="3"/>
  <c r="E1302" i="3"/>
  <c r="F1302" i="3"/>
  <c r="H1302" i="3" s="1"/>
  <c r="G1302" i="3"/>
  <c r="A1303" i="3"/>
  <c r="B1303" i="3"/>
  <c r="C1303" i="3"/>
  <c r="I1303" i="3" s="1"/>
  <c r="D1303" i="3"/>
  <c r="E1303" i="3"/>
  <c r="F1303" i="3"/>
  <c r="H1303" i="3" s="1"/>
  <c r="G1303" i="3"/>
  <c r="A1304" i="3"/>
  <c r="B1304" i="3"/>
  <c r="C1304" i="3"/>
  <c r="D1304" i="3"/>
  <c r="E1304" i="3"/>
  <c r="F1304" i="3"/>
  <c r="I1304" i="3" s="1"/>
  <c r="G1304" i="3"/>
  <c r="H1304" i="3"/>
  <c r="A1305" i="3"/>
  <c r="B1305" i="3"/>
  <c r="C1305" i="3"/>
  <c r="D1305" i="3"/>
  <c r="E1305" i="3"/>
  <c r="F1305" i="3"/>
  <c r="G1305" i="3"/>
  <c r="H1305" i="3"/>
  <c r="I1305" i="3"/>
  <c r="A1306" i="3"/>
  <c r="B1306" i="3"/>
  <c r="C1306" i="3"/>
  <c r="D1306" i="3"/>
  <c r="E1306" i="3"/>
  <c r="F1306" i="3"/>
  <c r="G1306" i="3"/>
  <c r="H1306" i="3" s="1"/>
  <c r="A1307" i="3"/>
  <c r="B1307" i="3"/>
  <c r="C1307" i="3"/>
  <c r="D1307" i="3"/>
  <c r="E1307" i="3"/>
  <c r="F1307" i="3"/>
  <c r="H1307" i="3" s="1"/>
  <c r="G1307" i="3"/>
  <c r="A1308" i="3"/>
  <c r="B1308" i="3"/>
  <c r="C1308" i="3"/>
  <c r="D1308" i="3"/>
  <c r="E1308" i="3"/>
  <c r="F1308" i="3"/>
  <c r="G1308" i="3"/>
  <c r="H1308" i="3" s="1"/>
  <c r="I1308" i="3" s="1"/>
  <c r="A1309" i="3"/>
  <c r="B1309" i="3"/>
  <c r="C1309" i="3"/>
  <c r="D1309" i="3"/>
  <c r="E1309" i="3"/>
  <c r="F1309" i="3"/>
  <c r="G1309" i="3"/>
  <c r="H1309" i="3"/>
  <c r="I1309" i="3" s="1"/>
  <c r="A1310" i="3"/>
  <c r="B1310" i="3"/>
  <c r="C1310" i="3"/>
  <c r="I1310" i="3" s="1"/>
  <c r="D1310" i="3"/>
  <c r="E1310" i="3"/>
  <c r="F1310" i="3"/>
  <c r="G1310" i="3"/>
  <c r="H1310" i="3"/>
  <c r="A1311" i="3"/>
  <c r="B1311" i="3"/>
  <c r="C1311" i="3"/>
  <c r="I1311" i="3" s="1"/>
  <c r="D1311" i="3"/>
  <c r="E1311" i="3"/>
  <c r="F1311" i="3"/>
  <c r="G1311" i="3"/>
  <c r="H1311" i="3"/>
  <c r="A1312" i="3"/>
  <c r="B1312" i="3"/>
  <c r="C1312" i="3"/>
  <c r="D1312" i="3"/>
  <c r="E1312" i="3"/>
  <c r="F1312" i="3"/>
  <c r="G1312" i="3"/>
  <c r="A1313" i="3"/>
  <c r="B1313" i="3"/>
  <c r="C1313" i="3"/>
  <c r="D1313" i="3"/>
  <c r="E1313" i="3"/>
  <c r="F1313" i="3"/>
  <c r="G1313" i="3"/>
  <c r="H1313" i="3"/>
  <c r="I1313" i="3"/>
  <c r="A1314" i="3"/>
  <c r="B1314" i="3"/>
  <c r="C1314" i="3"/>
  <c r="D1314" i="3"/>
  <c r="E1314" i="3"/>
  <c r="F1314" i="3"/>
  <c r="H1314" i="3" s="1"/>
  <c r="G1314" i="3"/>
  <c r="A1315" i="3"/>
  <c r="B1315" i="3"/>
  <c r="C1315" i="3"/>
  <c r="D1315" i="3"/>
  <c r="E1315" i="3"/>
  <c r="F1315" i="3"/>
  <c r="I1315" i="3" s="1"/>
  <c r="G1315" i="3"/>
  <c r="H1315" i="3"/>
  <c r="A1316" i="3"/>
  <c r="B1316" i="3"/>
  <c r="C1316" i="3"/>
  <c r="D1316" i="3"/>
  <c r="E1316" i="3"/>
  <c r="F1316" i="3"/>
  <c r="G1316" i="3"/>
  <c r="A1317" i="3"/>
  <c r="B1317" i="3"/>
  <c r="C1317" i="3"/>
  <c r="I1317" i="3" s="1"/>
  <c r="D1317" i="3"/>
  <c r="E1317" i="3"/>
  <c r="F1317" i="3"/>
  <c r="G1317" i="3"/>
  <c r="H1317" i="3"/>
  <c r="A1318" i="3"/>
  <c r="B1318" i="3"/>
  <c r="C1318" i="3"/>
  <c r="D1318" i="3"/>
  <c r="E1318" i="3"/>
  <c r="F1318" i="3"/>
  <c r="H1318" i="3" s="1"/>
  <c r="G1318" i="3"/>
  <c r="A1319" i="3"/>
  <c r="B1319" i="3"/>
  <c r="C1319" i="3"/>
  <c r="D1319" i="3"/>
  <c r="E1319" i="3"/>
  <c r="F1319" i="3"/>
  <c r="G1319" i="3"/>
  <c r="H1319" i="3"/>
  <c r="I1319" i="3"/>
  <c r="A1320" i="3"/>
  <c r="B1320" i="3"/>
  <c r="C1320" i="3"/>
  <c r="D1320" i="3"/>
  <c r="E1320" i="3"/>
  <c r="F1320" i="3"/>
  <c r="G1320" i="3"/>
  <c r="H1320" i="3"/>
  <c r="I1320" i="3" s="1"/>
  <c r="A1321" i="3"/>
  <c r="B1321" i="3"/>
  <c r="C1321" i="3"/>
  <c r="I1321" i="3" s="1"/>
  <c r="D1321" i="3"/>
  <c r="E1321" i="3"/>
  <c r="F1321" i="3"/>
  <c r="G1321" i="3"/>
  <c r="H1321" i="3"/>
  <c r="A1322" i="3"/>
  <c r="B1322" i="3"/>
  <c r="C1322" i="3"/>
  <c r="D1322" i="3"/>
  <c r="E1322" i="3"/>
  <c r="F1322" i="3"/>
  <c r="H1322" i="3" s="1"/>
  <c r="G1322" i="3"/>
  <c r="A1323" i="3"/>
  <c r="B1323" i="3"/>
  <c r="C1323" i="3"/>
  <c r="D1323" i="3"/>
  <c r="E1323" i="3"/>
  <c r="F1323" i="3"/>
  <c r="G1323" i="3"/>
  <c r="A1324" i="3"/>
  <c r="B1324" i="3"/>
  <c r="C1324" i="3"/>
  <c r="D1324" i="3"/>
  <c r="E1324" i="3"/>
  <c r="F1324" i="3"/>
  <c r="H1324" i="3" s="1"/>
  <c r="G1324" i="3"/>
  <c r="I1324" i="3"/>
  <c r="A1325" i="3"/>
  <c r="B1325" i="3"/>
  <c r="C1325" i="3"/>
  <c r="I1325" i="3" s="1"/>
  <c r="D1325" i="3"/>
  <c r="E1325" i="3"/>
  <c r="F1325" i="3"/>
  <c r="G1325" i="3"/>
  <c r="H1325" i="3"/>
  <c r="A1326" i="3"/>
  <c r="B1326" i="3"/>
  <c r="C1326" i="3"/>
  <c r="D1326" i="3"/>
  <c r="E1326" i="3"/>
  <c r="F1326" i="3"/>
  <c r="G1326" i="3"/>
  <c r="H1326" i="3" s="1"/>
  <c r="A1327" i="3"/>
  <c r="B1327" i="3"/>
  <c r="C1327" i="3"/>
  <c r="D1327" i="3"/>
  <c r="E1327" i="3"/>
  <c r="F1327" i="3"/>
  <c r="G1327" i="3"/>
  <c r="H1327" i="3"/>
  <c r="I1327" i="3"/>
  <c r="A1328" i="3"/>
  <c r="B1328" i="3"/>
  <c r="C1328" i="3"/>
  <c r="D1328" i="3"/>
  <c r="E1328" i="3"/>
  <c r="F1328" i="3"/>
  <c r="G1328" i="3"/>
  <c r="H1328" i="3" s="1"/>
  <c r="A1329" i="3"/>
  <c r="B1329" i="3"/>
  <c r="C1329" i="3"/>
  <c r="I1329" i="3" s="1"/>
  <c r="D1329" i="3"/>
  <c r="E1329" i="3"/>
  <c r="F1329" i="3"/>
  <c r="G1329" i="3"/>
  <c r="H1329" i="3"/>
  <c r="A1330" i="3"/>
  <c r="B1330" i="3"/>
  <c r="C1330" i="3"/>
  <c r="D1330" i="3"/>
  <c r="E1330" i="3"/>
  <c r="F1330" i="3"/>
  <c r="G1330" i="3"/>
  <c r="H1330" i="3"/>
  <c r="A1331" i="3"/>
  <c r="B1331" i="3"/>
  <c r="C1331" i="3"/>
  <c r="D1331" i="3"/>
  <c r="E1331" i="3"/>
  <c r="F1331" i="3"/>
  <c r="G1331" i="3"/>
  <c r="H1331" i="3"/>
  <c r="I1331" i="3" s="1"/>
  <c r="A1332" i="3"/>
  <c r="B1332" i="3"/>
  <c r="C1332" i="3"/>
  <c r="D1332" i="3"/>
  <c r="E1332" i="3"/>
  <c r="F1332" i="3"/>
  <c r="G1332" i="3"/>
  <c r="H1332" i="3"/>
  <c r="I1332" i="3" s="1"/>
  <c r="A1333" i="3"/>
  <c r="B1333" i="3"/>
  <c r="C1333" i="3"/>
  <c r="I1333" i="3" s="1"/>
  <c r="D1333" i="3"/>
  <c r="E1333" i="3"/>
  <c r="F1333" i="3"/>
  <c r="G1333" i="3"/>
  <c r="H1333" i="3"/>
  <c r="A1334" i="3"/>
  <c r="B1334" i="3"/>
  <c r="C1334" i="3"/>
  <c r="D1334" i="3"/>
  <c r="E1334" i="3"/>
  <c r="F1334" i="3"/>
  <c r="G1334" i="3"/>
  <c r="H1334" i="3" s="1"/>
  <c r="A1335" i="3"/>
  <c r="B1335" i="3"/>
  <c r="C1335" i="3"/>
  <c r="D1335" i="3"/>
  <c r="E1335" i="3"/>
  <c r="F1335" i="3"/>
  <c r="H1335" i="3" s="1"/>
  <c r="I1335" i="3" s="1"/>
  <c r="G1335" i="3"/>
  <c r="A1336" i="3"/>
  <c r="B1336" i="3"/>
  <c r="C1336" i="3"/>
  <c r="D1336" i="3"/>
  <c r="E1336" i="3"/>
  <c r="F1336" i="3"/>
  <c r="H1336" i="3" s="1"/>
  <c r="I1336" i="3" s="1"/>
  <c r="G1336" i="3"/>
  <c r="A1337" i="3"/>
  <c r="B1337" i="3"/>
  <c r="C1337" i="3"/>
  <c r="I1337" i="3" s="1"/>
  <c r="D1337" i="3"/>
  <c r="E1337" i="3"/>
  <c r="F1337" i="3"/>
  <c r="G1337" i="3"/>
  <c r="H1337" i="3"/>
  <c r="A1338" i="3"/>
  <c r="B1338" i="3"/>
  <c r="C1338" i="3"/>
  <c r="D1338" i="3"/>
  <c r="E1338" i="3"/>
  <c r="F1338" i="3"/>
  <c r="H1338" i="3" s="1"/>
  <c r="G1338" i="3"/>
  <c r="A1339" i="3"/>
  <c r="B1339" i="3"/>
  <c r="C1339" i="3"/>
  <c r="I1339" i="3" s="1"/>
  <c r="D1339" i="3"/>
  <c r="E1339" i="3"/>
  <c r="F1339" i="3"/>
  <c r="G1339" i="3"/>
  <c r="H1339" i="3"/>
  <c r="A1340" i="3"/>
  <c r="B1340" i="3"/>
  <c r="C1340" i="3"/>
  <c r="D1340" i="3"/>
  <c r="E1340" i="3"/>
  <c r="F1340" i="3"/>
  <c r="H1340" i="3" s="1"/>
  <c r="G1340" i="3"/>
  <c r="A1341" i="3"/>
  <c r="B1341" i="3"/>
  <c r="C1341" i="3"/>
  <c r="D1341" i="3"/>
  <c r="E1341" i="3"/>
  <c r="F1341" i="3"/>
  <c r="G1341" i="3"/>
  <c r="H1341" i="3"/>
  <c r="I1341" i="3" s="1"/>
  <c r="A1342" i="3"/>
  <c r="B1342" i="3"/>
  <c r="C1342" i="3"/>
  <c r="D1342" i="3"/>
  <c r="E1342" i="3"/>
  <c r="F1342" i="3"/>
  <c r="G1342" i="3"/>
  <c r="H1342" i="3" s="1"/>
  <c r="A1343" i="3"/>
  <c r="B1343" i="3"/>
  <c r="C1343" i="3"/>
  <c r="I1343" i="3" s="1"/>
  <c r="D1343" i="3"/>
  <c r="E1343" i="3"/>
  <c r="F1343" i="3"/>
  <c r="G1343" i="3"/>
  <c r="H1343" i="3"/>
  <c r="A1344" i="3"/>
  <c r="B1344" i="3"/>
  <c r="C1344" i="3"/>
  <c r="D1344" i="3"/>
  <c r="E1344" i="3"/>
  <c r="F1344" i="3"/>
  <c r="H1344" i="3" s="1"/>
  <c r="G1344" i="3"/>
  <c r="A1345" i="3"/>
  <c r="B1345" i="3"/>
  <c r="C1345" i="3"/>
  <c r="D1345" i="3"/>
  <c r="E1345" i="3"/>
  <c r="F1345" i="3"/>
  <c r="G1345" i="3"/>
  <c r="H1345" i="3"/>
  <c r="I1345" i="3"/>
  <c r="A1346" i="3"/>
  <c r="B1346" i="3"/>
  <c r="C1346" i="3"/>
  <c r="I1346" i="3" s="1"/>
  <c r="D1346" i="3"/>
  <c r="E1346" i="3"/>
  <c r="F1346" i="3"/>
  <c r="G1346" i="3"/>
  <c r="H1346" i="3"/>
  <c r="A1347" i="3"/>
  <c r="B1347" i="3"/>
  <c r="C1347" i="3"/>
  <c r="D1347" i="3"/>
  <c r="E1347" i="3"/>
  <c r="F1347" i="3"/>
  <c r="H1347" i="3" s="1"/>
  <c r="G1347" i="3"/>
  <c r="A1348" i="3"/>
  <c r="B1348" i="3"/>
  <c r="C1348" i="3"/>
  <c r="D1348" i="3"/>
  <c r="E1348" i="3"/>
  <c r="F1348" i="3"/>
  <c r="I1348" i="3" s="1"/>
  <c r="G1348" i="3"/>
  <c r="H1348" i="3" s="1"/>
  <c r="A1349" i="3"/>
  <c r="B1349" i="3"/>
  <c r="C1349" i="3"/>
  <c r="D1349" i="3"/>
  <c r="E1349" i="3"/>
  <c r="F1349" i="3"/>
  <c r="G1349" i="3"/>
  <c r="H1349" i="3"/>
  <c r="I1349" i="3" s="1"/>
  <c r="A1350" i="3"/>
  <c r="B1350" i="3"/>
  <c r="C1350" i="3"/>
  <c r="D1350" i="3"/>
  <c r="E1350" i="3"/>
  <c r="F1350" i="3"/>
  <c r="H1350" i="3" s="1"/>
  <c r="G1350" i="3"/>
  <c r="A1351" i="3"/>
  <c r="B1351" i="3"/>
  <c r="C1351" i="3"/>
  <c r="I1351" i="3" s="1"/>
  <c r="D1351" i="3"/>
  <c r="E1351" i="3"/>
  <c r="F1351" i="3"/>
  <c r="H1351" i="3" s="1"/>
  <c r="G1351" i="3"/>
  <c r="A1352" i="3"/>
  <c r="B1352" i="3"/>
  <c r="C1352" i="3"/>
  <c r="D1352" i="3"/>
  <c r="E1352" i="3"/>
  <c r="F1352" i="3"/>
  <c r="G1352" i="3"/>
  <c r="H1352" i="3"/>
  <c r="A1353" i="3"/>
  <c r="B1353" i="3"/>
  <c r="C1353" i="3"/>
  <c r="D1353" i="3"/>
  <c r="E1353" i="3"/>
  <c r="F1353" i="3"/>
  <c r="G1353" i="3"/>
  <c r="H1353" i="3"/>
  <c r="I1353" i="3"/>
  <c r="A1354" i="3"/>
  <c r="B1354" i="3"/>
  <c r="C1354" i="3"/>
  <c r="I1354" i="3" s="1"/>
  <c r="D1354" i="3"/>
  <c r="E1354" i="3"/>
  <c r="F1354" i="3"/>
  <c r="G1354" i="3"/>
  <c r="H1354" i="3" s="1"/>
  <c r="A1355" i="3"/>
  <c r="B1355" i="3"/>
  <c r="C1355" i="3"/>
  <c r="D1355" i="3"/>
  <c r="E1355" i="3"/>
  <c r="F1355" i="3"/>
  <c r="H1355" i="3" s="1"/>
  <c r="G1355" i="3"/>
  <c r="A1356" i="3"/>
  <c r="B1356" i="3"/>
  <c r="C1356" i="3"/>
  <c r="D1356" i="3"/>
  <c r="E1356" i="3"/>
  <c r="F1356" i="3"/>
  <c r="G1356" i="3"/>
  <c r="H1356" i="3" s="1"/>
  <c r="A1357" i="3"/>
  <c r="B1357" i="3"/>
  <c r="C1357" i="3"/>
  <c r="D1357" i="3"/>
  <c r="E1357" i="3"/>
  <c r="F1357" i="3"/>
  <c r="G1357" i="3"/>
  <c r="H1357" i="3"/>
  <c r="I1357" i="3" s="1"/>
  <c r="A1358" i="3"/>
  <c r="B1358" i="3"/>
  <c r="C1358" i="3"/>
  <c r="I1358" i="3" s="1"/>
  <c r="D1358" i="3"/>
  <c r="E1358" i="3"/>
  <c r="F1358" i="3"/>
  <c r="G1358" i="3"/>
  <c r="H1358" i="3"/>
  <c r="A1359" i="3"/>
  <c r="B1359" i="3"/>
  <c r="C1359" i="3"/>
  <c r="I1359" i="3" s="1"/>
  <c r="D1359" i="3"/>
  <c r="E1359" i="3"/>
  <c r="F1359" i="3"/>
  <c r="G1359" i="3"/>
  <c r="H1359" i="3"/>
  <c r="A1360" i="3"/>
  <c r="B1360" i="3"/>
  <c r="C1360" i="3"/>
  <c r="D1360" i="3"/>
  <c r="E1360" i="3"/>
  <c r="F1360" i="3"/>
  <c r="G1360" i="3"/>
  <c r="H1360" i="3"/>
  <c r="A1361" i="3"/>
  <c r="B1361" i="3"/>
  <c r="C1361" i="3"/>
  <c r="D1361" i="3"/>
  <c r="E1361" i="3"/>
  <c r="F1361" i="3"/>
  <c r="G1361" i="3"/>
  <c r="H1361" i="3"/>
  <c r="I1361" i="3"/>
  <c r="A1362" i="3"/>
  <c r="B1362" i="3"/>
  <c r="C1362" i="3"/>
  <c r="D1362" i="3"/>
  <c r="E1362" i="3"/>
  <c r="F1362" i="3"/>
  <c r="H1362" i="3" s="1"/>
  <c r="G1362" i="3"/>
  <c r="A1363" i="3"/>
  <c r="B1363" i="3"/>
  <c r="C1363" i="3"/>
  <c r="D1363" i="3"/>
  <c r="E1363" i="3"/>
  <c r="F1363" i="3"/>
  <c r="G1363" i="3"/>
  <c r="H1363" i="3"/>
  <c r="A1364" i="3"/>
  <c r="B1364" i="3"/>
  <c r="C1364" i="3"/>
  <c r="D1364" i="3"/>
  <c r="E1364" i="3"/>
  <c r="F1364" i="3"/>
  <c r="G1364" i="3"/>
  <c r="H1364" i="3" s="1"/>
  <c r="I1364" i="3"/>
  <c r="A1365" i="3"/>
  <c r="B1365" i="3"/>
  <c r="C1365" i="3"/>
  <c r="D1365" i="3"/>
  <c r="E1365" i="3"/>
  <c r="F1365" i="3"/>
  <c r="G1365" i="3"/>
  <c r="H1365" i="3" s="1"/>
  <c r="A1366" i="3"/>
  <c r="B1366" i="3"/>
  <c r="C1366" i="3"/>
  <c r="I1366" i="3" s="1"/>
  <c r="D1366" i="3"/>
  <c r="E1366" i="3"/>
  <c r="F1366" i="3"/>
  <c r="H1366" i="3" s="1"/>
  <c r="G1366" i="3"/>
  <c r="A1367" i="3"/>
  <c r="B1367" i="3"/>
  <c r="C1367" i="3"/>
  <c r="D1367" i="3"/>
  <c r="E1367" i="3"/>
  <c r="F1367" i="3"/>
  <c r="G1367" i="3"/>
  <c r="H1367" i="3"/>
  <c r="I1367" i="3"/>
  <c r="A1368" i="3"/>
  <c r="B1368" i="3"/>
  <c r="C1368" i="3"/>
  <c r="D1368" i="3"/>
  <c r="E1368" i="3"/>
  <c r="F1368" i="3"/>
  <c r="G1368" i="3"/>
  <c r="H1368" i="3"/>
  <c r="I1368" i="3" s="1"/>
  <c r="A1369" i="3"/>
  <c r="B1369" i="3"/>
  <c r="C1369" i="3"/>
  <c r="I1369" i="3" s="1"/>
  <c r="D1369" i="3"/>
  <c r="E1369" i="3"/>
  <c r="F1369" i="3"/>
  <c r="G1369" i="3"/>
  <c r="H1369" i="3"/>
  <c r="A1370" i="3"/>
  <c r="B1370" i="3"/>
  <c r="C1370" i="3"/>
  <c r="D1370" i="3"/>
  <c r="E1370" i="3"/>
  <c r="F1370" i="3"/>
  <c r="H1370" i="3" s="1"/>
  <c r="G1370" i="3"/>
  <c r="A1371" i="3"/>
  <c r="B1371" i="3"/>
  <c r="C1371" i="3"/>
  <c r="D1371" i="3"/>
  <c r="E1371" i="3"/>
  <c r="F1371" i="3"/>
  <c r="G1371" i="3"/>
  <c r="H1371" i="3"/>
  <c r="A1372" i="3"/>
  <c r="B1372" i="3"/>
  <c r="C1372" i="3"/>
  <c r="D1372" i="3"/>
  <c r="E1372" i="3"/>
  <c r="F1372" i="3"/>
  <c r="H1372" i="3" s="1"/>
  <c r="I1372" i="3" s="1"/>
  <c r="G1372" i="3"/>
  <c r="A1373" i="3"/>
  <c r="B1373" i="3"/>
  <c r="C1373" i="3"/>
  <c r="D1373" i="3"/>
  <c r="E1373" i="3"/>
  <c r="F1373" i="3"/>
  <c r="G1373" i="3"/>
  <c r="H1373" i="3" s="1"/>
  <c r="A1374" i="3"/>
  <c r="B1374" i="3"/>
  <c r="C1374" i="3"/>
  <c r="I1374" i="3" s="1"/>
  <c r="D1374" i="3"/>
  <c r="E1374" i="3"/>
  <c r="F1374" i="3"/>
  <c r="G1374" i="3"/>
  <c r="H1374" i="3" s="1"/>
  <c r="A1375" i="3"/>
  <c r="B1375" i="3"/>
  <c r="C1375" i="3"/>
  <c r="D1375" i="3"/>
  <c r="E1375" i="3"/>
  <c r="F1375" i="3"/>
  <c r="G1375" i="3"/>
  <c r="H1375" i="3"/>
  <c r="I1375" i="3"/>
  <c r="A1376" i="3"/>
  <c r="B1376" i="3"/>
  <c r="C1376" i="3"/>
  <c r="D1376" i="3"/>
  <c r="E1376" i="3"/>
  <c r="F1376" i="3"/>
  <c r="G1376" i="3"/>
  <c r="H1376" i="3" s="1"/>
  <c r="A1377" i="3"/>
  <c r="B1377" i="3"/>
  <c r="C1377" i="3"/>
  <c r="D1377" i="3"/>
  <c r="E1377" i="3"/>
  <c r="F1377" i="3"/>
  <c r="G1377" i="3"/>
  <c r="H1377" i="3" s="1"/>
  <c r="A1378" i="3"/>
  <c r="B1378" i="3"/>
  <c r="C1378" i="3"/>
  <c r="D1378" i="3"/>
  <c r="E1378" i="3"/>
  <c r="F1378" i="3"/>
  <c r="H1378" i="3" s="1"/>
  <c r="G1378" i="3"/>
  <c r="A1379" i="3"/>
  <c r="B1379" i="3"/>
  <c r="C1379" i="3"/>
  <c r="D1379" i="3"/>
  <c r="E1379" i="3"/>
  <c r="F1379" i="3"/>
  <c r="G1379" i="3"/>
  <c r="H1379" i="3"/>
  <c r="I1379" i="3" s="1"/>
  <c r="A1380" i="3"/>
  <c r="B1380" i="3"/>
  <c r="C1380" i="3"/>
  <c r="I1380" i="3" s="1"/>
  <c r="D1380" i="3"/>
  <c r="E1380" i="3"/>
  <c r="F1380" i="3"/>
  <c r="G1380" i="3"/>
  <c r="H1380" i="3"/>
  <c r="A1381" i="3"/>
  <c r="B1381" i="3"/>
  <c r="C1381" i="3"/>
  <c r="I1381" i="3" s="1"/>
  <c r="D1381" i="3"/>
  <c r="E1381" i="3"/>
  <c r="F1381" i="3"/>
  <c r="H1381" i="3" s="1"/>
  <c r="G1381" i="3"/>
  <c r="A1382" i="3"/>
  <c r="B1382" i="3"/>
  <c r="C1382" i="3"/>
  <c r="D1382" i="3"/>
  <c r="E1382" i="3"/>
  <c r="F1382" i="3"/>
  <c r="G1382" i="3"/>
  <c r="H1382" i="3" s="1"/>
  <c r="I1382" i="3"/>
  <c r="A1383" i="3"/>
  <c r="B1383" i="3"/>
  <c r="C1383" i="3"/>
  <c r="D1383" i="3"/>
  <c r="E1383" i="3"/>
  <c r="F1383" i="3"/>
  <c r="G1383" i="3"/>
  <c r="H1383" i="3"/>
  <c r="I1383" i="3" s="1"/>
  <c r="A1384" i="3"/>
  <c r="B1384" i="3"/>
  <c r="C1384" i="3"/>
  <c r="I1384" i="3" s="1"/>
  <c r="D1384" i="3"/>
  <c r="E1384" i="3"/>
  <c r="F1384" i="3"/>
  <c r="G1384" i="3"/>
  <c r="H1384" i="3"/>
  <c r="A1385" i="3"/>
  <c r="B1385" i="3"/>
  <c r="C1385" i="3"/>
  <c r="I1385" i="3" s="1"/>
  <c r="D1385" i="3"/>
  <c r="E1385" i="3"/>
  <c r="F1385" i="3"/>
  <c r="H1385" i="3" s="1"/>
  <c r="G1385" i="3"/>
  <c r="A1386" i="3"/>
  <c r="B1386" i="3"/>
  <c r="C1386" i="3"/>
  <c r="D1386" i="3"/>
  <c r="E1386" i="3"/>
  <c r="F1386" i="3"/>
  <c r="G1386" i="3"/>
  <c r="H1386" i="3" s="1"/>
  <c r="A1387" i="3"/>
  <c r="B1387" i="3"/>
  <c r="C1387" i="3"/>
  <c r="D1387" i="3"/>
  <c r="E1387" i="3"/>
  <c r="F1387" i="3"/>
  <c r="G1387" i="3"/>
  <c r="H1387" i="3"/>
  <c r="I1387" i="3" s="1"/>
  <c r="A1388" i="3"/>
  <c r="B1388" i="3"/>
  <c r="C1388" i="3"/>
  <c r="I1388" i="3" s="1"/>
  <c r="D1388" i="3"/>
  <c r="E1388" i="3"/>
  <c r="F1388" i="3"/>
  <c r="G1388" i="3"/>
  <c r="H1388" i="3"/>
  <c r="A1389" i="3"/>
  <c r="B1389" i="3"/>
  <c r="C1389" i="3"/>
  <c r="D1389" i="3"/>
  <c r="E1389" i="3"/>
  <c r="F1389" i="3"/>
  <c r="H1389" i="3" s="1"/>
  <c r="G1389" i="3"/>
  <c r="A1390" i="3"/>
  <c r="B1390" i="3"/>
  <c r="C1390" i="3"/>
  <c r="D1390" i="3"/>
  <c r="E1390" i="3"/>
  <c r="F1390" i="3"/>
  <c r="G1390" i="3"/>
  <c r="H1390" i="3" s="1"/>
  <c r="A1391" i="3"/>
  <c r="B1391" i="3"/>
  <c r="C1391" i="3"/>
  <c r="D1391" i="3"/>
  <c r="E1391" i="3"/>
  <c r="F1391" i="3"/>
  <c r="G1391" i="3"/>
  <c r="H1391" i="3"/>
  <c r="I1391" i="3" s="1"/>
  <c r="A1392" i="3"/>
  <c r="B1392" i="3"/>
  <c r="C1392" i="3"/>
  <c r="I1392" i="3" s="1"/>
  <c r="D1392" i="3"/>
  <c r="E1392" i="3"/>
  <c r="F1392" i="3"/>
  <c r="G1392" i="3"/>
  <c r="H1392" i="3"/>
  <c r="A1393" i="3"/>
  <c r="B1393" i="3"/>
  <c r="C1393" i="3"/>
  <c r="D1393" i="3"/>
  <c r="E1393" i="3"/>
  <c r="F1393" i="3"/>
  <c r="H1393" i="3" s="1"/>
  <c r="G1393" i="3"/>
  <c r="A1394" i="3"/>
  <c r="B1394" i="3"/>
  <c r="C1394" i="3"/>
  <c r="D1394" i="3"/>
  <c r="E1394" i="3"/>
  <c r="F1394" i="3"/>
  <c r="G1394" i="3"/>
  <c r="H1394" i="3" s="1"/>
  <c r="I1394" i="3"/>
  <c r="A1395" i="3"/>
  <c r="B1395" i="3"/>
  <c r="C1395" i="3"/>
  <c r="D1395" i="3"/>
  <c r="E1395" i="3"/>
  <c r="F1395" i="3"/>
  <c r="G1395" i="3"/>
  <c r="H1395" i="3"/>
  <c r="I1395" i="3" s="1"/>
  <c r="A1396" i="3"/>
  <c r="B1396" i="3"/>
  <c r="C1396" i="3"/>
  <c r="I1396" i="3" s="1"/>
  <c r="D1396" i="3"/>
  <c r="E1396" i="3"/>
  <c r="F1396" i="3"/>
  <c r="G1396" i="3"/>
  <c r="H1396" i="3"/>
  <c r="A1397" i="3"/>
  <c r="B1397" i="3"/>
  <c r="C1397" i="3"/>
  <c r="I1397" i="3" s="1"/>
  <c r="D1397" i="3"/>
  <c r="E1397" i="3"/>
  <c r="F1397" i="3"/>
  <c r="H1397" i="3" s="1"/>
  <c r="G1397" i="3"/>
  <c r="A1398" i="3"/>
  <c r="B1398" i="3"/>
  <c r="C1398" i="3"/>
  <c r="D1398" i="3"/>
  <c r="E1398" i="3"/>
  <c r="F1398" i="3"/>
  <c r="G1398" i="3"/>
  <c r="H1398" i="3" s="1"/>
  <c r="I1398" i="3"/>
  <c r="A1399" i="3"/>
  <c r="B1399" i="3"/>
  <c r="C1399" i="3"/>
  <c r="D1399" i="3"/>
  <c r="E1399" i="3"/>
  <c r="F1399" i="3"/>
  <c r="G1399" i="3"/>
  <c r="H1399" i="3"/>
  <c r="I1399" i="3" s="1"/>
  <c r="A1400" i="3"/>
  <c r="B1400" i="3"/>
  <c r="C1400" i="3"/>
  <c r="I1400" i="3" s="1"/>
  <c r="D1400" i="3"/>
  <c r="E1400" i="3"/>
  <c r="F1400" i="3"/>
  <c r="G1400" i="3"/>
  <c r="H1400" i="3"/>
  <c r="A1401" i="3"/>
  <c r="B1401" i="3"/>
  <c r="C1401" i="3"/>
  <c r="I1401" i="3" s="1"/>
  <c r="D1401" i="3"/>
  <c r="E1401" i="3"/>
  <c r="F1401" i="3"/>
  <c r="H1401" i="3" s="1"/>
  <c r="G1401" i="3"/>
  <c r="A1402" i="3"/>
  <c r="B1402" i="3"/>
  <c r="C1402" i="3"/>
  <c r="D1402" i="3"/>
  <c r="E1402" i="3"/>
  <c r="F1402" i="3"/>
  <c r="G1402" i="3"/>
  <c r="H1402" i="3" s="1"/>
  <c r="I1402" i="3"/>
  <c r="A1403" i="3"/>
  <c r="B1403" i="3"/>
  <c r="C1403" i="3"/>
  <c r="D1403" i="3"/>
  <c r="E1403" i="3"/>
  <c r="F1403" i="3"/>
  <c r="G1403" i="3"/>
  <c r="H1403" i="3"/>
  <c r="I1403" i="3" s="1"/>
  <c r="A1404" i="3"/>
  <c r="B1404" i="3"/>
  <c r="C1404" i="3"/>
  <c r="I1404" i="3" s="1"/>
  <c r="D1404" i="3"/>
  <c r="E1404" i="3"/>
  <c r="F1404" i="3"/>
  <c r="G1404" i="3"/>
  <c r="H1404" i="3"/>
  <c r="A1405" i="3"/>
  <c r="B1405" i="3"/>
  <c r="C1405" i="3"/>
  <c r="D1405" i="3"/>
  <c r="E1405" i="3"/>
  <c r="F1405" i="3"/>
  <c r="H1405" i="3" s="1"/>
  <c r="G1405" i="3"/>
  <c r="A1406" i="3"/>
  <c r="B1406" i="3"/>
  <c r="C1406" i="3"/>
  <c r="D1406" i="3"/>
  <c r="E1406" i="3"/>
  <c r="F1406" i="3"/>
  <c r="G1406" i="3"/>
  <c r="H1406" i="3" s="1"/>
  <c r="I1406" i="3"/>
  <c r="A1407" i="3"/>
  <c r="B1407" i="3"/>
  <c r="C1407" i="3"/>
  <c r="D1407" i="3"/>
  <c r="E1407" i="3"/>
  <c r="F1407" i="3"/>
  <c r="G1407" i="3"/>
  <c r="H1407" i="3"/>
  <c r="I1407" i="3" s="1"/>
  <c r="A1408" i="3"/>
  <c r="B1408" i="3"/>
  <c r="C1408" i="3"/>
  <c r="I1408" i="3" s="1"/>
  <c r="D1408" i="3"/>
  <c r="E1408" i="3"/>
  <c r="F1408" i="3"/>
  <c r="G1408" i="3"/>
  <c r="H1408" i="3"/>
  <c r="A1409" i="3"/>
  <c r="B1409" i="3"/>
  <c r="C1409" i="3"/>
  <c r="I1409" i="3" s="1"/>
  <c r="D1409" i="3"/>
  <c r="E1409" i="3"/>
  <c r="F1409" i="3"/>
  <c r="H1409" i="3" s="1"/>
  <c r="G1409" i="3"/>
  <c r="A1410" i="3"/>
  <c r="B1410" i="3"/>
  <c r="C1410" i="3"/>
  <c r="D1410" i="3"/>
  <c r="E1410" i="3"/>
  <c r="F1410" i="3"/>
  <c r="G1410" i="3"/>
  <c r="H1410" i="3" s="1"/>
  <c r="A1411" i="3"/>
  <c r="B1411" i="3"/>
  <c r="C1411" i="3"/>
  <c r="D1411" i="3"/>
  <c r="E1411" i="3"/>
  <c r="F1411" i="3"/>
  <c r="G1411" i="3"/>
  <c r="H1411" i="3"/>
  <c r="I1411" i="3" s="1"/>
  <c r="A1412" i="3"/>
  <c r="B1412" i="3"/>
  <c r="C1412" i="3"/>
  <c r="I1412" i="3" s="1"/>
  <c r="D1412" i="3"/>
  <c r="E1412" i="3"/>
  <c r="F1412" i="3"/>
  <c r="G1412" i="3"/>
  <c r="H1412" i="3"/>
  <c r="A1413" i="3"/>
  <c r="B1413" i="3"/>
  <c r="C1413" i="3"/>
  <c r="D1413" i="3"/>
  <c r="E1413" i="3"/>
  <c r="F1413" i="3"/>
  <c r="G1413" i="3"/>
  <c r="A1414" i="3"/>
  <c r="B1414" i="3"/>
  <c r="C1414" i="3"/>
  <c r="D1414" i="3"/>
  <c r="E1414" i="3"/>
  <c r="F1414" i="3"/>
  <c r="G1414" i="3"/>
  <c r="H1414" i="3" s="1"/>
  <c r="A1415" i="3"/>
  <c r="B1415" i="3"/>
  <c r="C1415" i="3"/>
  <c r="D1415" i="3"/>
  <c r="E1415" i="3"/>
  <c r="F1415" i="3"/>
  <c r="G1415" i="3"/>
  <c r="H1415" i="3"/>
  <c r="I1415" i="3" s="1"/>
  <c r="A1416" i="3"/>
  <c r="B1416" i="3"/>
  <c r="C1416" i="3"/>
  <c r="I1416" i="3" s="1"/>
  <c r="D1416" i="3"/>
  <c r="E1416" i="3"/>
  <c r="F1416" i="3"/>
  <c r="G1416" i="3"/>
  <c r="H1416" i="3"/>
  <c r="A1417" i="3"/>
  <c r="B1417" i="3"/>
  <c r="C1417" i="3"/>
  <c r="I1417" i="3" s="1"/>
  <c r="D1417" i="3"/>
  <c r="E1417" i="3"/>
  <c r="F1417" i="3"/>
  <c r="H1417" i="3" s="1"/>
  <c r="G1417" i="3"/>
  <c r="A1418" i="3"/>
  <c r="B1418" i="3"/>
  <c r="C1418" i="3"/>
  <c r="D1418" i="3"/>
  <c r="E1418" i="3"/>
  <c r="F1418" i="3"/>
  <c r="G1418" i="3"/>
  <c r="H1418" i="3" s="1"/>
  <c r="I1418" i="3"/>
  <c r="A1419" i="3"/>
  <c r="B1419" i="3"/>
  <c r="C1419" i="3"/>
  <c r="D1419" i="3"/>
  <c r="E1419" i="3"/>
  <c r="F1419" i="3"/>
  <c r="G1419" i="3"/>
  <c r="H1419" i="3"/>
  <c r="I1419" i="3" s="1"/>
  <c r="A1420" i="3"/>
  <c r="B1420" i="3"/>
  <c r="C1420" i="3"/>
  <c r="I1420" i="3" s="1"/>
  <c r="D1420" i="3"/>
  <c r="E1420" i="3"/>
  <c r="F1420" i="3"/>
  <c r="G1420" i="3"/>
  <c r="H1420" i="3"/>
  <c r="A1421" i="3"/>
  <c r="B1421" i="3"/>
  <c r="C1421" i="3"/>
  <c r="I1421" i="3" s="1"/>
  <c r="D1421" i="3"/>
  <c r="E1421" i="3"/>
  <c r="F1421" i="3"/>
  <c r="H1421" i="3" s="1"/>
  <c r="G1421" i="3"/>
  <c r="A1422" i="3"/>
  <c r="B1422" i="3"/>
  <c r="C1422" i="3"/>
  <c r="D1422" i="3"/>
  <c r="E1422" i="3"/>
  <c r="F1422" i="3"/>
  <c r="G1422" i="3"/>
  <c r="H1422" i="3" s="1"/>
  <c r="A1423" i="3"/>
  <c r="B1423" i="3"/>
  <c r="C1423" i="3"/>
  <c r="D1423" i="3"/>
  <c r="E1423" i="3"/>
  <c r="F1423" i="3"/>
  <c r="G1423" i="3"/>
  <c r="H1423" i="3"/>
  <c r="I1423" i="3" s="1"/>
  <c r="A1424" i="3"/>
  <c r="B1424" i="3"/>
  <c r="C1424" i="3"/>
  <c r="I1424" i="3" s="1"/>
  <c r="D1424" i="3"/>
  <c r="E1424" i="3"/>
  <c r="F1424" i="3"/>
  <c r="G1424" i="3"/>
  <c r="H1424" i="3"/>
  <c r="A1425" i="3"/>
  <c r="B1425" i="3"/>
  <c r="C1425" i="3"/>
  <c r="D1425" i="3"/>
  <c r="E1425" i="3"/>
  <c r="F1425" i="3"/>
  <c r="H1425" i="3" s="1"/>
  <c r="G1425" i="3"/>
  <c r="A1426" i="3"/>
  <c r="B1426" i="3"/>
  <c r="C1426" i="3"/>
  <c r="D1426" i="3"/>
  <c r="E1426" i="3"/>
  <c r="F1426" i="3"/>
  <c r="G1426" i="3"/>
  <c r="H1426" i="3"/>
  <c r="I1426" i="3" s="1"/>
  <c r="A1427" i="3"/>
  <c r="B1427" i="3"/>
  <c r="C1427" i="3"/>
  <c r="D1427" i="3"/>
  <c r="E1427" i="3"/>
  <c r="F1427" i="3"/>
  <c r="G1427" i="3"/>
  <c r="H1427" i="3"/>
  <c r="I1427" i="3" s="1"/>
  <c r="A1428" i="3"/>
  <c r="B1428" i="3"/>
  <c r="C1428" i="3"/>
  <c r="I1428" i="3" s="1"/>
  <c r="D1428" i="3"/>
  <c r="E1428" i="3"/>
  <c r="F1428" i="3"/>
  <c r="G1428" i="3"/>
  <c r="H1428" i="3"/>
  <c r="A1429" i="3"/>
  <c r="B1429" i="3"/>
  <c r="C1429" i="3"/>
  <c r="D1429" i="3"/>
  <c r="E1429" i="3"/>
  <c r="F1429" i="3"/>
  <c r="G1429" i="3"/>
  <c r="A1430" i="3"/>
  <c r="B1430" i="3"/>
  <c r="C1430" i="3"/>
  <c r="D1430" i="3"/>
  <c r="E1430" i="3"/>
  <c r="F1430" i="3"/>
  <c r="H1430" i="3" s="1"/>
  <c r="G1430" i="3"/>
  <c r="A1431" i="3"/>
  <c r="B1431" i="3"/>
  <c r="C1431" i="3"/>
  <c r="D1431" i="3"/>
  <c r="E1431" i="3"/>
  <c r="F1431" i="3"/>
  <c r="G1431" i="3"/>
  <c r="H1431" i="3"/>
  <c r="I1431" i="3"/>
  <c r="A1432" i="3"/>
  <c r="B1432" i="3"/>
  <c r="C1432" i="3"/>
  <c r="I1432" i="3" s="1"/>
  <c r="D1432" i="3"/>
  <c r="E1432" i="3"/>
  <c r="F1432" i="3"/>
  <c r="G1432" i="3"/>
  <c r="H1432" i="3"/>
  <c r="A1433" i="3"/>
  <c r="B1433" i="3"/>
  <c r="C1433" i="3"/>
  <c r="D1433" i="3"/>
  <c r="E1433" i="3"/>
  <c r="F1433" i="3"/>
  <c r="G1433" i="3"/>
  <c r="A1434" i="3"/>
  <c r="B1434" i="3"/>
  <c r="C1434" i="3"/>
  <c r="D1434" i="3"/>
  <c r="E1434" i="3"/>
  <c r="F1434" i="3"/>
  <c r="H1434" i="3" s="1"/>
  <c r="I1434" i="3" s="1"/>
  <c r="G1434" i="3"/>
  <c r="A1435" i="3"/>
  <c r="B1435" i="3"/>
  <c r="C1435" i="3"/>
  <c r="D1435" i="3"/>
  <c r="E1435" i="3"/>
  <c r="F1435" i="3"/>
  <c r="G1435" i="3"/>
  <c r="H1435" i="3"/>
  <c r="I1435" i="3"/>
  <c r="A1436" i="3"/>
  <c r="B1436" i="3"/>
  <c r="C1436" i="3"/>
  <c r="I1436" i="3" s="1"/>
  <c r="D1436" i="3"/>
  <c r="E1436" i="3"/>
  <c r="F1436" i="3"/>
  <c r="G1436" i="3"/>
  <c r="H1436" i="3"/>
  <c r="A1437" i="3"/>
  <c r="B1437" i="3"/>
  <c r="C1437" i="3"/>
  <c r="D1437" i="3"/>
  <c r="E1437" i="3"/>
  <c r="F1437" i="3"/>
  <c r="G1437" i="3"/>
  <c r="A1438" i="3"/>
  <c r="B1438" i="3"/>
  <c r="C1438" i="3"/>
  <c r="D1438" i="3"/>
  <c r="E1438" i="3"/>
  <c r="F1438" i="3"/>
  <c r="H1438" i="3" s="1"/>
  <c r="I1438" i="3" s="1"/>
  <c r="G1438" i="3"/>
  <c r="A1439" i="3"/>
  <c r="B1439" i="3"/>
  <c r="C1439" i="3"/>
  <c r="D1439" i="3"/>
  <c r="E1439" i="3"/>
  <c r="F1439" i="3"/>
  <c r="G1439" i="3"/>
  <c r="H1439" i="3"/>
  <c r="I1439" i="3"/>
  <c r="A1440" i="3"/>
  <c r="B1440" i="3"/>
  <c r="C1440" i="3"/>
  <c r="I1440" i="3" s="1"/>
  <c r="D1440" i="3"/>
  <c r="E1440" i="3"/>
  <c r="F1440" i="3"/>
  <c r="G1440" i="3"/>
  <c r="H1440" i="3"/>
  <c r="A1441" i="3"/>
  <c r="B1441" i="3"/>
  <c r="C1441" i="3"/>
  <c r="D1441" i="3"/>
  <c r="E1441" i="3"/>
  <c r="F1441" i="3"/>
  <c r="G1441" i="3"/>
  <c r="A1442" i="3"/>
  <c r="B1442" i="3"/>
  <c r="C1442" i="3"/>
  <c r="D1442" i="3"/>
  <c r="E1442" i="3"/>
  <c r="F1442" i="3"/>
  <c r="H1442" i="3" s="1"/>
  <c r="G1442" i="3"/>
  <c r="A1443" i="3"/>
  <c r="B1443" i="3"/>
  <c r="C1443" i="3"/>
  <c r="D1443" i="3"/>
  <c r="E1443" i="3"/>
  <c r="F1443" i="3"/>
  <c r="G1443" i="3"/>
  <c r="H1443" i="3"/>
  <c r="I1443" i="3"/>
  <c r="A1444" i="3"/>
  <c r="B1444" i="3"/>
  <c r="C1444" i="3"/>
  <c r="I1444" i="3" s="1"/>
  <c r="D1444" i="3"/>
  <c r="E1444" i="3"/>
  <c r="F1444" i="3"/>
  <c r="G1444" i="3"/>
  <c r="H1444" i="3"/>
  <c r="A1445" i="3"/>
  <c r="B1445" i="3"/>
  <c r="C1445" i="3"/>
  <c r="D1445" i="3"/>
  <c r="E1445" i="3"/>
  <c r="F1445" i="3"/>
  <c r="G1445" i="3"/>
  <c r="A1446" i="3"/>
  <c r="B1446" i="3"/>
  <c r="C1446" i="3"/>
  <c r="D1446" i="3"/>
  <c r="E1446" i="3"/>
  <c r="F1446" i="3"/>
  <c r="H1446" i="3" s="1"/>
  <c r="G1446" i="3"/>
  <c r="A1447" i="3"/>
  <c r="B1447" i="3"/>
  <c r="C1447" i="3"/>
  <c r="D1447" i="3"/>
  <c r="E1447" i="3"/>
  <c r="F1447" i="3"/>
  <c r="G1447" i="3"/>
  <c r="H1447" i="3"/>
  <c r="I1447" i="3"/>
  <c r="A1448" i="3"/>
  <c r="B1448" i="3"/>
  <c r="C1448" i="3"/>
  <c r="I1448" i="3" s="1"/>
  <c r="D1448" i="3"/>
  <c r="E1448" i="3"/>
  <c r="F1448" i="3"/>
  <c r="G1448" i="3"/>
  <c r="H1448" i="3"/>
  <c r="A1449" i="3"/>
  <c r="B1449" i="3"/>
  <c r="C1449" i="3"/>
  <c r="D1449" i="3"/>
  <c r="E1449" i="3"/>
  <c r="F1449" i="3"/>
  <c r="G1449" i="3"/>
  <c r="A1450" i="3"/>
  <c r="B1450" i="3"/>
  <c r="C1450" i="3"/>
  <c r="D1450" i="3"/>
  <c r="E1450" i="3"/>
  <c r="F1450" i="3"/>
  <c r="H1450" i="3" s="1"/>
  <c r="I1450" i="3" s="1"/>
  <c r="G1450" i="3"/>
  <c r="A1451" i="3"/>
  <c r="B1451" i="3"/>
  <c r="C1451" i="3"/>
  <c r="D1451" i="3"/>
  <c r="E1451" i="3"/>
  <c r="F1451" i="3"/>
  <c r="G1451" i="3"/>
  <c r="H1451" i="3"/>
  <c r="I1451" i="3"/>
  <c r="A1452" i="3"/>
  <c r="B1452" i="3"/>
  <c r="C1452" i="3"/>
  <c r="I1452" i="3" s="1"/>
  <c r="D1452" i="3"/>
  <c r="E1452" i="3"/>
  <c r="F1452" i="3"/>
  <c r="G1452" i="3"/>
  <c r="H1452" i="3"/>
  <c r="A1453" i="3"/>
  <c r="B1453" i="3"/>
  <c r="C1453" i="3"/>
  <c r="D1453" i="3"/>
  <c r="E1453" i="3"/>
  <c r="F1453" i="3"/>
  <c r="G1453" i="3"/>
  <c r="A1454" i="3"/>
  <c r="B1454" i="3"/>
  <c r="C1454" i="3"/>
  <c r="D1454" i="3"/>
  <c r="E1454" i="3"/>
  <c r="F1454" i="3"/>
  <c r="H1454" i="3" s="1"/>
  <c r="I1454" i="3" s="1"/>
  <c r="G1454" i="3"/>
  <c r="A1455" i="3"/>
  <c r="B1455" i="3"/>
  <c r="C1455" i="3"/>
  <c r="D1455" i="3"/>
  <c r="E1455" i="3"/>
  <c r="F1455" i="3"/>
  <c r="G1455" i="3"/>
  <c r="H1455" i="3"/>
  <c r="I1455" i="3"/>
  <c r="A1456" i="3"/>
  <c r="B1456" i="3"/>
  <c r="C1456" i="3"/>
  <c r="I1456" i="3" s="1"/>
  <c r="D1456" i="3"/>
  <c r="E1456" i="3"/>
  <c r="F1456" i="3"/>
  <c r="G1456" i="3"/>
  <c r="H1456" i="3"/>
  <c r="A1457" i="3"/>
  <c r="B1457" i="3"/>
  <c r="C1457" i="3"/>
  <c r="D1457" i="3"/>
  <c r="E1457" i="3"/>
  <c r="F1457" i="3"/>
  <c r="G1457" i="3"/>
  <c r="A1458" i="3"/>
  <c r="B1458" i="3"/>
  <c r="C1458" i="3"/>
  <c r="D1458" i="3"/>
  <c r="E1458" i="3"/>
  <c r="F1458" i="3"/>
  <c r="H1458" i="3" s="1"/>
  <c r="G1458" i="3"/>
  <c r="A1459" i="3"/>
  <c r="B1459" i="3"/>
  <c r="C1459" i="3"/>
  <c r="D1459" i="3"/>
  <c r="E1459" i="3"/>
  <c r="F1459" i="3"/>
  <c r="G1459" i="3"/>
  <c r="H1459" i="3"/>
  <c r="I1459" i="3"/>
  <c r="A1460" i="3"/>
  <c r="B1460" i="3"/>
  <c r="C1460" i="3"/>
  <c r="I1460" i="3" s="1"/>
  <c r="D1460" i="3"/>
  <c r="E1460" i="3"/>
  <c r="F1460" i="3"/>
  <c r="G1460" i="3"/>
  <c r="H1460" i="3"/>
  <c r="A1461" i="3"/>
  <c r="B1461" i="3"/>
  <c r="C1461" i="3"/>
  <c r="D1461" i="3"/>
  <c r="E1461" i="3"/>
  <c r="F1461" i="3"/>
  <c r="G1461" i="3"/>
  <c r="A1462" i="3"/>
  <c r="B1462" i="3"/>
  <c r="C1462" i="3"/>
  <c r="D1462" i="3"/>
  <c r="E1462" i="3"/>
  <c r="F1462" i="3"/>
  <c r="H1462" i="3" s="1"/>
  <c r="G1462" i="3"/>
  <c r="A1463" i="3"/>
  <c r="B1463" i="3"/>
  <c r="C1463" i="3"/>
  <c r="D1463" i="3"/>
  <c r="E1463" i="3"/>
  <c r="F1463" i="3"/>
  <c r="G1463" i="3"/>
  <c r="H1463" i="3"/>
  <c r="I1463" i="3"/>
  <c r="A1464" i="3"/>
  <c r="B1464" i="3"/>
  <c r="C1464" i="3"/>
  <c r="I1464" i="3" s="1"/>
  <c r="D1464" i="3"/>
  <c r="E1464" i="3"/>
  <c r="F1464" i="3"/>
  <c r="G1464" i="3"/>
  <c r="H1464" i="3"/>
  <c r="A1465" i="3"/>
  <c r="B1465" i="3"/>
  <c r="C1465" i="3"/>
  <c r="D1465" i="3"/>
  <c r="E1465" i="3"/>
  <c r="F1465" i="3"/>
  <c r="G1465" i="3"/>
  <c r="A1466" i="3"/>
  <c r="B1466" i="3"/>
  <c r="C1466" i="3"/>
  <c r="D1466" i="3"/>
  <c r="E1466" i="3"/>
  <c r="F1466" i="3"/>
  <c r="H1466" i="3" s="1"/>
  <c r="I1466" i="3" s="1"/>
  <c r="G1466" i="3"/>
  <c r="A1467" i="3"/>
  <c r="B1467" i="3"/>
  <c r="C1467" i="3"/>
  <c r="D1467" i="3"/>
  <c r="E1467" i="3"/>
  <c r="F1467" i="3"/>
  <c r="G1467" i="3"/>
  <c r="H1467" i="3"/>
  <c r="I1467" i="3"/>
  <c r="A1468" i="3"/>
  <c r="B1468" i="3"/>
  <c r="C1468" i="3"/>
  <c r="I1468" i="3" s="1"/>
  <c r="D1468" i="3"/>
  <c r="E1468" i="3"/>
  <c r="F1468" i="3"/>
  <c r="G1468" i="3"/>
  <c r="H1468" i="3"/>
  <c r="A1469" i="3"/>
  <c r="B1469" i="3"/>
  <c r="C1469" i="3"/>
  <c r="D1469" i="3"/>
  <c r="E1469" i="3"/>
  <c r="F1469" i="3"/>
  <c r="G1469" i="3"/>
  <c r="A1470" i="3"/>
  <c r="B1470" i="3"/>
  <c r="C1470" i="3"/>
  <c r="D1470" i="3"/>
  <c r="E1470" i="3"/>
  <c r="F1470" i="3"/>
  <c r="H1470" i="3" s="1"/>
  <c r="I1470" i="3" s="1"/>
  <c r="G1470" i="3"/>
  <c r="A1471" i="3"/>
  <c r="B1471" i="3"/>
  <c r="C1471" i="3"/>
  <c r="D1471" i="3"/>
  <c r="E1471" i="3"/>
  <c r="F1471" i="3"/>
  <c r="G1471" i="3"/>
  <c r="H1471" i="3"/>
  <c r="I1471" i="3"/>
  <c r="A1472" i="3"/>
  <c r="B1472" i="3"/>
  <c r="C1472" i="3"/>
  <c r="I1472" i="3" s="1"/>
  <c r="D1472" i="3"/>
  <c r="E1472" i="3"/>
  <c r="F1472" i="3"/>
  <c r="G1472" i="3"/>
  <c r="H1472" i="3"/>
  <c r="A1473" i="3"/>
  <c r="B1473" i="3"/>
  <c r="C1473" i="3"/>
  <c r="D1473" i="3"/>
  <c r="E1473" i="3"/>
  <c r="F1473" i="3"/>
  <c r="G1473" i="3"/>
  <c r="A1474" i="3"/>
  <c r="B1474" i="3"/>
  <c r="C1474" i="3"/>
  <c r="D1474" i="3"/>
  <c r="E1474" i="3"/>
  <c r="F1474" i="3"/>
  <c r="H1474" i="3" s="1"/>
  <c r="G1474" i="3"/>
  <c r="A1475" i="3"/>
  <c r="B1475" i="3"/>
  <c r="C1475" i="3"/>
  <c r="D1475" i="3"/>
  <c r="E1475" i="3"/>
  <c r="F1475" i="3"/>
  <c r="G1475" i="3"/>
  <c r="H1475" i="3"/>
  <c r="I1475" i="3"/>
  <c r="A1476" i="3"/>
  <c r="B1476" i="3"/>
  <c r="C1476" i="3"/>
  <c r="I1476" i="3" s="1"/>
  <c r="D1476" i="3"/>
  <c r="E1476" i="3"/>
  <c r="F1476" i="3"/>
  <c r="G1476" i="3"/>
  <c r="H1476" i="3"/>
  <c r="A1477" i="3"/>
  <c r="B1477" i="3"/>
  <c r="C1477" i="3"/>
  <c r="D1477" i="3"/>
  <c r="E1477" i="3"/>
  <c r="F1477" i="3"/>
  <c r="G1477" i="3"/>
  <c r="A1478" i="3"/>
  <c r="B1478" i="3"/>
  <c r="C1478" i="3"/>
  <c r="D1478" i="3"/>
  <c r="E1478" i="3"/>
  <c r="F1478" i="3"/>
  <c r="H1478" i="3" s="1"/>
  <c r="G1478" i="3"/>
  <c r="A1479" i="3"/>
  <c r="B1479" i="3"/>
  <c r="C1479" i="3"/>
  <c r="D1479" i="3"/>
  <c r="E1479" i="3"/>
  <c r="F1479" i="3"/>
  <c r="G1479" i="3"/>
  <c r="H1479" i="3"/>
  <c r="I1479" i="3"/>
  <c r="A1480" i="3"/>
  <c r="B1480" i="3"/>
  <c r="C1480" i="3"/>
  <c r="I1480" i="3" s="1"/>
  <c r="D1480" i="3"/>
  <c r="E1480" i="3"/>
  <c r="F1480" i="3"/>
  <c r="G1480" i="3"/>
  <c r="H1480" i="3"/>
  <c r="A1481" i="3"/>
  <c r="B1481" i="3"/>
  <c r="C1481" i="3"/>
  <c r="D1481" i="3"/>
  <c r="E1481" i="3"/>
  <c r="F1481" i="3"/>
  <c r="G1481" i="3"/>
  <c r="A1482" i="3"/>
  <c r="B1482" i="3"/>
  <c r="C1482" i="3"/>
  <c r="D1482" i="3"/>
  <c r="E1482" i="3"/>
  <c r="F1482" i="3"/>
  <c r="H1482" i="3" s="1"/>
  <c r="I1482" i="3" s="1"/>
  <c r="G1482" i="3"/>
  <c r="A1483" i="3"/>
  <c r="B1483" i="3"/>
  <c r="C1483" i="3"/>
  <c r="D1483" i="3"/>
  <c r="E1483" i="3"/>
  <c r="F1483" i="3"/>
  <c r="G1483" i="3"/>
  <c r="H1483" i="3"/>
  <c r="I1483" i="3"/>
  <c r="A1484" i="3"/>
  <c r="B1484" i="3"/>
  <c r="C1484" i="3"/>
  <c r="I1484" i="3" s="1"/>
  <c r="D1484" i="3"/>
  <c r="E1484" i="3"/>
  <c r="F1484" i="3"/>
  <c r="G1484" i="3"/>
  <c r="H1484" i="3"/>
  <c r="A1485" i="3"/>
  <c r="B1485" i="3"/>
  <c r="C1485" i="3"/>
  <c r="D1485" i="3"/>
  <c r="E1485" i="3"/>
  <c r="F1485" i="3"/>
  <c r="G1485" i="3"/>
  <c r="A1486" i="3"/>
  <c r="B1486" i="3"/>
  <c r="C1486" i="3"/>
  <c r="D1486" i="3"/>
  <c r="E1486" i="3"/>
  <c r="F1486" i="3"/>
  <c r="H1486" i="3" s="1"/>
  <c r="I1486" i="3" s="1"/>
  <c r="G1486" i="3"/>
  <c r="A1487" i="3"/>
  <c r="B1487" i="3"/>
  <c r="C1487" i="3"/>
  <c r="D1487" i="3"/>
  <c r="E1487" i="3"/>
  <c r="F1487" i="3"/>
  <c r="G1487" i="3"/>
  <c r="H1487" i="3"/>
  <c r="I1487" i="3"/>
  <c r="A1488" i="3"/>
  <c r="B1488" i="3"/>
  <c r="C1488" i="3"/>
  <c r="I1488" i="3" s="1"/>
  <c r="D1488" i="3"/>
  <c r="E1488" i="3"/>
  <c r="F1488" i="3"/>
  <c r="G1488" i="3"/>
  <c r="H1488" i="3"/>
  <c r="A1489" i="3"/>
  <c r="B1489" i="3"/>
  <c r="C1489" i="3"/>
  <c r="D1489" i="3"/>
  <c r="E1489" i="3"/>
  <c r="F1489" i="3"/>
  <c r="G1489" i="3"/>
  <c r="A1490" i="3"/>
  <c r="B1490" i="3"/>
  <c r="C1490" i="3"/>
  <c r="D1490" i="3"/>
  <c r="E1490" i="3"/>
  <c r="F1490" i="3"/>
  <c r="H1490" i="3" s="1"/>
  <c r="G1490" i="3"/>
  <c r="A1491" i="3"/>
  <c r="B1491" i="3"/>
  <c r="C1491" i="3"/>
  <c r="D1491" i="3"/>
  <c r="E1491" i="3"/>
  <c r="F1491" i="3"/>
  <c r="G1491" i="3"/>
  <c r="H1491" i="3"/>
  <c r="I1491" i="3"/>
  <c r="A1492" i="3"/>
  <c r="B1492" i="3"/>
  <c r="C1492" i="3"/>
  <c r="I1492" i="3" s="1"/>
  <c r="D1492" i="3"/>
  <c r="E1492" i="3"/>
  <c r="F1492" i="3"/>
  <c r="G1492" i="3"/>
  <c r="H1492" i="3"/>
  <c r="A1493" i="3"/>
  <c r="B1493" i="3"/>
  <c r="C1493" i="3"/>
  <c r="D1493" i="3"/>
  <c r="E1493" i="3"/>
  <c r="F1493" i="3"/>
  <c r="G1493" i="3"/>
  <c r="A1494" i="3"/>
  <c r="B1494" i="3"/>
  <c r="C1494" i="3"/>
  <c r="D1494" i="3"/>
  <c r="E1494" i="3"/>
  <c r="F1494" i="3"/>
  <c r="H1494" i="3" s="1"/>
  <c r="G1494" i="3"/>
  <c r="A1495" i="3"/>
  <c r="B1495" i="3"/>
  <c r="C1495" i="3"/>
  <c r="D1495" i="3"/>
  <c r="E1495" i="3"/>
  <c r="F1495" i="3"/>
  <c r="G1495" i="3"/>
  <c r="H1495" i="3"/>
  <c r="I1495" i="3"/>
  <c r="A1496" i="3"/>
  <c r="B1496" i="3"/>
  <c r="C1496" i="3"/>
  <c r="I1496" i="3" s="1"/>
  <c r="D1496" i="3"/>
  <c r="E1496" i="3"/>
  <c r="F1496" i="3"/>
  <c r="G1496" i="3"/>
  <c r="H1496" i="3"/>
  <c r="A1497" i="3"/>
  <c r="B1497" i="3"/>
  <c r="C1497" i="3"/>
  <c r="D1497" i="3"/>
  <c r="E1497" i="3"/>
  <c r="F1497" i="3"/>
  <c r="G1497" i="3"/>
  <c r="A1498" i="3"/>
  <c r="B1498" i="3"/>
  <c r="C1498" i="3"/>
  <c r="D1498" i="3"/>
  <c r="E1498" i="3"/>
  <c r="F1498" i="3"/>
  <c r="H1498" i="3" s="1"/>
  <c r="I1498" i="3" s="1"/>
  <c r="G1498" i="3"/>
  <c r="A1499" i="3"/>
  <c r="B1499" i="3"/>
  <c r="C1499" i="3"/>
  <c r="D1499" i="3"/>
  <c r="E1499" i="3"/>
  <c r="F1499" i="3"/>
  <c r="G1499" i="3"/>
  <c r="H1499" i="3"/>
  <c r="I1499" i="3"/>
  <c r="A1500" i="3"/>
  <c r="B1500" i="3"/>
  <c r="C1500" i="3"/>
  <c r="I1500" i="3" s="1"/>
  <c r="D1500" i="3"/>
  <c r="E1500" i="3"/>
  <c r="F1500" i="3"/>
  <c r="G1500" i="3"/>
  <c r="H1500" i="3"/>
  <c r="A1501" i="3"/>
  <c r="B1501" i="3"/>
  <c r="C1501" i="3"/>
  <c r="D1501" i="3"/>
  <c r="E1501" i="3"/>
  <c r="F1501" i="3"/>
  <c r="G1501" i="3"/>
  <c r="H1501" i="3" s="1"/>
  <c r="A1502" i="3"/>
  <c r="B1502" i="3"/>
  <c r="C1502" i="3"/>
  <c r="D1502" i="3"/>
  <c r="E1502" i="3"/>
  <c r="F1502" i="3"/>
  <c r="I1502" i="3" s="1"/>
  <c r="G1502" i="3"/>
  <c r="H1502" i="3"/>
  <c r="A1503" i="3"/>
  <c r="B1503" i="3"/>
  <c r="C1503" i="3"/>
  <c r="D1503" i="3"/>
  <c r="E1503" i="3"/>
  <c r="F1503" i="3"/>
  <c r="G1503" i="3"/>
  <c r="H1503" i="3"/>
  <c r="I1503" i="3" s="1"/>
  <c r="A1504" i="3"/>
  <c r="B1504" i="3"/>
  <c r="C1504" i="3"/>
  <c r="D1504" i="3"/>
  <c r="E1504" i="3"/>
  <c r="F1504" i="3"/>
  <c r="G1504" i="3"/>
  <c r="H1504" i="3"/>
  <c r="A1505" i="3"/>
  <c r="B1505" i="3"/>
  <c r="C1505" i="3"/>
  <c r="D1505" i="3"/>
  <c r="E1505" i="3"/>
  <c r="F1505" i="3"/>
  <c r="H1505" i="3" s="1"/>
  <c r="G1505" i="3"/>
  <c r="A1506" i="3"/>
  <c r="B1506" i="3"/>
  <c r="C1506" i="3"/>
  <c r="D1506" i="3"/>
  <c r="E1506" i="3"/>
  <c r="F1506" i="3"/>
  <c r="I1506" i="3" s="1"/>
  <c r="G1506" i="3"/>
  <c r="H1506" i="3" s="1"/>
  <c r="A1507" i="3"/>
  <c r="B1507" i="3"/>
  <c r="C1507" i="3"/>
  <c r="D1507" i="3"/>
  <c r="E1507" i="3"/>
  <c r="F1507" i="3"/>
  <c r="G1507" i="3"/>
  <c r="H1507" i="3"/>
  <c r="I1507" i="3" s="1"/>
  <c r="A1508" i="3"/>
  <c r="B1508" i="3"/>
  <c r="C1508" i="3"/>
  <c r="D1508" i="3"/>
  <c r="E1508" i="3"/>
  <c r="F1508" i="3"/>
  <c r="G1508" i="3"/>
  <c r="H1508" i="3"/>
  <c r="A1509" i="3"/>
  <c r="B1509" i="3"/>
  <c r="C1509" i="3"/>
  <c r="D1509" i="3"/>
  <c r="E1509" i="3"/>
  <c r="F1509" i="3"/>
  <c r="G1509" i="3"/>
  <c r="H1509" i="3"/>
  <c r="A1510" i="3"/>
  <c r="B1510" i="3"/>
  <c r="C1510" i="3"/>
  <c r="D1510" i="3"/>
  <c r="E1510" i="3"/>
  <c r="F1510" i="3"/>
  <c r="H1510" i="3" s="1"/>
  <c r="G1510" i="3"/>
  <c r="A1511" i="3"/>
  <c r="B1511" i="3"/>
  <c r="C1511" i="3"/>
  <c r="D1511" i="3"/>
  <c r="E1511" i="3"/>
  <c r="F1511" i="3"/>
  <c r="G1511" i="3"/>
  <c r="H1511" i="3"/>
  <c r="I1511" i="3"/>
  <c r="A1512" i="3"/>
  <c r="B1512" i="3"/>
  <c r="C1512" i="3"/>
  <c r="I1512" i="3" s="1"/>
  <c r="D1512" i="3"/>
  <c r="E1512" i="3"/>
  <c r="F1512" i="3"/>
  <c r="G1512" i="3"/>
  <c r="H1512" i="3"/>
  <c r="A1513" i="3"/>
  <c r="B1513" i="3"/>
  <c r="C1513" i="3"/>
  <c r="D1513" i="3"/>
  <c r="E1513" i="3"/>
  <c r="F1513" i="3"/>
  <c r="G1513" i="3"/>
  <c r="H1513" i="3" s="1"/>
  <c r="A1514" i="3"/>
  <c r="B1514" i="3"/>
  <c r="C1514" i="3"/>
  <c r="D1514" i="3"/>
  <c r="E1514" i="3"/>
  <c r="F1514" i="3"/>
  <c r="H1514" i="3" s="1"/>
  <c r="G1514" i="3"/>
  <c r="A1515" i="3"/>
  <c r="B1515" i="3"/>
  <c r="C1515" i="3"/>
  <c r="D1515" i="3"/>
  <c r="E1515" i="3"/>
  <c r="F1515" i="3"/>
  <c r="G1515" i="3"/>
  <c r="H1515" i="3"/>
  <c r="I1515" i="3" s="1"/>
  <c r="A1516" i="3"/>
  <c r="B1516" i="3"/>
  <c r="C1516" i="3"/>
  <c r="D1516" i="3"/>
  <c r="E1516" i="3"/>
  <c r="F1516" i="3"/>
  <c r="G1516" i="3"/>
  <c r="H1516" i="3"/>
  <c r="A1517" i="3"/>
  <c r="B1517" i="3"/>
  <c r="C1517" i="3"/>
  <c r="D1517" i="3"/>
  <c r="E1517" i="3"/>
  <c r="F1517" i="3"/>
  <c r="H1517" i="3" s="1"/>
  <c r="G1517" i="3"/>
  <c r="A1518" i="3"/>
  <c r="B1518" i="3"/>
  <c r="C1518" i="3"/>
  <c r="D1518" i="3"/>
  <c r="E1518" i="3"/>
  <c r="F1518" i="3"/>
  <c r="G1518" i="3"/>
  <c r="H1518" i="3" s="1"/>
  <c r="A1519" i="3"/>
  <c r="B1519" i="3"/>
  <c r="C1519" i="3"/>
  <c r="D1519" i="3"/>
  <c r="E1519" i="3"/>
  <c r="F1519" i="3"/>
  <c r="G1519" i="3"/>
  <c r="H1519" i="3"/>
  <c r="I1519" i="3"/>
  <c r="A1520" i="3"/>
  <c r="B1520" i="3"/>
  <c r="C1520" i="3"/>
  <c r="I1520" i="3" s="1"/>
  <c r="D1520" i="3"/>
  <c r="E1520" i="3"/>
  <c r="F1520" i="3"/>
  <c r="G1520" i="3"/>
  <c r="H1520" i="3"/>
  <c r="A1521" i="3"/>
  <c r="B1521" i="3"/>
  <c r="C1521" i="3"/>
  <c r="D1521" i="3"/>
  <c r="E1521" i="3"/>
  <c r="F1521" i="3"/>
  <c r="G1521" i="3"/>
  <c r="H1521" i="3" s="1"/>
  <c r="A1522" i="3"/>
  <c r="B1522" i="3"/>
  <c r="C1522" i="3"/>
  <c r="D1522" i="3"/>
  <c r="E1522" i="3"/>
  <c r="F1522" i="3"/>
  <c r="G1522" i="3"/>
  <c r="H1522" i="3"/>
  <c r="I1522" i="3" s="1"/>
  <c r="A1523" i="3"/>
  <c r="B1523" i="3"/>
  <c r="C1523" i="3"/>
  <c r="D1523" i="3"/>
  <c r="E1523" i="3"/>
  <c r="F1523" i="3"/>
  <c r="I1523" i="3" s="1"/>
  <c r="G1523" i="3"/>
  <c r="H1523" i="3"/>
  <c r="A1524" i="3"/>
  <c r="B1524" i="3"/>
  <c r="C1524" i="3"/>
  <c r="I1524" i="3" s="1"/>
  <c r="D1524" i="3"/>
  <c r="E1524" i="3"/>
  <c r="F1524" i="3"/>
  <c r="G1524" i="3"/>
  <c r="H1524" i="3"/>
  <c r="A1525" i="3"/>
  <c r="B1525" i="3"/>
  <c r="C1525" i="3"/>
  <c r="D1525" i="3"/>
  <c r="E1525" i="3"/>
  <c r="F1525" i="3"/>
  <c r="H1525" i="3" s="1"/>
  <c r="G1525" i="3"/>
  <c r="A1526" i="3"/>
  <c r="B1526" i="3"/>
  <c r="C1526" i="3"/>
  <c r="D1526" i="3"/>
  <c r="E1526" i="3"/>
  <c r="F1526" i="3"/>
  <c r="H1526" i="3" s="1"/>
  <c r="I1526" i="3" s="1"/>
  <c r="G1526" i="3"/>
  <c r="A1527" i="3"/>
  <c r="B1527" i="3"/>
  <c r="C1527" i="3"/>
  <c r="D1527" i="3"/>
  <c r="E1527" i="3"/>
  <c r="F1527" i="3"/>
  <c r="H1527" i="3" s="1"/>
  <c r="I1527" i="3" s="1"/>
  <c r="G1527" i="3"/>
  <c r="A1528" i="3"/>
  <c r="B1528" i="3"/>
  <c r="C1528" i="3"/>
  <c r="I1528" i="3" s="1"/>
  <c r="D1528" i="3"/>
  <c r="E1528" i="3"/>
  <c r="F1528" i="3"/>
  <c r="G1528" i="3"/>
  <c r="H1528" i="3"/>
  <c r="A1529" i="3"/>
  <c r="B1529" i="3"/>
  <c r="C1529" i="3"/>
  <c r="D1529" i="3"/>
  <c r="E1529" i="3"/>
  <c r="F1529" i="3"/>
  <c r="H1529" i="3" s="1"/>
  <c r="G1529" i="3"/>
  <c r="A1530" i="3"/>
  <c r="B1530" i="3"/>
  <c r="C1530" i="3"/>
  <c r="D1530" i="3"/>
  <c r="E1530" i="3"/>
  <c r="F1530" i="3"/>
  <c r="G1530" i="3"/>
  <c r="H1530" i="3" s="1"/>
  <c r="A1531" i="3"/>
  <c r="B1531" i="3"/>
  <c r="C1531" i="3"/>
  <c r="D1531" i="3"/>
  <c r="E1531" i="3"/>
  <c r="F1531" i="3"/>
  <c r="I1531" i="3" s="1"/>
  <c r="G1531" i="3"/>
  <c r="H1531" i="3"/>
  <c r="A1532" i="3"/>
  <c r="B1532" i="3"/>
  <c r="C1532" i="3"/>
  <c r="I1532" i="3" s="1"/>
  <c r="D1532" i="3"/>
  <c r="E1532" i="3"/>
  <c r="F1532" i="3"/>
  <c r="G1532" i="3"/>
  <c r="H1532" i="3"/>
  <c r="A1533" i="3"/>
  <c r="B1533" i="3"/>
  <c r="C1533" i="3"/>
  <c r="D1533" i="3"/>
  <c r="E1533" i="3"/>
  <c r="F1533" i="3"/>
  <c r="G1533" i="3"/>
  <c r="H1533" i="3" s="1"/>
  <c r="A1534" i="3"/>
  <c r="B1534" i="3"/>
  <c r="C1534" i="3"/>
  <c r="I1534" i="3" s="1"/>
  <c r="D1534" i="3"/>
  <c r="E1534" i="3"/>
  <c r="F1534" i="3"/>
  <c r="G1534" i="3"/>
  <c r="H1534" i="3"/>
  <c r="A1535" i="3"/>
  <c r="B1535" i="3"/>
  <c r="C1535" i="3"/>
  <c r="D1535" i="3"/>
  <c r="E1535" i="3"/>
  <c r="F1535" i="3"/>
  <c r="I1535" i="3" s="1"/>
  <c r="G1535" i="3"/>
  <c r="H1535" i="3"/>
  <c r="A1536" i="3"/>
  <c r="B1536" i="3"/>
  <c r="C1536" i="3"/>
  <c r="D1536" i="3"/>
  <c r="E1536" i="3"/>
  <c r="F1536" i="3"/>
  <c r="G1536" i="3"/>
  <c r="H1536" i="3"/>
  <c r="I1536" i="3" s="1"/>
  <c r="A1537" i="3"/>
  <c r="B1537" i="3"/>
  <c r="C1537" i="3"/>
  <c r="D1537" i="3"/>
  <c r="E1537" i="3"/>
  <c r="F1537" i="3"/>
  <c r="G1537" i="3"/>
  <c r="H1537" i="3"/>
  <c r="A1538" i="3"/>
  <c r="B1538" i="3"/>
  <c r="C1538" i="3"/>
  <c r="D1538" i="3"/>
  <c r="E1538" i="3"/>
  <c r="F1538" i="3"/>
  <c r="H1538" i="3" s="1"/>
  <c r="I1538" i="3" s="1"/>
  <c r="G1538" i="3"/>
  <c r="A1539" i="3"/>
  <c r="B1539" i="3"/>
  <c r="C1539" i="3"/>
  <c r="D1539" i="3"/>
  <c r="E1539" i="3"/>
  <c r="F1539" i="3"/>
  <c r="H1539" i="3" s="1"/>
  <c r="G1539" i="3"/>
  <c r="A1540" i="3"/>
  <c r="B1540" i="3"/>
  <c r="C1540" i="3"/>
  <c r="I1540" i="3" s="1"/>
  <c r="D1540" i="3"/>
  <c r="E1540" i="3"/>
  <c r="F1540" i="3"/>
  <c r="G1540" i="3"/>
  <c r="H1540" i="3"/>
  <c r="A1541" i="3"/>
  <c r="B1541" i="3"/>
  <c r="C1541" i="3"/>
  <c r="D1541" i="3"/>
  <c r="E1541" i="3"/>
  <c r="F1541" i="3"/>
  <c r="H1541" i="3" s="1"/>
  <c r="G1541" i="3"/>
  <c r="A1542" i="3"/>
  <c r="B1542" i="3"/>
  <c r="C1542" i="3"/>
  <c r="D1542" i="3"/>
  <c r="E1542" i="3"/>
  <c r="F1542" i="3"/>
  <c r="G1542" i="3"/>
  <c r="H1542" i="3" s="1"/>
  <c r="A1543" i="3"/>
  <c r="B1543" i="3"/>
  <c r="C1543" i="3"/>
  <c r="D1543" i="3"/>
  <c r="E1543" i="3"/>
  <c r="F1543" i="3"/>
  <c r="G1543" i="3"/>
  <c r="H1543" i="3"/>
  <c r="I1543" i="3" s="1"/>
  <c r="A1544" i="3"/>
  <c r="B1544" i="3"/>
  <c r="C1544" i="3"/>
  <c r="D1544" i="3"/>
  <c r="E1544" i="3"/>
  <c r="F1544" i="3"/>
  <c r="G1544" i="3"/>
  <c r="H1544" i="3"/>
  <c r="I1544" i="3" s="1"/>
  <c r="A1545" i="3"/>
  <c r="B1545" i="3"/>
  <c r="C1545" i="3"/>
  <c r="D1545" i="3"/>
  <c r="E1545" i="3"/>
  <c r="F1545" i="3"/>
  <c r="G1545" i="3"/>
  <c r="H1545" i="3" s="1"/>
  <c r="A1546" i="3"/>
  <c r="B1546" i="3"/>
  <c r="C1546" i="3"/>
  <c r="I1546" i="3" s="1"/>
  <c r="D1546" i="3"/>
  <c r="E1546" i="3"/>
  <c r="F1546" i="3"/>
  <c r="G1546" i="3"/>
  <c r="H1546" i="3"/>
  <c r="A1547" i="3"/>
  <c r="B1547" i="3"/>
  <c r="C1547" i="3"/>
  <c r="D1547" i="3"/>
  <c r="E1547" i="3"/>
  <c r="F1547" i="3"/>
  <c r="H1547" i="3" s="1"/>
  <c r="G1547" i="3"/>
  <c r="A1548" i="3"/>
  <c r="B1548" i="3"/>
  <c r="C1548" i="3"/>
  <c r="D1548" i="3"/>
  <c r="E1548" i="3"/>
  <c r="F1548" i="3"/>
  <c r="G1548" i="3"/>
  <c r="H1548" i="3"/>
  <c r="I1548" i="3" s="1"/>
  <c r="A1549" i="3"/>
  <c r="B1549" i="3"/>
  <c r="C1549" i="3"/>
  <c r="D1549" i="3"/>
  <c r="E1549" i="3"/>
  <c r="F1549" i="3"/>
  <c r="G1549" i="3"/>
  <c r="H1549" i="3"/>
  <c r="A1550" i="3"/>
  <c r="B1550" i="3"/>
  <c r="C1550" i="3"/>
  <c r="D1550" i="3"/>
  <c r="E1550" i="3"/>
  <c r="F1550" i="3"/>
  <c r="H1550" i="3" s="1"/>
  <c r="G1550" i="3"/>
  <c r="A1551" i="3"/>
  <c r="B1551" i="3"/>
  <c r="C1551" i="3"/>
  <c r="D1551" i="3"/>
  <c r="E1551" i="3"/>
  <c r="F1551" i="3"/>
  <c r="H1551" i="3" s="1"/>
  <c r="G1551" i="3"/>
  <c r="A1552" i="3"/>
  <c r="B1552" i="3"/>
  <c r="C1552" i="3"/>
  <c r="D1552" i="3"/>
  <c r="E1552" i="3"/>
  <c r="F1552" i="3"/>
  <c r="G1552" i="3"/>
  <c r="H1552" i="3"/>
  <c r="I1552" i="3"/>
  <c r="A1553" i="3"/>
  <c r="B1553" i="3"/>
  <c r="C1553" i="3"/>
  <c r="D1553" i="3"/>
  <c r="E1553" i="3"/>
  <c r="F1553" i="3"/>
  <c r="H1553" i="3" s="1"/>
  <c r="G1553" i="3"/>
  <c r="A1554" i="3"/>
  <c r="B1554" i="3"/>
  <c r="C1554" i="3"/>
  <c r="D1554" i="3"/>
  <c r="E1554" i="3"/>
  <c r="F1554" i="3"/>
  <c r="G1554" i="3"/>
  <c r="H1554" i="3" s="1"/>
  <c r="A1555" i="3"/>
  <c r="B1555" i="3"/>
  <c r="C1555" i="3"/>
  <c r="D1555" i="3"/>
  <c r="E1555" i="3"/>
  <c r="F1555" i="3"/>
  <c r="I1555" i="3" s="1"/>
  <c r="G1555" i="3"/>
  <c r="H1555" i="3"/>
  <c r="A1556" i="3"/>
  <c r="B1556" i="3"/>
  <c r="C1556" i="3"/>
  <c r="D1556" i="3"/>
  <c r="E1556" i="3"/>
  <c r="F1556" i="3"/>
  <c r="G1556" i="3"/>
  <c r="H1556" i="3"/>
  <c r="I1556" i="3"/>
  <c r="A1557" i="3"/>
  <c r="B1557" i="3"/>
  <c r="C1557" i="3"/>
  <c r="D1557" i="3"/>
  <c r="E1557" i="3"/>
  <c r="F1557" i="3"/>
  <c r="G1557" i="3"/>
  <c r="H1557" i="3" s="1"/>
  <c r="A1558" i="3"/>
  <c r="B1558" i="3"/>
  <c r="C1558" i="3"/>
  <c r="D1558" i="3"/>
  <c r="E1558" i="3"/>
  <c r="F1558" i="3"/>
  <c r="H1558" i="3" s="1"/>
  <c r="G1558" i="3"/>
  <c r="A1559" i="3"/>
  <c r="B1559" i="3"/>
  <c r="C1559" i="3"/>
  <c r="D1559" i="3"/>
  <c r="E1559" i="3"/>
  <c r="F1559" i="3"/>
  <c r="G1559" i="3"/>
  <c r="H1559" i="3"/>
  <c r="I1559" i="3" s="1"/>
  <c r="A1560" i="3"/>
  <c r="B1560" i="3"/>
  <c r="C1560" i="3"/>
  <c r="I1560" i="3" s="1"/>
  <c r="D1560" i="3"/>
  <c r="E1560" i="3"/>
  <c r="F1560" i="3"/>
  <c r="G1560" i="3"/>
  <c r="H1560" i="3"/>
  <c r="A1561" i="3"/>
  <c r="B1561" i="3"/>
  <c r="C1561" i="3"/>
  <c r="I1561" i="3" s="1"/>
  <c r="D1561" i="3"/>
  <c r="E1561" i="3"/>
  <c r="F1561" i="3"/>
  <c r="G1561" i="3"/>
  <c r="H1561" i="3"/>
  <c r="A1562" i="3"/>
  <c r="B1562" i="3"/>
  <c r="C1562" i="3"/>
  <c r="I1562" i="3" s="1"/>
  <c r="D1562" i="3"/>
  <c r="E1562" i="3"/>
  <c r="F1562" i="3"/>
  <c r="H1562" i="3" s="1"/>
  <c r="G1562" i="3"/>
  <c r="A1563" i="3"/>
  <c r="B1563" i="3"/>
  <c r="C1563" i="3"/>
  <c r="D1563" i="3"/>
  <c r="E1563" i="3"/>
  <c r="F1563" i="3"/>
  <c r="H1563" i="3" s="1"/>
  <c r="I1563" i="3" s="1"/>
  <c r="G1563" i="3"/>
  <c r="A1564" i="3"/>
  <c r="B1564" i="3"/>
  <c r="C1564" i="3"/>
  <c r="D1564" i="3"/>
  <c r="E1564" i="3"/>
  <c r="F1564" i="3"/>
  <c r="G1564" i="3"/>
  <c r="H1564" i="3"/>
  <c r="I1564" i="3"/>
  <c r="A1565" i="3"/>
  <c r="B1565" i="3"/>
  <c r="C1565" i="3"/>
  <c r="D1565" i="3"/>
  <c r="E1565" i="3"/>
  <c r="F1565" i="3"/>
  <c r="H1565" i="3" s="1"/>
  <c r="G1565" i="3"/>
  <c r="A1566" i="3"/>
  <c r="B1566" i="3"/>
  <c r="C1566" i="3"/>
  <c r="D1566" i="3"/>
  <c r="E1566" i="3"/>
  <c r="F1566" i="3"/>
  <c r="I1566" i="3" s="1"/>
  <c r="G1566" i="3"/>
  <c r="H1566" i="3" s="1"/>
  <c r="A1567" i="3"/>
  <c r="B1567" i="3"/>
  <c r="C1567" i="3"/>
  <c r="D1567" i="3"/>
  <c r="E1567" i="3"/>
  <c r="F1567" i="3"/>
  <c r="G1567" i="3"/>
  <c r="H1567" i="3"/>
  <c r="I1567" i="3"/>
  <c r="A1568" i="3"/>
  <c r="B1568" i="3"/>
  <c r="C1568" i="3"/>
  <c r="I1568" i="3" s="1"/>
  <c r="D1568" i="3"/>
  <c r="E1568" i="3"/>
  <c r="F1568" i="3"/>
  <c r="G1568" i="3"/>
  <c r="H1568" i="3"/>
  <c r="A1569" i="3"/>
  <c r="B1569" i="3"/>
  <c r="C1569" i="3"/>
  <c r="D1569" i="3"/>
  <c r="E1569" i="3"/>
  <c r="F1569" i="3"/>
  <c r="G1569" i="3"/>
  <c r="H1569" i="3" s="1"/>
  <c r="A1570" i="3"/>
  <c r="B1570" i="3"/>
  <c r="C1570" i="3"/>
  <c r="D1570" i="3"/>
  <c r="E1570" i="3"/>
  <c r="F1570" i="3"/>
  <c r="G1570" i="3"/>
  <c r="H1570" i="3"/>
  <c r="I1570" i="3" s="1"/>
  <c r="A1571" i="3"/>
  <c r="B1571" i="3"/>
  <c r="C1571" i="3"/>
  <c r="D1571" i="3"/>
  <c r="E1571" i="3"/>
  <c r="F1571" i="3"/>
  <c r="I1571" i="3" s="1"/>
  <c r="G1571" i="3"/>
  <c r="H1571" i="3"/>
  <c r="A1572" i="3"/>
  <c r="B1572" i="3"/>
  <c r="C1572" i="3"/>
  <c r="I1572" i="3" s="1"/>
  <c r="D1572" i="3"/>
  <c r="E1572" i="3"/>
  <c r="F1572" i="3"/>
  <c r="G1572" i="3"/>
  <c r="H1572" i="3"/>
  <c r="A1573" i="3"/>
  <c r="B1573" i="3"/>
  <c r="C1573" i="3"/>
  <c r="D1573" i="3"/>
  <c r="E1573" i="3"/>
  <c r="F1573" i="3"/>
  <c r="H1573" i="3" s="1"/>
  <c r="G1573" i="3"/>
  <c r="A1574" i="3"/>
  <c r="B1574" i="3"/>
  <c r="C1574" i="3"/>
  <c r="D1574" i="3"/>
  <c r="E1574" i="3"/>
  <c r="F1574" i="3"/>
  <c r="H1574" i="3" s="1"/>
  <c r="I1574" i="3" s="1"/>
  <c r="G1574" i="3"/>
  <c r="A1575" i="3"/>
  <c r="B1575" i="3"/>
  <c r="C1575" i="3"/>
  <c r="D1575" i="3"/>
  <c r="E1575" i="3"/>
  <c r="F1575" i="3"/>
  <c r="H1575" i="3" s="1"/>
  <c r="I1575" i="3" s="1"/>
  <c r="G1575" i="3"/>
  <c r="A1576" i="3"/>
  <c r="B1576" i="3"/>
  <c r="C1576" i="3"/>
  <c r="I1576" i="3" s="1"/>
  <c r="D1576" i="3"/>
  <c r="E1576" i="3"/>
  <c r="F1576" i="3"/>
  <c r="G1576" i="3"/>
  <c r="H1576" i="3"/>
  <c r="A1577" i="3"/>
  <c r="B1577" i="3"/>
  <c r="C1577" i="3"/>
  <c r="D1577" i="3"/>
  <c r="E1577" i="3"/>
  <c r="F1577" i="3"/>
  <c r="H1577" i="3" s="1"/>
  <c r="G1577" i="3"/>
  <c r="A1578" i="3"/>
  <c r="B1578" i="3"/>
  <c r="C1578" i="3"/>
  <c r="D1578" i="3"/>
  <c r="E1578" i="3"/>
  <c r="F1578" i="3"/>
  <c r="G1578" i="3"/>
  <c r="H1578" i="3" s="1"/>
  <c r="A1579" i="3"/>
  <c r="B1579" i="3"/>
  <c r="C1579" i="3"/>
  <c r="D1579" i="3"/>
  <c r="E1579" i="3"/>
  <c r="F1579" i="3"/>
  <c r="I1579" i="3" s="1"/>
  <c r="G1579" i="3"/>
  <c r="H1579" i="3"/>
  <c r="A1580" i="3"/>
  <c r="B1580" i="3"/>
  <c r="C1580" i="3"/>
  <c r="I1580" i="3" s="1"/>
  <c r="D1580" i="3"/>
  <c r="E1580" i="3"/>
  <c r="F1580" i="3"/>
  <c r="G1580" i="3"/>
  <c r="H1580" i="3"/>
  <c r="A1581" i="3"/>
  <c r="B1581" i="3"/>
  <c r="C1581" i="3"/>
  <c r="D1581" i="3"/>
  <c r="E1581" i="3"/>
  <c r="F1581" i="3"/>
  <c r="G1581" i="3"/>
  <c r="H1581" i="3" s="1"/>
  <c r="A1582" i="3"/>
  <c r="B1582" i="3"/>
  <c r="C1582" i="3"/>
  <c r="I1582" i="3" s="1"/>
  <c r="D1582" i="3"/>
  <c r="E1582" i="3"/>
  <c r="F1582" i="3"/>
  <c r="G1582" i="3"/>
  <c r="H1582" i="3"/>
  <c r="A1583" i="3"/>
  <c r="B1583" i="3"/>
  <c r="C1583" i="3"/>
  <c r="D1583" i="3"/>
  <c r="E1583" i="3"/>
  <c r="F1583" i="3"/>
  <c r="I1583" i="3" s="1"/>
  <c r="G1583" i="3"/>
  <c r="H1583" i="3"/>
  <c r="A1584" i="3"/>
  <c r="B1584" i="3"/>
  <c r="C1584" i="3"/>
  <c r="D1584" i="3"/>
  <c r="E1584" i="3"/>
  <c r="F1584" i="3"/>
  <c r="G1584" i="3"/>
  <c r="H1584" i="3"/>
  <c r="I1584" i="3" s="1"/>
  <c r="A1585" i="3"/>
  <c r="B1585" i="3"/>
  <c r="C1585" i="3"/>
  <c r="D1585" i="3"/>
  <c r="E1585" i="3"/>
  <c r="F1585" i="3"/>
  <c r="G1585" i="3"/>
  <c r="H1585" i="3"/>
  <c r="A1586" i="3"/>
  <c r="B1586" i="3"/>
  <c r="C1586" i="3"/>
  <c r="D1586" i="3"/>
  <c r="E1586" i="3"/>
  <c r="F1586" i="3"/>
  <c r="H1586" i="3" s="1"/>
  <c r="I1586" i="3" s="1"/>
  <c r="G1586" i="3"/>
  <c r="A1587" i="3"/>
  <c r="B1587" i="3"/>
  <c r="C1587" i="3"/>
  <c r="D1587" i="3"/>
  <c r="E1587" i="3"/>
  <c r="F1587" i="3"/>
  <c r="H1587" i="3" s="1"/>
  <c r="G1587" i="3"/>
  <c r="A1588" i="3"/>
  <c r="B1588" i="3"/>
  <c r="C1588" i="3"/>
  <c r="I1588" i="3" s="1"/>
  <c r="D1588" i="3"/>
  <c r="E1588" i="3"/>
  <c r="F1588" i="3"/>
  <c r="G1588" i="3"/>
  <c r="H1588" i="3"/>
  <c r="A1589" i="3"/>
  <c r="B1589" i="3"/>
  <c r="C1589" i="3"/>
  <c r="D1589" i="3"/>
  <c r="E1589" i="3"/>
  <c r="F1589" i="3"/>
  <c r="H1589" i="3" s="1"/>
  <c r="G1589" i="3"/>
  <c r="A1590" i="3"/>
  <c r="B1590" i="3"/>
  <c r="C1590" i="3"/>
  <c r="D1590" i="3"/>
  <c r="E1590" i="3"/>
  <c r="F1590" i="3"/>
  <c r="G1590" i="3"/>
  <c r="H1590" i="3" s="1"/>
  <c r="A1591" i="3"/>
  <c r="B1591" i="3"/>
  <c r="C1591" i="3"/>
  <c r="D1591" i="3"/>
  <c r="E1591" i="3"/>
  <c r="F1591" i="3"/>
  <c r="G1591" i="3"/>
  <c r="H1591" i="3"/>
  <c r="I1591" i="3" s="1"/>
  <c r="A1592" i="3"/>
  <c r="B1592" i="3"/>
  <c r="C1592" i="3"/>
  <c r="D1592" i="3"/>
  <c r="E1592" i="3"/>
  <c r="F1592" i="3"/>
  <c r="G1592" i="3"/>
  <c r="H1592" i="3"/>
  <c r="I1592" i="3" s="1"/>
  <c r="A1593" i="3"/>
  <c r="B1593" i="3"/>
  <c r="C1593" i="3"/>
  <c r="D1593" i="3"/>
  <c r="E1593" i="3"/>
  <c r="F1593" i="3"/>
  <c r="G1593" i="3"/>
  <c r="H1593" i="3" s="1"/>
  <c r="A1594" i="3"/>
  <c r="B1594" i="3"/>
  <c r="C1594" i="3"/>
  <c r="I1594" i="3" s="1"/>
  <c r="D1594" i="3"/>
  <c r="E1594" i="3"/>
  <c r="F1594" i="3"/>
  <c r="G1594" i="3"/>
  <c r="H1594" i="3"/>
  <c r="A1595" i="3"/>
  <c r="B1595" i="3"/>
  <c r="C1595" i="3"/>
  <c r="D1595" i="3"/>
  <c r="E1595" i="3"/>
  <c r="F1595" i="3"/>
  <c r="H1595" i="3" s="1"/>
  <c r="G1595" i="3"/>
  <c r="A1596" i="3"/>
  <c r="B1596" i="3"/>
  <c r="C1596" i="3"/>
  <c r="D1596" i="3"/>
  <c r="E1596" i="3"/>
  <c r="F1596" i="3"/>
  <c r="G1596" i="3"/>
  <c r="H1596" i="3"/>
  <c r="I1596" i="3" s="1"/>
  <c r="A1597" i="3"/>
  <c r="B1597" i="3"/>
  <c r="C1597" i="3"/>
  <c r="D1597" i="3"/>
  <c r="E1597" i="3"/>
  <c r="F1597" i="3"/>
  <c r="G1597" i="3"/>
  <c r="H1597" i="3"/>
  <c r="A1598" i="3"/>
  <c r="B1598" i="3"/>
  <c r="C1598" i="3"/>
  <c r="D1598" i="3"/>
  <c r="E1598" i="3"/>
  <c r="F1598" i="3"/>
  <c r="H1598" i="3" s="1"/>
  <c r="G1598" i="3"/>
  <c r="A1599" i="3"/>
  <c r="B1599" i="3"/>
  <c r="C1599" i="3"/>
  <c r="D1599" i="3"/>
  <c r="E1599" i="3"/>
  <c r="F1599" i="3"/>
  <c r="H1599" i="3" s="1"/>
  <c r="G1599" i="3"/>
  <c r="A1600" i="3"/>
  <c r="B1600" i="3"/>
  <c r="C1600" i="3"/>
  <c r="D1600" i="3"/>
  <c r="E1600" i="3"/>
  <c r="F1600" i="3"/>
  <c r="G1600" i="3"/>
  <c r="H1600" i="3"/>
  <c r="I1600" i="3"/>
  <c r="A1601" i="3"/>
  <c r="B1601" i="3"/>
  <c r="C1601" i="3"/>
  <c r="D1601" i="3"/>
  <c r="E1601" i="3"/>
  <c r="F1601" i="3"/>
  <c r="H1601" i="3" s="1"/>
  <c r="G1601" i="3"/>
  <c r="A1602" i="3"/>
  <c r="B1602" i="3"/>
  <c r="C1602" i="3"/>
  <c r="I1602" i="3" s="1"/>
  <c r="D1602" i="3"/>
  <c r="E1602" i="3"/>
  <c r="F1602" i="3"/>
  <c r="G1602" i="3"/>
  <c r="H1602" i="3" s="1"/>
  <c r="A1603" i="3"/>
  <c r="B1603" i="3"/>
  <c r="C1603" i="3"/>
  <c r="D1603" i="3"/>
  <c r="E1603" i="3"/>
  <c r="F1603" i="3"/>
  <c r="I1603" i="3" s="1"/>
  <c r="G1603" i="3"/>
  <c r="H1603" i="3"/>
  <c r="A1604" i="3"/>
  <c r="B1604" i="3"/>
  <c r="C1604" i="3"/>
  <c r="D1604" i="3"/>
  <c r="E1604" i="3"/>
  <c r="F1604" i="3"/>
  <c r="G1604" i="3"/>
  <c r="H1604" i="3"/>
  <c r="I1604" i="3"/>
  <c r="A1605" i="3"/>
  <c r="B1605" i="3"/>
  <c r="C1605" i="3"/>
  <c r="D1605" i="3"/>
  <c r="E1605" i="3"/>
  <c r="F1605" i="3"/>
  <c r="G1605" i="3"/>
  <c r="H1605" i="3" s="1"/>
  <c r="A1606" i="3"/>
  <c r="B1606" i="3"/>
  <c r="C1606" i="3"/>
  <c r="D1606" i="3"/>
  <c r="E1606" i="3"/>
  <c r="F1606" i="3"/>
  <c r="I1606" i="3" s="1"/>
  <c r="G1606" i="3"/>
  <c r="H1606" i="3"/>
  <c r="A1607" i="3"/>
  <c r="B1607" i="3"/>
  <c r="C1607" i="3"/>
  <c r="D1607" i="3"/>
  <c r="E1607" i="3"/>
  <c r="F1607" i="3"/>
  <c r="G1607" i="3"/>
  <c r="H1607" i="3"/>
  <c r="I1607" i="3" s="1"/>
  <c r="A1608" i="3"/>
  <c r="B1608" i="3"/>
  <c r="C1608" i="3"/>
  <c r="I1608" i="3" s="1"/>
  <c r="D1608" i="3"/>
  <c r="E1608" i="3"/>
  <c r="F1608" i="3"/>
  <c r="G1608" i="3"/>
  <c r="H1608" i="3"/>
  <c r="A1609" i="3"/>
  <c r="B1609" i="3"/>
  <c r="C1609" i="3"/>
  <c r="I1609" i="3" s="1"/>
  <c r="D1609" i="3"/>
  <c r="E1609" i="3"/>
  <c r="F1609" i="3"/>
  <c r="G1609" i="3"/>
  <c r="H1609" i="3"/>
  <c r="A1610" i="3"/>
  <c r="B1610" i="3"/>
  <c r="C1610" i="3"/>
  <c r="D1610" i="3"/>
  <c r="E1610" i="3"/>
  <c r="F1610" i="3"/>
  <c r="I1610" i="3" s="1"/>
  <c r="G1610" i="3"/>
  <c r="H1610" i="3"/>
  <c r="A1611" i="3"/>
  <c r="B1611" i="3"/>
  <c r="C1611" i="3"/>
  <c r="D1611" i="3"/>
  <c r="E1611" i="3"/>
  <c r="F1611" i="3"/>
  <c r="G1611" i="3"/>
  <c r="H1611" i="3"/>
  <c r="I1611" i="3" s="1"/>
  <c r="A1612" i="3"/>
  <c r="B1612" i="3"/>
  <c r="C1612" i="3"/>
  <c r="I1612" i="3" s="1"/>
  <c r="D1612" i="3"/>
  <c r="E1612" i="3"/>
  <c r="F1612" i="3"/>
  <c r="G1612" i="3"/>
  <c r="H1612" i="3"/>
  <c r="A1613" i="3"/>
  <c r="B1613" i="3"/>
  <c r="C1613" i="3"/>
  <c r="I1613" i="3" s="1"/>
  <c r="D1613" i="3"/>
  <c r="E1613" i="3"/>
  <c r="F1613" i="3"/>
  <c r="G1613" i="3"/>
  <c r="H1613" i="3"/>
  <c r="A1614" i="3"/>
  <c r="B1614" i="3"/>
  <c r="C1614" i="3"/>
  <c r="D1614" i="3"/>
  <c r="E1614" i="3"/>
  <c r="F1614" i="3"/>
  <c r="I1614" i="3" s="1"/>
  <c r="G1614" i="3"/>
  <c r="H1614" i="3"/>
  <c r="A1615" i="3"/>
  <c r="B1615" i="3"/>
  <c r="C1615" i="3"/>
  <c r="D1615" i="3"/>
  <c r="E1615" i="3"/>
  <c r="F1615" i="3"/>
  <c r="G1615" i="3"/>
  <c r="H1615" i="3"/>
  <c r="I1615" i="3" s="1"/>
  <c r="A1616" i="3"/>
  <c r="B1616" i="3"/>
  <c r="C1616" i="3"/>
  <c r="I1616" i="3" s="1"/>
  <c r="D1616" i="3"/>
  <c r="E1616" i="3"/>
  <c r="F1616" i="3"/>
  <c r="G1616" i="3"/>
  <c r="H1616" i="3"/>
  <c r="A1617" i="3"/>
  <c r="B1617" i="3"/>
  <c r="C1617" i="3"/>
  <c r="I1617" i="3" s="1"/>
  <c r="D1617" i="3"/>
  <c r="E1617" i="3"/>
  <c r="F1617" i="3"/>
  <c r="G1617" i="3"/>
  <c r="H1617" i="3"/>
  <c r="A1618" i="3"/>
  <c r="B1618" i="3"/>
  <c r="C1618" i="3"/>
  <c r="D1618" i="3"/>
  <c r="E1618" i="3"/>
  <c r="F1618" i="3"/>
  <c r="I1618" i="3" s="1"/>
  <c r="G1618" i="3"/>
  <c r="H1618" i="3"/>
  <c r="A1619" i="3"/>
  <c r="B1619" i="3"/>
  <c r="C1619" i="3"/>
  <c r="D1619" i="3"/>
  <c r="E1619" i="3"/>
  <c r="F1619" i="3"/>
  <c r="G1619" i="3"/>
  <c r="H1619" i="3"/>
  <c r="I1619" i="3" s="1"/>
  <c r="A1620" i="3"/>
  <c r="B1620" i="3"/>
  <c r="C1620" i="3"/>
  <c r="I1620" i="3" s="1"/>
  <c r="D1620" i="3"/>
  <c r="E1620" i="3"/>
  <c r="F1620" i="3"/>
  <c r="G1620" i="3"/>
  <c r="H1620" i="3"/>
  <c r="A1621" i="3"/>
  <c r="B1621" i="3"/>
  <c r="C1621" i="3"/>
  <c r="I1621" i="3" s="1"/>
  <c r="D1621" i="3"/>
  <c r="E1621" i="3"/>
  <c r="F1621" i="3"/>
  <c r="G1621" i="3"/>
  <c r="H1621" i="3"/>
  <c r="A1622" i="3"/>
  <c r="B1622" i="3"/>
  <c r="C1622" i="3"/>
  <c r="D1622" i="3"/>
  <c r="E1622" i="3"/>
  <c r="F1622" i="3"/>
  <c r="I1622" i="3" s="1"/>
  <c r="G1622" i="3"/>
  <c r="H1622" i="3"/>
  <c r="A1623" i="3"/>
  <c r="B1623" i="3"/>
  <c r="C1623" i="3"/>
  <c r="D1623" i="3"/>
  <c r="E1623" i="3"/>
  <c r="F1623" i="3"/>
  <c r="G1623" i="3"/>
  <c r="H1623" i="3"/>
  <c r="I1623" i="3" s="1"/>
  <c r="A1624" i="3"/>
  <c r="B1624" i="3"/>
  <c r="C1624" i="3"/>
  <c r="I1624" i="3" s="1"/>
  <c r="D1624" i="3"/>
  <c r="E1624" i="3"/>
  <c r="F1624" i="3"/>
  <c r="G1624" i="3"/>
  <c r="H1624" i="3"/>
  <c r="A1625" i="3"/>
  <c r="B1625" i="3"/>
  <c r="C1625" i="3"/>
  <c r="I1625" i="3" s="1"/>
  <c r="D1625" i="3"/>
  <c r="E1625" i="3"/>
  <c r="F1625" i="3"/>
  <c r="G1625" i="3"/>
  <c r="H1625" i="3"/>
  <c r="A1626" i="3"/>
  <c r="B1626" i="3"/>
  <c r="C1626" i="3"/>
  <c r="D1626" i="3"/>
  <c r="E1626" i="3"/>
  <c r="F1626" i="3"/>
  <c r="I1626" i="3" s="1"/>
  <c r="G1626" i="3"/>
  <c r="H1626" i="3"/>
  <c r="A1627" i="3"/>
  <c r="B1627" i="3"/>
  <c r="C1627" i="3"/>
  <c r="D1627" i="3"/>
  <c r="E1627" i="3"/>
  <c r="F1627" i="3"/>
  <c r="G1627" i="3"/>
  <c r="H1627" i="3"/>
  <c r="I1627" i="3" s="1"/>
  <c r="A1628" i="3"/>
  <c r="B1628" i="3"/>
  <c r="C1628" i="3"/>
  <c r="I1628" i="3" s="1"/>
  <c r="D1628" i="3"/>
  <c r="E1628" i="3"/>
  <c r="F1628" i="3"/>
  <c r="G1628" i="3"/>
  <c r="H1628" i="3"/>
  <c r="A1629" i="3"/>
  <c r="B1629" i="3"/>
  <c r="C1629" i="3"/>
  <c r="I1629" i="3" s="1"/>
  <c r="D1629" i="3"/>
  <c r="E1629" i="3"/>
  <c r="F1629" i="3"/>
  <c r="G1629" i="3"/>
  <c r="H1629" i="3"/>
  <c r="A1630" i="3"/>
  <c r="B1630" i="3"/>
  <c r="C1630" i="3"/>
  <c r="D1630" i="3"/>
  <c r="E1630" i="3"/>
  <c r="F1630" i="3"/>
  <c r="I1630" i="3" s="1"/>
  <c r="G1630" i="3"/>
  <c r="H1630" i="3"/>
  <c r="A1631" i="3"/>
  <c r="B1631" i="3"/>
  <c r="C1631" i="3"/>
  <c r="D1631" i="3"/>
  <c r="E1631" i="3"/>
  <c r="F1631" i="3"/>
  <c r="G1631" i="3"/>
  <c r="H1631" i="3"/>
  <c r="I1631" i="3" s="1"/>
  <c r="A1632" i="3"/>
  <c r="B1632" i="3"/>
  <c r="C1632" i="3"/>
  <c r="I1632" i="3" s="1"/>
  <c r="D1632" i="3"/>
  <c r="E1632" i="3"/>
  <c r="F1632" i="3"/>
  <c r="G1632" i="3"/>
  <c r="H1632" i="3"/>
  <c r="A1633" i="3"/>
  <c r="B1633" i="3"/>
  <c r="C1633" i="3"/>
  <c r="I1633" i="3" s="1"/>
  <c r="D1633" i="3"/>
  <c r="E1633" i="3"/>
  <c r="F1633" i="3"/>
  <c r="G1633" i="3"/>
  <c r="H1633" i="3"/>
  <c r="A1634" i="3"/>
  <c r="B1634" i="3"/>
  <c r="C1634" i="3"/>
  <c r="D1634" i="3"/>
  <c r="E1634" i="3"/>
  <c r="F1634" i="3"/>
  <c r="I1634" i="3" s="1"/>
  <c r="G1634" i="3"/>
  <c r="H1634" i="3"/>
  <c r="A1635" i="3"/>
  <c r="B1635" i="3"/>
  <c r="C1635" i="3"/>
  <c r="D1635" i="3"/>
  <c r="E1635" i="3"/>
  <c r="F1635" i="3"/>
  <c r="G1635" i="3"/>
  <c r="H1635" i="3"/>
  <c r="I1635" i="3" s="1"/>
  <c r="A1636" i="3"/>
  <c r="B1636" i="3"/>
  <c r="C1636" i="3"/>
  <c r="I1636" i="3" s="1"/>
  <c r="D1636" i="3"/>
  <c r="E1636" i="3"/>
  <c r="F1636" i="3"/>
  <c r="G1636" i="3"/>
  <c r="H1636" i="3"/>
  <c r="A1637" i="3"/>
  <c r="B1637" i="3"/>
  <c r="C1637" i="3"/>
  <c r="I1637" i="3" s="1"/>
  <c r="D1637" i="3"/>
  <c r="E1637" i="3"/>
  <c r="F1637" i="3"/>
  <c r="G1637" i="3"/>
  <c r="H1637" i="3"/>
  <c r="A1638" i="3"/>
  <c r="B1638" i="3"/>
  <c r="C1638" i="3"/>
  <c r="D1638" i="3"/>
  <c r="E1638" i="3"/>
  <c r="F1638" i="3"/>
  <c r="I1638" i="3" s="1"/>
  <c r="G1638" i="3"/>
  <c r="H1638" i="3"/>
  <c r="A1639" i="3"/>
  <c r="B1639" i="3"/>
  <c r="C1639" i="3"/>
  <c r="D1639" i="3"/>
  <c r="E1639" i="3"/>
  <c r="F1639" i="3"/>
  <c r="G1639" i="3"/>
  <c r="H1639" i="3"/>
  <c r="I1639" i="3" s="1"/>
  <c r="A1640" i="3"/>
  <c r="B1640" i="3"/>
  <c r="C1640" i="3"/>
  <c r="I1640" i="3" s="1"/>
  <c r="D1640" i="3"/>
  <c r="E1640" i="3"/>
  <c r="F1640" i="3"/>
  <c r="G1640" i="3"/>
  <c r="H1640" i="3"/>
  <c r="A1641" i="3"/>
  <c r="B1641" i="3"/>
  <c r="C1641" i="3"/>
  <c r="I1641" i="3" s="1"/>
  <c r="D1641" i="3"/>
  <c r="E1641" i="3"/>
  <c r="F1641" i="3"/>
  <c r="G1641" i="3"/>
  <c r="H1641" i="3"/>
  <c r="A1642" i="3"/>
  <c r="B1642" i="3"/>
  <c r="C1642" i="3"/>
  <c r="D1642" i="3"/>
  <c r="E1642" i="3"/>
  <c r="F1642" i="3"/>
  <c r="I1642" i="3" s="1"/>
  <c r="G1642" i="3"/>
  <c r="H1642" i="3"/>
  <c r="A1643" i="3"/>
  <c r="B1643" i="3"/>
  <c r="C1643" i="3"/>
  <c r="D1643" i="3"/>
  <c r="E1643" i="3"/>
  <c r="F1643" i="3"/>
  <c r="G1643" i="3"/>
  <c r="H1643" i="3"/>
  <c r="I1643" i="3" s="1"/>
  <c r="A1644" i="3"/>
  <c r="B1644" i="3"/>
  <c r="C1644" i="3"/>
  <c r="I1644" i="3" s="1"/>
  <c r="D1644" i="3"/>
  <c r="E1644" i="3"/>
  <c r="F1644" i="3"/>
  <c r="G1644" i="3"/>
  <c r="H1644" i="3"/>
  <c r="A1645" i="3"/>
  <c r="B1645" i="3"/>
  <c r="C1645" i="3"/>
  <c r="I1645" i="3" s="1"/>
  <c r="D1645" i="3"/>
  <c r="E1645" i="3"/>
  <c r="F1645" i="3"/>
  <c r="G1645" i="3"/>
  <c r="H1645" i="3"/>
  <c r="A1646" i="3"/>
  <c r="B1646" i="3"/>
  <c r="C1646" i="3"/>
  <c r="D1646" i="3"/>
  <c r="E1646" i="3"/>
  <c r="F1646" i="3"/>
  <c r="I1646" i="3" s="1"/>
  <c r="G1646" i="3"/>
  <c r="H1646" i="3"/>
  <c r="A1647" i="3"/>
  <c r="B1647" i="3"/>
  <c r="C1647" i="3"/>
  <c r="D1647" i="3"/>
  <c r="E1647" i="3"/>
  <c r="F1647" i="3"/>
  <c r="G1647" i="3"/>
  <c r="H1647" i="3"/>
  <c r="I1647" i="3" s="1"/>
  <c r="A1648" i="3"/>
  <c r="B1648" i="3"/>
  <c r="C1648" i="3"/>
  <c r="I1648" i="3" s="1"/>
  <c r="D1648" i="3"/>
  <c r="E1648" i="3"/>
  <c r="F1648" i="3"/>
  <c r="G1648" i="3"/>
  <c r="H1648" i="3"/>
  <c r="A1649" i="3"/>
  <c r="B1649" i="3"/>
  <c r="C1649" i="3"/>
  <c r="I1649" i="3" s="1"/>
  <c r="D1649" i="3"/>
  <c r="E1649" i="3"/>
  <c r="F1649" i="3"/>
  <c r="G1649" i="3"/>
  <c r="H1649" i="3"/>
  <c r="A1650" i="3"/>
  <c r="B1650" i="3"/>
  <c r="C1650" i="3"/>
  <c r="D1650" i="3"/>
  <c r="E1650" i="3"/>
  <c r="F1650" i="3"/>
  <c r="I1650" i="3" s="1"/>
  <c r="G1650" i="3"/>
  <c r="H1650" i="3"/>
  <c r="A1651" i="3"/>
  <c r="B1651" i="3"/>
  <c r="C1651" i="3"/>
  <c r="D1651" i="3"/>
  <c r="E1651" i="3"/>
  <c r="F1651" i="3"/>
  <c r="G1651" i="3"/>
  <c r="H1651" i="3"/>
  <c r="I1651" i="3" s="1"/>
  <c r="A1652" i="3"/>
  <c r="B1652" i="3"/>
  <c r="C1652" i="3"/>
  <c r="I1652" i="3" s="1"/>
  <c r="D1652" i="3"/>
  <c r="E1652" i="3"/>
  <c r="F1652" i="3"/>
  <c r="G1652" i="3"/>
  <c r="H1652" i="3"/>
  <c r="A1653" i="3"/>
  <c r="B1653" i="3"/>
  <c r="C1653" i="3"/>
  <c r="I1653" i="3" s="1"/>
  <c r="D1653" i="3"/>
  <c r="E1653" i="3"/>
  <c r="F1653" i="3"/>
  <c r="G1653" i="3"/>
  <c r="H1653" i="3"/>
  <c r="A1654" i="3"/>
  <c r="B1654" i="3"/>
  <c r="C1654" i="3"/>
  <c r="D1654" i="3"/>
  <c r="E1654" i="3"/>
  <c r="F1654" i="3"/>
  <c r="I1654" i="3" s="1"/>
  <c r="G1654" i="3"/>
  <c r="H1654" i="3"/>
  <c r="A1655" i="3"/>
  <c r="B1655" i="3"/>
  <c r="C1655" i="3"/>
  <c r="D1655" i="3"/>
  <c r="E1655" i="3"/>
  <c r="F1655" i="3"/>
  <c r="G1655" i="3"/>
  <c r="H1655" i="3"/>
  <c r="I1655" i="3" s="1"/>
  <c r="A1656" i="3"/>
  <c r="B1656" i="3"/>
  <c r="C1656" i="3"/>
  <c r="I1656" i="3" s="1"/>
  <c r="D1656" i="3"/>
  <c r="E1656" i="3"/>
  <c r="F1656" i="3"/>
  <c r="G1656" i="3"/>
  <c r="H1656" i="3"/>
  <c r="A1657" i="3"/>
  <c r="B1657" i="3"/>
  <c r="C1657" i="3"/>
  <c r="I1657" i="3" s="1"/>
  <c r="D1657" i="3"/>
  <c r="E1657" i="3"/>
  <c r="F1657" i="3"/>
  <c r="G1657" i="3"/>
  <c r="H1657" i="3"/>
  <c r="A1658" i="3"/>
  <c r="B1658" i="3"/>
  <c r="C1658" i="3"/>
  <c r="D1658" i="3"/>
  <c r="E1658" i="3"/>
  <c r="F1658" i="3"/>
  <c r="I1658" i="3" s="1"/>
  <c r="G1658" i="3"/>
  <c r="H1658" i="3"/>
  <c r="A1659" i="3"/>
  <c r="B1659" i="3"/>
  <c r="C1659" i="3"/>
  <c r="D1659" i="3"/>
  <c r="E1659" i="3"/>
  <c r="F1659" i="3"/>
  <c r="G1659" i="3"/>
  <c r="H1659" i="3"/>
  <c r="I1659" i="3" s="1"/>
  <c r="A1660" i="3"/>
  <c r="B1660" i="3"/>
  <c r="C1660" i="3"/>
  <c r="I1660" i="3" s="1"/>
  <c r="D1660" i="3"/>
  <c r="E1660" i="3"/>
  <c r="F1660" i="3"/>
  <c r="G1660" i="3"/>
  <c r="H1660" i="3"/>
  <c r="A1661" i="3"/>
  <c r="B1661" i="3"/>
  <c r="C1661" i="3"/>
  <c r="I1661" i="3" s="1"/>
  <c r="D1661" i="3"/>
  <c r="E1661" i="3"/>
  <c r="F1661" i="3"/>
  <c r="G1661" i="3"/>
  <c r="H1661" i="3"/>
  <c r="A1662" i="3"/>
  <c r="B1662" i="3"/>
  <c r="C1662" i="3"/>
  <c r="D1662" i="3"/>
  <c r="E1662" i="3"/>
  <c r="F1662" i="3"/>
  <c r="I1662" i="3" s="1"/>
  <c r="G1662" i="3"/>
  <c r="H1662" i="3"/>
  <c r="A1663" i="3"/>
  <c r="B1663" i="3"/>
  <c r="C1663" i="3"/>
  <c r="D1663" i="3"/>
  <c r="E1663" i="3"/>
  <c r="F1663" i="3"/>
  <c r="G1663" i="3"/>
  <c r="H1663" i="3"/>
  <c r="I1663" i="3" s="1"/>
  <c r="A1664" i="3"/>
  <c r="B1664" i="3"/>
  <c r="C1664" i="3"/>
  <c r="I1664" i="3" s="1"/>
  <c r="D1664" i="3"/>
  <c r="E1664" i="3"/>
  <c r="F1664" i="3"/>
  <c r="G1664" i="3"/>
  <c r="H1664" i="3"/>
  <c r="A1665" i="3"/>
  <c r="B1665" i="3"/>
  <c r="C1665" i="3"/>
  <c r="I1665" i="3" s="1"/>
  <c r="D1665" i="3"/>
  <c r="E1665" i="3"/>
  <c r="F1665" i="3"/>
  <c r="G1665" i="3"/>
  <c r="H1665" i="3"/>
  <c r="A1666" i="3"/>
  <c r="B1666" i="3"/>
  <c r="C1666" i="3"/>
  <c r="D1666" i="3"/>
  <c r="E1666" i="3"/>
  <c r="F1666" i="3"/>
  <c r="I1666" i="3" s="1"/>
  <c r="G1666" i="3"/>
  <c r="H1666" i="3"/>
  <c r="A1667" i="3"/>
  <c r="B1667" i="3"/>
  <c r="C1667" i="3"/>
  <c r="D1667" i="3"/>
  <c r="E1667" i="3"/>
  <c r="F1667" i="3"/>
  <c r="G1667" i="3"/>
  <c r="H1667" i="3"/>
  <c r="I1667" i="3" s="1"/>
  <c r="A1668" i="3"/>
  <c r="B1668" i="3"/>
  <c r="C1668" i="3"/>
  <c r="I1668" i="3" s="1"/>
  <c r="D1668" i="3"/>
  <c r="E1668" i="3"/>
  <c r="F1668" i="3"/>
  <c r="G1668" i="3"/>
  <c r="H1668" i="3"/>
  <c r="A1669" i="3"/>
  <c r="B1669" i="3"/>
  <c r="C1669" i="3"/>
  <c r="I1669" i="3" s="1"/>
  <c r="D1669" i="3"/>
  <c r="E1669" i="3"/>
  <c r="F1669" i="3"/>
  <c r="G1669" i="3"/>
  <c r="H1669" i="3"/>
  <c r="A1670" i="3"/>
  <c r="B1670" i="3"/>
  <c r="C1670" i="3"/>
  <c r="D1670" i="3"/>
  <c r="E1670" i="3"/>
  <c r="F1670" i="3"/>
  <c r="I1670" i="3" s="1"/>
  <c r="G1670" i="3"/>
  <c r="H1670" i="3"/>
  <c r="A1671" i="3"/>
  <c r="B1671" i="3"/>
  <c r="C1671" i="3"/>
  <c r="D1671" i="3"/>
  <c r="E1671" i="3"/>
  <c r="F1671" i="3"/>
  <c r="G1671" i="3"/>
  <c r="H1671" i="3"/>
  <c r="I1671" i="3" s="1"/>
  <c r="A1672" i="3"/>
  <c r="B1672" i="3"/>
  <c r="C1672" i="3"/>
  <c r="I1672" i="3" s="1"/>
  <c r="D1672" i="3"/>
  <c r="E1672" i="3"/>
  <c r="F1672" i="3"/>
  <c r="G1672" i="3"/>
  <c r="H1672" i="3"/>
  <c r="A1673" i="3"/>
  <c r="B1673" i="3"/>
  <c r="C1673" i="3"/>
  <c r="I1673" i="3" s="1"/>
  <c r="D1673" i="3"/>
  <c r="E1673" i="3"/>
  <c r="F1673" i="3"/>
  <c r="G1673" i="3"/>
  <c r="H1673" i="3"/>
  <c r="A1674" i="3"/>
  <c r="B1674" i="3"/>
  <c r="C1674" i="3"/>
  <c r="D1674" i="3"/>
  <c r="E1674" i="3"/>
  <c r="F1674" i="3"/>
  <c r="I1674" i="3" s="1"/>
  <c r="G1674" i="3"/>
  <c r="H1674" i="3"/>
  <c r="A1675" i="3"/>
  <c r="B1675" i="3"/>
  <c r="C1675" i="3"/>
  <c r="D1675" i="3"/>
  <c r="E1675" i="3"/>
  <c r="F1675" i="3"/>
  <c r="G1675" i="3"/>
  <c r="H1675" i="3"/>
  <c r="I1675" i="3" s="1"/>
  <c r="A1676" i="3"/>
  <c r="B1676" i="3"/>
  <c r="C1676" i="3"/>
  <c r="I1676" i="3" s="1"/>
  <c r="D1676" i="3"/>
  <c r="E1676" i="3"/>
  <c r="F1676" i="3"/>
  <c r="G1676" i="3"/>
  <c r="H1676" i="3"/>
  <c r="A1677" i="3"/>
  <c r="B1677" i="3"/>
  <c r="C1677" i="3"/>
  <c r="I1677" i="3" s="1"/>
  <c r="D1677" i="3"/>
  <c r="E1677" i="3"/>
  <c r="F1677" i="3"/>
  <c r="G1677" i="3"/>
  <c r="H1677" i="3"/>
  <c r="A1678" i="3"/>
  <c r="B1678" i="3"/>
  <c r="C1678" i="3"/>
  <c r="D1678" i="3"/>
  <c r="E1678" i="3"/>
  <c r="F1678" i="3"/>
  <c r="I1678" i="3" s="1"/>
  <c r="G1678" i="3"/>
  <c r="H1678" i="3"/>
  <c r="A1679" i="3"/>
  <c r="B1679" i="3"/>
  <c r="C1679" i="3"/>
  <c r="D1679" i="3"/>
  <c r="E1679" i="3"/>
  <c r="F1679" i="3"/>
  <c r="G1679" i="3"/>
  <c r="H1679" i="3"/>
  <c r="I1679" i="3" s="1"/>
  <c r="A1680" i="3"/>
  <c r="B1680" i="3"/>
  <c r="C1680" i="3"/>
  <c r="I1680" i="3" s="1"/>
  <c r="D1680" i="3"/>
  <c r="E1680" i="3"/>
  <c r="F1680" i="3"/>
  <c r="G1680" i="3"/>
  <c r="H1680" i="3"/>
  <c r="A1681" i="3"/>
  <c r="B1681" i="3"/>
  <c r="C1681" i="3"/>
  <c r="I1681" i="3" s="1"/>
  <c r="D1681" i="3"/>
  <c r="E1681" i="3"/>
  <c r="F1681" i="3"/>
  <c r="G1681" i="3"/>
  <c r="H1681" i="3"/>
  <c r="A1682" i="3"/>
  <c r="B1682" i="3"/>
  <c r="C1682" i="3"/>
  <c r="D1682" i="3"/>
  <c r="E1682" i="3"/>
  <c r="F1682" i="3"/>
  <c r="I1682" i="3" s="1"/>
  <c r="G1682" i="3"/>
  <c r="H1682" i="3"/>
  <c r="A1683" i="3"/>
  <c r="B1683" i="3"/>
  <c r="C1683" i="3"/>
  <c r="D1683" i="3"/>
  <c r="E1683" i="3"/>
  <c r="F1683" i="3"/>
  <c r="G1683" i="3"/>
  <c r="H1683" i="3"/>
  <c r="I1683" i="3" s="1"/>
  <c r="A1684" i="3"/>
  <c r="B1684" i="3"/>
  <c r="C1684" i="3"/>
  <c r="I1684" i="3" s="1"/>
  <c r="D1684" i="3"/>
  <c r="E1684" i="3"/>
  <c r="F1684" i="3"/>
  <c r="G1684" i="3"/>
  <c r="H1684" i="3"/>
  <c r="A1685" i="3"/>
  <c r="B1685" i="3"/>
  <c r="C1685" i="3"/>
  <c r="I1685" i="3" s="1"/>
  <c r="D1685" i="3"/>
  <c r="E1685" i="3"/>
  <c r="F1685" i="3"/>
  <c r="G1685" i="3"/>
  <c r="H1685" i="3"/>
  <c r="A1686" i="3"/>
  <c r="B1686" i="3"/>
  <c r="C1686" i="3"/>
  <c r="D1686" i="3"/>
  <c r="E1686" i="3"/>
  <c r="F1686" i="3"/>
  <c r="I1686" i="3" s="1"/>
  <c r="G1686" i="3"/>
  <c r="H1686" i="3"/>
  <c r="A1687" i="3"/>
  <c r="B1687" i="3"/>
  <c r="C1687" i="3"/>
  <c r="D1687" i="3"/>
  <c r="E1687" i="3"/>
  <c r="F1687" i="3"/>
  <c r="G1687" i="3"/>
  <c r="H1687" i="3"/>
  <c r="I1687" i="3" s="1"/>
  <c r="A1688" i="3"/>
  <c r="B1688" i="3"/>
  <c r="C1688" i="3"/>
  <c r="I1688" i="3" s="1"/>
  <c r="D1688" i="3"/>
  <c r="E1688" i="3"/>
  <c r="F1688" i="3"/>
  <c r="G1688" i="3"/>
  <c r="H1688" i="3"/>
  <c r="A1689" i="3"/>
  <c r="B1689" i="3"/>
  <c r="C1689" i="3"/>
  <c r="I1689" i="3" s="1"/>
  <c r="D1689" i="3"/>
  <c r="E1689" i="3"/>
  <c r="F1689" i="3"/>
  <c r="G1689" i="3"/>
  <c r="H1689" i="3"/>
  <c r="A1690" i="3"/>
  <c r="B1690" i="3"/>
  <c r="C1690" i="3"/>
  <c r="D1690" i="3"/>
  <c r="E1690" i="3"/>
  <c r="F1690" i="3"/>
  <c r="I1690" i="3" s="1"/>
  <c r="G1690" i="3"/>
  <c r="H1690" i="3"/>
  <c r="A1691" i="3"/>
  <c r="B1691" i="3"/>
  <c r="C1691" i="3"/>
  <c r="D1691" i="3"/>
  <c r="E1691" i="3"/>
  <c r="F1691" i="3"/>
  <c r="G1691" i="3"/>
  <c r="H1691" i="3"/>
  <c r="I1691" i="3" s="1"/>
  <c r="A1692" i="3"/>
  <c r="B1692" i="3"/>
  <c r="C1692" i="3"/>
  <c r="I1692" i="3" s="1"/>
  <c r="D1692" i="3"/>
  <c r="E1692" i="3"/>
  <c r="F1692" i="3"/>
  <c r="G1692" i="3"/>
  <c r="H1692" i="3"/>
  <c r="A1693" i="3"/>
  <c r="B1693" i="3"/>
  <c r="C1693" i="3"/>
  <c r="I1693" i="3" s="1"/>
  <c r="D1693" i="3"/>
  <c r="E1693" i="3"/>
  <c r="F1693" i="3"/>
  <c r="G1693" i="3"/>
  <c r="H1693" i="3"/>
  <c r="A1694" i="3"/>
  <c r="B1694" i="3"/>
  <c r="C1694" i="3"/>
  <c r="D1694" i="3"/>
  <c r="E1694" i="3"/>
  <c r="F1694" i="3"/>
  <c r="I1694" i="3" s="1"/>
  <c r="G1694" i="3"/>
  <c r="H1694" i="3"/>
  <c r="A1695" i="3"/>
  <c r="B1695" i="3"/>
  <c r="C1695" i="3"/>
  <c r="D1695" i="3"/>
  <c r="E1695" i="3"/>
  <c r="F1695" i="3"/>
  <c r="G1695" i="3"/>
  <c r="H1695" i="3"/>
  <c r="I1695" i="3" s="1"/>
  <c r="A1696" i="3"/>
  <c r="B1696" i="3"/>
  <c r="C1696" i="3"/>
  <c r="I1696" i="3" s="1"/>
  <c r="D1696" i="3"/>
  <c r="E1696" i="3"/>
  <c r="F1696" i="3"/>
  <c r="G1696" i="3"/>
  <c r="H1696" i="3"/>
  <c r="A1697" i="3"/>
  <c r="B1697" i="3"/>
  <c r="C1697" i="3"/>
  <c r="I1697" i="3" s="1"/>
  <c r="D1697" i="3"/>
  <c r="E1697" i="3"/>
  <c r="F1697" i="3"/>
  <c r="G1697" i="3"/>
  <c r="H1697" i="3"/>
  <c r="A1698" i="3"/>
  <c r="B1698" i="3"/>
  <c r="C1698" i="3"/>
  <c r="D1698" i="3"/>
  <c r="E1698" i="3"/>
  <c r="F1698" i="3"/>
  <c r="I1698" i="3" s="1"/>
  <c r="G1698" i="3"/>
  <c r="H1698" i="3"/>
  <c r="A1699" i="3"/>
  <c r="B1699" i="3"/>
  <c r="C1699" i="3"/>
  <c r="D1699" i="3"/>
  <c r="E1699" i="3"/>
  <c r="F1699" i="3"/>
  <c r="G1699" i="3"/>
  <c r="H1699" i="3"/>
  <c r="I1699" i="3" s="1"/>
  <c r="A1700" i="3"/>
  <c r="B1700" i="3"/>
  <c r="C1700" i="3"/>
  <c r="I1700" i="3" s="1"/>
  <c r="D1700" i="3"/>
  <c r="E1700" i="3"/>
  <c r="F1700" i="3"/>
  <c r="G1700" i="3"/>
  <c r="H1700" i="3"/>
  <c r="A1701" i="3"/>
  <c r="B1701" i="3"/>
  <c r="C1701" i="3"/>
  <c r="I1701" i="3" s="1"/>
  <c r="D1701" i="3"/>
  <c r="E1701" i="3"/>
  <c r="F1701" i="3"/>
  <c r="G1701" i="3"/>
  <c r="H1701" i="3"/>
  <c r="A1702" i="3"/>
  <c r="B1702" i="3"/>
  <c r="C1702" i="3"/>
  <c r="D1702" i="3"/>
  <c r="E1702" i="3"/>
  <c r="F1702" i="3"/>
  <c r="I1702" i="3" s="1"/>
  <c r="G1702" i="3"/>
  <c r="H1702" i="3"/>
  <c r="A1703" i="3"/>
  <c r="B1703" i="3"/>
  <c r="C1703" i="3"/>
  <c r="D1703" i="3"/>
  <c r="E1703" i="3"/>
  <c r="F1703" i="3"/>
  <c r="G1703" i="3"/>
  <c r="H1703" i="3"/>
  <c r="I1703" i="3" s="1"/>
  <c r="A1704" i="3"/>
  <c r="B1704" i="3"/>
  <c r="C1704" i="3"/>
  <c r="I1704" i="3" s="1"/>
  <c r="D1704" i="3"/>
  <c r="E1704" i="3"/>
  <c r="F1704" i="3"/>
  <c r="G1704" i="3"/>
  <c r="H1704" i="3"/>
  <c r="A1705" i="3"/>
  <c r="B1705" i="3"/>
  <c r="C1705" i="3"/>
  <c r="I1705" i="3" s="1"/>
  <c r="D1705" i="3"/>
  <c r="E1705" i="3"/>
  <c r="F1705" i="3"/>
  <c r="G1705" i="3"/>
  <c r="H1705" i="3"/>
  <c r="A1706" i="3"/>
  <c r="B1706" i="3"/>
  <c r="C1706" i="3"/>
  <c r="D1706" i="3"/>
  <c r="E1706" i="3"/>
  <c r="F1706" i="3"/>
  <c r="I1706" i="3" s="1"/>
  <c r="G1706" i="3"/>
  <c r="H1706" i="3"/>
  <c r="A1707" i="3"/>
  <c r="B1707" i="3"/>
  <c r="C1707" i="3"/>
  <c r="D1707" i="3"/>
  <c r="E1707" i="3"/>
  <c r="F1707" i="3"/>
  <c r="G1707" i="3"/>
  <c r="H1707" i="3"/>
  <c r="I1707" i="3" s="1"/>
  <c r="A1708" i="3"/>
  <c r="B1708" i="3"/>
  <c r="C1708" i="3"/>
  <c r="I1708" i="3" s="1"/>
  <c r="D1708" i="3"/>
  <c r="E1708" i="3"/>
  <c r="F1708" i="3"/>
  <c r="G1708" i="3"/>
  <c r="H1708" i="3"/>
  <c r="A1709" i="3"/>
  <c r="B1709" i="3"/>
  <c r="C1709" i="3"/>
  <c r="I1709" i="3" s="1"/>
  <c r="D1709" i="3"/>
  <c r="E1709" i="3"/>
  <c r="F1709" i="3"/>
  <c r="G1709" i="3"/>
  <c r="H1709" i="3"/>
  <c r="A1710" i="3"/>
  <c r="B1710" i="3"/>
  <c r="C1710" i="3"/>
  <c r="D1710" i="3"/>
  <c r="E1710" i="3"/>
  <c r="F1710" i="3"/>
  <c r="I1710" i="3" s="1"/>
  <c r="G1710" i="3"/>
  <c r="H1710" i="3"/>
  <c r="A1711" i="3"/>
  <c r="B1711" i="3"/>
  <c r="C1711" i="3"/>
  <c r="D1711" i="3"/>
  <c r="E1711" i="3"/>
  <c r="F1711" i="3"/>
  <c r="G1711" i="3"/>
  <c r="H1711" i="3"/>
  <c r="I1711" i="3" s="1"/>
  <c r="A1712" i="3"/>
  <c r="B1712" i="3"/>
  <c r="C1712" i="3"/>
  <c r="I1712" i="3" s="1"/>
  <c r="D1712" i="3"/>
  <c r="E1712" i="3"/>
  <c r="F1712" i="3"/>
  <c r="G1712" i="3"/>
  <c r="H1712" i="3"/>
  <c r="A1713" i="3"/>
  <c r="B1713" i="3"/>
  <c r="C1713" i="3"/>
  <c r="I1713" i="3" s="1"/>
  <c r="D1713" i="3"/>
  <c r="E1713" i="3"/>
  <c r="F1713" i="3"/>
  <c r="G1713" i="3"/>
  <c r="H1713" i="3"/>
  <c r="A1714" i="3"/>
  <c r="B1714" i="3"/>
  <c r="C1714" i="3"/>
  <c r="D1714" i="3"/>
  <c r="E1714" i="3"/>
  <c r="F1714" i="3"/>
  <c r="I1714" i="3" s="1"/>
  <c r="G1714" i="3"/>
  <c r="H1714" i="3"/>
  <c r="A1715" i="3"/>
  <c r="B1715" i="3"/>
  <c r="C1715" i="3"/>
  <c r="D1715" i="3"/>
  <c r="E1715" i="3"/>
  <c r="F1715" i="3"/>
  <c r="G1715" i="3"/>
  <c r="H1715" i="3"/>
  <c r="I1715" i="3" s="1"/>
  <c r="A1716" i="3"/>
  <c r="B1716" i="3"/>
  <c r="C1716" i="3"/>
  <c r="I1716" i="3" s="1"/>
  <c r="D1716" i="3"/>
  <c r="E1716" i="3"/>
  <c r="F1716" i="3"/>
  <c r="G1716" i="3"/>
  <c r="H1716" i="3"/>
  <c r="A1717" i="3"/>
  <c r="B1717" i="3"/>
  <c r="C1717" i="3"/>
  <c r="I1717" i="3" s="1"/>
  <c r="D1717" i="3"/>
  <c r="E1717" i="3"/>
  <c r="F1717" i="3"/>
  <c r="G1717" i="3"/>
  <c r="H1717" i="3"/>
  <c r="A1718" i="3"/>
  <c r="B1718" i="3"/>
  <c r="C1718" i="3"/>
  <c r="D1718" i="3"/>
  <c r="E1718" i="3"/>
  <c r="F1718" i="3"/>
  <c r="I1718" i="3" s="1"/>
  <c r="G1718" i="3"/>
  <c r="H1718" i="3"/>
  <c r="A1719" i="3"/>
  <c r="B1719" i="3"/>
  <c r="C1719" i="3"/>
  <c r="D1719" i="3"/>
  <c r="E1719" i="3"/>
  <c r="F1719" i="3"/>
  <c r="G1719" i="3"/>
  <c r="H1719" i="3"/>
  <c r="I1719" i="3" s="1"/>
  <c r="A1720" i="3"/>
  <c r="B1720" i="3"/>
  <c r="C1720" i="3"/>
  <c r="I1720" i="3" s="1"/>
  <c r="D1720" i="3"/>
  <c r="E1720" i="3"/>
  <c r="F1720" i="3"/>
  <c r="G1720" i="3"/>
  <c r="H1720" i="3"/>
  <c r="A1721" i="3"/>
  <c r="B1721" i="3"/>
  <c r="C1721" i="3"/>
  <c r="I1721" i="3" s="1"/>
  <c r="D1721" i="3"/>
  <c r="E1721" i="3"/>
  <c r="F1721" i="3"/>
  <c r="G1721" i="3"/>
  <c r="H1721" i="3"/>
  <c r="A1722" i="3"/>
  <c r="B1722" i="3"/>
  <c r="C1722" i="3"/>
  <c r="D1722" i="3"/>
  <c r="E1722" i="3"/>
  <c r="F1722" i="3"/>
  <c r="I1722" i="3" s="1"/>
  <c r="G1722" i="3"/>
  <c r="H1722" i="3"/>
  <c r="A1723" i="3"/>
  <c r="B1723" i="3"/>
  <c r="C1723" i="3"/>
  <c r="D1723" i="3"/>
  <c r="E1723" i="3"/>
  <c r="F1723" i="3"/>
  <c r="G1723" i="3"/>
  <c r="H1723" i="3"/>
  <c r="I1723" i="3" s="1"/>
  <c r="A1724" i="3"/>
  <c r="B1724" i="3"/>
  <c r="C1724" i="3"/>
  <c r="I1724" i="3" s="1"/>
  <c r="D1724" i="3"/>
  <c r="E1724" i="3"/>
  <c r="F1724" i="3"/>
  <c r="G1724" i="3"/>
  <c r="H1724" i="3"/>
  <c r="A1725" i="3"/>
  <c r="B1725" i="3"/>
  <c r="C1725" i="3"/>
  <c r="I1725" i="3" s="1"/>
  <c r="D1725" i="3"/>
  <c r="E1725" i="3"/>
  <c r="F1725" i="3"/>
  <c r="G1725" i="3"/>
  <c r="H1725" i="3"/>
  <c r="A1726" i="3"/>
  <c r="B1726" i="3"/>
  <c r="C1726" i="3"/>
  <c r="D1726" i="3"/>
  <c r="E1726" i="3"/>
  <c r="F1726" i="3"/>
  <c r="I1726" i="3" s="1"/>
  <c r="G1726" i="3"/>
  <c r="H1726" i="3"/>
  <c r="A1727" i="3"/>
  <c r="B1727" i="3"/>
  <c r="C1727" i="3"/>
  <c r="D1727" i="3"/>
  <c r="E1727" i="3"/>
  <c r="F1727" i="3"/>
  <c r="G1727" i="3"/>
  <c r="H1727" i="3"/>
  <c r="I1727" i="3" s="1"/>
  <c r="A1728" i="3"/>
  <c r="B1728" i="3"/>
  <c r="C1728" i="3"/>
  <c r="I1728" i="3" s="1"/>
  <c r="D1728" i="3"/>
  <c r="E1728" i="3"/>
  <c r="F1728" i="3"/>
  <c r="G1728" i="3"/>
  <c r="H1728" i="3"/>
  <c r="A1729" i="3"/>
  <c r="B1729" i="3"/>
  <c r="C1729" i="3"/>
  <c r="I1729" i="3" s="1"/>
  <c r="D1729" i="3"/>
  <c r="E1729" i="3"/>
  <c r="F1729" i="3"/>
  <c r="G1729" i="3"/>
  <c r="H1729" i="3"/>
  <c r="A1730" i="3"/>
  <c r="B1730" i="3"/>
  <c r="C1730" i="3"/>
  <c r="D1730" i="3"/>
  <c r="E1730" i="3"/>
  <c r="F1730" i="3"/>
  <c r="I1730" i="3" s="1"/>
  <c r="G1730" i="3"/>
  <c r="H1730" i="3"/>
  <c r="A1731" i="3"/>
  <c r="B1731" i="3"/>
  <c r="C1731" i="3"/>
  <c r="D1731" i="3"/>
  <c r="E1731" i="3"/>
  <c r="F1731" i="3"/>
  <c r="G1731" i="3"/>
  <c r="H1731" i="3"/>
  <c r="I1731" i="3" s="1"/>
  <c r="A1732" i="3"/>
  <c r="B1732" i="3"/>
  <c r="C1732" i="3"/>
  <c r="I1732" i="3" s="1"/>
  <c r="D1732" i="3"/>
  <c r="E1732" i="3"/>
  <c r="F1732" i="3"/>
  <c r="G1732" i="3"/>
  <c r="H1732" i="3"/>
  <c r="A1733" i="3"/>
  <c r="B1733" i="3"/>
  <c r="C1733" i="3"/>
  <c r="I1733" i="3" s="1"/>
  <c r="D1733" i="3"/>
  <c r="E1733" i="3"/>
  <c r="F1733" i="3"/>
  <c r="G1733" i="3"/>
  <c r="H1733" i="3"/>
  <c r="A1734" i="3"/>
  <c r="B1734" i="3"/>
  <c r="C1734" i="3"/>
  <c r="D1734" i="3"/>
  <c r="E1734" i="3"/>
  <c r="F1734" i="3"/>
  <c r="I1734" i="3" s="1"/>
  <c r="G1734" i="3"/>
  <c r="H1734" i="3"/>
  <c r="A1735" i="3"/>
  <c r="B1735" i="3"/>
  <c r="C1735" i="3"/>
  <c r="D1735" i="3"/>
  <c r="E1735" i="3"/>
  <c r="F1735" i="3"/>
  <c r="G1735" i="3"/>
  <c r="H1735" i="3"/>
  <c r="I1735" i="3" s="1"/>
  <c r="A1736" i="3"/>
  <c r="B1736" i="3"/>
  <c r="C1736" i="3"/>
  <c r="I1736" i="3" s="1"/>
  <c r="D1736" i="3"/>
  <c r="E1736" i="3"/>
  <c r="F1736" i="3"/>
  <c r="G1736" i="3"/>
  <c r="H1736" i="3"/>
  <c r="A1737" i="3"/>
  <c r="B1737" i="3"/>
  <c r="C1737" i="3"/>
  <c r="I1737" i="3" s="1"/>
  <c r="D1737" i="3"/>
  <c r="E1737" i="3"/>
  <c r="F1737" i="3"/>
  <c r="G1737" i="3"/>
  <c r="H1737" i="3"/>
  <c r="A1738" i="3"/>
  <c r="B1738" i="3"/>
  <c r="C1738" i="3"/>
  <c r="D1738" i="3"/>
  <c r="E1738" i="3"/>
  <c r="F1738" i="3"/>
  <c r="I1738" i="3" s="1"/>
  <c r="G1738" i="3"/>
  <c r="H1738" i="3"/>
  <c r="A1739" i="3"/>
  <c r="B1739" i="3"/>
  <c r="C1739" i="3"/>
  <c r="D1739" i="3"/>
  <c r="E1739" i="3"/>
  <c r="F1739" i="3"/>
  <c r="G1739" i="3"/>
  <c r="H1739" i="3"/>
  <c r="I1739" i="3" s="1"/>
  <c r="A1740" i="3"/>
  <c r="B1740" i="3"/>
  <c r="C1740" i="3"/>
  <c r="I1740" i="3" s="1"/>
  <c r="D1740" i="3"/>
  <c r="E1740" i="3"/>
  <c r="F1740" i="3"/>
  <c r="G1740" i="3"/>
  <c r="H1740" i="3"/>
  <c r="A1741" i="3"/>
  <c r="B1741" i="3"/>
  <c r="C1741" i="3"/>
  <c r="I1741" i="3" s="1"/>
  <c r="D1741" i="3"/>
  <c r="E1741" i="3"/>
  <c r="F1741" i="3"/>
  <c r="G1741" i="3"/>
  <c r="H1741" i="3"/>
  <c r="A1742" i="3"/>
  <c r="B1742" i="3"/>
  <c r="C1742" i="3"/>
  <c r="D1742" i="3"/>
  <c r="E1742" i="3"/>
  <c r="F1742" i="3"/>
  <c r="I1742" i="3" s="1"/>
  <c r="G1742" i="3"/>
  <c r="H1742" i="3"/>
  <c r="A1743" i="3"/>
  <c r="B1743" i="3"/>
  <c r="C1743" i="3"/>
  <c r="D1743" i="3"/>
  <c r="E1743" i="3"/>
  <c r="F1743" i="3"/>
  <c r="G1743" i="3"/>
  <c r="H1743" i="3"/>
  <c r="I1743" i="3" s="1"/>
  <c r="A1744" i="3"/>
  <c r="B1744" i="3"/>
  <c r="C1744" i="3"/>
  <c r="I1744" i="3" s="1"/>
  <c r="D1744" i="3"/>
  <c r="E1744" i="3"/>
  <c r="F1744" i="3"/>
  <c r="G1744" i="3"/>
  <c r="H1744" i="3"/>
  <c r="A1745" i="3"/>
  <c r="B1745" i="3"/>
  <c r="C1745" i="3"/>
  <c r="I1745" i="3" s="1"/>
  <c r="D1745" i="3"/>
  <c r="E1745" i="3"/>
  <c r="F1745" i="3"/>
  <c r="G1745" i="3"/>
  <c r="H1745" i="3"/>
  <c r="A1746" i="3"/>
  <c r="B1746" i="3"/>
  <c r="C1746" i="3"/>
  <c r="D1746" i="3"/>
  <c r="E1746" i="3"/>
  <c r="F1746" i="3"/>
  <c r="I1746" i="3" s="1"/>
  <c r="G1746" i="3"/>
  <c r="H1746" i="3"/>
  <c r="A1747" i="3"/>
  <c r="B1747" i="3"/>
  <c r="C1747" i="3"/>
  <c r="D1747" i="3"/>
  <c r="E1747" i="3"/>
  <c r="F1747" i="3"/>
  <c r="G1747" i="3"/>
  <c r="H1747" i="3"/>
  <c r="I1747" i="3" s="1"/>
  <c r="A1748" i="3"/>
  <c r="B1748" i="3"/>
  <c r="C1748" i="3"/>
  <c r="I1748" i="3" s="1"/>
  <c r="D1748" i="3"/>
  <c r="E1748" i="3"/>
  <c r="F1748" i="3"/>
  <c r="G1748" i="3"/>
  <c r="H1748" i="3"/>
  <c r="A1749" i="3"/>
  <c r="B1749" i="3"/>
  <c r="C1749" i="3"/>
  <c r="I1749" i="3" s="1"/>
  <c r="D1749" i="3"/>
  <c r="E1749" i="3"/>
  <c r="F1749" i="3"/>
  <c r="G1749" i="3"/>
  <c r="H1749" i="3"/>
  <c r="A1750" i="3"/>
  <c r="B1750" i="3"/>
  <c r="C1750" i="3"/>
  <c r="D1750" i="3"/>
  <c r="E1750" i="3"/>
  <c r="F1750" i="3"/>
  <c r="I1750" i="3" s="1"/>
  <c r="G1750" i="3"/>
  <c r="H1750" i="3"/>
  <c r="A1751" i="3"/>
  <c r="B1751" i="3"/>
  <c r="C1751" i="3"/>
  <c r="D1751" i="3"/>
  <c r="E1751" i="3"/>
  <c r="F1751" i="3"/>
  <c r="G1751" i="3"/>
  <c r="H1751" i="3"/>
  <c r="I1751" i="3" s="1"/>
  <c r="A1752" i="3"/>
  <c r="B1752" i="3"/>
  <c r="C1752" i="3"/>
  <c r="I1752" i="3" s="1"/>
  <c r="D1752" i="3"/>
  <c r="E1752" i="3"/>
  <c r="F1752" i="3"/>
  <c r="G1752" i="3"/>
  <c r="H1752" i="3"/>
  <c r="A1753" i="3"/>
  <c r="B1753" i="3"/>
  <c r="C1753" i="3"/>
  <c r="I1753" i="3" s="1"/>
  <c r="D1753" i="3"/>
  <c r="E1753" i="3"/>
  <c r="F1753" i="3"/>
  <c r="G1753" i="3"/>
  <c r="H1753" i="3"/>
  <c r="A1754" i="3"/>
  <c r="B1754" i="3"/>
  <c r="C1754" i="3"/>
  <c r="D1754" i="3"/>
  <c r="E1754" i="3"/>
  <c r="F1754" i="3"/>
  <c r="I1754" i="3" s="1"/>
  <c r="G1754" i="3"/>
  <c r="H1754" i="3"/>
  <c r="A1755" i="3"/>
  <c r="B1755" i="3"/>
  <c r="C1755" i="3"/>
  <c r="D1755" i="3"/>
  <c r="E1755" i="3"/>
  <c r="F1755" i="3"/>
  <c r="G1755" i="3"/>
  <c r="H1755" i="3"/>
  <c r="I1755" i="3" s="1"/>
  <c r="A1756" i="3"/>
  <c r="B1756" i="3"/>
  <c r="C1756" i="3"/>
  <c r="I1756" i="3" s="1"/>
  <c r="D1756" i="3"/>
  <c r="E1756" i="3"/>
  <c r="F1756" i="3"/>
  <c r="G1756" i="3"/>
  <c r="H1756" i="3"/>
  <c r="A1757" i="3"/>
  <c r="B1757" i="3"/>
  <c r="C1757" i="3"/>
  <c r="I1757" i="3" s="1"/>
  <c r="D1757" i="3"/>
  <c r="E1757" i="3"/>
  <c r="F1757" i="3"/>
  <c r="G1757" i="3"/>
  <c r="H1757" i="3"/>
  <c r="A1758" i="3"/>
  <c r="B1758" i="3"/>
  <c r="C1758" i="3"/>
  <c r="D1758" i="3"/>
  <c r="E1758" i="3"/>
  <c r="F1758" i="3"/>
  <c r="I1758" i="3" s="1"/>
  <c r="G1758" i="3"/>
  <c r="H1758" i="3"/>
  <c r="A1759" i="3"/>
  <c r="B1759" i="3"/>
  <c r="C1759" i="3"/>
  <c r="D1759" i="3"/>
  <c r="E1759" i="3"/>
  <c r="F1759" i="3"/>
  <c r="G1759" i="3"/>
  <c r="H1759" i="3"/>
  <c r="I1759" i="3" s="1"/>
  <c r="A1760" i="3"/>
  <c r="B1760" i="3"/>
  <c r="C1760" i="3"/>
  <c r="I1760" i="3" s="1"/>
  <c r="D1760" i="3"/>
  <c r="E1760" i="3"/>
  <c r="F1760" i="3"/>
  <c r="G1760" i="3"/>
  <c r="H1760" i="3"/>
  <c r="A1761" i="3"/>
  <c r="B1761" i="3"/>
  <c r="C1761" i="3"/>
  <c r="I1761" i="3" s="1"/>
  <c r="D1761" i="3"/>
  <c r="E1761" i="3"/>
  <c r="F1761" i="3"/>
  <c r="G1761" i="3"/>
  <c r="H1761" i="3"/>
  <c r="A1762" i="3"/>
  <c r="B1762" i="3"/>
  <c r="C1762" i="3"/>
  <c r="D1762" i="3"/>
  <c r="E1762" i="3"/>
  <c r="F1762" i="3"/>
  <c r="I1762" i="3" s="1"/>
  <c r="G1762" i="3"/>
  <c r="H1762" i="3"/>
  <c r="A1763" i="3"/>
  <c r="B1763" i="3"/>
  <c r="C1763" i="3"/>
  <c r="D1763" i="3"/>
  <c r="E1763" i="3"/>
  <c r="F1763" i="3"/>
  <c r="G1763" i="3"/>
  <c r="H1763" i="3"/>
  <c r="I1763" i="3" s="1"/>
  <c r="A1764" i="3"/>
  <c r="B1764" i="3"/>
  <c r="C1764" i="3"/>
  <c r="I1764" i="3" s="1"/>
  <c r="D1764" i="3"/>
  <c r="E1764" i="3"/>
  <c r="F1764" i="3"/>
  <c r="G1764" i="3"/>
  <c r="H1764" i="3"/>
  <c r="A1765" i="3"/>
  <c r="B1765" i="3"/>
  <c r="C1765" i="3"/>
  <c r="I1765" i="3" s="1"/>
  <c r="D1765" i="3"/>
  <c r="E1765" i="3"/>
  <c r="F1765" i="3"/>
  <c r="G1765" i="3"/>
  <c r="H1765" i="3"/>
  <c r="A1766" i="3"/>
  <c r="B1766" i="3"/>
  <c r="C1766" i="3"/>
  <c r="D1766" i="3"/>
  <c r="E1766" i="3"/>
  <c r="F1766" i="3"/>
  <c r="I1766" i="3" s="1"/>
  <c r="G1766" i="3"/>
  <c r="H1766" i="3"/>
  <c r="A1767" i="3"/>
  <c r="B1767" i="3"/>
  <c r="C1767" i="3"/>
  <c r="D1767" i="3"/>
  <c r="E1767" i="3"/>
  <c r="F1767" i="3"/>
  <c r="G1767" i="3"/>
  <c r="H1767" i="3"/>
  <c r="I1767" i="3" s="1"/>
  <c r="A1768" i="3"/>
  <c r="B1768" i="3"/>
  <c r="C1768" i="3"/>
  <c r="I1768" i="3" s="1"/>
  <c r="D1768" i="3"/>
  <c r="E1768" i="3"/>
  <c r="F1768" i="3"/>
  <c r="G1768" i="3"/>
  <c r="H1768" i="3"/>
  <c r="A1769" i="3"/>
  <c r="B1769" i="3"/>
  <c r="C1769" i="3"/>
  <c r="I1769" i="3" s="1"/>
  <c r="D1769" i="3"/>
  <c r="E1769" i="3"/>
  <c r="F1769" i="3"/>
  <c r="G1769" i="3"/>
  <c r="H1769" i="3"/>
  <c r="A1770" i="3"/>
  <c r="B1770" i="3"/>
  <c r="C1770" i="3"/>
  <c r="D1770" i="3"/>
  <c r="E1770" i="3"/>
  <c r="F1770" i="3"/>
  <c r="G1770" i="3"/>
  <c r="H1770" i="3"/>
  <c r="I1770" i="3" s="1"/>
  <c r="A1771" i="3"/>
  <c r="B1771" i="3"/>
  <c r="C1771" i="3"/>
  <c r="D1771" i="3"/>
  <c r="E1771" i="3"/>
  <c r="F1771" i="3"/>
  <c r="G1771" i="3"/>
  <c r="H1771" i="3"/>
  <c r="I1771" i="3" s="1"/>
  <c r="A1772" i="3"/>
  <c r="B1772" i="3"/>
  <c r="C1772" i="3"/>
  <c r="I1772" i="3" s="1"/>
  <c r="D1772" i="3"/>
  <c r="E1772" i="3"/>
  <c r="F1772" i="3"/>
  <c r="G1772" i="3"/>
  <c r="H1772" i="3"/>
  <c r="A1773" i="3"/>
  <c r="B1773" i="3"/>
  <c r="C1773" i="3"/>
  <c r="I1773" i="3" s="1"/>
  <c r="D1773" i="3"/>
  <c r="E1773" i="3"/>
  <c r="F1773" i="3"/>
  <c r="G1773" i="3"/>
  <c r="H1773" i="3"/>
  <c r="A1774" i="3"/>
  <c r="B1774" i="3"/>
  <c r="C1774" i="3"/>
  <c r="D1774" i="3"/>
  <c r="E1774" i="3"/>
  <c r="F1774" i="3"/>
  <c r="G1774" i="3"/>
  <c r="H1774" i="3"/>
  <c r="I1774" i="3" s="1"/>
  <c r="A1775" i="3"/>
  <c r="B1775" i="3"/>
  <c r="C1775" i="3"/>
  <c r="D1775" i="3"/>
  <c r="E1775" i="3"/>
  <c r="F1775" i="3"/>
  <c r="G1775" i="3"/>
  <c r="H1775" i="3"/>
  <c r="I1775" i="3" s="1"/>
  <c r="A1776" i="3"/>
  <c r="B1776" i="3"/>
  <c r="C1776" i="3"/>
  <c r="I1776" i="3" s="1"/>
  <c r="D1776" i="3"/>
  <c r="E1776" i="3"/>
  <c r="F1776" i="3"/>
  <c r="G1776" i="3"/>
  <c r="H1776" i="3"/>
  <c r="A1777" i="3"/>
  <c r="B1777" i="3"/>
  <c r="C1777" i="3"/>
  <c r="I1777" i="3" s="1"/>
  <c r="D1777" i="3"/>
  <c r="E1777" i="3"/>
  <c r="F1777" i="3"/>
  <c r="G1777" i="3"/>
  <c r="H1777" i="3"/>
  <c r="A1778" i="3"/>
  <c r="B1778" i="3"/>
  <c r="C1778" i="3"/>
  <c r="D1778" i="3"/>
  <c r="E1778" i="3"/>
  <c r="F1778" i="3"/>
  <c r="G1778" i="3"/>
  <c r="H1778" i="3"/>
  <c r="I1778" i="3" s="1"/>
  <c r="A1779" i="3"/>
  <c r="B1779" i="3"/>
  <c r="C1779" i="3"/>
  <c r="D1779" i="3"/>
  <c r="E1779" i="3"/>
  <c r="F1779" i="3"/>
  <c r="G1779" i="3"/>
  <c r="H1779" i="3"/>
  <c r="I1779" i="3" s="1"/>
  <c r="A1780" i="3"/>
  <c r="B1780" i="3"/>
  <c r="C1780" i="3"/>
  <c r="D1780" i="3"/>
  <c r="E1780" i="3"/>
  <c r="F1780" i="3"/>
  <c r="H1780" i="3" s="1"/>
  <c r="G1780" i="3"/>
  <c r="A1781" i="3"/>
  <c r="B1781" i="3"/>
  <c r="C1781" i="3"/>
  <c r="I1781" i="3" s="1"/>
  <c r="D1781" i="3"/>
  <c r="E1781" i="3"/>
  <c r="F1781" i="3"/>
  <c r="G1781" i="3"/>
  <c r="H1781" i="3"/>
  <c r="A1782" i="3"/>
  <c r="B1782" i="3"/>
  <c r="C1782" i="3"/>
  <c r="D1782" i="3"/>
  <c r="E1782" i="3"/>
  <c r="F1782" i="3"/>
  <c r="G1782" i="3"/>
  <c r="H1782" i="3"/>
  <c r="I1782" i="3" s="1"/>
  <c r="A1783" i="3"/>
  <c r="B1783" i="3"/>
  <c r="C1783" i="3"/>
  <c r="D1783" i="3"/>
  <c r="E1783" i="3"/>
  <c r="F1783" i="3"/>
  <c r="G1783" i="3"/>
  <c r="H1783" i="3"/>
  <c r="I1783" i="3" s="1"/>
  <c r="A1784" i="3"/>
  <c r="B1784" i="3"/>
  <c r="C1784" i="3"/>
  <c r="I1784" i="3" s="1"/>
  <c r="D1784" i="3"/>
  <c r="E1784" i="3"/>
  <c r="F1784" i="3"/>
  <c r="H1784" i="3" s="1"/>
  <c r="G1784" i="3"/>
  <c r="A1785" i="3"/>
  <c r="B1785" i="3"/>
  <c r="C1785" i="3"/>
  <c r="I1785" i="3" s="1"/>
  <c r="D1785" i="3"/>
  <c r="E1785" i="3"/>
  <c r="F1785" i="3"/>
  <c r="H1785" i="3" s="1"/>
  <c r="G1785" i="3"/>
  <c r="A1786" i="3"/>
  <c r="B1786" i="3"/>
  <c r="C1786" i="3"/>
  <c r="D1786" i="3"/>
  <c r="E1786" i="3"/>
  <c r="F1786" i="3"/>
  <c r="G1786" i="3"/>
  <c r="H1786" i="3"/>
  <c r="I1786" i="3" s="1"/>
  <c r="A1787" i="3"/>
  <c r="B1787" i="3"/>
  <c r="C1787" i="3"/>
  <c r="D1787" i="3"/>
  <c r="E1787" i="3"/>
  <c r="F1787" i="3"/>
  <c r="G1787" i="3"/>
  <c r="H1787" i="3"/>
  <c r="I1787" i="3" s="1"/>
  <c r="A1788" i="3"/>
  <c r="B1788" i="3"/>
  <c r="C1788" i="3"/>
  <c r="D1788" i="3"/>
  <c r="E1788" i="3"/>
  <c r="F1788" i="3"/>
  <c r="H1788" i="3" s="1"/>
  <c r="G1788" i="3"/>
  <c r="A1789" i="3"/>
  <c r="B1789" i="3"/>
  <c r="C1789" i="3"/>
  <c r="I1789" i="3" s="1"/>
  <c r="D1789" i="3"/>
  <c r="E1789" i="3"/>
  <c r="F1789" i="3"/>
  <c r="H1789" i="3" s="1"/>
  <c r="G1789" i="3"/>
  <c r="A1790" i="3"/>
  <c r="B1790" i="3"/>
  <c r="C1790" i="3"/>
  <c r="D1790" i="3"/>
  <c r="E1790" i="3"/>
  <c r="F1790" i="3"/>
  <c r="G1790" i="3"/>
  <c r="H1790" i="3"/>
  <c r="I1790" i="3" s="1"/>
  <c r="A1791" i="3"/>
  <c r="B1791" i="3"/>
  <c r="C1791" i="3"/>
  <c r="D1791" i="3"/>
  <c r="E1791" i="3"/>
  <c r="F1791" i="3"/>
  <c r="G1791" i="3"/>
  <c r="H1791" i="3"/>
  <c r="I1791" i="3" s="1"/>
  <c r="A1792" i="3"/>
  <c r="B1792" i="3"/>
  <c r="C1792" i="3"/>
  <c r="I1792" i="3" s="1"/>
  <c r="D1792" i="3"/>
  <c r="E1792" i="3"/>
  <c r="F1792" i="3"/>
  <c r="H1792" i="3" s="1"/>
  <c r="G1792" i="3"/>
  <c r="A1793" i="3"/>
  <c r="B1793" i="3"/>
  <c r="C1793" i="3"/>
  <c r="I1793" i="3" s="1"/>
  <c r="D1793" i="3"/>
  <c r="E1793" i="3"/>
  <c r="F1793" i="3"/>
  <c r="H1793" i="3" s="1"/>
  <c r="G1793" i="3"/>
  <c r="A1794" i="3"/>
  <c r="B1794" i="3"/>
  <c r="C1794" i="3"/>
  <c r="D1794" i="3"/>
  <c r="E1794" i="3"/>
  <c r="F1794" i="3"/>
  <c r="G1794" i="3"/>
  <c r="H1794" i="3"/>
  <c r="I1794" i="3" s="1"/>
  <c r="A1795" i="3"/>
  <c r="B1795" i="3"/>
  <c r="C1795" i="3"/>
  <c r="D1795" i="3"/>
  <c r="E1795" i="3"/>
  <c r="F1795" i="3"/>
  <c r="G1795" i="3"/>
  <c r="H1795" i="3"/>
  <c r="I1795" i="3" s="1"/>
  <c r="A1796" i="3"/>
  <c r="B1796" i="3"/>
  <c r="C1796" i="3"/>
  <c r="D1796" i="3"/>
  <c r="E1796" i="3"/>
  <c r="F1796" i="3"/>
  <c r="H1796" i="3" s="1"/>
  <c r="G1796" i="3"/>
  <c r="A1797" i="3"/>
  <c r="B1797" i="3"/>
  <c r="C1797" i="3"/>
  <c r="I1797" i="3" s="1"/>
  <c r="D1797" i="3"/>
  <c r="E1797" i="3"/>
  <c r="F1797" i="3"/>
  <c r="H1797" i="3" s="1"/>
  <c r="G1797" i="3"/>
  <c r="A1798" i="3"/>
  <c r="B1798" i="3"/>
  <c r="C1798" i="3"/>
  <c r="D1798" i="3"/>
  <c r="E1798" i="3"/>
  <c r="F1798" i="3"/>
  <c r="G1798" i="3"/>
  <c r="H1798" i="3"/>
  <c r="I1798" i="3" s="1"/>
  <c r="A1799" i="3"/>
  <c r="B1799" i="3"/>
  <c r="C1799" i="3"/>
  <c r="D1799" i="3"/>
  <c r="E1799" i="3"/>
  <c r="F1799" i="3"/>
  <c r="G1799" i="3"/>
  <c r="H1799" i="3"/>
  <c r="I1799" i="3" s="1"/>
  <c r="A1800" i="3"/>
  <c r="B1800" i="3"/>
  <c r="C1800" i="3"/>
  <c r="I1800" i="3" s="1"/>
  <c r="D1800" i="3"/>
  <c r="E1800" i="3"/>
  <c r="F1800" i="3"/>
  <c r="H1800" i="3" s="1"/>
  <c r="G1800" i="3"/>
  <c r="A1801" i="3"/>
  <c r="B1801" i="3"/>
  <c r="C1801" i="3"/>
  <c r="I1801" i="3" s="1"/>
  <c r="D1801" i="3"/>
  <c r="E1801" i="3"/>
  <c r="F1801" i="3"/>
  <c r="H1801" i="3" s="1"/>
  <c r="G1801" i="3"/>
  <c r="A1802" i="3"/>
  <c r="B1802" i="3"/>
  <c r="C1802" i="3"/>
  <c r="D1802" i="3"/>
  <c r="E1802" i="3"/>
  <c r="F1802" i="3"/>
  <c r="G1802" i="3"/>
  <c r="H1802" i="3"/>
  <c r="I1802" i="3" s="1"/>
  <c r="A1803" i="3"/>
  <c r="B1803" i="3"/>
  <c r="C1803" i="3"/>
  <c r="D1803" i="3"/>
  <c r="E1803" i="3"/>
  <c r="F1803" i="3"/>
  <c r="G1803" i="3"/>
  <c r="H1803" i="3"/>
  <c r="I1803" i="3" s="1"/>
  <c r="A1804" i="3"/>
  <c r="B1804" i="3"/>
  <c r="C1804" i="3"/>
  <c r="D1804" i="3"/>
  <c r="E1804" i="3"/>
  <c r="F1804" i="3"/>
  <c r="H1804" i="3" s="1"/>
  <c r="G1804" i="3"/>
  <c r="A1805" i="3"/>
  <c r="B1805" i="3"/>
  <c r="C1805" i="3"/>
  <c r="I1805" i="3" s="1"/>
  <c r="D1805" i="3"/>
  <c r="E1805" i="3"/>
  <c r="F1805" i="3"/>
  <c r="H1805" i="3" s="1"/>
  <c r="G1805" i="3"/>
  <c r="A1806" i="3"/>
  <c r="B1806" i="3"/>
  <c r="C1806" i="3"/>
  <c r="D1806" i="3"/>
  <c r="E1806" i="3"/>
  <c r="F1806" i="3"/>
  <c r="G1806" i="3"/>
  <c r="H1806" i="3"/>
  <c r="I1806" i="3" s="1"/>
  <c r="A1807" i="3"/>
  <c r="B1807" i="3"/>
  <c r="C1807" i="3"/>
  <c r="D1807" i="3"/>
  <c r="E1807" i="3"/>
  <c r="F1807" i="3"/>
  <c r="G1807" i="3"/>
  <c r="H1807" i="3"/>
  <c r="I1807" i="3" s="1"/>
  <c r="A1808" i="3"/>
  <c r="B1808" i="3"/>
  <c r="C1808" i="3"/>
  <c r="I1808" i="3" s="1"/>
  <c r="D1808" i="3"/>
  <c r="E1808" i="3"/>
  <c r="F1808" i="3"/>
  <c r="H1808" i="3" s="1"/>
  <c r="G1808" i="3"/>
  <c r="A1809" i="3"/>
  <c r="B1809" i="3"/>
  <c r="C1809" i="3"/>
  <c r="I1809" i="3" s="1"/>
  <c r="D1809" i="3"/>
  <c r="E1809" i="3"/>
  <c r="F1809" i="3"/>
  <c r="H1809" i="3" s="1"/>
  <c r="G1809" i="3"/>
  <c r="A1810" i="3"/>
  <c r="B1810" i="3"/>
  <c r="C1810" i="3"/>
  <c r="D1810" i="3"/>
  <c r="E1810" i="3"/>
  <c r="F1810" i="3"/>
  <c r="G1810" i="3"/>
  <c r="H1810" i="3"/>
  <c r="I1810" i="3" s="1"/>
  <c r="A1811" i="3"/>
  <c r="B1811" i="3"/>
  <c r="C1811" i="3"/>
  <c r="D1811" i="3"/>
  <c r="E1811" i="3"/>
  <c r="F1811" i="3"/>
  <c r="G1811" i="3"/>
  <c r="H1811" i="3"/>
  <c r="I1811" i="3" s="1"/>
  <c r="A1812" i="3"/>
  <c r="B1812" i="3"/>
  <c r="C1812" i="3"/>
  <c r="D1812" i="3"/>
  <c r="E1812" i="3"/>
  <c r="F1812" i="3"/>
  <c r="H1812" i="3" s="1"/>
  <c r="G1812" i="3"/>
  <c r="A1813" i="3"/>
  <c r="B1813" i="3"/>
  <c r="C1813" i="3"/>
  <c r="I1813" i="3" s="1"/>
  <c r="D1813" i="3"/>
  <c r="E1813" i="3"/>
  <c r="F1813" i="3"/>
  <c r="H1813" i="3" s="1"/>
  <c r="G1813" i="3"/>
  <c r="A1814" i="3"/>
  <c r="B1814" i="3"/>
  <c r="C1814" i="3"/>
  <c r="D1814" i="3"/>
  <c r="E1814" i="3"/>
  <c r="F1814" i="3"/>
  <c r="G1814" i="3"/>
  <c r="H1814" i="3"/>
  <c r="I1814" i="3" s="1"/>
  <c r="A1815" i="3"/>
  <c r="B1815" i="3"/>
  <c r="C1815" i="3"/>
  <c r="D1815" i="3"/>
  <c r="E1815" i="3"/>
  <c r="F1815" i="3"/>
  <c r="G1815" i="3"/>
  <c r="H1815" i="3"/>
  <c r="I1815" i="3" s="1"/>
  <c r="A1816" i="3"/>
  <c r="B1816" i="3"/>
  <c r="C1816" i="3"/>
  <c r="I1816" i="3" s="1"/>
  <c r="D1816" i="3"/>
  <c r="E1816" i="3"/>
  <c r="F1816" i="3"/>
  <c r="H1816" i="3" s="1"/>
  <c r="G1816" i="3"/>
  <c r="A1817" i="3"/>
  <c r="B1817" i="3"/>
  <c r="C1817" i="3"/>
  <c r="I1817" i="3" s="1"/>
  <c r="D1817" i="3"/>
  <c r="E1817" i="3"/>
  <c r="F1817" i="3"/>
  <c r="H1817" i="3" s="1"/>
  <c r="G1817" i="3"/>
  <c r="A1818" i="3"/>
  <c r="B1818" i="3"/>
  <c r="C1818" i="3"/>
  <c r="D1818" i="3"/>
  <c r="E1818" i="3"/>
  <c r="F1818" i="3"/>
  <c r="G1818" i="3"/>
  <c r="H1818" i="3"/>
  <c r="I1818" i="3" s="1"/>
  <c r="A1819" i="3"/>
  <c r="B1819" i="3"/>
  <c r="C1819" i="3"/>
  <c r="D1819" i="3"/>
  <c r="E1819" i="3"/>
  <c r="F1819" i="3"/>
  <c r="G1819" i="3"/>
  <c r="H1819" i="3"/>
  <c r="I1819" i="3" s="1"/>
  <c r="A1820" i="3"/>
  <c r="B1820" i="3"/>
  <c r="C1820" i="3"/>
  <c r="D1820" i="3"/>
  <c r="E1820" i="3"/>
  <c r="F1820" i="3"/>
  <c r="H1820" i="3" s="1"/>
  <c r="G1820" i="3"/>
  <c r="A1821" i="3"/>
  <c r="B1821" i="3"/>
  <c r="C1821" i="3"/>
  <c r="I1821" i="3" s="1"/>
  <c r="D1821" i="3"/>
  <c r="E1821" i="3"/>
  <c r="F1821" i="3"/>
  <c r="H1821" i="3" s="1"/>
  <c r="G1821" i="3"/>
  <c r="A1822" i="3"/>
  <c r="B1822" i="3"/>
  <c r="C1822" i="3"/>
  <c r="D1822" i="3"/>
  <c r="E1822" i="3"/>
  <c r="F1822" i="3"/>
  <c r="G1822" i="3"/>
  <c r="H1822" i="3"/>
  <c r="I1822" i="3" s="1"/>
  <c r="A1823" i="3"/>
  <c r="B1823" i="3"/>
  <c r="C1823" i="3"/>
  <c r="D1823" i="3"/>
  <c r="E1823" i="3"/>
  <c r="F1823" i="3"/>
  <c r="G1823" i="3"/>
  <c r="H1823" i="3"/>
  <c r="I1823" i="3" s="1"/>
  <c r="A1824" i="3"/>
  <c r="B1824" i="3"/>
  <c r="C1824" i="3"/>
  <c r="I1824" i="3" s="1"/>
  <c r="D1824" i="3"/>
  <c r="E1824" i="3"/>
  <c r="F1824" i="3"/>
  <c r="H1824" i="3" s="1"/>
  <c r="G1824" i="3"/>
  <c r="A1825" i="3"/>
  <c r="B1825" i="3"/>
  <c r="C1825" i="3"/>
  <c r="I1825" i="3" s="1"/>
  <c r="D1825" i="3"/>
  <c r="E1825" i="3"/>
  <c r="F1825" i="3"/>
  <c r="G1825" i="3"/>
  <c r="H1825" i="3"/>
  <c r="A1826" i="3"/>
  <c r="B1826" i="3"/>
  <c r="C1826" i="3"/>
  <c r="D1826" i="3"/>
  <c r="E1826" i="3"/>
  <c r="F1826" i="3"/>
  <c r="G1826" i="3"/>
  <c r="H1826" i="3"/>
  <c r="I1826" i="3" s="1"/>
  <c r="A1827" i="3"/>
  <c r="B1827" i="3"/>
  <c r="C1827" i="3"/>
  <c r="D1827" i="3"/>
  <c r="E1827" i="3"/>
  <c r="F1827" i="3"/>
  <c r="G1827" i="3"/>
  <c r="H1827" i="3"/>
  <c r="I1827" i="3" s="1"/>
  <c r="A1828" i="3"/>
  <c r="B1828" i="3"/>
  <c r="C1828" i="3"/>
  <c r="I1828" i="3" s="1"/>
  <c r="D1828" i="3"/>
  <c r="E1828" i="3"/>
  <c r="F1828" i="3"/>
  <c r="H1828" i="3" s="1"/>
  <c r="G1828" i="3"/>
  <c r="A1829" i="3"/>
  <c r="B1829" i="3"/>
  <c r="C1829" i="3"/>
  <c r="I1829" i="3" s="1"/>
  <c r="D1829" i="3"/>
  <c r="E1829" i="3"/>
  <c r="F1829" i="3"/>
  <c r="G1829" i="3"/>
  <c r="H1829" i="3"/>
  <c r="A1830" i="3"/>
  <c r="B1830" i="3"/>
  <c r="C1830" i="3"/>
  <c r="D1830" i="3"/>
  <c r="E1830" i="3"/>
  <c r="F1830" i="3"/>
  <c r="G1830" i="3"/>
  <c r="H1830" i="3"/>
  <c r="I1830" i="3"/>
  <c r="A1831" i="3"/>
  <c r="B1831" i="3"/>
  <c r="C1831" i="3"/>
  <c r="D1831" i="3"/>
  <c r="E1831" i="3"/>
  <c r="F1831" i="3"/>
  <c r="G1831" i="3"/>
  <c r="H1831" i="3"/>
  <c r="I1831" i="3" s="1"/>
  <c r="A1832" i="3"/>
  <c r="B1832" i="3"/>
  <c r="C1832" i="3"/>
  <c r="D1832" i="3"/>
  <c r="E1832" i="3"/>
  <c r="F1832" i="3"/>
  <c r="H1832" i="3" s="1"/>
  <c r="G1832" i="3"/>
  <c r="A1833" i="3"/>
  <c r="B1833" i="3"/>
  <c r="C1833" i="3"/>
  <c r="I1833" i="3" s="1"/>
  <c r="D1833" i="3"/>
  <c r="E1833" i="3"/>
  <c r="F1833" i="3"/>
  <c r="G1833" i="3"/>
  <c r="H1833" i="3"/>
  <c r="A1834" i="3"/>
  <c r="B1834" i="3"/>
  <c r="C1834" i="3"/>
  <c r="D1834" i="3"/>
  <c r="E1834" i="3"/>
  <c r="F1834" i="3"/>
  <c r="G1834" i="3"/>
  <c r="H1834" i="3"/>
  <c r="I1834" i="3"/>
  <c r="A1835" i="3"/>
  <c r="B1835" i="3"/>
  <c r="C1835" i="3"/>
  <c r="D1835" i="3"/>
  <c r="E1835" i="3"/>
  <c r="F1835" i="3"/>
  <c r="G1835" i="3"/>
  <c r="H1835" i="3"/>
  <c r="I1835" i="3" s="1"/>
  <c r="A1836" i="3"/>
  <c r="B1836" i="3"/>
  <c r="C1836" i="3"/>
  <c r="D1836" i="3"/>
  <c r="E1836" i="3"/>
  <c r="F1836" i="3"/>
  <c r="H1836" i="3" s="1"/>
  <c r="G1836" i="3"/>
  <c r="A1837" i="3"/>
  <c r="B1837" i="3"/>
  <c r="C1837" i="3"/>
  <c r="I1837" i="3" s="1"/>
  <c r="D1837" i="3"/>
  <c r="E1837" i="3"/>
  <c r="F1837" i="3"/>
  <c r="G1837" i="3"/>
  <c r="H1837" i="3"/>
  <c r="A1838" i="3"/>
  <c r="B1838" i="3"/>
  <c r="C1838" i="3"/>
  <c r="D1838" i="3"/>
  <c r="E1838" i="3"/>
  <c r="F1838" i="3"/>
  <c r="G1838" i="3"/>
  <c r="H1838" i="3"/>
  <c r="I1838" i="3"/>
  <c r="A1839" i="3"/>
  <c r="B1839" i="3"/>
  <c r="C1839" i="3"/>
  <c r="D1839" i="3"/>
  <c r="E1839" i="3"/>
  <c r="F1839" i="3"/>
  <c r="G1839" i="3"/>
  <c r="H1839" i="3"/>
  <c r="I1839" i="3" s="1"/>
  <c r="A1840" i="3"/>
  <c r="B1840" i="3"/>
  <c r="C1840" i="3"/>
  <c r="I1840" i="3" s="1"/>
  <c r="D1840" i="3"/>
  <c r="E1840" i="3"/>
  <c r="F1840" i="3"/>
  <c r="H1840" i="3" s="1"/>
  <c r="G1840" i="3"/>
  <c r="A1841" i="3"/>
  <c r="B1841" i="3"/>
  <c r="C1841" i="3"/>
  <c r="I1841" i="3" s="1"/>
  <c r="D1841" i="3"/>
  <c r="E1841" i="3"/>
  <c r="F1841" i="3"/>
  <c r="G1841" i="3"/>
  <c r="H1841" i="3"/>
  <c r="A1842" i="3"/>
  <c r="B1842" i="3"/>
  <c r="C1842" i="3"/>
  <c r="D1842" i="3"/>
  <c r="E1842" i="3"/>
  <c r="F1842" i="3"/>
  <c r="G1842" i="3"/>
  <c r="H1842" i="3"/>
  <c r="I1842" i="3"/>
  <c r="A1843" i="3"/>
  <c r="B1843" i="3"/>
  <c r="C1843" i="3"/>
  <c r="D1843" i="3"/>
  <c r="E1843" i="3"/>
  <c r="F1843" i="3"/>
  <c r="G1843" i="3"/>
  <c r="H1843" i="3"/>
  <c r="I1843" i="3" s="1"/>
  <c r="A1844" i="3"/>
  <c r="B1844" i="3"/>
  <c r="C1844" i="3"/>
  <c r="D1844" i="3"/>
  <c r="E1844" i="3"/>
  <c r="F1844" i="3"/>
  <c r="H1844" i="3" s="1"/>
  <c r="G1844" i="3"/>
  <c r="A1845" i="3"/>
  <c r="B1845" i="3"/>
  <c r="C1845" i="3"/>
  <c r="I1845" i="3" s="1"/>
  <c r="D1845" i="3"/>
  <c r="E1845" i="3"/>
  <c r="F1845" i="3"/>
  <c r="G1845" i="3"/>
  <c r="H1845" i="3"/>
  <c r="A1846" i="3"/>
  <c r="B1846" i="3"/>
  <c r="C1846" i="3"/>
  <c r="D1846" i="3"/>
  <c r="E1846" i="3"/>
  <c r="F1846" i="3"/>
  <c r="G1846" i="3"/>
  <c r="H1846" i="3"/>
  <c r="I1846" i="3"/>
  <c r="A1847" i="3"/>
  <c r="B1847" i="3"/>
  <c r="C1847" i="3"/>
  <c r="D1847" i="3"/>
  <c r="E1847" i="3"/>
  <c r="F1847" i="3"/>
  <c r="G1847" i="3"/>
  <c r="H1847" i="3"/>
  <c r="I1847" i="3" s="1"/>
  <c r="A1848" i="3"/>
  <c r="B1848" i="3"/>
  <c r="C1848" i="3"/>
  <c r="D1848" i="3"/>
  <c r="E1848" i="3"/>
  <c r="F1848" i="3"/>
  <c r="H1848" i="3" s="1"/>
  <c r="G1848" i="3"/>
  <c r="A1849" i="3"/>
  <c r="B1849" i="3"/>
  <c r="C1849" i="3"/>
  <c r="I1849" i="3" s="1"/>
  <c r="D1849" i="3"/>
  <c r="E1849" i="3"/>
  <c r="F1849" i="3"/>
  <c r="G1849" i="3"/>
  <c r="H1849" i="3"/>
  <c r="A1850" i="3"/>
  <c r="B1850" i="3"/>
  <c r="C1850" i="3"/>
  <c r="D1850" i="3"/>
  <c r="E1850" i="3"/>
  <c r="F1850" i="3"/>
  <c r="G1850" i="3"/>
  <c r="H1850" i="3"/>
  <c r="I1850" i="3"/>
  <c r="A1851" i="3"/>
  <c r="B1851" i="3"/>
  <c r="C1851" i="3"/>
  <c r="D1851" i="3"/>
  <c r="E1851" i="3"/>
  <c r="F1851" i="3"/>
  <c r="G1851" i="3"/>
  <c r="H1851" i="3"/>
  <c r="I1851" i="3" s="1"/>
  <c r="A1852" i="3"/>
  <c r="B1852" i="3"/>
  <c r="C1852" i="3"/>
  <c r="I1852" i="3" s="1"/>
  <c r="D1852" i="3"/>
  <c r="E1852" i="3"/>
  <c r="F1852" i="3"/>
  <c r="H1852" i="3" s="1"/>
  <c r="G1852" i="3"/>
  <c r="A1853" i="3"/>
  <c r="B1853" i="3"/>
  <c r="C1853" i="3"/>
  <c r="I1853" i="3" s="1"/>
  <c r="D1853" i="3"/>
  <c r="E1853" i="3"/>
  <c r="F1853" i="3"/>
  <c r="G1853" i="3"/>
  <c r="H1853" i="3"/>
  <c r="A1854" i="3"/>
  <c r="B1854" i="3"/>
  <c r="C1854" i="3"/>
  <c r="D1854" i="3"/>
  <c r="E1854" i="3"/>
  <c r="F1854" i="3"/>
  <c r="G1854" i="3"/>
  <c r="H1854" i="3"/>
  <c r="I1854" i="3"/>
  <c r="A1855" i="3"/>
  <c r="B1855" i="3"/>
  <c r="C1855" i="3"/>
  <c r="D1855" i="3"/>
  <c r="E1855" i="3"/>
  <c r="F1855" i="3"/>
  <c r="G1855" i="3"/>
  <c r="H1855" i="3"/>
  <c r="I1855" i="3" s="1"/>
  <c r="A1856" i="3"/>
  <c r="B1856" i="3"/>
  <c r="C1856" i="3"/>
  <c r="D1856" i="3"/>
  <c r="E1856" i="3"/>
  <c r="F1856" i="3"/>
  <c r="H1856" i="3" s="1"/>
  <c r="G1856" i="3"/>
  <c r="A1857" i="3"/>
  <c r="B1857" i="3"/>
  <c r="C1857" i="3"/>
  <c r="I1857" i="3" s="1"/>
  <c r="D1857" i="3"/>
  <c r="E1857" i="3"/>
  <c r="F1857" i="3"/>
  <c r="G1857" i="3"/>
  <c r="H1857" i="3"/>
  <c r="A1858" i="3"/>
  <c r="B1858" i="3"/>
  <c r="C1858" i="3"/>
  <c r="D1858" i="3"/>
  <c r="E1858" i="3"/>
  <c r="F1858" i="3"/>
  <c r="G1858" i="3"/>
  <c r="H1858" i="3"/>
  <c r="I1858" i="3"/>
  <c r="A1859" i="3"/>
  <c r="B1859" i="3"/>
  <c r="C1859" i="3"/>
  <c r="D1859" i="3"/>
  <c r="E1859" i="3"/>
  <c r="F1859" i="3"/>
  <c r="G1859" i="3"/>
  <c r="H1859" i="3"/>
  <c r="I1859" i="3" s="1"/>
  <c r="A1860" i="3"/>
  <c r="B1860" i="3"/>
  <c r="C1860" i="3"/>
  <c r="D1860" i="3"/>
  <c r="E1860" i="3"/>
  <c r="F1860" i="3"/>
  <c r="H1860" i="3" s="1"/>
  <c r="G1860" i="3"/>
  <c r="A1861" i="3"/>
  <c r="B1861" i="3"/>
  <c r="C1861" i="3"/>
  <c r="I1861" i="3" s="1"/>
  <c r="D1861" i="3"/>
  <c r="E1861" i="3"/>
  <c r="F1861" i="3"/>
  <c r="G1861" i="3"/>
  <c r="H1861" i="3"/>
  <c r="A1862" i="3"/>
  <c r="B1862" i="3"/>
  <c r="C1862" i="3"/>
  <c r="D1862" i="3"/>
  <c r="E1862" i="3"/>
  <c r="F1862" i="3"/>
  <c r="G1862" i="3"/>
  <c r="H1862" i="3"/>
  <c r="I1862" i="3"/>
  <c r="A1863" i="3"/>
  <c r="B1863" i="3"/>
  <c r="C1863" i="3"/>
  <c r="D1863" i="3"/>
  <c r="E1863" i="3"/>
  <c r="F1863" i="3"/>
  <c r="G1863" i="3"/>
  <c r="H1863" i="3"/>
  <c r="I1863" i="3" s="1"/>
  <c r="A1864" i="3"/>
  <c r="B1864" i="3"/>
  <c r="C1864" i="3"/>
  <c r="I1864" i="3" s="1"/>
  <c r="D1864" i="3"/>
  <c r="E1864" i="3"/>
  <c r="F1864" i="3"/>
  <c r="H1864" i="3" s="1"/>
  <c r="G1864" i="3"/>
  <c r="A1865" i="3"/>
  <c r="B1865" i="3"/>
  <c r="C1865" i="3"/>
  <c r="I1865" i="3" s="1"/>
  <c r="D1865" i="3"/>
  <c r="E1865" i="3"/>
  <c r="F1865" i="3"/>
  <c r="G1865" i="3"/>
  <c r="H1865" i="3"/>
  <c r="A1866" i="3"/>
  <c r="B1866" i="3"/>
  <c r="C1866" i="3"/>
  <c r="D1866" i="3"/>
  <c r="E1866" i="3"/>
  <c r="F1866" i="3"/>
  <c r="G1866" i="3"/>
  <c r="H1866" i="3"/>
  <c r="I1866" i="3"/>
  <c r="A1867" i="3"/>
  <c r="B1867" i="3"/>
  <c r="C1867" i="3"/>
  <c r="D1867" i="3"/>
  <c r="E1867" i="3"/>
  <c r="F1867" i="3"/>
  <c r="G1867" i="3"/>
  <c r="H1867" i="3"/>
  <c r="I1867" i="3" s="1"/>
  <c r="A1868" i="3"/>
  <c r="B1868" i="3"/>
  <c r="C1868" i="3"/>
  <c r="I1868" i="3" s="1"/>
  <c r="D1868" i="3"/>
  <c r="E1868" i="3"/>
  <c r="F1868" i="3"/>
  <c r="H1868" i="3" s="1"/>
  <c r="G1868" i="3"/>
  <c r="A1869" i="3"/>
  <c r="B1869" i="3"/>
  <c r="C1869" i="3"/>
  <c r="I1869" i="3" s="1"/>
  <c r="D1869" i="3"/>
  <c r="E1869" i="3"/>
  <c r="F1869" i="3"/>
  <c r="G1869" i="3"/>
  <c r="H1869" i="3"/>
  <c r="A1870" i="3"/>
  <c r="B1870" i="3"/>
  <c r="C1870" i="3"/>
  <c r="D1870" i="3"/>
  <c r="E1870" i="3"/>
  <c r="F1870" i="3"/>
  <c r="G1870" i="3"/>
  <c r="H1870" i="3"/>
  <c r="I1870" i="3"/>
  <c r="A1871" i="3"/>
  <c r="B1871" i="3"/>
  <c r="C1871" i="3"/>
  <c r="D1871" i="3"/>
  <c r="E1871" i="3"/>
  <c r="F1871" i="3"/>
  <c r="G1871" i="3"/>
  <c r="H1871" i="3"/>
  <c r="I1871" i="3" s="1"/>
  <c r="A1872" i="3"/>
  <c r="B1872" i="3"/>
  <c r="C1872" i="3"/>
  <c r="D1872" i="3"/>
  <c r="E1872" i="3"/>
  <c r="F1872" i="3"/>
  <c r="H1872" i="3" s="1"/>
  <c r="G1872" i="3"/>
  <c r="A1873" i="3"/>
  <c r="B1873" i="3"/>
  <c r="C1873" i="3"/>
  <c r="I1873" i="3" s="1"/>
  <c r="D1873" i="3"/>
  <c r="E1873" i="3"/>
  <c r="F1873" i="3"/>
  <c r="G1873" i="3"/>
  <c r="H1873" i="3"/>
  <c r="A1874" i="3"/>
  <c r="B1874" i="3"/>
  <c r="C1874" i="3"/>
  <c r="D1874" i="3"/>
  <c r="E1874" i="3"/>
  <c r="F1874" i="3"/>
  <c r="G1874" i="3"/>
  <c r="H1874" i="3"/>
  <c r="I1874" i="3"/>
  <c r="A1875" i="3"/>
  <c r="B1875" i="3"/>
  <c r="C1875" i="3"/>
  <c r="D1875" i="3"/>
  <c r="E1875" i="3"/>
  <c r="F1875" i="3"/>
  <c r="G1875" i="3"/>
  <c r="H1875" i="3"/>
  <c r="I1875" i="3" s="1"/>
  <c r="A1876" i="3"/>
  <c r="B1876" i="3"/>
  <c r="C1876" i="3"/>
  <c r="I1876" i="3" s="1"/>
  <c r="D1876" i="3"/>
  <c r="E1876" i="3"/>
  <c r="F1876" i="3"/>
  <c r="H1876" i="3" s="1"/>
  <c r="G1876" i="3"/>
  <c r="A1877" i="3"/>
  <c r="B1877" i="3"/>
  <c r="C1877" i="3"/>
  <c r="I1877" i="3" s="1"/>
  <c r="D1877" i="3"/>
  <c r="E1877" i="3"/>
  <c r="F1877" i="3"/>
  <c r="G1877" i="3"/>
  <c r="H1877" i="3"/>
  <c r="A1878" i="3"/>
  <c r="B1878" i="3"/>
  <c r="C1878" i="3"/>
  <c r="D1878" i="3"/>
  <c r="E1878" i="3"/>
  <c r="F1878" i="3"/>
  <c r="G1878" i="3"/>
  <c r="H1878" i="3"/>
  <c r="I1878" i="3"/>
  <c r="A1879" i="3"/>
  <c r="B1879" i="3"/>
  <c r="C1879" i="3"/>
  <c r="D1879" i="3"/>
  <c r="E1879" i="3"/>
  <c r="F1879" i="3"/>
  <c r="G1879" i="3"/>
  <c r="H1879" i="3"/>
  <c r="I1879" i="3" s="1"/>
  <c r="A1880" i="3"/>
  <c r="B1880" i="3"/>
  <c r="C1880" i="3"/>
  <c r="D1880" i="3"/>
  <c r="E1880" i="3"/>
  <c r="F1880" i="3"/>
  <c r="H1880" i="3" s="1"/>
  <c r="G1880" i="3"/>
  <c r="A1881" i="3"/>
  <c r="B1881" i="3"/>
  <c r="C1881" i="3"/>
  <c r="I1881" i="3" s="1"/>
  <c r="D1881" i="3"/>
  <c r="E1881" i="3"/>
  <c r="F1881" i="3"/>
  <c r="G1881" i="3"/>
  <c r="H1881" i="3"/>
  <c r="A1882" i="3"/>
  <c r="B1882" i="3"/>
  <c r="C1882" i="3"/>
  <c r="D1882" i="3"/>
  <c r="E1882" i="3"/>
  <c r="F1882" i="3"/>
  <c r="G1882" i="3"/>
  <c r="H1882" i="3"/>
  <c r="I1882" i="3"/>
  <c r="A1883" i="3"/>
  <c r="B1883" i="3"/>
  <c r="C1883" i="3"/>
  <c r="D1883" i="3"/>
  <c r="E1883" i="3"/>
  <c r="F1883" i="3"/>
  <c r="G1883" i="3"/>
  <c r="H1883" i="3"/>
  <c r="I1883" i="3" s="1"/>
  <c r="A1884" i="3"/>
  <c r="B1884" i="3"/>
  <c r="C1884" i="3"/>
  <c r="D1884" i="3"/>
  <c r="E1884" i="3"/>
  <c r="F1884" i="3"/>
  <c r="H1884" i="3" s="1"/>
  <c r="G1884" i="3"/>
  <c r="A1885" i="3"/>
  <c r="B1885" i="3"/>
  <c r="C1885" i="3"/>
  <c r="I1885" i="3" s="1"/>
  <c r="D1885" i="3"/>
  <c r="E1885" i="3"/>
  <c r="F1885" i="3"/>
  <c r="G1885" i="3"/>
  <c r="H1885" i="3"/>
  <c r="A1886" i="3"/>
  <c r="B1886" i="3"/>
  <c r="C1886" i="3"/>
  <c r="D1886" i="3"/>
  <c r="E1886" i="3"/>
  <c r="F1886" i="3"/>
  <c r="G1886" i="3"/>
  <c r="H1886" i="3"/>
  <c r="I1886" i="3"/>
  <c r="A1887" i="3"/>
  <c r="B1887" i="3"/>
  <c r="C1887" i="3"/>
  <c r="D1887" i="3"/>
  <c r="E1887" i="3"/>
  <c r="F1887" i="3"/>
  <c r="G1887" i="3"/>
  <c r="H1887" i="3"/>
  <c r="I1887" i="3" s="1"/>
  <c r="A1888" i="3"/>
  <c r="B1888" i="3"/>
  <c r="C1888" i="3"/>
  <c r="I1888" i="3" s="1"/>
  <c r="D1888" i="3"/>
  <c r="E1888" i="3"/>
  <c r="F1888" i="3"/>
  <c r="H1888" i="3" s="1"/>
  <c r="G1888" i="3"/>
  <c r="A1889" i="3"/>
  <c r="B1889" i="3"/>
  <c r="C1889" i="3"/>
  <c r="I1889" i="3" s="1"/>
  <c r="D1889" i="3"/>
  <c r="E1889" i="3"/>
  <c r="F1889" i="3"/>
  <c r="G1889" i="3"/>
  <c r="H1889" i="3"/>
  <c r="A1890" i="3"/>
  <c r="B1890" i="3"/>
  <c r="C1890" i="3"/>
  <c r="D1890" i="3"/>
  <c r="E1890" i="3"/>
  <c r="F1890" i="3"/>
  <c r="G1890" i="3"/>
  <c r="H1890" i="3"/>
  <c r="I1890" i="3"/>
  <c r="A1891" i="3"/>
  <c r="B1891" i="3"/>
  <c r="C1891" i="3"/>
  <c r="D1891" i="3"/>
  <c r="E1891" i="3"/>
  <c r="F1891" i="3"/>
  <c r="G1891" i="3"/>
  <c r="H1891" i="3"/>
  <c r="I1891" i="3" s="1"/>
  <c r="A1892" i="3"/>
  <c r="B1892" i="3"/>
  <c r="C1892" i="3"/>
  <c r="D1892" i="3"/>
  <c r="E1892" i="3"/>
  <c r="F1892" i="3"/>
  <c r="H1892" i="3" s="1"/>
  <c r="G1892" i="3"/>
  <c r="A1893" i="3"/>
  <c r="B1893" i="3"/>
  <c r="C1893" i="3"/>
  <c r="I1893" i="3" s="1"/>
  <c r="D1893" i="3"/>
  <c r="E1893" i="3"/>
  <c r="F1893" i="3"/>
  <c r="G1893" i="3"/>
  <c r="H1893" i="3"/>
  <c r="A1894" i="3"/>
  <c r="B1894" i="3"/>
  <c r="C1894" i="3"/>
  <c r="D1894" i="3"/>
  <c r="E1894" i="3"/>
  <c r="F1894" i="3"/>
  <c r="G1894" i="3"/>
  <c r="H1894" i="3"/>
  <c r="I1894" i="3"/>
  <c r="A1895" i="3"/>
  <c r="B1895" i="3"/>
  <c r="C1895" i="3"/>
  <c r="D1895" i="3"/>
  <c r="E1895" i="3"/>
  <c r="F1895" i="3"/>
  <c r="G1895" i="3"/>
  <c r="H1895" i="3"/>
  <c r="I1895" i="3" s="1"/>
  <c r="A1896" i="3"/>
  <c r="B1896" i="3"/>
  <c r="C1896" i="3"/>
  <c r="D1896" i="3"/>
  <c r="E1896" i="3"/>
  <c r="F1896" i="3"/>
  <c r="H1896" i="3" s="1"/>
  <c r="G1896" i="3"/>
  <c r="A1897" i="3"/>
  <c r="B1897" i="3"/>
  <c r="C1897" i="3"/>
  <c r="I1897" i="3" s="1"/>
  <c r="D1897" i="3"/>
  <c r="E1897" i="3"/>
  <c r="F1897" i="3"/>
  <c r="G1897" i="3"/>
  <c r="H1897" i="3"/>
  <c r="A1898" i="3"/>
  <c r="B1898" i="3"/>
  <c r="C1898" i="3"/>
  <c r="D1898" i="3"/>
  <c r="E1898" i="3"/>
  <c r="F1898" i="3"/>
  <c r="G1898" i="3"/>
  <c r="H1898" i="3"/>
  <c r="I1898" i="3"/>
  <c r="A1899" i="3"/>
  <c r="B1899" i="3"/>
  <c r="C1899" i="3"/>
  <c r="D1899" i="3"/>
  <c r="E1899" i="3"/>
  <c r="F1899" i="3"/>
  <c r="G1899" i="3"/>
  <c r="H1899" i="3"/>
  <c r="I1899" i="3" s="1"/>
  <c r="A1900" i="3"/>
  <c r="B1900" i="3"/>
  <c r="C1900" i="3"/>
  <c r="I1900" i="3" s="1"/>
  <c r="D1900" i="3"/>
  <c r="E1900" i="3"/>
  <c r="F1900" i="3"/>
  <c r="H1900" i="3" s="1"/>
  <c r="G1900" i="3"/>
  <c r="A1901" i="3"/>
  <c r="B1901" i="3"/>
  <c r="C1901" i="3"/>
  <c r="I1901" i="3" s="1"/>
  <c r="D1901" i="3"/>
  <c r="E1901" i="3"/>
  <c r="F1901" i="3"/>
  <c r="G1901" i="3"/>
  <c r="H1901" i="3"/>
  <c r="A1902" i="3"/>
  <c r="B1902" i="3"/>
  <c r="C1902" i="3"/>
  <c r="D1902" i="3"/>
  <c r="E1902" i="3"/>
  <c r="F1902" i="3"/>
  <c r="G1902" i="3"/>
  <c r="H1902" i="3"/>
  <c r="I1902" i="3"/>
  <c r="A1903" i="3"/>
  <c r="B1903" i="3"/>
  <c r="C1903" i="3"/>
  <c r="D1903" i="3"/>
  <c r="E1903" i="3"/>
  <c r="F1903" i="3"/>
  <c r="G1903" i="3"/>
  <c r="H1903" i="3"/>
  <c r="I1903" i="3" s="1"/>
  <c r="A1904" i="3"/>
  <c r="B1904" i="3"/>
  <c r="C1904" i="3"/>
  <c r="D1904" i="3"/>
  <c r="E1904" i="3"/>
  <c r="F1904" i="3"/>
  <c r="H1904" i="3" s="1"/>
  <c r="G1904" i="3"/>
  <c r="A1905" i="3"/>
  <c r="B1905" i="3"/>
  <c r="C1905" i="3"/>
  <c r="I1905" i="3" s="1"/>
  <c r="D1905" i="3"/>
  <c r="E1905" i="3"/>
  <c r="F1905" i="3"/>
  <c r="G1905" i="3"/>
  <c r="H1905" i="3"/>
  <c r="A1906" i="3"/>
  <c r="B1906" i="3"/>
  <c r="C1906" i="3"/>
  <c r="D1906" i="3"/>
  <c r="E1906" i="3"/>
  <c r="F1906" i="3"/>
  <c r="G1906" i="3"/>
  <c r="H1906" i="3"/>
  <c r="I1906" i="3"/>
  <c r="A1907" i="3"/>
  <c r="B1907" i="3"/>
  <c r="C1907" i="3"/>
  <c r="D1907" i="3"/>
  <c r="E1907" i="3"/>
  <c r="F1907" i="3"/>
  <c r="G1907" i="3"/>
  <c r="H1907" i="3"/>
  <c r="I1907" i="3" s="1"/>
  <c r="A1908" i="3"/>
  <c r="B1908" i="3"/>
  <c r="C1908" i="3"/>
  <c r="D1908" i="3"/>
  <c r="E1908" i="3"/>
  <c r="F1908" i="3"/>
  <c r="H1908" i="3" s="1"/>
  <c r="G1908" i="3"/>
  <c r="A1909" i="3"/>
  <c r="B1909" i="3"/>
  <c r="C1909" i="3"/>
  <c r="I1909" i="3" s="1"/>
  <c r="D1909" i="3"/>
  <c r="E1909" i="3"/>
  <c r="F1909" i="3"/>
  <c r="G1909" i="3"/>
  <c r="H1909" i="3"/>
  <c r="A1910" i="3"/>
  <c r="B1910" i="3"/>
  <c r="C1910" i="3"/>
  <c r="D1910" i="3"/>
  <c r="E1910" i="3"/>
  <c r="F1910" i="3"/>
  <c r="G1910" i="3"/>
  <c r="H1910" i="3"/>
  <c r="I1910" i="3"/>
  <c r="A1911" i="3"/>
  <c r="B1911" i="3"/>
  <c r="C1911" i="3"/>
  <c r="D1911" i="3"/>
  <c r="E1911" i="3"/>
  <c r="F1911" i="3"/>
  <c r="G1911" i="3"/>
  <c r="H1911" i="3"/>
  <c r="I1911" i="3" s="1"/>
  <c r="A1912" i="3"/>
  <c r="B1912" i="3"/>
  <c r="C1912" i="3"/>
  <c r="I1912" i="3" s="1"/>
  <c r="D1912" i="3"/>
  <c r="E1912" i="3"/>
  <c r="F1912" i="3"/>
  <c r="H1912" i="3" s="1"/>
  <c r="G1912" i="3"/>
  <c r="A1913" i="3"/>
  <c r="B1913" i="3"/>
  <c r="C1913" i="3"/>
  <c r="I1913" i="3" s="1"/>
  <c r="D1913" i="3"/>
  <c r="E1913" i="3"/>
  <c r="F1913" i="3"/>
  <c r="G1913" i="3"/>
  <c r="H1913" i="3"/>
  <c r="A1914" i="3"/>
  <c r="B1914" i="3"/>
  <c r="C1914" i="3"/>
  <c r="D1914" i="3"/>
  <c r="E1914" i="3"/>
  <c r="F1914" i="3"/>
  <c r="G1914" i="3"/>
  <c r="H1914" i="3"/>
  <c r="I1914" i="3"/>
  <c r="A1915" i="3"/>
  <c r="B1915" i="3"/>
  <c r="C1915" i="3"/>
  <c r="D1915" i="3"/>
  <c r="E1915" i="3"/>
  <c r="F1915" i="3"/>
  <c r="G1915" i="3"/>
  <c r="H1915" i="3"/>
  <c r="I1915" i="3" s="1"/>
  <c r="A1916" i="3"/>
  <c r="B1916" i="3"/>
  <c r="C1916" i="3"/>
  <c r="D1916" i="3"/>
  <c r="E1916" i="3"/>
  <c r="F1916" i="3"/>
  <c r="H1916" i="3" s="1"/>
  <c r="G1916" i="3"/>
  <c r="A1917" i="3"/>
  <c r="B1917" i="3"/>
  <c r="C1917" i="3"/>
  <c r="I1917" i="3" s="1"/>
  <c r="D1917" i="3"/>
  <c r="E1917" i="3"/>
  <c r="F1917" i="3"/>
  <c r="G1917" i="3"/>
  <c r="H1917" i="3"/>
  <c r="A1918" i="3"/>
  <c r="B1918" i="3"/>
  <c r="C1918" i="3"/>
  <c r="D1918" i="3"/>
  <c r="E1918" i="3"/>
  <c r="F1918" i="3"/>
  <c r="G1918" i="3"/>
  <c r="H1918" i="3"/>
  <c r="I1918" i="3"/>
  <c r="A1919" i="3"/>
  <c r="B1919" i="3"/>
  <c r="C1919" i="3"/>
  <c r="D1919" i="3"/>
  <c r="E1919" i="3"/>
  <c r="F1919" i="3"/>
  <c r="G1919" i="3"/>
  <c r="H1919" i="3"/>
  <c r="I1919" i="3" s="1"/>
  <c r="A1920" i="3"/>
  <c r="B1920" i="3"/>
  <c r="C1920" i="3"/>
  <c r="D1920" i="3"/>
  <c r="E1920" i="3"/>
  <c r="F1920" i="3"/>
  <c r="H1920" i="3" s="1"/>
  <c r="G1920" i="3"/>
  <c r="A1921" i="3"/>
  <c r="B1921" i="3"/>
  <c r="C1921" i="3"/>
  <c r="I1921" i="3" s="1"/>
  <c r="D1921" i="3"/>
  <c r="E1921" i="3"/>
  <c r="F1921" i="3"/>
  <c r="G1921" i="3"/>
  <c r="H1921" i="3"/>
  <c r="A1922" i="3"/>
  <c r="B1922" i="3"/>
  <c r="C1922" i="3"/>
  <c r="D1922" i="3"/>
  <c r="E1922" i="3"/>
  <c r="F1922" i="3"/>
  <c r="G1922" i="3"/>
  <c r="H1922" i="3"/>
  <c r="I1922" i="3"/>
  <c r="A1923" i="3"/>
  <c r="B1923" i="3"/>
  <c r="C1923" i="3"/>
  <c r="D1923" i="3"/>
  <c r="E1923" i="3"/>
  <c r="F1923" i="3"/>
  <c r="G1923" i="3"/>
  <c r="H1923" i="3"/>
  <c r="I1923" i="3" s="1"/>
  <c r="A1924" i="3"/>
  <c r="B1924" i="3"/>
  <c r="C1924" i="3"/>
  <c r="I1924" i="3" s="1"/>
  <c r="D1924" i="3"/>
  <c r="E1924" i="3"/>
  <c r="F1924" i="3"/>
  <c r="H1924" i="3" s="1"/>
  <c r="G1924" i="3"/>
  <c r="A1925" i="3"/>
  <c r="B1925" i="3"/>
  <c r="C1925" i="3"/>
  <c r="I1925" i="3" s="1"/>
  <c r="D1925" i="3"/>
  <c r="E1925" i="3"/>
  <c r="F1925" i="3"/>
  <c r="G1925" i="3"/>
  <c r="H1925" i="3"/>
  <c r="A1926" i="3"/>
  <c r="B1926" i="3"/>
  <c r="C1926" i="3"/>
  <c r="D1926" i="3"/>
  <c r="E1926" i="3"/>
  <c r="F1926" i="3"/>
  <c r="G1926" i="3"/>
  <c r="H1926" i="3"/>
  <c r="I1926" i="3"/>
  <c r="A1927" i="3"/>
  <c r="B1927" i="3"/>
  <c r="C1927" i="3"/>
  <c r="D1927" i="3"/>
  <c r="E1927" i="3"/>
  <c r="F1927" i="3"/>
  <c r="G1927" i="3"/>
  <c r="H1927" i="3"/>
  <c r="I1927" i="3" s="1"/>
  <c r="A1928" i="3"/>
  <c r="B1928" i="3"/>
  <c r="C1928" i="3"/>
  <c r="D1928" i="3"/>
  <c r="E1928" i="3"/>
  <c r="F1928" i="3"/>
  <c r="H1928" i="3" s="1"/>
  <c r="G1928" i="3"/>
  <c r="A1929" i="3"/>
  <c r="B1929" i="3"/>
  <c r="C1929" i="3"/>
  <c r="I1929" i="3" s="1"/>
  <c r="D1929" i="3"/>
  <c r="E1929" i="3"/>
  <c r="F1929" i="3"/>
  <c r="G1929" i="3"/>
  <c r="H1929" i="3"/>
  <c r="A1930" i="3"/>
  <c r="B1930" i="3"/>
  <c r="C1930" i="3"/>
  <c r="D1930" i="3"/>
  <c r="E1930" i="3"/>
  <c r="F1930" i="3"/>
  <c r="G1930" i="3"/>
  <c r="H1930" i="3"/>
  <c r="I1930" i="3"/>
  <c r="A1931" i="3"/>
  <c r="B1931" i="3"/>
  <c r="C1931" i="3"/>
  <c r="D1931" i="3"/>
  <c r="E1931" i="3"/>
  <c r="F1931" i="3"/>
  <c r="G1931" i="3"/>
  <c r="H1931" i="3"/>
  <c r="I1931" i="3" s="1"/>
  <c r="A1932" i="3"/>
  <c r="B1932" i="3"/>
  <c r="C1932" i="3"/>
  <c r="D1932" i="3"/>
  <c r="E1932" i="3"/>
  <c r="F1932" i="3"/>
  <c r="H1932" i="3" s="1"/>
  <c r="G1932" i="3"/>
  <c r="A1933" i="3"/>
  <c r="B1933" i="3"/>
  <c r="C1933" i="3"/>
  <c r="I1933" i="3" s="1"/>
  <c r="D1933" i="3"/>
  <c r="E1933" i="3"/>
  <c r="F1933" i="3"/>
  <c r="G1933" i="3"/>
  <c r="H1933" i="3"/>
  <c r="A1934" i="3"/>
  <c r="B1934" i="3"/>
  <c r="C1934" i="3"/>
  <c r="D1934" i="3"/>
  <c r="E1934" i="3"/>
  <c r="F1934" i="3"/>
  <c r="G1934" i="3"/>
  <c r="H1934" i="3"/>
  <c r="I1934" i="3"/>
  <c r="A1935" i="3"/>
  <c r="B1935" i="3"/>
  <c r="C1935" i="3"/>
  <c r="D1935" i="3"/>
  <c r="E1935" i="3"/>
  <c r="F1935" i="3"/>
  <c r="G1935" i="3"/>
  <c r="H1935" i="3"/>
  <c r="I1935" i="3" s="1"/>
  <c r="A1936" i="3"/>
  <c r="B1936" i="3"/>
  <c r="C1936" i="3"/>
  <c r="I1936" i="3" s="1"/>
  <c r="D1936" i="3"/>
  <c r="E1936" i="3"/>
  <c r="F1936" i="3"/>
  <c r="H1936" i="3" s="1"/>
  <c r="G1936" i="3"/>
  <c r="A1937" i="3"/>
  <c r="B1937" i="3"/>
  <c r="C1937" i="3"/>
  <c r="I1937" i="3" s="1"/>
  <c r="D1937" i="3"/>
  <c r="E1937" i="3"/>
  <c r="F1937" i="3"/>
  <c r="G1937" i="3"/>
  <c r="H1937" i="3"/>
  <c r="A1938" i="3"/>
  <c r="B1938" i="3"/>
  <c r="C1938" i="3"/>
  <c r="D1938" i="3"/>
  <c r="E1938" i="3"/>
  <c r="F1938" i="3"/>
  <c r="G1938" i="3"/>
  <c r="H1938" i="3"/>
  <c r="I1938" i="3"/>
  <c r="A1939" i="3"/>
  <c r="B1939" i="3"/>
  <c r="C1939" i="3"/>
  <c r="D1939" i="3"/>
  <c r="E1939" i="3"/>
  <c r="F1939" i="3"/>
  <c r="G1939" i="3"/>
  <c r="H1939" i="3"/>
  <c r="I1939" i="3" s="1"/>
  <c r="A1940" i="3"/>
  <c r="B1940" i="3"/>
  <c r="C1940" i="3"/>
  <c r="D1940" i="3"/>
  <c r="E1940" i="3"/>
  <c r="F1940" i="3"/>
  <c r="H1940" i="3" s="1"/>
  <c r="G1940" i="3"/>
  <c r="A1941" i="3"/>
  <c r="B1941" i="3"/>
  <c r="C1941" i="3"/>
  <c r="I1941" i="3" s="1"/>
  <c r="D1941" i="3"/>
  <c r="E1941" i="3"/>
  <c r="F1941" i="3"/>
  <c r="G1941" i="3"/>
  <c r="H1941" i="3"/>
  <c r="A1942" i="3"/>
  <c r="B1942" i="3"/>
  <c r="C1942" i="3"/>
  <c r="D1942" i="3"/>
  <c r="E1942" i="3"/>
  <c r="F1942" i="3"/>
  <c r="G1942" i="3"/>
  <c r="H1942" i="3"/>
  <c r="I1942" i="3"/>
  <c r="A1943" i="3"/>
  <c r="B1943" i="3"/>
  <c r="C1943" i="3"/>
  <c r="D1943" i="3"/>
  <c r="E1943" i="3"/>
  <c r="F1943" i="3"/>
  <c r="G1943" i="3"/>
  <c r="H1943" i="3"/>
  <c r="I1943" i="3" s="1"/>
  <c r="A1944" i="3"/>
  <c r="B1944" i="3"/>
  <c r="C1944" i="3"/>
  <c r="D1944" i="3"/>
  <c r="E1944" i="3"/>
  <c r="F1944" i="3"/>
  <c r="H1944" i="3" s="1"/>
  <c r="G1944" i="3"/>
  <c r="A1945" i="3"/>
  <c r="B1945" i="3"/>
  <c r="C1945" i="3"/>
  <c r="I1945" i="3" s="1"/>
  <c r="D1945" i="3"/>
  <c r="E1945" i="3"/>
  <c r="F1945" i="3"/>
  <c r="G1945" i="3"/>
  <c r="H1945" i="3"/>
  <c r="A1946" i="3"/>
  <c r="B1946" i="3"/>
  <c r="C1946" i="3"/>
  <c r="D1946" i="3"/>
  <c r="E1946" i="3"/>
  <c r="F1946" i="3"/>
  <c r="G1946" i="3"/>
  <c r="H1946" i="3"/>
  <c r="I1946" i="3"/>
  <c r="A1947" i="3"/>
  <c r="B1947" i="3"/>
  <c r="C1947" i="3"/>
  <c r="D1947" i="3"/>
  <c r="E1947" i="3"/>
  <c r="F1947" i="3"/>
  <c r="G1947" i="3"/>
  <c r="H1947" i="3"/>
  <c r="I1947" i="3" s="1"/>
  <c r="A1948" i="3"/>
  <c r="B1948" i="3"/>
  <c r="C1948" i="3"/>
  <c r="I1948" i="3" s="1"/>
  <c r="D1948" i="3"/>
  <c r="E1948" i="3"/>
  <c r="F1948" i="3"/>
  <c r="H1948" i="3" s="1"/>
  <c r="G1948" i="3"/>
  <c r="A1949" i="3"/>
  <c r="B1949" i="3"/>
  <c r="C1949" i="3"/>
  <c r="I1949" i="3" s="1"/>
  <c r="D1949" i="3"/>
  <c r="E1949" i="3"/>
  <c r="F1949" i="3"/>
  <c r="G1949" i="3"/>
  <c r="H1949" i="3"/>
  <c r="A1950" i="3"/>
  <c r="B1950" i="3"/>
  <c r="C1950" i="3"/>
  <c r="D1950" i="3"/>
  <c r="E1950" i="3"/>
  <c r="F1950" i="3"/>
  <c r="G1950" i="3"/>
  <c r="H1950" i="3"/>
  <c r="I1950" i="3"/>
  <c r="A1951" i="3"/>
  <c r="B1951" i="3"/>
  <c r="C1951" i="3"/>
  <c r="D1951" i="3"/>
  <c r="E1951" i="3"/>
  <c r="F1951" i="3"/>
  <c r="G1951" i="3"/>
  <c r="H1951" i="3"/>
  <c r="I1951" i="3" s="1"/>
  <c r="A1952" i="3"/>
  <c r="B1952" i="3"/>
  <c r="C1952" i="3"/>
  <c r="D1952" i="3"/>
  <c r="E1952" i="3"/>
  <c r="F1952" i="3"/>
  <c r="H1952" i="3" s="1"/>
  <c r="G1952" i="3"/>
  <c r="A1953" i="3"/>
  <c r="B1953" i="3"/>
  <c r="C1953" i="3"/>
  <c r="I1953" i="3" s="1"/>
  <c r="D1953" i="3"/>
  <c r="E1953" i="3"/>
  <c r="F1953" i="3"/>
  <c r="G1953" i="3"/>
  <c r="H1953" i="3"/>
  <c r="A1954" i="3"/>
  <c r="B1954" i="3"/>
  <c r="C1954" i="3"/>
  <c r="D1954" i="3"/>
  <c r="E1954" i="3"/>
  <c r="F1954" i="3"/>
  <c r="G1954" i="3"/>
  <c r="H1954" i="3"/>
  <c r="I1954" i="3"/>
  <c r="A1955" i="3"/>
  <c r="B1955" i="3"/>
  <c r="C1955" i="3"/>
  <c r="D1955" i="3"/>
  <c r="E1955" i="3"/>
  <c r="F1955" i="3"/>
  <c r="G1955" i="3"/>
  <c r="H1955" i="3"/>
  <c r="I1955" i="3" s="1"/>
  <c r="A1956" i="3"/>
  <c r="B1956" i="3"/>
  <c r="C1956" i="3"/>
  <c r="D1956" i="3"/>
  <c r="E1956" i="3"/>
  <c r="F1956" i="3"/>
  <c r="H1956" i="3" s="1"/>
  <c r="G1956" i="3"/>
  <c r="A1957" i="3"/>
  <c r="B1957" i="3"/>
  <c r="C1957" i="3"/>
  <c r="I1957" i="3" s="1"/>
  <c r="D1957" i="3"/>
  <c r="E1957" i="3"/>
  <c r="F1957" i="3"/>
  <c r="G1957" i="3"/>
  <c r="H1957" i="3"/>
  <c r="A1958" i="3"/>
  <c r="B1958" i="3"/>
  <c r="C1958" i="3"/>
  <c r="D1958" i="3"/>
  <c r="E1958" i="3"/>
  <c r="F1958" i="3"/>
  <c r="H1958" i="3" s="1"/>
  <c r="I1958" i="3" s="1"/>
  <c r="G1958" i="3"/>
  <c r="A1959" i="3"/>
  <c r="B1959" i="3"/>
  <c r="C1959" i="3"/>
  <c r="D1959" i="3"/>
  <c r="E1959" i="3"/>
  <c r="F1959" i="3"/>
  <c r="G1959" i="3"/>
  <c r="H1959" i="3"/>
  <c r="I1959" i="3" s="1"/>
  <c r="A1960" i="3"/>
  <c r="B1960" i="3"/>
  <c r="C1960" i="3"/>
  <c r="D1960" i="3"/>
  <c r="E1960" i="3"/>
  <c r="F1960" i="3"/>
  <c r="H1960" i="3" s="1"/>
  <c r="G1960" i="3"/>
  <c r="A1961" i="3"/>
  <c r="B1961" i="3"/>
  <c r="C1961" i="3"/>
  <c r="I1961" i="3" s="1"/>
  <c r="D1961" i="3"/>
  <c r="E1961" i="3"/>
  <c r="F1961" i="3"/>
  <c r="G1961" i="3"/>
  <c r="H1961" i="3"/>
  <c r="A1962" i="3"/>
  <c r="B1962" i="3"/>
  <c r="C1962" i="3"/>
  <c r="D1962" i="3"/>
  <c r="E1962" i="3"/>
  <c r="F1962" i="3"/>
  <c r="H1962" i="3" s="1"/>
  <c r="I1962" i="3" s="1"/>
  <c r="G1962" i="3"/>
  <c r="A1963" i="3"/>
  <c r="B1963" i="3"/>
  <c r="C1963" i="3"/>
  <c r="D1963" i="3"/>
  <c r="E1963" i="3"/>
  <c r="F1963" i="3"/>
  <c r="G1963" i="3"/>
  <c r="H1963" i="3"/>
  <c r="I1963" i="3" s="1"/>
  <c r="A1964" i="3"/>
  <c r="B1964" i="3"/>
  <c r="C1964" i="3"/>
  <c r="D1964" i="3"/>
  <c r="E1964" i="3"/>
  <c r="F1964" i="3"/>
  <c r="H1964" i="3" s="1"/>
  <c r="G1964" i="3"/>
  <c r="A1965" i="3"/>
  <c r="B1965" i="3"/>
  <c r="C1965" i="3"/>
  <c r="I1965" i="3" s="1"/>
  <c r="D1965" i="3"/>
  <c r="E1965" i="3"/>
  <c r="F1965" i="3"/>
  <c r="G1965" i="3"/>
  <c r="H1965" i="3"/>
  <c r="A1966" i="3"/>
  <c r="B1966" i="3"/>
  <c r="C1966" i="3"/>
  <c r="D1966" i="3"/>
  <c r="E1966" i="3"/>
  <c r="F1966" i="3"/>
  <c r="H1966" i="3" s="1"/>
  <c r="I1966" i="3" s="1"/>
  <c r="G1966" i="3"/>
  <c r="A1967" i="3"/>
  <c r="B1967" i="3"/>
  <c r="C1967" i="3"/>
  <c r="D1967" i="3"/>
  <c r="E1967" i="3"/>
  <c r="F1967" i="3"/>
  <c r="G1967" i="3"/>
  <c r="H1967" i="3"/>
  <c r="I1967" i="3" s="1"/>
  <c r="A1968" i="3"/>
  <c r="B1968" i="3"/>
  <c r="C1968" i="3"/>
  <c r="D1968" i="3"/>
  <c r="E1968" i="3"/>
  <c r="F1968" i="3"/>
  <c r="H1968" i="3" s="1"/>
  <c r="G1968" i="3"/>
  <c r="A1969" i="3"/>
  <c r="B1969" i="3"/>
  <c r="C1969" i="3"/>
  <c r="I1969" i="3" s="1"/>
  <c r="D1969" i="3"/>
  <c r="E1969" i="3"/>
  <c r="F1969" i="3"/>
  <c r="G1969" i="3"/>
  <c r="H1969" i="3"/>
  <c r="A1970" i="3"/>
  <c r="B1970" i="3"/>
  <c r="C1970" i="3"/>
  <c r="D1970" i="3"/>
  <c r="E1970" i="3"/>
  <c r="F1970" i="3"/>
  <c r="H1970" i="3" s="1"/>
  <c r="I1970" i="3" s="1"/>
  <c r="G1970" i="3"/>
  <c r="A1971" i="3"/>
  <c r="B1971" i="3"/>
  <c r="C1971" i="3"/>
  <c r="D1971" i="3"/>
  <c r="E1971" i="3"/>
  <c r="F1971" i="3"/>
  <c r="G1971" i="3"/>
  <c r="H1971" i="3"/>
  <c r="I1971" i="3" s="1"/>
  <c r="A1972" i="3"/>
  <c r="B1972" i="3"/>
  <c r="C1972" i="3"/>
  <c r="D1972" i="3"/>
  <c r="E1972" i="3"/>
  <c r="F1972" i="3"/>
  <c r="H1972" i="3" s="1"/>
  <c r="G1972" i="3"/>
  <c r="A1973" i="3"/>
  <c r="B1973" i="3"/>
  <c r="C1973" i="3"/>
  <c r="I1973" i="3" s="1"/>
  <c r="D1973" i="3"/>
  <c r="E1973" i="3"/>
  <c r="F1973" i="3"/>
  <c r="G1973" i="3"/>
  <c r="H1973" i="3"/>
  <c r="A1974" i="3"/>
  <c r="B1974" i="3"/>
  <c r="C1974" i="3"/>
  <c r="D1974" i="3"/>
  <c r="E1974" i="3"/>
  <c r="F1974" i="3"/>
  <c r="H1974" i="3" s="1"/>
  <c r="I1974" i="3" s="1"/>
  <c r="G1974" i="3"/>
  <c r="A1975" i="3"/>
  <c r="B1975" i="3"/>
  <c r="C1975" i="3"/>
  <c r="D1975" i="3"/>
  <c r="E1975" i="3"/>
  <c r="F1975" i="3"/>
  <c r="G1975" i="3"/>
  <c r="H1975" i="3"/>
  <c r="I1975" i="3" s="1"/>
  <c r="A1976" i="3"/>
  <c r="B1976" i="3"/>
  <c r="C1976" i="3"/>
  <c r="D1976" i="3"/>
  <c r="E1976" i="3"/>
  <c r="F1976" i="3"/>
  <c r="H1976" i="3" s="1"/>
  <c r="G1976" i="3"/>
  <c r="A1977" i="3"/>
  <c r="B1977" i="3"/>
  <c r="C1977" i="3"/>
  <c r="I1977" i="3" s="1"/>
  <c r="D1977" i="3"/>
  <c r="E1977" i="3"/>
  <c r="F1977" i="3"/>
  <c r="G1977" i="3"/>
  <c r="H1977" i="3"/>
  <c r="A1978" i="3"/>
  <c r="B1978" i="3"/>
  <c r="C1978" i="3"/>
  <c r="D1978" i="3"/>
  <c r="E1978" i="3"/>
  <c r="F1978" i="3"/>
  <c r="H1978" i="3" s="1"/>
  <c r="I1978" i="3" s="1"/>
  <c r="G1978" i="3"/>
  <c r="A1979" i="3"/>
  <c r="B1979" i="3"/>
  <c r="C1979" i="3"/>
  <c r="D1979" i="3"/>
  <c r="E1979" i="3"/>
  <c r="F1979" i="3"/>
  <c r="G1979" i="3"/>
  <c r="H1979" i="3"/>
  <c r="I1979" i="3" s="1"/>
  <c r="A1980" i="3"/>
  <c r="B1980" i="3"/>
  <c r="C1980" i="3"/>
  <c r="D1980" i="3"/>
  <c r="E1980" i="3"/>
  <c r="F1980" i="3"/>
  <c r="H1980" i="3" s="1"/>
  <c r="G1980" i="3"/>
  <c r="A1981" i="3"/>
  <c r="B1981" i="3"/>
  <c r="C1981" i="3"/>
  <c r="I1981" i="3" s="1"/>
  <c r="D1981" i="3"/>
  <c r="E1981" i="3"/>
  <c r="F1981" i="3"/>
  <c r="G1981" i="3"/>
  <c r="H1981" i="3"/>
  <c r="A1982" i="3"/>
  <c r="B1982" i="3"/>
  <c r="C1982" i="3"/>
  <c r="D1982" i="3"/>
  <c r="E1982" i="3"/>
  <c r="F1982" i="3"/>
  <c r="H1982" i="3" s="1"/>
  <c r="I1982" i="3" s="1"/>
  <c r="G1982" i="3"/>
  <c r="A1983" i="3"/>
  <c r="B1983" i="3"/>
  <c r="C1983" i="3"/>
  <c r="D1983" i="3"/>
  <c r="E1983" i="3"/>
  <c r="F1983" i="3"/>
  <c r="G1983" i="3"/>
  <c r="H1983" i="3"/>
  <c r="I1983" i="3" s="1"/>
  <c r="A1984" i="3"/>
  <c r="B1984" i="3"/>
  <c r="C1984" i="3"/>
  <c r="D1984" i="3"/>
  <c r="E1984" i="3"/>
  <c r="F1984" i="3"/>
  <c r="H1984" i="3" s="1"/>
  <c r="G1984" i="3"/>
  <c r="A1985" i="3"/>
  <c r="B1985" i="3"/>
  <c r="C1985" i="3"/>
  <c r="I1985" i="3" s="1"/>
  <c r="D1985" i="3"/>
  <c r="E1985" i="3"/>
  <c r="F1985" i="3"/>
  <c r="G1985" i="3"/>
  <c r="H1985" i="3"/>
  <c r="A1986" i="3"/>
  <c r="B1986" i="3"/>
  <c r="C1986" i="3"/>
  <c r="D1986" i="3"/>
  <c r="E1986" i="3"/>
  <c r="F1986" i="3"/>
  <c r="H1986" i="3" s="1"/>
  <c r="I1986" i="3" s="1"/>
  <c r="G1986" i="3"/>
  <c r="A1987" i="3"/>
  <c r="B1987" i="3"/>
  <c r="C1987" i="3"/>
  <c r="D1987" i="3"/>
  <c r="E1987" i="3"/>
  <c r="F1987" i="3"/>
  <c r="G1987" i="3"/>
  <c r="H1987" i="3"/>
  <c r="I1987" i="3" s="1"/>
  <c r="A1988" i="3"/>
  <c r="B1988" i="3"/>
  <c r="C1988" i="3"/>
  <c r="D1988" i="3"/>
  <c r="E1988" i="3"/>
  <c r="F1988" i="3"/>
  <c r="H1988" i="3" s="1"/>
  <c r="G1988" i="3"/>
  <c r="A1989" i="3"/>
  <c r="B1989" i="3"/>
  <c r="C1989" i="3"/>
  <c r="I1989" i="3" s="1"/>
  <c r="D1989" i="3"/>
  <c r="E1989" i="3"/>
  <c r="F1989" i="3"/>
  <c r="G1989" i="3"/>
  <c r="H1989" i="3"/>
  <c r="A1990" i="3"/>
  <c r="B1990" i="3"/>
  <c r="C1990" i="3"/>
  <c r="D1990" i="3"/>
  <c r="E1990" i="3"/>
  <c r="F1990" i="3"/>
  <c r="H1990" i="3" s="1"/>
  <c r="I1990" i="3" s="1"/>
  <c r="G1990" i="3"/>
  <c r="A1991" i="3"/>
  <c r="B1991" i="3"/>
  <c r="C1991" i="3"/>
  <c r="D1991" i="3"/>
  <c r="E1991" i="3"/>
  <c r="F1991" i="3"/>
  <c r="G1991" i="3"/>
  <c r="H1991" i="3"/>
  <c r="I1991" i="3" s="1"/>
  <c r="A1992" i="3"/>
  <c r="B1992" i="3"/>
  <c r="C1992" i="3"/>
  <c r="D1992" i="3"/>
  <c r="E1992" i="3"/>
  <c r="F1992" i="3"/>
  <c r="H1992" i="3" s="1"/>
  <c r="G1992" i="3"/>
  <c r="A1993" i="3"/>
  <c r="B1993" i="3"/>
  <c r="C1993" i="3"/>
  <c r="I1993" i="3" s="1"/>
  <c r="D1993" i="3"/>
  <c r="E1993" i="3"/>
  <c r="F1993" i="3"/>
  <c r="G1993" i="3"/>
  <c r="H1993" i="3"/>
  <c r="A1994" i="3"/>
  <c r="B1994" i="3"/>
  <c r="C1994" i="3"/>
  <c r="D1994" i="3"/>
  <c r="E1994" i="3"/>
  <c r="F1994" i="3"/>
  <c r="H1994" i="3" s="1"/>
  <c r="I1994" i="3" s="1"/>
  <c r="G1994" i="3"/>
  <c r="A1995" i="3"/>
  <c r="B1995" i="3"/>
  <c r="C1995" i="3"/>
  <c r="D1995" i="3"/>
  <c r="E1995" i="3"/>
  <c r="F1995" i="3"/>
  <c r="G1995" i="3"/>
  <c r="H1995" i="3"/>
  <c r="I1995" i="3" s="1"/>
  <c r="A1996" i="3"/>
  <c r="B1996" i="3"/>
  <c r="C1996" i="3"/>
  <c r="D1996" i="3"/>
  <c r="E1996" i="3"/>
  <c r="F1996" i="3"/>
  <c r="H1996" i="3" s="1"/>
  <c r="G1996" i="3"/>
  <c r="A1997" i="3"/>
  <c r="B1997" i="3"/>
  <c r="C1997" i="3"/>
  <c r="I1997" i="3" s="1"/>
  <c r="D1997" i="3"/>
  <c r="E1997" i="3"/>
  <c r="F1997" i="3"/>
  <c r="G1997" i="3"/>
  <c r="H1997" i="3"/>
  <c r="A1998" i="3"/>
  <c r="B1998" i="3"/>
  <c r="C1998" i="3"/>
  <c r="D1998" i="3"/>
  <c r="E1998" i="3"/>
  <c r="F1998" i="3"/>
  <c r="H1998" i="3" s="1"/>
  <c r="I1998" i="3" s="1"/>
  <c r="G1998" i="3"/>
  <c r="A1999" i="3"/>
  <c r="B1999" i="3"/>
  <c r="C1999" i="3"/>
  <c r="D1999" i="3"/>
  <c r="E1999" i="3"/>
  <c r="F1999" i="3"/>
  <c r="G1999" i="3"/>
  <c r="H1999" i="3"/>
  <c r="I1999" i="3" s="1"/>
  <c r="A2000" i="3"/>
  <c r="B2000" i="3"/>
  <c r="C2000" i="3"/>
  <c r="D2000" i="3"/>
  <c r="E2000" i="3"/>
  <c r="F2000" i="3"/>
  <c r="H2000" i="3" s="1"/>
  <c r="G2000" i="3"/>
  <c r="A2001" i="3"/>
  <c r="B2001" i="3"/>
  <c r="C2001" i="3"/>
  <c r="I2001" i="3" s="1"/>
  <c r="D2001" i="3"/>
  <c r="E2001" i="3"/>
  <c r="F2001" i="3"/>
  <c r="G2001" i="3"/>
  <c r="H2001" i="3"/>
  <c r="H2" i="3"/>
  <c r="I2" i="3" s="1"/>
  <c r="G2" i="3"/>
  <c r="F2" i="3"/>
  <c r="E2" i="3"/>
  <c r="D2" i="3"/>
  <c r="C2" i="3"/>
  <c r="B2" i="3"/>
  <c r="A2" i="3"/>
  <c r="I1804" i="3" l="1"/>
  <c r="I1820" i="3"/>
  <c r="I1812" i="3"/>
  <c r="I1796" i="3"/>
  <c r="I1788" i="3"/>
  <c r="I2000" i="3"/>
  <c r="I1992" i="3"/>
  <c r="I1984" i="3"/>
  <c r="I1976" i="3"/>
  <c r="I1968" i="3"/>
  <c r="I1960" i="3"/>
  <c r="I1780" i="3"/>
  <c r="I1554" i="3"/>
  <c r="I1598" i="3"/>
  <c r="I1952" i="3"/>
  <c r="I1940" i="3"/>
  <c r="I1928" i="3"/>
  <c r="I1916" i="3"/>
  <c r="I1904" i="3"/>
  <c r="I1892" i="3"/>
  <c r="I1880" i="3"/>
  <c r="I1856" i="3"/>
  <c r="I1844" i="3"/>
  <c r="I1832" i="3"/>
  <c r="I1590" i="3"/>
  <c r="I1996" i="3"/>
  <c r="I1988" i="3"/>
  <c r="I1980" i="3"/>
  <c r="I1972" i="3"/>
  <c r="I1964" i="3"/>
  <c r="I1956" i="3"/>
  <c r="I1944" i="3"/>
  <c r="I1932" i="3"/>
  <c r="I1920" i="3"/>
  <c r="I1908" i="3"/>
  <c r="I1896" i="3"/>
  <c r="I1884" i="3"/>
  <c r="I1872" i="3"/>
  <c r="I1860" i="3"/>
  <c r="I1848" i="3"/>
  <c r="I1836" i="3"/>
  <c r="I1550" i="3"/>
  <c r="I1518" i="3"/>
  <c r="I1542" i="3"/>
  <c r="I1578" i="3"/>
  <c r="I1569" i="3"/>
  <c r="I1530" i="3"/>
  <c r="I1521" i="3"/>
  <c r="H1485" i="3"/>
  <c r="I1485" i="3" s="1"/>
  <c r="H1469" i="3"/>
  <c r="H1453" i="3"/>
  <c r="I1453" i="3" s="1"/>
  <c r="I1449" i="3"/>
  <c r="H1437" i="3"/>
  <c r="I1422" i="3"/>
  <c r="H1413" i="3"/>
  <c r="I1373" i="3"/>
  <c r="H1312" i="3"/>
  <c r="I1312" i="3"/>
  <c r="I1278" i="3"/>
  <c r="H1038" i="3"/>
  <c r="I1038" i="3"/>
  <c r="I1005" i="3"/>
  <c r="I1573" i="3"/>
  <c r="I1525" i="3"/>
  <c r="I1504" i="3"/>
  <c r="I1371" i="3"/>
  <c r="H1223" i="3"/>
  <c r="I1223" i="3"/>
  <c r="H1207" i="3"/>
  <c r="I1207" i="3"/>
  <c r="H1191" i="3"/>
  <c r="I1191" i="3" s="1"/>
  <c r="H1323" i="3"/>
  <c r="I1323" i="3"/>
  <c r="I1577" i="3"/>
  <c r="I1529" i="3"/>
  <c r="I1393" i="3"/>
  <c r="I1365" i="3"/>
  <c r="I1565" i="3"/>
  <c r="H1264" i="3"/>
  <c r="I1264" i="3" s="1"/>
  <c r="H1220" i="3"/>
  <c r="I1220" i="3" s="1"/>
  <c r="H1204" i="3"/>
  <c r="I1204" i="3"/>
  <c r="H1188" i="3"/>
  <c r="I1188" i="3"/>
  <c r="I1581" i="3"/>
  <c r="I1533" i="3"/>
  <c r="I1508" i="3"/>
  <c r="I1501" i="3"/>
  <c r="H1489" i="3"/>
  <c r="H1473" i="3"/>
  <c r="I1473" i="3" s="1"/>
  <c r="I1469" i="3"/>
  <c r="H1457" i="3"/>
  <c r="H1441" i="3"/>
  <c r="I1441" i="3" s="1"/>
  <c r="I1437" i="3"/>
  <c r="I1414" i="3"/>
  <c r="I1413" i="3"/>
  <c r="I1363" i="3"/>
  <c r="I1360" i="3"/>
  <c r="I1326" i="3"/>
  <c r="I1585" i="3"/>
  <c r="I1537" i="3"/>
  <c r="I1386" i="3"/>
  <c r="H1316" i="3"/>
  <c r="I1316" i="3"/>
  <c r="H1240" i="3"/>
  <c r="I1240" i="3"/>
  <c r="I1589" i="3"/>
  <c r="I1587" i="3"/>
  <c r="I1541" i="3"/>
  <c r="I1539" i="3"/>
  <c r="I1510" i="3"/>
  <c r="I1505" i="3"/>
  <c r="I1490" i="3"/>
  <c r="I1474" i="3"/>
  <c r="I1458" i="3"/>
  <c r="I1442" i="3"/>
  <c r="I1425" i="3"/>
  <c r="I1405" i="3"/>
  <c r="I1307" i="3"/>
  <c r="I1299" i="3"/>
  <c r="I1259" i="3"/>
  <c r="I1215" i="3"/>
  <c r="I1199" i="3"/>
  <c r="I1183" i="3"/>
  <c r="H1152" i="3"/>
  <c r="I1152" i="3" s="1"/>
  <c r="I1517" i="3"/>
  <c r="I1593" i="3"/>
  <c r="I1545" i="3"/>
  <c r="H1493" i="3"/>
  <c r="I1493" i="3" s="1"/>
  <c r="I1489" i="3"/>
  <c r="H1477" i="3"/>
  <c r="H1461" i="3"/>
  <c r="I1457" i="3"/>
  <c r="H1445" i="3"/>
  <c r="H1429" i="3"/>
  <c r="I1429" i="3" s="1"/>
  <c r="I1377" i="3"/>
  <c r="I1352" i="3"/>
  <c r="I1597" i="3"/>
  <c r="I1595" i="3"/>
  <c r="I1558" i="3"/>
  <c r="I1549" i="3"/>
  <c r="I1547" i="3"/>
  <c r="I1516" i="3"/>
  <c r="I1514" i="3"/>
  <c r="I1509" i="3"/>
  <c r="I1601" i="3"/>
  <c r="I1599" i="3"/>
  <c r="I1553" i="3"/>
  <c r="I1551" i="3"/>
  <c r="I1494" i="3"/>
  <c r="I1478" i="3"/>
  <c r="I1462" i="3"/>
  <c r="I1446" i="3"/>
  <c r="I1430" i="3"/>
  <c r="H1275" i="3"/>
  <c r="I1275" i="3"/>
  <c r="I1605" i="3"/>
  <c r="I1557" i="3"/>
  <c r="I1513" i="3"/>
  <c r="H1497" i="3"/>
  <c r="I1497" i="3" s="1"/>
  <c r="H1481" i="3"/>
  <c r="I1481" i="3" s="1"/>
  <c r="I1477" i="3"/>
  <c r="H1465" i="3"/>
  <c r="I1465" i="3" s="1"/>
  <c r="I1461" i="3"/>
  <c r="H1449" i="3"/>
  <c r="I1445" i="3"/>
  <c r="H1433" i="3"/>
  <c r="I1433" i="3" s="1"/>
  <c r="I1390" i="3"/>
  <c r="I1389" i="3"/>
  <c r="I1356" i="3"/>
  <c r="I1355" i="3"/>
  <c r="I1347" i="3"/>
  <c r="I1410" i="3"/>
  <c r="I1378" i="3"/>
  <c r="I1376" i="3"/>
  <c r="I1330" i="3"/>
  <c r="I1328" i="3"/>
  <c r="I1282" i="3"/>
  <c r="I1226" i="3"/>
  <c r="I1224" i="3"/>
  <c r="H1214" i="3"/>
  <c r="I1214" i="3" s="1"/>
  <c r="I1210" i="3"/>
  <c r="I1208" i="3"/>
  <c r="H1198" i="3"/>
  <c r="I1194" i="3"/>
  <c r="I1192" i="3"/>
  <c r="H1182" i="3"/>
  <c r="I1178" i="3"/>
  <c r="I1176" i="3"/>
  <c r="I1166" i="3"/>
  <c r="I1164" i="3"/>
  <c r="I1163" i="3"/>
  <c r="I1035" i="3"/>
  <c r="I965" i="3"/>
  <c r="H942" i="3"/>
  <c r="I942" i="3"/>
  <c r="I1334" i="3"/>
  <c r="I1286" i="3"/>
  <c r="I1250" i="3"/>
  <c r="I1175" i="3"/>
  <c r="I1138" i="3"/>
  <c r="I1135" i="3"/>
  <c r="I1127" i="3"/>
  <c r="I1119" i="3"/>
  <c r="I1111" i="3"/>
  <c r="I1103" i="3"/>
  <c r="I1095" i="3"/>
  <c r="I1087" i="3"/>
  <c r="I1079" i="3"/>
  <c r="I1071" i="3"/>
  <c r="I1063" i="3"/>
  <c r="I1057" i="3"/>
  <c r="I1052" i="3"/>
  <c r="I981" i="3"/>
  <c r="I973" i="3"/>
  <c r="H945" i="3"/>
  <c r="I945" i="3" s="1"/>
  <c r="I1338" i="3"/>
  <c r="I1290" i="3"/>
  <c r="I1158" i="3"/>
  <c r="I1155" i="3"/>
  <c r="I1130" i="3"/>
  <c r="I1122" i="3"/>
  <c r="I1114" i="3"/>
  <c r="I1106" i="3"/>
  <c r="I1098" i="3"/>
  <c r="I1090" i="3"/>
  <c r="I1082" i="3"/>
  <c r="I1074" i="3"/>
  <c r="I1066" i="3"/>
  <c r="I989" i="3"/>
  <c r="I939" i="3"/>
  <c r="I1342" i="3"/>
  <c r="I1340" i="3"/>
  <c r="I1294" i="3"/>
  <c r="I1292" i="3"/>
  <c r="I1254" i="3"/>
  <c r="I1252" i="3"/>
  <c r="I1230" i="3"/>
  <c r="I1228" i="3"/>
  <c r="H1218" i="3"/>
  <c r="I1212" i="3"/>
  <c r="H1202" i="3"/>
  <c r="I1198" i="3"/>
  <c r="I1196" i="3"/>
  <c r="H1186" i="3"/>
  <c r="I1182" i="3"/>
  <c r="I1180" i="3"/>
  <c r="H1128" i="3"/>
  <c r="I1128" i="3" s="1"/>
  <c r="H1120" i="3"/>
  <c r="I1120" i="3" s="1"/>
  <c r="H1112" i="3"/>
  <c r="I1112" i="3"/>
  <c r="H1104" i="3"/>
  <c r="I1104" i="3"/>
  <c r="H1096" i="3"/>
  <c r="I1096" i="3" s="1"/>
  <c r="H1088" i="3"/>
  <c r="I1088" i="3" s="1"/>
  <c r="H1080" i="3"/>
  <c r="I1080" i="3" s="1"/>
  <c r="H1072" i="3"/>
  <c r="I1072" i="3" s="1"/>
  <c r="H1064" i="3"/>
  <c r="I1064" i="3"/>
  <c r="H1053" i="3"/>
  <c r="I1053" i="3" s="1"/>
  <c r="I1041" i="3"/>
  <c r="H1001" i="3"/>
  <c r="I1001" i="3" s="1"/>
  <c r="H969" i="3"/>
  <c r="I969" i="3" s="1"/>
  <c r="I1344" i="3"/>
  <c r="I1298" i="3"/>
  <c r="I1296" i="3"/>
  <c r="I1170" i="3"/>
  <c r="I1168" i="3"/>
  <c r="I1150" i="3"/>
  <c r="I1148" i="3"/>
  <c r="I1147" i="3"/>
  <c r="H990" i="3"/>
  <c r="I990" i="3" s="1"/>
  <c r="I1350" i="3"/>
  <c r="I1302" i="3"/>
  <c r="I1258" i="3"/>
  <c r="I1256" i="3"/>
  <c r="I1234" i="3"/>
  <c r="I1232" i="3"/>
  <c r="I1167" i="3"/>
  <c r="I1306" i="3"/>
  <c r="I1218" i="3"/>
  <c r="I1202" i="3"/>
  <c r="I1186" i="3"/>
  <c r="I1362" i="3"/>
  <c r="I1314" i="3"/>
  <c r="I1266" i="3"/>
  <c r="I1172" i="3"/>
  <c r="H1005" i="3"/>
  <c r="H858" i="3"/>
  <c r="I858" i="3"/>
  <c r="I1318" i="3"/>
  <c r="I1270" i="3"/>
  <c r="I1242" i="3"/>
  <c r="I1171" i="3"/>
  <c r="H1132" i="3"/>
  <c r="I1132" i="3" s="1"/>
  <c r="H1124" i="3"/>
  <c r="I1124" i="3" s="1"/>
  <c r="H1116" i="3"/>
  <c r="I1116" i="3" s="1"/>
  <c r="H1108" i="3"/>
  <c r="I1108" i="3"/>
  <c r="H1100" i="3"/>
  <c r="I1100" i="3"/>
  <c r="H1092" i="3"/>
  <c r="I1092" i="3" s="1"/>
  <c r="H1084" i="3"/>
  <c r="I1084" i="3" s="1"/>
  <c r="H1076" i="3"/>
  <c r="I1076" i="3" s="1"/>
  <c r="H1068" i="3"/>
  <c r="I1068" i="3" s="1"/>
  <c r="I1370" i="3"/>
  <c r="I1322" i="3"/>
  <c r="I1274" i="3"/>
  <c r="H1049" i="3"/>
  <c r="I1049" i="3" s="1"/>
  <c r="H994" i="3"/>
  <c r="I1056" i="3"/>
  <c r="I972" i="3"/>
  <c r="H966" i="3"/>
  <c r="I966" i="3" s="1"/>
  <c r="I948" i="3"/>
  <c r="I932" i="3"/>
  <c r="H830" i="3"/>
  <c r="I830" i="3"/>
  <c r="H595" i="3"/>
  <c r="I595" i="3" s="1"/>
  <c r="I1060" i="3"/>
  <c r="I1058" i="3"/>
  <c r="I1021" i="3"/>
  <c r="I1012" i="3"/>
  <c r="I1010" i="3"/>
  <c r="H930" i="3"/>
  <c r="I930" i="3" s="1"/>
  <c r="H924" i="3"/>
  <c r="H918" i="3"/>
  <c r="I918" i="3"/>
  <c r="H912" i="3"/>
  <c r="I912" i="3" s="1"/>
  <c r="H906" i="3"/>
  <c r="I906" i="3" s="1"/>
  <c r="H900" i="3"/>
  <c r="I900" i="3" s="1"/>
  <c r="H894" i="3"/>
  <c r="I894" i="3"/>
  <c r="H882" i="3"/>
  <c r="I882" i="3"/>
  <c r="H870" i="3"/>
  <c r="I870" i="3" s="1"/>
  <c r="H850" i="3"/>
  <c r="I850" i="3"/>
  <c r="I824" i="3"/>
  <c r="I821" i="3"/>
  <c r="H715" i="3"/>
  <c r="I715" i="3" s="1"/>
  <c r="H650" i="3"/>
  <c r="I650" i="3" s="1"/>
  <c r="I1016" i="3"/>
  <c r="I1014" i="3"/>
  <c r="I976" i="3"/>
  <c r="I974" i="3"/>
  <c r="H970" i="3"/>
  <c r="I970" i="3" s="1"/>
  <c r="I952" i="3"/>
  <c r="I950" i="3"/>
  <c r="H946" i="3"/>
  <c r="I946" i="3" s="1"/>
  <c r="I841" i="3"/>
  <c r="H822" i="3"/>
  <c r="I822" i="3"/>
  <c r="I813" i="3"/>
  <c r="I805" i="3"/>
  <c r="I797" i="3"/>
  <c r="I789" i="3"/>
  <c r="I781" i="3"/>
  <c r="I773" i="3"/>
  <c r="I765" i="3"/>
  <c r="I757" i="3"/>
  <c r="I749" i="3"/>
  <c r="I741" i="3"/>
  <c r="I647" i="3"/>
  <c r="I1029" i="3"/>
  <c r="I1020" i="3"/>
  <c r="I1018" i="3"/>
  <c r="I864" i="3"/>
  <c r="H842" i="3"/>
  <c r="I842" i="3"/>
  <c r="I816" i="3"/>
  <c r="I808" i="3"/>
  <c r="I800" i="3"/>
  <c r="I792" i="3"/>
  <c r="I784" i="3"/>
  <c r="I776" i="3"/>
  <c r="I768" i="3"/>
  <c r="I760" i="3"/>
  <c r="I752" i="3"/>
  <c r="I744" i="3"/>
  <c r="I736" i="3"/>
  <c r="H729" i="3"/>
  <c r="I729" i="3"/>
  <c r="H691" i="3"/>
  <c r="I691" i="3" s="1"/>
  <c r="H626" i="3"/>
  <c r="I626" i="3"/>
  <c r="I1033" i="3"/>
  <c r="I1024" i="3"/>
  <c r="I1022" i="3"/>
  <c r="I985" i="3"/>
  <c r="I980" i="3"/>
  <c r="I978" i="3"/>
  <c r="I961" i="3"/>
  <c r="I956" i="3"/>
  <c r="I954" i="3"/>
  <c r="I936" i="3"/>
  <c r="I924" i="3"/>
  <c r="H862" i="3"/>
  <c r="I862" i="3" s="1"/>
  <c r="I836" i="3"/>
  <c r="I833" i="3"/>
  <c r="I1028" i="3"/>
  <c r="H934" i="3"/>
  <c r="I934" i="3"/>
  <c r="H928" i="3"/>
  <c r="I928" i="3" s="1"/>
  <c r="H922" i="3"/>
  <c r="I922" i="3" s="1"/>
  <c r="H916" i="3"/>
  <c r="H910" i="3"/>
  <c r="I910" i="3"/>
  <c r="H904" i="3"/>
  <c r="H898" i="3"/>
  <c r="I898" i="3" s="1"/>
  <c r="H886" i="3"/>
  <c r="I886" i="3"/>
  <c r="H874" i="3"/>
  <c r="I874" i="3"/>
  <c r="I853" i="3"/>
  <c r="H834" i="3"/>
  <c r="I834" i="3"/>
  <c r="H602" i="3"/>
  <c r="I602" i="3"/>
  <c r="I1032" i="3"/>
  <c r="I984" i="3"/>
  <c r="I982" i="3"/>
  <c r="I960" i="3"/>
  <c r="I958" i="3"/>
  <c r="H854" i="3"/>
  <c r="I854" i="3"/>
  <c r="H722" i="3"/>
  <c r="I722" i="3" s="1"/>
  <c r="H486" i="3"/>
  <c r="I486" i="3"/>
  <c r="I1036" i="3"/>
  <c r="I988" i="3"/>
  <c r="I940" i="3"/>
  <c r="I848" i="3"/>
  <c r="H826" i="3"/>
  <c r="I826" i="3"/>
  <c r="I719" i="3"/>
  <c r="I1040" i="3"/>
  <c r="I992" i="3"/>
  <c r="I964" i="3"/>
  <c r="H938" i="3"/>
  <c r="I938" i="3"/>
  <c r="I916" i="3"/>
  <c r="I904" i="3"/>
  <c r="H846" i="3"/>
  <c r="I846" i="3"/>
  <c r="H698" i="3"/>
  <c r="I698" i="3"/>
  <c r="H643" i="3"/>
  <c r="I643" i="3" s="1"/>
  <c r="H578" i="3"/>
  <c r="I578" i="3" s="1"/>
  <c r="I1044" i="3"/>
  <c r="I1042" i="3"/>
  <c r="I996" i="3"/>
  <c r="I994" i="3"/>
  <c r="H932" i="3"/>
  <c r="H926" i="3"/>
  <c r="I926" i="3"/>
  <c r="H920" i="3"/>
  <c r="I920" i="3" s="1"/>
  <c r="H914" i="3"/>
  <c r="I914" i="3" s="1"/>
  <c r="H908" i="3"/>
  <c r="I908" i="3" s="1"/>
  <c r="H902" i="3"/>
  <c r="I902" i="3"/>
  <c r="H890" i="3"/>
  <c r="I890" i="3"/>
  <c r="H878" i="3"/>
  <c r="I878" i="3" s="1"/>
  <c r="H866" i="3"/>
  <c r="I866" i="3"/>
  <c r="I840" i="3"/>
  <c r="I837" i="3"/>
  <c r="I812" i="3"/>
  <c r="I804" i="3"/>
  <c r="I796" i="3"/>
  <c r="I788" i="3"/>
  <c r="I780" i="3"/>
  <c r="I772" i="3"/>
  <c r="I764" i="3"/>
  <c r="I756" i="3"/>
  <c r="I748" i="3"/>
  <c r="I740" i="3"/>
  <c r="I1048" i="3"/>
  <c r="I1000" i="3"/>
  <c r="I968" i="3"/>
  <c r="H962" i="3"/>
  <c r="I962" i="3" s="1"/>
  <c r="I944" i="3"/>
  <c r="I860" i="3"/>
  <c r="I857" i="3"/>
  <c r="H838" i="3"/>
  <c r="I838" i="3" s="1"/>
  <c r="H733" i="3"/>
  <c r="I733" i="3" s="1"/>
  <c r="H674" i="3"/>
  <c r="I674" i="3"/>
  <c r="H619" i="3"/>
  <c r="I619" i="3" s="1"/>
  <c r="I725" i="3"/>
  <c r="I723" i="3"/>
  <c r="I701" i="3"/>
  <c r="I699" i="3"/>
  <c r="I677" i="3"/>
  <c r="I675" i="3"/>
  <c r="I653" i="3"/>
  <c r="I651" i="3"/>
  <c r="I629" i="3"/>
  <c r="I627" i="3"/>
  <c r="I605" i="3"/>
  <c r="I603" i="3"/>
  <c r="I581" i="3"/>
  <c r="I579" i="3"/>
  <c r="H497" i="3"/>
  <c r="I497" i="3"/>
  <c r="I818" i="3"/>
  <c r="I814" i="3"/>
  <c r="I810" i="3"/>
  <c r="I806" i="3"/>
  <c r="I802" i="3"/>
  <c r="I798" i="3"/>
  <c r="I794" i="3"/>
  <c r="I790" i="3"/>
  <c r="I786" i="3"/>
  <c r="I782" i="3"/>
  <c r="I778" i="3"/>
  <c r="I774" i="3"/>
  <c r="I770" i="3"/>
  <c r="I766" i="3"/>
  <c r="I762" i="3"/>
  <c r="I758" i="3"/>
  <c r="I754" i="3"/>
  <c r="I750" i="3"/>
  <c r="I746" i="3"/>
  <c r="I742" i="3"/>
  <c r="I738" i="3"/>
  <c r="I734" i="3"/>
  <c r="H726" i="3"/>
  <c r="I726" i="3" s="1"/>
  <c r="I706" i="3"/>
  <c r="H702" i="3"/>
  <c r="I702" i="3" s="1"/>
  <c r="I682" i="3"/>
  <c r="H678" i="3"/>
  <c r="I678" i="3" s="1"/>
  <c r="I658" i="3"/>
  <c r="H654" i="3"/>
  <c r="I634" i="3"/>
  <c r="H630" i="3"/>
  <c r="I630" i="3" s="1"/>
  <c r="I610" i="3"/>
  <c r="H606" i="3"/>
  <c r="I606" i="3" s="1"/>
  <c r="I586" i="3"/>
  <c r="H582" i="3"/>
  <c r="I582" i="3" s="1"/>
  <c r="I521" i="3"/>
  <c r="I499" i="3"/>
  <c r="H224" i="3"/>
  <c r="I224" i="3"/>
  <c r="H730" i="3"/>
  <c r="I730" i="3" s="1"/>
  <c r="I705" i="3"/>
  <c r="I703" i="3"/>
  <c r="I681" i="3"/>
  <c r="I679" i="3"/>
  <c r="I657" i="3"/>
  <c r="I655" i="3"/>
  <c r="I633" i="3"/>
  <c r="I631" i="3"/>
  <c r="I609" i="3"/>
  <c r="I607" i="3"/>
  <c r="I585" i="3"/>
  <c r="I583" i="3"/>
  <c r="H566" i="3"/>
  <c r="I566" i="3" s="1"/>
  <c r="I425" i="3"/>
  <c r="I418" i="3"/>
  <c r="H418" i="3"/>
  <c r="H350" i="3"/>
  <c r="I350" i="3" s="1"/>
  <c r="H229" i="3"/>
  <c r="I229" i="3"/>
  <c r="I710" i="3"/>
  <c r="I686" i="3"/>
  <c r="I662" i="3"/>
  <c r="I638" i="3"/>
  <c r="I614" i="3"/>
  <c r="I590" i="3"/>
  <c r="I563" i="3"/>
  <c r="I547" i="3"/>
  <c r="I531" i="3"/>
  <c r="I514" i="3"/>
  <c r="H514" i="3"/>
  <c r="I264" i="3"/>
  <c r="I709" i="3"/>
  <c r="I685" i="3"/>
  <c r="I661" i="3"/>
  <c r="I637" i="3"/>
  <c r="I613" i="3"/>
  <c r="I589" i="3"/>
  <c r="I569" i="3"/>
  <c r="I553" i="3"/>
  <c r="I537" i="3"/>
  <c r="I382" i="3"/>
  <c r="H382" i="3"/>
  <c r="H466" i="3"/>
  <c r="I466" i="3" s="1"/>
  <c r="H157" i="3"/>
  <c r="I157" i="3" s="1"/>
  <c r="I713" i="3"/>
  <c r="I711" i="3"/>
  <c r="I689" i="3"/>
  <c r="I687" i="3"/>
  <c r="I665" i="3"/>
  <c r="I663" i="3"/>
  <c r="I641" i="3"/>
  <c r="I639" i="3"/>
  <c r="I617" i="3"/>
  <c r="I615" i="3"/>
  <c r="I593" i="3"/>
  <c r="I591" i="3"/>
  <c r="I567" i="3"/>
  <c r="I551" i="3"/>
  <c r="I535" i="3"/>
  <c r="H523" i="3"/>
  <c r="I523" i="3"/>
  <c r="I498" i="3"/>
  <c r="I413" i="3"/>
  <c r="I379" i="3"/>
  <c r="I573" i="3"/>
  <c r="I557" i="3"/>
  <c r="I541" i="3"/>
  <c r="I525" i="3"/>
  <c r="I501" i="3"/>
  <c r="I474" i="3"/>
  <c r="I471" i="3"/>
  <c r="I445" i="3"/>
  <c r="H422" i="3"/>
  <c r="I422" i="3" s="1"/>
  <c r="H301" i="3"/>
  <c r="I301" i="3"/>
  <c r="I717" i="3"/>
  <c r="I693" i="3"/>
  <c r="I669" i="3"/>
  <c r="I645" i="3"/>
  <c r="I621" i="3"/>
  <c r="I597" i="3"/>
  <c r="I487" i="3"/>
  <c r="I411" i="3"/>
  <c r="I571" i="3"/>
  <c r="I555" i="3"/>
  <c r="I539" i="3"/>
  <c r="I509" i="3"/>
  <c r="I308" i="3"/>
  <c r="I721" i="3"/>
  <c r="I697" i="3"/>
  <c r="I673" i="3"/>
  <c r="I649" i="3"/>
  <c r="I625" i="3"/>
  <c r="I601" i="3"/>
  <c r="I577" i="3"/>
  <c r="H575" i="3"/>
  <c r="I575" i="3" s="1"/>
  <c r="I561" i="3"/>
  <c r="H559" i="3"/>
  <c r="I559" i="3" s="1"/>
  <c r="I545" i="3"/>
  <c r="H543" i="3"/>
  <c r="I543" i="3" s="1"/>
  <c r="I529" i="3"/>
  <c r="H527" i="3"/>
  <c r="I527" i="3" s="1"/>
  <c r="H521" i="3"/>
  <c r="H470" i="3"/>
  <c r="I470" i="3" s="1"/>
  <c r="I362" i="3"/>
  <c r="H362" i="3"/>
  <c r="I520" i="3"/>
  <c r="I472" i="3"/>
  <c r="I424" i="3"/>
  <c r="I384" i="3"/>
  <c r="H306" i="3"/>
  <c r="I306" i="3"/>
  <c r="I524" i="3"/>
  <c r="I476" i="3"/>
  <c r="I428" i="3"/>
  <c r="I361" i="3"/>
  <c r="I349" i="3"/>
  <c r="H282" i="3"/>
  <c r="I282" i="3"/>
  <c r="I484" i="3"/>
  <c r="I482" i="3"/>
  <c r="I436" i="3"/>
  <c r="I390" i="3"/>
  <c r="I383" i="3"/>
  <c r="I363" i="3"/>
  <c r="I321" i="3"/>
  <c r="I311" i="3"/>
  <c r="I293" i="3"/>
  <c r="I284" i="3"/>
  <c r="H277" i="3"/>
  <c r="I277" i="3" s="1"/>
  <c r="I272" i="3"/>
  <c r="I260" i="3"/>
  <c r="H253" i="3"/>
  <c r="I253" i="3"/>
  <c r="H248" i="3"/>
  <c r="I248" i="3" s="1"/>
  <c r="I245" i="3"/>
  <c r="I239" i="3"/>
  <c r="I215" i="3"/>
  <c r="H205" i="3"/>
  <c r="I205" i="3"/>
  <c r="H200" i="3"/>
  <c r="I200" i="3" s="1"/>
  <c r="H181" i="3"/>
  <c r="I181" i="3"/>
  <c r="H176" i="3"/>
  <c r="I176" i="3"/>
  <c r="I488" i="3"/>
  <c r="I475" i="3"/>
  <c r="I449" i="3"/>
  <c r="I440" i="3"/>
  <c r="I438" i="3"/>
  <c r="I427" i="3"/>
  <c r="I401" i="3"/>
  <c r="I392" i="3"/>
  <c r="I373" i="3"/>
  <c r="I365" i="3"/>
  <c r="I354" i="3"/>
  <c r="I351" i="3"/>
  <c r="I342" i="3"/>
  <c r="I274" i="3"/>
  <c r="I271" i="3"/>
  <c r="I269" i="3"/>
  <c r="I250" i="3"/>
  <c r="I492" i="3"/>
  <c r="I444" i="3"/>
  <c r="I396" i="3"/>
  <c r="I387" i="3"/>
  <c r="I356" i="3"/>
  <c r="I353" i="3"/>
  <c r="I341" i="3"/>
  <c r="I302" i="3"/>
  <c r="I230" i="3"/>
  <c r="H152" i="3"/>
  <c r="I152" i="3"/>
  <c r="I448" i="3"/>
  <c r="H238" i="3"/>
  <c r="I238" i="3" s="1"/>
  <c r="H214" i="3"/>
  <c r="I214" i="3"/>
  <c r="H171" i="3"/>
  <c r="H166" i="3"/>
  <c r="I166" i="3"/>
  <c r="I500" i="3"/>
  <c r="I452" i="3"/>
  <c r="I450" i="3"/>
  <c r="I404" i="3"/>
  <c r="I402" i="3"/>
  <c r="I374" i="3"/>
  <c r="I369" i="3"/>
  <c r="I330" i="3"/>
  <c r="I327" i="3"/>
  <c r="H319" i="3"/>
  <c r="I319" i="3" s="1"/>
  <c r="I304" i="3"/>
  <c r="H267" i="3"/>
  <c r="I267" i="3" s="1"/>
  <c r="I232" i="3"/>
  <c r="H195" i="3"/>
  <c r="H190" i="3"/>
  <c r="I190" i="3"/>
  <c r="I160" i="3"/>
  <c r="H132" i="3"/>
  <c r="I132" i="3" s="1"/>
  <c r="I456" i="3"/>
  <c r="I408" i="3"/>
  <c r="I376" i="3"/>
  <c r="I355" i="3"/>
  <c r="I343" i="3"/>
  <c r="I280" i="3"/>
  <c r="I256" i="3"/>
  <c r="H241" i="3"/>
  <c r="I241" i="3"/>
  <c r="H217" i="3"/>
  <c r="I217" i="3"/>
  <c r="I208" i="3"/>
  <c r="I184" i="3"/>
  <c r="H169" i="3"/>
  <c r="I169" i="3"/>
  <c r="I163" i="3"/>
  <c r="I161" i="3"/>
  <c r="H144" i="3"/>
  <c r="I144" i="3" s="1"/>
  <c r="I517" i="3"/>
  <c r="I508" i="3"/>
  <c r="I506" i="3"/>
  <c r="I469" i="3"/>
  <c r="I460" i="3"/>
  <c r="I458" i="3"/>
  <c r="I421" i="3"/>
  <c r="I412" i="3"/>
  <c r="I410" i="3"/>
  <c r="I378" i="3"/>
  <c r="I360" i="3"/>
  <c r="I357" i="3"/>
  <c r="I345" i="3"/>
  <c r="I334" i="3"/>
  <c r="I307" i="3"/>
  <c r="I305" i="3"/>
  <c r="I291" i="3"/>
  <c r="I289" i="3"/>
  <c r="H265" i="3"/>
  <c r="I265" i="3"/>
  <c r="I235" i="3"/>
  <c r="I233" i="3"/>
  <c r="I211" i="3"/>
  <c r="H193" i="3"/>
  <c r="I193" i="3" s="1"/>
  <c r="I187" i="3"/>
  <c r="I185" i="3"/>
  <c r="I123" i="3"/>
  <c r="I512" i="3"/>
  <c r="I510" i="3"/>
  <c r="I464" i="3"/>
  <c r="I462" i="3"/>
  <c r="I416" i="3"/>
  <c r="I414" i="3"/>
  <c r="I380" i="3"/>
  <c r="H349" i="3"/>
  <c r="H337" i="3"/>
  <c r="I337" i="3"/>
  <c r="I322" i="3"/>
  <c r="I310" i="3"/>
  <c r="I281" i="3"/>
  <c r="I257" i="3"/>
  <c r="I209" i="3"/>
  <c r="H164" i="3"/>
  <c r="I164" i="3" s="1"/>
  <c r="I516" i="3"/>
  <c r="I468" i="3"/>
  <c r="I420" i="3"/>
  <c r="H308" i="3"/>
  <c r="H236" i="3"/>
  <c r="I236" i="3" s="1"/>
  <c r="H124" i="3"/>
  <c r="I124" i="3" s="1"/>
  <c r="I143" i="3"/>
  <c r="I119" i="3"/>
  <c r="I103" i="3"/>
  <c r="I91" i="3"/>
  <c r="I79" i="3"/>
  <c r="I167" i="3"/>
  <c r="I147" i="3"/>
  <c r="I258" i="3"/>
  <c r="I234" i="3"/>
  <c r="I127" i="3"/>
  <c r="I107" i="3"/>
  <c r="I95" i="3"/>
  <c r="I83" i="3"/>
  <c r="I243" i="3"/>
  <c r="I219" i="3"/>
  <c r="I195" i="3"/>
  <c r="I171" i="3"/>
  <c r="I24" i="3"/>
  <c r="I16" i="3"/>
  <c r="I323" i="3"/>
  <c r="I151" i="3"/>
  <c r="I131" i="3"/>
  <c r="I55" i="3"/>
  <c r="I52" i="3"/>
  <c r="I47" i="3"/>
  <c r="I331" i="3"/>
  <c r="I135" i="3"/>
  <c r="I99" i="3"/>
  <c r="I87" i="3"/>
  <c r="I75" i="3"/>
  <c r="I335" i="3"/>
  <c r="I299" i="3"/>
  <c r="I275" i="3"/>
  <c r="I251" i="3"/>
  <c r="I227" i="3"/>
  <c r="I203" i="3"/>
  <c r="I179" i="3"/>
  <c r="I155" i="3"/>
  <c r="I67" i="3"/>
  <c r="I64" i="3"/>
  <c r="I40" i="3"/>
  <c r="I35" i="3"/>
  <c r="I3" i="3"/>
  <c r="I339" i="3"/>
  <c r="I146" i="3"/>
  <c r="I139" i="3"/>
  <c r="I120" i="3"/>
  <c r="I115" i="3"/>
  <c r="I20" i="3"/>
  <c r="I303" i="3"/>
  <c r="I279" i="3"/>
  <c r="I255" i="3"/>
  <c r="I231" i="3"/>
  <c r="I207" i="3"/>
  <c r="I183" i="3"/>
  <c r="I159" i="3"/>
  <c r="I59" i="3"/>
  <c r="I43" i="3"/>
</calcChain>
</file>

<file path=xl/sharedStrings.xml><?xml version="1.0" encoding="utf-8"?>
<sst xmlns="http://schemas.openxmlformats.org/spreadsheetml/2006/main" count="6238" uniqueCount="2969">
  <si>
    <t>Trade ID</t>
  </si>
  <si>
    <t>ISIN</t>
  </si>
  <si>
    <t>Client Name</t>
  </si>
  <si>
    <t>Currency</t>
  </si>
  <si>
    <t>SSI Details</t>
  </si>
  <si>
    <t>Quantity</t>
  </si>
  <si>
    <t>Price</t>
  </si>
  <si>
    <t>Gross Value</t>
  </si>
  <si>
    <t>Validation Status</t>
  </si>
  <si>
    <t>Client Code</t>
  </si>
  <si>
    <t>C001</t>
  </si>
  <si>
    <t>USD</t>
  </si>
  <si>
    <t>C002</t>
  </si>
  <si>
    <t>C003</t>
  </si>
  <si>
    <t>INR</t>
  </si>
  <si>
    <t>C004</t>
  </si>
  <si>
    <t>C005</t>
  </si>
  <si>
    <t>C006</t>
  </si>
  <si>
    <t>C007</t>
  </si>
  <si>
    <t>C008</t>
  </si>
  <si>
    <t>SGD</t>
  </si>
  <si>
    <t>C009</t>
  </si>
  <si>
    <t>GBP</t>
  </si>
  <si>
    <t>C010</t>
  </si>
  <si>
    <t>JPY</t>
  </si>
  <si>
    <t>C011</t>
  </si>
  <si>
    <t>Alpha Capital 11</t>
  </si>
  <si>
    <t>EUR</t>
  </si>
  <si>
    <t>C012</t>
  </si>
  <si>
    <t>C013</t>
  </si>
  <si>
    <t>Alpha Asset Management 13</t>
  </si>
  <si>
    <t>C014</t>
  </si>
  <si>
    <t>C015</t>
  </si>
  <si>
    <t>C016</t>
  </si>
  <si>
    <t>C017</t>
  </si>
  <si>
    <t>Alpha Investments 17</t>
  </si>
  <si>
    <t>C018</t>
  </si>
  <si>
    <t>C019</t>
  </si>
  <si>
    <t>C020</t>
  </si>
  <si>
    <t>C021</t>
  </si>
  <si>
    <t>C022</t>
  </si>
  <si>
    <t>C023</t>
  </si>
  <si>
    <t>C024</t>
  </si>
  <si>
    <t>C025</t>
  </si>
  <si>
    <t>C026</t>
  </si>
  <si>
    <t>C027</t>
  </si>
  <si>
    <t>C028</t>
  </si>
  <si>
    <t>C029</t>
  </si>
  <si>
    <t>Alpha Investments 29</t>
  </si>
  <si>
    <t>C030</t>
  </si>
  <si>
    <t>Alpha Global 30</t>
  </si>
  <si>
    <t>C031</t>
  </si>
  <si>
    <t>C032</t>
  </si>
  <si>
    <t>C033</t>
  </si>
  <si>
    <t>C034</t>
  </si>
  <si>
    <t>C035</t>
  </si>
  <si>
    <t>C036</t>
  </si>
  <si>
    <t>C037</t>
  </si>
  <si>
    <t>C038</t>
  </si>
  <si>
    <t>C039</t>
  </si>
  <si>
    <t>C040</t>
  </si>
  <si>
    <t>C041</t>
  </si>
  <si>
    <t>C042</t>
  </si>
  <si>
    <t>C043</t>
  </si>
  <si>
    <t>C044</t>
  </si>
  <si>
    <t>C045</t>
  </si>
  <si>
    <t>C046</t>
  </si>
  <si>
    <t>C047</t>
  </si>
  <si>
    <t>C048</t>
  </si>
  <si>
    <t>C049</t>
  </si>
  <si>
    <t>C050</t>
  </si>
  <si>
    <t>Qty</t>
  </si>
  <si>
    <t>TRD00001</t>
  </si>
  <si>
    <t>INE009A01088</t>
  </si>
  <si>
    <t>TRD00002</t>
  </si>
  <si>
    <t>INE003A01074</t>
  </si>
  <si>
    <t>TRD00003</t>
  </si>
  <si>
    <t>INE001A01097</t>
  </si>
  <si>
    <t>TRD00004</t>
  </si>
  <si>
    <t>INE005A0102</t>
  </si>
  <si>
    <t>TRD00005</t>
  </si>
  <si>
    <t>INE009A01060</t>
  </si>
  <si>
    <t>TRD00006</t>
  </si>
  <si>
    <t>INE001A01034</t>
  </si>
  <si>
    <t>TRD00007</t>
  </si>
  <si>
    <t>INE003A01012</t>
  </si>
  <si>
    <t>TRD00008</t>
  </si>
  <si>
    <t>INE006A01068</t>
  </si>
  <si>
    <t>TRD00009</t>
  </si>
  <si>
    <t>INE009A01075</t>
  </si>
  <si>
    <t>TRD00010</t>
  </si>
  <si>
    <t>INE009A0104</t>
  </si>
  <si>
    <t>TRD00011</t>
  </si>
  <si>
    <t>INE007A01050</t>
  </si>
  <si>
    <t>TRD00012</t>
  </si>
  <si>
    <t>INE002A01063</t>
  </si>
  <si>
    <t>TRD00013</t>
  </si>
  <si>
    <t>INE005A01079</t>
  </si>
  <si>
    <t>TRD00014</t>
  </si>
  <si>
    <t>INE003A01076</t>
  </si>
  <si>
    <t>TRD00015</t>
  </si>
  <si>
    <t>INE009A01018</t>
  </si>
  <si>
    <t>TRD00016</t>
  </si>
  <si>
    <t>INE008A01011</t>
  </si>
  <si>
    <t>TRD00017</t>
  </si>
  <si>
    <t>INE003A01047</t>
  </si>
  <si>
    <t>TRD00018</t>
  </si>
  <si>
    <t>INE004A01059</t>
  </si>
  <si>
    <t>TRD00019</t>
  </si>
  <si>
    <t>INE006A01070</t>
  </si>
  <si>
    <t>TRD00020</t>
  </si>
  <si>
    <t>INE001A01040</t>
  </si>
  <si>
    <t>TRD00021</t>
  </si>
  <si>
    <t>INE007A01019</t>
  </si>
  <si>
    <t>TRD00022</t>
  </si>
  <si>
    <t>INE008A01094</t>
  </si>
  <si>
    <t>TRD00023</t>
  </si>
  <si>
    <t>TRD00024</t>
  </si>
  <si>
    <t>TRD00025</t>
  </si>
  <si>
    <t>INE004A01035</t>
  </si>
  <si>
    <t>TRD00026</t>
  </si>
  <si>
    <t>INE009A01023</t>
  </si>
  <si>
    <t>TRD00027</t>
  </si>
  <si>
    <t>INE005A01088</t>
  </si>
  <si>
    <t>C999</t>
  </si>
  <si>
    <t>TRD00028</t>
  </si>
  <si>
    <t>INE007A01091</t>
  </si>
  <si>
    <t>TRD00029</t>
  </si>
  <si>
    <t>INE006A01094</t>
  </si>
  <si>
    <t>TRD00030</t>
  </si>
  <si>
    <t>INE009A01036</t>
  </si>
  <si>
    <t>TRD00031</t>
  </si>
  <si>
    <t>TRD00032</t>
  </si>
  <si>
    <t>INE008A01070</t>
  </si>
  <si>
    <t>TRD00033</t>
  </si>
  <si>
    <t>INE002A01080</t>
  </si>
  <si>
    <t>TRD00034</t>
  </si>
  <si>
    <t>INE009A01063</t>
  </si>
  <si>
    <t>TRD00035</t>
  </si>
  <si>
    <t>INE005A01055</t>
  </si>
  <si>
    <t>TRD00036</t>
  </si>
  <si>
    <t>INE005A01010</t>
  </si>
  <si>
    <t>TRD00037</t>
  </si>
  <si>
    <t>INE003A01052</t>
  </si>
  <si>
    <t>TRD00038</t>
  </si>
  <si>
    <t>INE006A01028</t>
  </si>
  <si>
    <t>TRD00039</t>
  </si>
  <si>
    <t>INE009A01052</t>
  </si>
  <si>
    <t>TRD00040</t>
  </si>
  <si>
    <t>INE008A01062</t>
  </si>
  <si>
    <t>TRD00041</t>
  </si>
  <si>
    <t>INE001A01063</t>
  </si>
  <si>
    <t>TRD00042</t>
  </si>
  <si>
    <t>INE001A01082</t>
  </si>
  <si>
    <t>TRD00043</t>
  </si>
  <si>
    <t>INE005A01016</t>
  </si>
  <si>
    <t>TRD00044</t>
  </si>
  <si>
    <t>TRD00045</t>
  </si>
  <si>
    <t>INE005A01066</t>
  </si>
  <si>
    <t>TRD00046</t>
  </si>
  <si>
    <t>INE004A01079</t>
  </si>
  <si>
    <t>TRD00047</t>
  </si>
  <si>
    <t>INE004A01097</t>
  </si>
  <si>
    <t>TRD00048</t>
  </si>
  <si>
    <t>TRD00049</t>
  </si>
  <si>
    <t>INE007A01069</t>
  </si>
  <si>
    <t>TRD00050</t>
  </si>
  <si>
    <t>TRD00051</t>
  </si>
  <si>
    <t>INE009A01080</t>
  </si>
  <si>
    <t>TRD00052</t>
  </si>
  <si>
    <t>INE005A01013</t>
  </si>
  <si>
    <t>TRD00053</t>
  </si>
  <si>
    <t>INE001A01064</t>
  </si>
  <si>
    <t>TRD00054</t>
  </si>
  <si>
    <t>INE005A01021</t>
  </si>
  <si>
    <t>TRD00055</t>
  </si>
  <si>
    <t>INE002A01031</t>
  </si>
  <si>
    <t>TRD00056</t>
  </si>
  <si>
    <t>INE004A01027</t>
  </si>
  <si>
    <t>TRD00057</t>
  </si>
  <si>
    <t>INE009A01061</t>
  </si>
  <si>
    <t>TRD00058</t>
  </si>
  <si>
    <t>INE003A01080</t>
  </si>
  <si>
    <t>TRD00059</t>
  </si>
  <si>
    <t>TRD00060</t>
  </si>
  <si>
    <t>INE004A01018</t>
  </si>
  <si>
    <t>TRD00061</t>
  </si>
  <si>
    <t>INE001A01044</t>
  </si>
  <si>
    <t>TRD00062</t>
  </si>
  <si>
    <t>INE005A01073</t>
  </si>
  <si>
    <t>TRD00063</t>
  </si>
  <si>
    <t>INE007A01017</t>
  </si>
  <si>
    <t>TRD00064</t>
  </si>
  <si>
    <t>INE006A01075</t>
  </si>
  <si>
    <t>TRD00065</t>
  </si>
  <si>
    <t>INE008A01023</t>
  </si>
  <si>
    <t>TRD00066</t>
  </si>
  <si>
    <t>TRD00067</t>
  </si>
  <si>
    <t>INE008A01025</t>
  </si>
  <si>
    <t>TRD00068</t>
  </si>
  <si>
    <t>TRD00069</t>
  </si>
  <si>
    <t>INE007A01021</t>
  </si>
  <si>
    <t>TRD00070</t>
  </si>
  <si>
    <t>INE001A01096</t>
  </si>
  <si>
    <t>TRD00071</t>
  </si>
  <si>
    <t>TRD00072</t>
  </si>
  <si>
    <t>INE007A01034</t>
  </si>
  <si>
    <t>TRD00073</t>
  </si>
  <si>
    <t>INE004A01096</t>
  </si>
  <si>
    <t>TRD00074</t>
  </si>
  <si>
    <t>TRD00075</t>
  </si>
  <si>
    <t>INE003A01030</t>
  </si>
  <si>
    <t>TRD00076</t>
  </si>
  <si>
    <t>INE008A01063</t>
  </si>
  <si>
    <t>TRD00077</t>
  </si>
  <si>
    <t>TRD00078</t>
  </si>
  <si>
    <t>INE009A01092</t>
  </si>
  <si>
    <t>TRD00079</t>
  </si>
  <si>
    <t>INE007A01084</t>
  </si>
  <si>
    <t>TRD00080</t>
  </si>
  <si>
    <t>INE006A01034</t>
  </si>
  <si>
    <t>TRD00081</t>
  </si>
  <si>
    <t>INE001A0104</t>
  </si>
  <si>
    <t>TRD00082</t>
  </si>
  <si>
    <t>INE005A01043</t>
  </si>
  <si>
    <t>TRD00083</t>
  </si>
  <si>
    <t>TRD00084</t>
  </si>
  <si>
    <t>TRD00085</t>
  </si>
  <si>
    <t>INE007A0107</t>
  </si>
  <si>
    <t>TRD00086</t>
  </si>
  <si>
    <t>INE006A01093</t>
  </si>
  <si>
    <t>TRD00087</t>
  </si>
  <si>
    <t>INE008A01049</t>
  </si>
  <si>
    <t>TRD00088</t>
  </si>
  <si>
    <t>INE005A01018</t>
  </si>
  <si>
    <t>TRD00089</t>
  </si>
  <si>
    <t>INE007A01098</t>
  </si>
  <si>
    <t>TRD00090</t>
  </si>
  <si>
    <t>INE009A01028</t>
  </si>
  <si>
    <t>TRD00091</t>
  </si>
  <si>
    <t>INE005A01012</t>
  </si>
  <si>
    <t>TRD00092</t>
  </si>
  <si>
    <t>INE003A01072</t>
  </si>
  <si>
    <t>TRD00093</t>
  </si>
  <si>
    <t>INE004A01073</t>
  </si>
  <si>
    <t>TRD00094</t>
  </si>
  <si>
    <t>TRD00095</t>
  </si>
  <si>
    <t>INE006A0104</t>
  </si>
  <si>
    <t>TRD00096</t>
  </si>
  <si>
    <t>INE006A01010</t>
  </si>
  <si>
    <t>TRD00097</t>
  </si>
  <si>
    <t>TRD00098</t>
  </si>
  <si>
    <t>INE004A01093</t>
  </si>
  <si>
    <t>TRD00099</t>
  </si>
  <si>
    <t>INE006A01069</t>
  </si>
  <si>
    <t>TRD00100</t>
  </si>
  <si>
    <t>INE001A01043</t>
  </si>
  <si>
    <t>TRD00101</t>
  </si>
  <si>
    <t>INE007A0106</t>
  </si>
  <si>
    <t>TRD00102</t>
  </si>
  <si>
    <t>INE009A01022</t>
  </si>
  <si>
    <t>TRD00103</t>
  </si>
  <si>
    <t>TRD00104</t>
  </si>
  <si>
    <t>INE006A01060</t>
  </si>
  <si>
    <t>TRD00105</t>
  </si>
  <si>
    <t>INE002A01050</t>
  </si>
  <si>
    <t>TRD00106</t>
  </si>
  <si>
    <t>INE006A01090</t>
  </si>
  <si>
    <t>TRD00107</t>
  </si>
  <si>
    <t>TRD00108</t>
  </si>
  <si>
    <t>INE009A01020</t>
  </si>
  <si>
    <t>TRD00109</t>
  </si>
  <si>
    <t>TRD00110</t>
  </si>
  <si>
    <t>INE007A01089</t>
  </si>
  <si>
    <t>TRD00111</t>
  </si>
  <si>
    <t>INE002A01017</t>
  </si>
  <si>
    <t>TRD00112</t>
  </si>
  <si>
    <t>INE005A01071</t>
  </si>
  <si>
    <t>TRD00113</t>
  </si>
  <si>
    <t>INE008A01059</t>
  </si>
  <si>
    <t>TRD00114</t>
  </si>
  <si>
    <t>INE009A01064</t>
  </si>
  <si>
    <t>TRD00115</t>
  </si>
  <si>
    <t>INE009A0108</t>
  </si>
  <si>
    <t>TRD00116</t>
  </si>
  <si>
    <t>INE009A01089</t>
  </si>
  <si>
    <t>TRD00117</t>
  </si>
  <si>
    <t>INE004A01046</t>
  </si>
  <si>
    <t>TRD00118</t>
  </si>
  <si>
    <t>INE006A01066</t>
  </si>
  <si>
    <t>TRD00119</t>
  </si>
  <si>
    <t>INE008A01077</t>
  </si>
  <si>
    <t>TRD00120</t>
  </si>
  <si>
    <t>INE005A01063</t>
  </si>
  <si>
    <t>TRD00121</t>
  </si>
  <si>
    <t>INE006A01064</t>
  </si>
  <si>
    <t>TRD00122</t>
  </si>
  <si>
    <t>INE002A01010</t>
  </si>
  <si>
    <t>TRD00123</t>
  </si>
  <si>
    <t>TRD00124</t>
  </si>
  <si>
    <t>INE006A01039</t>
  </si>
  <si>
    <t>TRD00125</t>
  </si>
  <si>
    <t>INE004A01094</t>
  </si>
  <si>
    <t>TRD00126</t>
  </si>
  <si>
    <t>INE002A01071</t>
  </si>
  <si>
    <t>TRD00127</t>
  </si>
  <si>
    <t>INE009A01059</t>
  </si>
  <si>
    <t>TRD00128</t>
  </si>
  <si>
    <t>INE006A01047</t>
  </si>
  <si>
    <t>TRD00129</t>
  </si>
  <si>
    <t>TRD00130</t>
  </si>
  <si>
    <t>INE006A0100</t>
  </si>
  <si>
    <t>TRD00131</t>
  </si>
  <si>
    <t>INE005A01098</t>
  </si>
  <si>
    <t>TRD00132</t>
  </si>
  <si>
    <t>INE002A01077</t>
  </si>
  <si>
    <t>TRD00133</t>
  </si>
  <si>
    <t>INE002A01013</t>
  </si>
  <si>
    <t>TRD00134</t>
  </si>
  <si>
    <t>INE002A01087</t>
  </si>
  <si>
    <t>TRD00135</t>
  </si>
  <si>
    <t>INE006A01017</t>
  </si>
  <si>
    <t>TRD00136</t>
  </si>
  <si>
    <t>INE003A01079</t>
  </si>
  <si>
    <t>TRD00137</t>
  </si>
  <si>
    <t>INE007A0103</t>
  </si>
  <si>
    <t>TRD00138</t>
  </si>
  <si>
    <t>TRD00139</t>
  </si>
  <si>
    <t>INE007A01047</t>
  </si>
  <si>
    <t>TRD00140</t>
  </si>
  <si>
    <t>INE009A01095</t>
  </si>
  <si>
    <t>TRD00141</t>
  </si>
  <si>
    <t>INE002A01052</t>
  </si>
  <si>
    <t>TRD00142</t>
  </si>
  <si>
    <t>INE002A01019</t>
  </si>
  <si>
    <t>TRD00143</t>
  </si>
  <si>
    <t>INE004A01042</t>
  </si>
  <si>
    <t>TRD00144</t>
  </si>
  <si>
    <t>INE006A01020</t>
  </si>
  <si>
    <t>TRD00145</t>
  </si>
  <si>
    <t>INE003A01025</t>
  </si>
  <si>
    <t>TRD00146</t>
  </si>
  <si>
    <t>TRD00147</t>
  </si>
  <si>
    <t>INE007A0102</t>
  </si>
  <si>
    <t>TRD00148</t>
  </si>
  <si>
    <t>INE005A01032</t>
  </si>
  <si>
    <t>TRD00149</t>
  </si>
  <si>
    <t>TRD00150</t>
  </si>
  <si>
    <t>INE007A01086</t>
  </si>
  <si>
    <t>TRD00151</t>
  </si>
  <si>
    <t>INE007A01094</t>
  </si>
  <si>
    <t>TRD00152</t>
  </si>
  <si>
    <t>INE009A01091</t>
  </si>
  <si>
    <t>TRD00153</t>
  </si>
  <si>
    <t>INE007A01068</t>
  </si>
  <si>
    <t>TRD00154</t>
  </si>
  <si>
    <t>INE009A0102</t>
  </si>
  <si>
    <t>TRD00155</t>
  </si>
  <si>
    <t>TRD00156</t>
  </si>
  <si>
    <t>INE007A01096</t>
  </si>
  <si>
    <t>TRD00157</t>
  </si>
  <si>
    <t>INE009A01016</t>
  </si>
  <si>
    <t>TRD00158</t>
  </si>
  <si>
    <t>INE009A01066</t>
  </si>
  <si>
    <t>TRD00159</t>
  </si>
  <si>
    <t>INE009A01017</t>
  </si>
  <si>
    <t>TRD00160</t>
  </si>
  <si>
    <t>INE001A01030</t>
  </si>
  <si>
    <t>TRD00161</t>
  </si>
  <si>
    <t>TRD00162</t>
  </si>
  <si>
    <t>INE003A01045</t>
  </si>
  <si>
    <t>TRD00163</t>
  </si>
  <si>
    <t>INE001A01074</t>
  </si>
  <si>
    <t>TRD00164</t>
  </si>
  <si>
    <t>TRD00165</t>
  </si>
  <si>
    <t>INE006A01044</t>
  </si>
  <si>
    <t>TRD00166</t>
  </si>
  <si>
    <t>INE004A01083</t>
  </si>
  <si>
    <t>TRD00167</t>
  </si>
  <si>
    <t>INE008A01092</t>
  </si>
  <si>
    <t>TRD00168</t>
  </si>
  <si>
    <t>TRD00169</t>
  </si>
  <si>
    <t>INE008A01038</t>
  </si>
  <si>
    <t>TRD00170</t>
  </si>
  <si>
    <t>INE005A01056</t>
  </si>
  <si>
    <t>TRD00171</t>
  </si>
  <si>
    <t>TRD00172</t>
  </si>
  <si>
    <t>INE009A01044</t>
  </si>
  <si>
    <t>TRD00173</t>
  </si>
  <si>
    <t>INE009A01083</t>
  </si>
  <si>
    <t>TRD00174</t>
  </si>
  <si>
    <t>TRD00175</t>
  </si>
  <si>
    <t>INE009A01057</t>
  </si>
  <si>
    <t>TRD00176</t>
  </si>
  <si>
    <t>INE003A01024</t>
  </si>
  <si>
    <t>TRD00177</t>
  </si>
  <si>
    <t>INE005A01075</t>
  </si>
  <si>
    <t>TRD00178</t>
  </si>
  <si>
    <t>TRD00179</t>
  </si>
  <si>
    <t>INE008A01060</t>
  </si>
  <si>
    <t>TRD00180</t>
  </si>
  <si>
    <t>INE009A01035</t>
  </si>
  <si>
    <t>TRD00181</t>
  </si>
  <si>
    <t>INE003A0105</t>
  </si>
  <si>
    <t>TRD00182</t>
  </si>
  <si>
    <t>INE006A01018</t>
  </si>
  <si>
    <t>TRD00183</t>
  </si>
  <si>
    <t>TRD00184</t>
  </si>
  <si>
    <t>INE009A01085</t>
  </si>
  <si>
    <t>TRD00185</t>
  </si>
  <si>
    <t>TRD00186</t>
  </si>
  <si>
    <t>INE004A0103</t>
  </si>
  <si>
    <t>TRD00187</t>
  </si>
  <si>
    <t>INE007A01022</t>
  </si>
  <si>
    <t>TRD00188</t>
  </si>
  <si>
    <t>INE008A01087</t>
  </si>
  <si>
    <t>TRD00189</t>
  </si>
  <si>
    <t>TRD00190</t>
  </si>
  <si>
    <t>TRD00191</t>
  </si>
  <si>
    <t>INE003A01088</t>
  </si>
  <si>
    <t>TRD00192</t>
  </si>
  <si>
    <t>TRD00193</t>
  </si>
  <si>
    <t>INE003A01070</t>
  </si>
  <si>
    <t>TRD00194</t>
  </si>
  <si>
    <t>TRD00195</t>
  </si>
  <si>
    <t>INE001A01094</t>
  </si>
  <si>
    <t>TRD00196</t>
  </si>
  <si>
    <t>INE005A0101</t>
  </si>
  <si>
    <t>TRD00197</t>
  </si>
  <si>
    <t>INE002A01079</t>
  </si>
  <si>
    <t>TRD00198</t>
  </si>
  <si>
    <t>INE002A01069</t>
  </si>
  <si>
    <t>TRD00199</t>
  </si>
  <si>
    <t>TRD00200</t>
  </si>
  <si>
    <t>INE006A01058</t>
  </si>
  <si>
    <t>TRD00201</t>
  </si>
  <si>
    <t>INE004A0105</t>
  </si>
  <si>
    <t>TRD00202</t>
  </si>
  <si>
    <t>INE006A0102</t>
  </si>
  <si>
    <t>TRD00203</t>
  </si>
  <si>
    <t>INE003A01026</t>
  </si>
  <si>
    <t>TRD00204</t>
  </si>
  <si>
    <t>INE002A01096</t>
  </si>
  <si>
    <t>TRD00205</t>
  </si>
  <si>
    <t>INE005A01090</t>
  </si>
  <si>
    <t>TRD00206</t>
  </si>
  <si>
    <t>INE002A01094</t>
  </si>
  <si>
    <t>TRD00207</t>
  </si>
  <si>
    <t>INE002A01030</t>
  </si>
  <si>
    <t>TRD00208</t>
  </si>
  <si>
    <t>INE007A01015</t>
  </si>
  <si>
    <t>TRD00209</t>
  </si>
  <si>
    <t>TRD00210</t>
  </si>
  <si>
    <t>INE008A01056</t>
  </si>
  <si>
    <t>TRD00211</t>
  </si>
  <si>
    <t>TRD00212</t>
  </si>
  <si>
    <t>TRD00213</t>
  </si>
  <si>
    <t>TRD00214</t>
  </si>
  <si>
    <t>INE002A01088</t>
  </si>
  <si>
    <t>TRD00215</t>
  </si>
  <si>
    <t>INE001A01027</t>
  </si>
  <si>
    <t>TRD00216</t>
  </si>
  <si>
    <t>TRD00217</t>
  </si>
  <si>
    <t>TRD00218</t>
  </si>
  <si>
    <t>TRD00219</t>
  </si>
  <si>
    <t>TRD00220</t>
  </si>
  <si>
    <t>INE003A01049</t>
  </si>
  <si>
    <t>TRD00221</t>
  </si>
  <si>
    <t>INE009A01087</t>
  </si>
  <si>
    <t>TRD00222</t>
  </si>
  <si>
    <t>INE001A01059</t>
  </si>
  <si>
    <t>TRD00223</t>
  </si>
  <si>
    <t>INE005A01089</t>
  </si>
  <si>
    <t>TRD00224</t>
  </si>
  <si>
    <t>INE004A01033</t>
  </si>
  <si>
    <t>TRD00225</t>
  </si>
  <si>
    <t>TRD00226</t>
  </si>
  <si>
    <t>INE008A01097</t>
  </si>
  <si>
    <t>TRD00227</t>
  </si>
  <si>
    <t>INE006A0108</t>
  </si>
  <si>
    <t>TRD00228</t>
  </si>
  <si>
    <t>INE008A0106</t>
  </si>
  <si>
    <t>TRD00229</t>
  </si>
  <si>
    <t>INE005A01027</t>
  </si>
  <si>
    <t>TRD00230</t>
  </si>
  <si>
    <t>INE007A01033</t>
  </si>
  <si>
    <t>TRD00231</t>
  </si>
  <si>
    <t>TRD00232</t>
  </si>
  <si>
    <t>TRD00233</t>
  </si>
  <si>
    <t>INE003A01033</t>
  </si>
  <si>
    <t>TRD00234</t>
  </si>
  <si>
    <t>INE003A01093</t>
  </si>
  <si>
    <t>TRD00235</t>
  </si>
  <si>
    <t>TRD00236</t>
  </si>
  <si>
    <t>INE006A01037</t>
  </si>
  <si>
    <t>TRD00237</t>
  </si>
  <si>
    <t>INE005A01070</t>
  </si>
  <si>
    <t>TRD00238</t>
  </si>
  <si>
    <t>INE007A01081</t>
  </si>
  <si>
    <t>TRD00239</t>
  </si>
  <si>
    <t>INE001A01070</t>
  </si>
  <si>
    <t>TRD00240</t>
  </si>
  <si>
    <t>TRD00241</t>
  </si>
  <si>
    <t>INE008A01017</t>
  </si>
  <si>
    <t>TRD00242</t>
  </si>
  <si>
    <t>INE003A01057</t>
  </si>
  <si>
    <t>TRD00243</t>
  </si>
  <si>
    <t>TRD00244</t>
  </si>
  <si>
    <t>INE003A01037</t>
  </si>
  <si>
    <t>TRD00245</t>
  </si>
  <si>
    <t>TRD00246</t>
  </si>
  <si>
    <t>TRD00247</t>
  </si>
  <si>
    <t>TRD00248</t>
  </si>
  <si>
    <t>INE002A01051</t>
  </si>
  <si>
    <t>TRD00249</t>
  </si>
  <si>
    <t>INE001A0109</t>
  </si>
  <si>
    <t>TRD00250</t>
  </si>
  <si>
    <t>INE004A01050</t>
  </si>
  <si>
    <t>TRD00251</t>
  </si>
  <si>
    <t>INE001A01091</t>
  </si>
  <si>
    <t>TRD00252</t>
  </si>
  <si>
    <t>TRD00253</t>
  </si>
  <si>
    <t>INE008A01032</t>
  </si>
  <si>
    <t>TRD00254</t>
  </si>
  <si>
    <t>INE002A01040</t>
  </si>
  <si>
    <t>TRD00255</t>
  </si>
  <si>
    <t>INE005A01064</t>
  </si>
  <si>
    <t>TRD00256</t>
  </si>
  <si>
    <t>INE007A01063</t>
  </si>
  <si>
    <t>TRD00257</t>
  </si>
  <si>
    <t>INE006A01046</t>
  </si>
  <si>
    <t>TRD00258</t>
  </si>
  <si>
    <t>INE004A01025</t>
  </si>
  <si>
    <t>TRD00259</t>
  </si>
  <si>
    <t>TRD00260</t>
  </si>
  <si>
    <t>TRD00261</t>
  </si>
  <si>
    <t>TRD00262</t>
  </si>
  <si>
    <t>INE008A01071</t>
  </si>
  <si>
    <t>TRD00263</t>
  </si>
  <si>
    <t>INE002A01048</t>
  </si>
  <si>
    <t>TRD00264</t>
  </si>
  <si>
    <t>INE001A01022</t>
  </si>
  <si>
    <t>TRD00265</t>
  </si>
  <si>
    <t>TRD00266</t>
  </si>
  <si>
    <t>INE003A01043</t>
  </si>
  <si>
    <t>TRD00267</t>
  </si>
  <si>
    <t>INE009A01090</t>
  </si>
  <si>
    <t>TRD00268</t>
  </si>
  <si>
    <t>TRD00269</t>
  </si>
  <si>
    <t>INE007A01093</t>
  </si>
  <si>
    <t>TRD00270</t>
  </si>
  <si>
    <t>INE005A0108</t>
  </si>
  <si>
    <t>TRD00271</t>
  </si>
  <si>
    <t>INE002A01054</t>
  </si>
  <si>
    <t>TRD00272</t>
  </si>
  <si>
    <t>TRD00273</t>
  </si>
  <si>
    <t>TRD00274</t>
  </si>
  <si>
    <t>TRD00275</t>
  </si>
  <si>
    <t>TRD00276</t>
  </si>
  <si>
    <t>INE008A01042</t>
  </si>
  <si>
    <t>TRD00277</t>
  </si>
  <si>
    <t>TRD00278</t>
  </si>
  <si>
    <t>INE004A01074</t>
  </si>
  <si>
    <t>TRD00279</t>
  </si>
  <si>
    <t>INE006A0106</t>
  </si>
  <si>
    <t>TRD00280</t>
  </si>
  <si>
    <t>TRD00281</t>
  </si>
  <si>
    <t>TRD00282</t>
  </si>
  <si>
    <t>INE005A0109</t>
  </si>
  <si>
    <t>TRD00283</t>
  </si>
  <si>
    <t>INE005A01025</t>
  </si>
  <si>
    <t>TRD00284</t>
  </si>
  <si>
    <t>INE007A01076</t>
  </si>
  <si>
    <t>TRD00285</t>
  </si>
  <si>
    <t>INE004A01015</t>
  </si>
  <si>
    <t>TRD00286</t>
  </si>
  <si>
    <t>TRD00287</t>
  </si>
  <si>
    <t>INE008A01028</t>
  </si>
  <si>
    <t>TRD00288</t>
  </si>
  <si>
    <t>INE003A01017</t>
  </si>
  <si>
    <t>TRD00289</t>
  </si>
  <si>
    <t>TRD00290</t>
  </si>
  <si>
    <t>TRD00291</t>
  </si>
  <si>
    <t>TRD00292</t>
  </si>
  <si>
    <t>INE003A01078</t>
  </si>
  <si>
    <t>TRD00293</t>
  </si>
  <si>
    <t>TRD00294</t>
  </si>
  <si>
    <t>INE008A01067</t>
  </si>
  <si>
    <t>TRD00295</t>
  </si>
  <si>
    <t>TRD00296</t>
  </si>
  <si>
    <t>TRD00297</t>
  </si>
  <si>
    <t>INE001A01026</t>
  </si>
  <si>
    <t>TRD00298</t>
  </si>
  <si>
    <t>TRD00299</t>
  </si>
  <si>
    <t>TRD00300</t>
  </si>
  <si>
    <t>INE004A01053</t>
  </si>
  <si>
    <t>TRD00301</t>
  </si>
  <si>
    <t>INE002A0100</t>
  </si>
  <si>
    <t>TRD00302</t>
  </si>
  <si>
    <t>INE008A01018</t>
  </si>
  <si>
    <t>TRD00303</t>
  </si>
  <si>
    <t>TRD00304</t>
  </si>
  <si>
    <t>INE002A01039</t>
  </si>
  <si>
    <t>TRD00305</t>
  </si>
  <si>
    <t>INE008A01098</t>
  </si>
  <si>
    <t>TRD00306</t>
  </si>
  <si>
    <t>TRD00307</t>
  </si>
  <si>
    <t>TRD00308</t>
  </si>
  <si>
    <t>INE003A0104</t>
  </si>
  <si>
    <t>TRD00309</t>
  </si>
  <si>
    <t>TRD00310</t>
  </si>
  <si>
    <t>TRD00311</t>
  </si>
  <si>
    <t>TRD00312</t>
  </si>
  <si>
    <t>INE004A01032</t>
  </si>
  <si>
    <t>TRD00313</t>
  </si>
  <si>
    <t>TRD00314</t>
  </si>
  <si>
    <t>INE007A01044</t>
  </si>
  <si>
    <t>TRD00315</t>
  </si>
  <si>
    <t>TRD00316</t>
  </si>
  <si>
    <t>TRD00317</t>
  </si>
  <si>
    <t>TRD00318</t>
  </si>
  <si>
    <t>TRD00319</t>
  </si>
  <si>
    <t>TRD00320</t>
  </si>
  <si>
    <t>TRD00321</t>
  </si>
  <si>
    <t>INE004A01052</t>
  </si>
  <si>
    <t>TRD00322</t>
  </si>
  <si>
    <t>INE007A01075</t>
  </si>
  <si>
    <t>TRD00323</t>
  </si>
  <si>
    <t>INE006A01082</t>
  </si>
  <si>
    <t>TRD00324</t>
  </si>
  <si>
    <t>INE009A01029</t>
  </si>
  <si>
    <t>TRD00325</t>
  </si>
  <si>
    <t>INE003A01028</t>
  </si>
  <si>
    <t>TRD00326</t>
  </si>
  <si>
    <t>INE001A01014</t>
  </si>
  <si>
    <t>TRD00327</t>
  </si>
  <si>
    <t>INE006A0107</t>
  </si>
  <si>
    <t>TRD00328</t>
  </si>
  <si>
    <t>TRD00329</t>
  </si>
  <si>
    <t>INE001A01012</t>
  </si>
  <si>
    <t>TRD00330</t>
  </si>
  <si>
    <t>INE008A01021</t>
  </si>
  <si>
    <t>TRD00331</t>
  </si>
  <si>
    <t>INE009A01038</t>
  </si>
  <si>
    <t>TRD00332</t>
  </si>
  <si>
    <t>TRD00333</t>
  </si>
  <si>
    <t>INE003A01034</t>
  </si>
  <si>
    <t>TRD00334</t>
  </si>
  <si>
    <t>INE002A01021</t>
  </si>
  <si>
    <t>TRD00335</t>
  </si>
  <si>
    <t>TRD00336</t>
  </si>
  <si>
    <t>TRD00337</t>
  </si>
  <si>
    <t>TRD00338</t>
  </si>
  <si>
    <t>INE008A01037</t>
  </si>
  <si>
    <t>TRD00339</t>
  </si>
  <si>
    <t>INE008A01068</t>
  </si>
  <si>
    <t>TRD00340</t>
  </si>
  <si>
    <t>INE001A01041</t>
  </si>
  <si>
    <t>TRD00341</t>
  </si>
  <si>
    <t>INE008A01061</t>
  </si>
  <si>
    <t>TRD00342</t>
  </si>
  <si>
    <t>INE004A01036</t>
  </si>
  <si>
    <t>TRD00343</t>
  </si>
  <si>
    <t>INE002A01056</t>
  </si>
  <si>
    <t>TRD00344</t>
  </si>
  <si>
    <t>INE004A01057</t>
  </si>
  <si>
    <t>TRD00345</t>
  </si>
  <si>
    <t>INE003A01059</t>
  </si>
  <si>
    <t>TRD00346</t>
  </si>
  <si>
    <t>INE001A01023</t>
  </si>
  <si>
    <t>TRD00347</t>
  </si>
  <si>
    <t>TRD00348</t>
  </si>
  <si>
    <t>TRD00349</t>
  </si>
  <si>
    <t>TRD00350</t>
  </si>
  <si>
    <t>TRD00351</t>
  </si>
  <si>
    <t>TRD00352</t>
  </si>
  <si>
    <t>INE005A01049</t>
  </si>
  <si>
    <t>TRD00353</t>
  </si>
  <si>
    <t>TRD00354</t>
  </si>
  <si>
    <t>TRD00355</t>
  </si>
  <si>
    <t>TRD00356</t>
  </si>
  <si>
    <t>INE007A01045</t>
  </si>
  <si>
    <t>TRD00357</t>
  </si>
  <si>
    <t>TRD00358</t>
  </si>
  <si>
    <t>INE003A01068</t>
  </si>
  <si>
    <t>TRD00359</t>
  </si>
  <si>
    <t>INE001A01045</t>
  </si>
  <si>
    <t>TRD00360</t>
  </si>
  <si>
    <t>INE001A01037</t>
  </si>
  <si>
    <t>TRD00361</t>
  </si>
  <si>
    <t>INE006A01085</t>
  </si>
  <si>
    <t>TRD00362</t>
  </si>
  <si>
    <t>INE006A01053</t>
  </si>
  <si>
    <t>TRD00363</t>
  </si>
  <si>
    <t>TRD00364</t>
  </si>
  <si>
    <t>INE004A01075</t>
  </si>
  <si>
    <t>TRD00365</t>
  </si>
  <si>
    <t>TRD00366</t>
  </si>
  <si>
    <t>INE009A01079</t>
  </si>
  <si>
    <t>TRD00367</t>
  </si>
  <si>
    <t>TRD00368</t>
  </si>
  <si>
    <t>INE004A01011</t>
  </si>
  <si>
    <t>TRD00369</t>
  </si>
  <si>
    <t>INE002A01076</t>
  </si>
  <si>
    <t>TRD00370</t>
  </si>
  <si>
    <t>INE008A01034</t>
  </si>
  <si>
    <t>TRD00371</t>
  </si>
  <si>
    <t>INE008A01015</t>
  </si>
  <si>
    <t>TRD00372</t>
  </si>
  <si>
    <t>TRD00373</t>
  </si>
  <si>
    <t>TRD00374</t>
  </si>
  <si>
    <t>INE007A01067</t>
  </si>
  <si>
    <t>TRD00375</t>
  </si>
  <si>
    <t>TRD00376</t>
  </si>
  <si>
    <t>INE007A01048</t>
  </si>
  <si>
    <t>TRD00377</t>
  </si>
  <si>
    <t>INE006A01097</t>
  </si>
  <si>
    <t>TRD00378</t>
  </si>
  <si>
    <t>TRD00379</t>
  </si>
  <si>
    <t>TRD00380</t>
  </si>
  <si>
    <t>TRD00381</t>
  </si>
  <si>
    <t>INE006A01016</t>
  </si>
  <si>
    <t>TRD00382</t>
  </si>
  <si>
    <t>TRD00383</t>
  </si>
  <si>
    <t>INE009A01014</t>
  </si>
  <si>
    <t>TRD00384</t>
  </si>
  <si>
    <t>TRD00385</t>
  </si>
  <si>
    <t>TRD00386</t>
  </si>
  <si>
    <t>INE009A01010</t>
  </si>
  <si>
    <t>TRD00387</t>
  </si>
  <si>
    <t>INE003A01082</t>
  </si>
  <si>
    <t>TRD00388</t>
  </si>
  <si>
    <t>TRD00389</t>
  </si>
  <si>
    <t>INE009A01070</t>
  </si>
  <si>
    <t>TRD00390</t>
  </si>
  <si>
    <t>INE006A01012</t>
  </si>
  <si>
    <t>TRD00391</t>
  </si>
  <si>
    <t>INE009A0106</t>
  </si>
  <si>
    <t>TRD00392</t>
  </si>
  <si>
    <t>INE004A01068</t>
  </si>
  <si>
    <t>TRD00393</t>
  </si>
  <si>
    <t>INE005A01037</t>
  </si>
  <si>
    <t>TRD00394</t>
  </si>
  <si>
    <t>INE005A01035</t>
  </si>
  <si>
    <t>TRD00395</t>
  </si>
  <si>
    <t>TRD00396</t>
  </si>
  <si>
    <t>INE003A01022</t>
  </si>
  <si>
    <t>TRD00397</t>
  </si>
  <si>
    <t>TRD00398</t>
  </si>
  <si>
    <t>INE004A01080</t>
  </si>
  <si>
    <t>TRD00399</t>
  </si>
  <si>
    <t>INE002A0108</t>
  </si>
  <si>
    <t>TRD00400</t>
  </si>
  <si>
    <t>INE004A01019</t>
  </si>
  <si>
    <t>TRD00401</t>
  </si>
  <si>
    <t>INE004A01089</t>
  </si>
  <si>
    <t>TRD00402</t>
  </si>
  <si>
    <t>INE002A01067</t>
  </si>
  <si>
    <t>TRD00403</t>
  </si>
  <si>
    <t>TRD00404</t>
  </si>
  <si>
    <t>TRD00405</t>
  </si>
  <si>
    <t>TRD00406</t>
  </si>
  <si>
    <t>INE003A01014</t>
  </si>
  <si>
    <t>TRD00407</t>
  </si>
  <si>
    <t>TRD00408</t>
  </si>
  <si>
    <t>TRD00409</t>
  </si>
  <si>
    <t>TRD00410</t>
  </si>
  <si>
    <t>INE008A01033</t>
  </si>
  <si>
    <t>TRD00411</t>
  </si>
  <si>
    <t>INE009A01037</t>
  </si>
  <si>
    <t>TRD00412</t>
  </si>
  <si>
    <t>INE008A01041</t>
  </si>
  <si>
    <t>TRD00413</t>
  </si>
  <si>
    <t>TRD00414</t>
  </si>
  <si>
    <t>INE003A01092</t>
  </si>
  <si>
    <t>TRD00415</t>
  </si>
  <si>
    <t>INE003A0108</t>
  </si>
  <si>
    <t>TRD00416</t>
  </si>
  <si>
    <t>INE009A01053</t>
  </si>
  <si>
    <t>TRD00417</t>
  </si>
  <si>
    <t>INE009A01078</t>
  </si>
  <si>
    <t>TRD00418</t>
  </si>
  <si>
    <t>INE009A01011</t>
  </si>
  <si>
    <t>TRD00419</t>
  </si>
  <si>
    <t>INE003A0102</t>
  </si>
  <si>
    <t>TRD00420</t>
  </si>
  <si>
    <t>INE005A01080</t>
  </si>
  <si>
    <t>TRD00421</t>
  </si>
  <si>
    <t>TRD00422</t>
  </si>
  <si>
    <t>INE001A0102</t>
  </si>
  <si>
    <t>TRD00423</t>
  </si>
  <si>
    <t>INE003A01035</t>
  </si>
  <si>
    <t>TRD00424</t>
  </si>
  <si>
    <t>TRD00425</t>
  </si>
  <si>
    <t>TRD00426</t>
  </si>
  <si>
    <t>TRD00427</t>
  </si>
  <si>
    <t>INE005A01023</t>
  </si>
  <si>
    <t>TRD00428</t>
  </si>
  <si>
    <t>TRD00429</t>
  </si>
  <si>
    <t>INE004A0108</t>
  </si>
  <si>
    <t>TRD00430</t>
  </si>
  <si>
    <t>INE009A01013</t>
  </si>
  <si>
    <t>TRD00431</t>
  </si>
  <si>
    <t>INE002A01023</t>
  </si>
  <si>
    <t>TRD00432</t>
  </si>
  <si>
    <t>INE002A0105</t>
  </si>
  <si>
    <t>TRD00433</t>
  </si>
  <si>
    <t>TRD00434</t>
  </si>
  <si>
    <t>TRD00435</t>
  </si>
  <si>
    <t>INE001A01076</t>
  </si>
  <si>
    <t>TRD00436</t>
  </si>
  <si>
    <t>INE004A01084</t>
  </si>
  <si>
    <t>TRD00437</t>
  </si>
  <si>
    <t>TRD00438</t>
  </si>
  <si>
    <t>TRD00439</t>
  </si>
  <si>
    <t>TRD00440</t>
  </si>
  <si>
    <t>INE008A0109</t>
  </si>
  <si>
    <t>TRD00441</t>
  </si>
  <si>
    <t>INE005A01042</t>
  </si>
  <si>
    <t>TRD00442</t>
  </si>
  <si>
    <t>TRD00443</t>
  </si>
  <si>
    <t>TRD00444</t>
  </si>
  <si>
    <t>INE007A01018</t>
  </si>
  <si>
    <t>TRD00445</t>
  </si>
  <si>
    <t>INE005A01065</t>
  </si>
  <si>
    <t>TRD00446</t>
  </si>
  <si>
    <t>INE005A0100</t>
  </si>
  <si>
    <t>TRD00447</t>
  </si>
  <si>
    <t>TRD00448</t>
  </si>
  <si>
    <t>INE005A01057</t>
  </si>
  <si>
    <t>TRD00449</t>
  </si>
  <si>
    <t>INE003A01054</t>
  </si>
  <si>
    <t>TRD00450</t>
  </si>
  <si>
    <t>TRD00451</t>
  </si>
  <si>
    <t>INE007A01079</t>
  </si>
  <si>
    <t>TRD00452</t>
  </si>
  <si>
    <t>TRD00453</t>
  </si>
  <si>
    <t>INE005A01093</t>
  </si>
  <si>
    <t>TRD00454</t>
  </si>
  <si>
    <t>INE006A01098</t>
  </si>
  <si>
    <t>TRD00455</t>
  </si>
  <si>
    <t>TRD00456</t>
  </si>
  <si>
    <t>INE006A01030</t>
  </si>
  <si>
    <t>TRD00457</t>
  </si>
  <si>
    <t>TRD00458</t>
  </si>
  <si>
    <t>TRD00459</t>
  </si>
  <si>
    <t>TRD00460</t>
  </si>
  <si>
    <t>TRD00461</t>
  </si>
  <si>
    <t>TRD00462</t>
  </si>
  <si>
    <t>INE009A01072</t>
  </si>
  <si>
    <t>TRD00463</t>
  </si>
  <si>
    <t>INE008A01026</t>
  </si>
  <si>
    <t>TRD00464</t>
  </si>
  <si>
    <t>TRD00465</t>
  </si>
  <si>
    <t>INE001A01052</t>
  </si>
  <si>
    <t>TRD00466</t>
  </si>
  <si>
    <t>INE005A01039</t>
  </si>
  <si>
    <t>TRD00467</t>
  </si>
  <si>
    <t>INE005A01038</t>
  </si>
  <si>
    <t>TRD00468</t>
  </si>
  <si>
    <t>TRD00469</t>
  </si>
  <si>
    <t>INE003A01016</t>
  </si>
  <si>
    <t>TRD00470</t>
  </si>
  <si>
    <t>TRD00471</t>
  </si>
  <si>
    <t>TRD00472</t>
  </si>
  <si>
    <t>TRD00473</t>
  </si>
  <si>
    <t>TRD00474</t>
  </si>
  <si>
    <t>INE008A01030</t>
  </si>
  <si>
    <t>TRD00475</t>
  </si>
  <si>
    <t>TRD00476</t>
  </si>
  <si>
    <t>INE008A01040</t>
  </si>
  <si>
    <t>TRD00477</t>
  </si>
  <si>
    <t>INE009A01012</t>
  </si>
  <si>
    <t>TRD00478</t>
  </si>
  <si>
    <t>INE009A01056</t>
  </si>
  <si>
    <t>TRD00479</t>
  </si>
  <si>
    <t>INE007A0108</t>
  </si>
  <si>
    <t>TRD00480</t>
  </si>
  <si>
    <t>INE006A01072</t>
  </si>
  <si>
    <t>TRD00481</t>
  </si>
  <si>
    <t>TRD00482</t>
  </si>
  <si>
    <t>INE002A01064</t>
  </si>
  <si>
    <t>TRD00483</t>
  </si>
  <si>
    <t>TRD00484</t>
  </si>
  <si>
    <t>TRD00485</t>
  </si>
  <si>
    <t>TRD00486</t>
  </si>
  <si>
    <t>INE006A01083</t>
  </si>
  <si>
    <t>TRD00487</t>
  </si>
  <si>
    <t>TRD00488</t>
  </si>
  <si>
    <t>INE006A0105</t>
  </si>
  <si>
    <t>TRD00489</t>
  </si>
  <si>
    <t>TRD00490</t>
  </si>
  <si>
    <t>TRD00491</t>
  </si>
  <si>
    <t>INE008A01027</t>
  </si>
  <si>
    <t>TRD00492</t>
  </si>
  <si>
    <t>TRD00493</t>
  </si>
  <si>
    <t>TRD00494</t>
  </si>
  <si>
    <t>TRD00495</t>
  </si>
  <si>
    <t>TRD00496</t>
  </si>
  <si>
    <t>INE001A01058</t>
  </si>
  <si>
    <t>TRD00497</t>
  </si>
  <si>
    <t>TRD00498</t>
  </si>
  <si>
    <t>INE008A01057</t>
  </si>
  <si>
    <t>TRD00499</t>
  </si>
  <si>
    <t>INE001A01068</t>
  </si>
  <si>
    <t>TRD00500</t>
  </si>
  <si>
    <t>TRD00501</t>
  </si>
  <si>
    <t>INE002A01018</t>
  </si>
  <si>
    <t>TRD00502</t>
  </si>
  <si>
    <t>TRD00503</t>
  </si>
  <si>
    <t>TRD00504</t>
  </si>
  <si>
    <t>INE005A01034</t>
  </si>
  <si>
    <t>TRD00505</t>
  </si>
  <si>
    <t>INE009A0107</t>
  </si>
  <si>
    <t>TRD00506</t>
  </si>
  <si>
    <t>INE006A01062</t>
  </si>
  <si>
    <t>TRD00507</t>
  </si>
  <si>
    <t>TRD00508</t>
  </si>
  <si>
    <t>INE006A01092</t>
  </si>
  <si>
    <t>TRD00509</t>
  </si>
  <si>
    <t>INE003A01039</t>
  </si>
  <si>
    <t>TRD00510</t>
  </si>
  <si>
    <t>TRD00511</t>
  </si>
  <si>
    <t>INE006A01015</t>
  </si>
  <si>
    <t>TRD00512</t>
  </si>
  <si>
    <t>INE002A01037</t>
  </si>
  <si>
    <t>TRD00513</t>
  </si>
  <si>
    <t>INE009A01021</t>
  </si>
  <si>
    <t>TRD00514</t>
  </si>
  <si>
    <t>INE009A0101</t>
  </si>
  <si>
    <t>TRD00515</t>
  </si>
  <si>
    <t>INE005A01067</t>
  </si>
  <si>
    <t>TRD00516</t>
  </si>
  <si>
    <t>INE004A01082</t>
  </si>
  <si>
    <t>TRD00517</t>
  </si>
  <si>
    <t>TRD00518</t>
  </si>
  <si>
    <t>INE006A01063</t>
  </si>
  <si>
    <t>TRD00519</t>
  </si>
  <si>
    <t>INE002A0104</t>
  </si>
  <si>
    <t>TRD00520</t>
  </si>
  <si>
    <t>TRD00521</t>
  </si>
  <si>
    <t>INE009A01054</t>
  </si>
  <si>
    <t>TRD00522</t>
  </si>
  <si>
    <t>TRD00523</t>
  </si>
  <si>
    <t>INE002A01062</t>
  </si>
  <si>
    <t>TRD00524</t>
  </si>
  <si>
    <t>TRD00525</t>
  </si>
  <si>
    <t>TRD00526</t>
  </si>
  <si>
    <t>INE003A01091</t>
  </si>
  <si>
    <t>TRD00527</t>
  </si>
  <si>
    <t>INE004A01062</t>
  </si>
  <si>
    <t>TRD00528</t>
  </si>
  <si>
    <t>INE001A01083</t>
  </si>
  <si>
    <t>TRD00529</t>
  </si>
  <si>
    <t>INE002A01065</t>
  </si>
  <si>
    <t>TRD00530</t>
  </si>
  <si>
    <t>INE001A01060</t>
  </si>
  <si>
    <t>TRD00531</t>
  </si>
  <si>
    <t>TRD00532</t>
  </si>
  <si>
    <t>INE008A01047</t>
  </si>
  <si>
    <t>TRD00533</t>
  </si>
  <si>
    <t>INE007A0104</t>
  </si>
  <si>
    <t>TRD00534</t>
  </si>
  <si>
    <t>INE009A01077</t>
  </si>
  <si>
    <t>TRD00535</t>
  </si>
  <si>
    <t>INE001A01089</t>
  </si>
  <si>
    <t>TRD00536</t>
  </si>
  <si>
    <t>TRD00537</t>
  </si>
  <si>
    <t>INE004A01048</t>
  </si>
  <si>
    <t>TRD00538</t>
  </si>
  <si>
    <t>TRD00539</t>
  </si>
  <si>
    <t>TRD00540</t>
  </si>
  <si>
    <t>INE004A01063</t>
  </si>
  <si>
    <t>TRD00541</t>
  </si>
  <si>
    <t>INE004A01017</t>
  </si>
  <si>
    <t>TRD00542</t>
  </si>
  <si>
    <t>INE006A0101</t>
  </si>
  <si>
    <t>TRD00543</t>
  </si>
  <si>
    <t>TRD00544</t>
  </si>
  <si>
    <t>INE005A0106</t>
  </si>
  <si>
    <t>TRD00545</t>
  </si>
  <si>
    <t>TRD00546</t>
  </si>
  <si>
    <t>INE009A01045</t>
  </si>
  <si>
    <t>TRD00547</t>
  </si>
  <si>
    <t>INE002A0107</t>
  </si>
  <si>
    <t>TRD00548</t>
  </si>
  <si>
    <t>TRD00549</t>
  </si>
  <si>
    <t>TRD00550</t>
  </si>
  <si>
    <t>TRD00551</t>
  </si>
  <si>
    <t>TRD00552</t>
  </si>
  <si>
    <t>INE008A01078</t>
  </si>
  <si>
    <t>TRD00553</t>
  </si>
  <si>
    <t>INE006A01035</t>
  </si>
  <si>
    <t>TRD00554</t>
  </si>
  <si>
    <t>INE002A01093</t>
  </si>
  <si>
    <t>TRD00555</t>
  </si>
  <si>
    <t>TRD00556</t>
  </si>
  <si>
    <t>TRD00557</t>
  </si>
  <si>
    <t>TRD00558</t>
  </si>
  <si>
    <t>INE005A01030</t>
  </si>
  <si>
    <t>TRD00559</t>
  </si>
  <si>
    <t>INE001A0107</t>
  </si>
  <si>
    <t>TRD00560</t>
  </si>
  <si>
    <t>TRD00561</t>
  </si>
  <si>
    <t>INE005A01095</t>
  </si>
  <si>
    <t>TRD00562</t>
  </si>
  <si>
    <t>TRD00563</t>
  </si>
  <si>
    <t>TRD00564</t>
  </si>
  <si>
    <t>INE007A01046</t>
  </si>
  <si>
    <t>TRD00565</t>
  </si>
  <si>
    <t>INE008A0104</t>
  </si>
  <si>
    <t>TRD00566</t>
  </si>
  <si>
    <t>INE002A0103</t>
  </si>
  <si>
    <t>TRD00567</t>
  </si>
  <si>
    <t>TRD00568</t>
  </si>
  <si>
    <t>TRD00569</t>
  </si>
  <si>
    <t>TRD00570</t>
  </si>
  <si>
    <t>TRD00571</t>
  </si>
  <si>
    <t>TRD00572</t>
  </si>
  <si>
    <t>INE004A01088</t>
  </si>
  <si>
    <t>TRD00573</t>
  </si>
  <si>
    <t>INE007A01056</t>
  </si>
  <si>
    <t>TRD00574</t>
  </si>
  <si>
    <t>TRD00575</t>
  </si>
  <si>
    <t>INE003A01010</t>
  </si>
  <si>
    <t>TRD00576</t>
  </si>
  <si>
    <t>TRD00577</t>
  </si>
  <si>
    <t>TRD00578</t>
  </si>
  <si>
    <t>INE001A01087</t>
  </si>
  <si>
    <t>TRD00579</t>
  </si>
  <si>
    <t>INE006A01011</t>
  </si>
  <si>
    <t>TRD00580</t>
  </si>
  <si>
    <t>INE004A0109</t>
  </si>
  <si>
    <t>TRD00581</t>
  </si>
  <si>
    <t>TRD00582</t>
  </si>
  <si>
    <t>INE009A01068</t>
  </si>
  <si>
    <t>TRD00583</t>
  </si>
  <si>
    <t>INE009A01058</t>
  </si>
  <si>
    <t>TRD00584</t>
  </si>
  <si>
    <t>TRD00585</t>
  </si>
  <si>
    <t>INE001A01046</t>
  </si>
  <si>
    <t>TRD00586</t>
  </si>
  <si>
    <t>TRD00587</t>
  </si>
  <si>
    <t>INE007A0101</t>
  </si>
  <si>
    <t>TRD00588</t>
  </si>
  <si>
    <t>TRD00589</t>
  </si>
  <si>
    <t>TRD00590</t>
  </si>
  <si>
    <t>INE007A01088</t>
  </si>
  <si>
    <t>TRD00591</t>
  </si>
  <si>
    <t>INE005A01081</t>
  </si>
  <si>
    <t>TRD00592</t>
  </si>
  <si>
    <t>TRD00593</t>
  </si>
  <si>
    <t>INE005A0105</t>
  </si>
  <si>
    <t>TRD00594</t>
  </si>
  <si>
    <t>INE008A01072</t>
  </si>
  <si>
    <t>TRD00595</t>
  </si>
  <si>
    <t>INE003A01018</t>
  </si>
  <si>
    <t>TRD00596</t>
  </si>
  <si>
    <t>TRD00597</t>
  </si>
  <si>
    <t>TRD00598</t>
  </si>
  <si>
    <t>INE004A01087</t>
  </si>
  <si>
    <t>TRD00599</t>
  </si>
  <si>
    <t>TRD00600</t>
  </si>
  <si>
    <t>TRD00601</t>
  </si>
  <si>
    <t>TRD00602</t>
  </si>
  <si>
    <t>TRD00603</t>
  </si>
  <si>
    <t>INE002A01072</t>
  </si>
  <si>
    <t>TRD00604</t>
  </si>
  <si>
    <t>TRD00605</t>
  </si>
  <si>
    <t>INE003A01062</t>
  </si>
  <si>
    <t>TRD00606</t>
  </si>
  <si>
    <t>TRD00607</t>
  </si>
  <si>
    <t>TRD00608</t>
  </si>
  <si>
    <t>TRD00609</t>
  </si>
  <si>
    <t>TRD00610</t>
  </si>
  <si>
    <t>TRD00611</t>
  </si>
  <si>
    <t>TRD00612</t>
  </si>
  <si>
    <t>TRD00613</t>
  </si>
  <si>
    <t>INE008A01046</t>
  </si>
  <si>
    <t>TRD00614</t>
  </si>
  <si>
    <t>TRD00615</t>
  </si>
  <si>
    <t>TRD00616</t>
  </si>
  <si>
    <t>TRD00617</t>
  </si>
  <si>
    <t>TRD00618</t>
  </si>
  <si>
    <t>TRD00619</t>
  </si>
  <si>
    <t>TRD00620</t>
  </si>
  <si>
    <t>INE003A01064</t>
  </si>
  <si>
    <t>TRD00621</t>
  </si>
  <si>
    <t>TRD00622</t>
  </si>
  <si>
    <t>TRD00623</t>
  </si>
  <si>
    <t>TRD00624</t>
  </si>
  <si>
    <t>TRD00625</t>
  </si>
  <si>
    <t>INE005A01076</t>
  </si>
  <si>
    <t>TRD00626</t>
  </si>
  <si>
    <t>TRD00627</t>
  </si>
  <si>
    <t>TRD00628</t>
  </si>
  <si>
    <t>TRD00629</t>
  </si>
  <si>
    <t>TRD00630</t>
  </si>
  <si>
    <t>TRD00631</t>
  </si>
  <si>
    <t>TRD00632</t>
  </si>
  <si>
    <t>TRD00633</t>
  </si>
  <si>
    <t>TRD00634</t>
  </si>
  <si>
    <t>TRD00635</t>
  </si>
  <si>
    <t>INE005A01061</t>
  </si>
  <si>
    <t>TRD00636</t>
  </si>
  <si>
    <t>TRD00637</t>
  </si>
  <si>
    <t>TRD00638</t>
  </si>
  <si>
    <t>TRD00639</t>
  </si>
  <si>
    <t>INE004A01013</t>
  </si>
  <si>
    <t>TRD00640</t>
  </si>
  <si>
    <t>INE006A01065</t>
  </si>
  <si>
    <t>TRD00641</t>
  </si>
  <si>
    <t>INE004A01058</t>
  </si>
  <si>
    <t>TRD00642</t>
  </si>
  <si>
    <t>TRD00643</t>
  </si>
  <si>
    <t>INE006A01079</t>
  </si>
  <si>
    <t>TRD00644</t>
  </si>
  <si>
    <t>INE007A01090</t>
  </si>
  <si>
    <t>TRD00645</t>
  </si>
  <si>
    <t>INE001A0108</t>
  </si>
  <si>
    <t>TRD00646</t>
  </si>
  <si>
    <t>TRD00647</t>
  </si>
  <si>
    <t>TRD00648</t>
  </si>
  <si>
    <t>TRD00649</t>
  </si>
  <si>
    <t>TRD00650</t>
  </si>
  <si>
    <t>INE001A01077</t>
  </si>
  <si>
    <t>TRD00651</t>
  </si>
  <si>
    <t>TRD00652</t>
  </si>
  <si>
    <t>INE008A01045</t>
  </si>
  <si>
    <t>TRD00653</t>
  </si>
  <si>
    <t>TRD00654</t>
  </si>
  <si>
    <t>TRD00655</t>
  </si>
  <si>
    <t>INE003A01019</t>
  </si>
  <si>
    <t>TRD00656</t>
  </si>
  <si>
    <t>TRD00657</t>
  </si>
  <si>
    <t>INE001A01033</t>
  </si>
  <si>
    <t>TRD00658</t>
  </si>
  <si>
    <t>INE003A01055</t>
  </si>
  <si>
    <t>TRD00659</t>
  </si>
  <si>
    <t>INE003A01090</t>
  </si>
  <si>
    <t>TRD00660</t>
  </si>
  <si>
    <t>INE003A01065</t>
  </si>
  <si>
    <t>TRD00661</t>
  </si>
  <si>
    <t>TRD00662</t>
  </si>
  <si>
    <t>TRD00663</t>
  </si>
  <si>
    <t>INE004A01016</t>
  </si>
  <si>
    <t>TRD00664</t>
  </si>
  <si>
    <t>INE006A01014</t>
  </si>
  <si>
    <t>TRD00665</t>
  </si>
  <si>
    <t>INE004A01023</t>
  </si>
  <si>
    <t>TRD00666</t>
  </si>
  <si>
    <t>TRD00667</t>
  </si>
  <si>
    <t>TRD00668</t>
  </si>
  <si>
    <t>INE001A01069</t>
  </si>
  <si>
    <t>TRD00669</t>
  </si>
  <si>
    <t>TRD00670</t>
  </si>
  <si>
    <t>TRD00671</t>
  </si>
  <si>
    <t>INE007A01049</t>
  </si>
  <si>
    <t>TRD00672</t>
  </si>
  <si>
    <t>TRD00673</t>
  </si>
  <si>
    <t>TRD00674</t>
  </si>
  <si>
    <t>TRD00675</t>
  </si>
  <si>
    <t>TRD00676</t>
  </si>
  <si>
    <t>TRD00677</t>
  </si>
  <si>
    <t>INE007A01040</t>
  </si>
  <si>
    <t>TRD00678</t>
  </si>
  <si>
    <t>TRD00679</t>
  </si>
  <si>
    <t>TRD00680</t>
  </si>
  <si>
    <t>TRD00681</t>
  </si>
  <si>
    <t>TRD00682</t>
  </si>
  <si>
    <t>INE002A01041</t>
  </si>
  <si>
    <t>TRD00683</t>
  </si>
  <si>
    <t>TRD00684</t>
  </si>
  <si>
    <t>TRD00685</t>
  </si>
  <si>
    <t>INE007A0100</t>
  </si>
  <si>
    <t>TRD00686</t>
  </si>
  <si>
    <t>TRD00687</t>
  </si>
  <si>
    <t>INE002A01024</t>
  </si>
  <si>
    <t>TRD00688</t>
  </si>
  <si>
    <t>TRD00689</t>
  </si>
  <si>
    <t>TRD00690</t>
  </si>
  <si>
    <t>TRD00691</t>
  </si>
  <si>
    <t>TRD00692</t>
  </si>
  <si>
    <t>INE007A01073</t>
  </si>
  <si>
    <t>TRD00693</t>
  </si>
  <si>
    <t>TRD00694</t>
  </si>
  <si>
    <t>TRD00695</t>
  </si>
  <si>
    <t>INE002A0102</t>
  </si>
  <si>
    <t>TRD00696</t>
  </si>
  <si>
    <t>INE001A01036</t>
  </si>
  <si>
    <t>TRD00697</t>
  </si>
  <si>
    <t>TRD00698</t>
  </si>
  <si>
    <t>TRD00699</t>
  </si>
  <si>
    <t>INE009A01076</t>
  </si>
  <si>
    <t>TRD00700</t>
  </si>
  <si>
    <t>TRD00701</t>
  </si>
  <si>
    <t>INE004A01090</t>
  </si>
  <si>
    <t>TRD00702</t>
  </si>
  <si>
    <t>TRD00703</t>
  </si>
  <si>
    <t>TRD00704</t>
  </si>
  <si>
    <t>TRD00705</t>
  </si>
  <si>
    <t>TRD00706</t>
  </si>
  <si>
    <t>TRD00707</t>
  </si>
  <si>
    <t>INE005A01015</t>
  </si>
  <si>
    <t>TRD00708</t>
  </si>
  <si>
    <t>TRD00709</t>
  </si>
  <si>
    <t>INE001A01010</t>
  </si>
  <si>
    <t>TRD00710</t>
  </si>
  <si>
    <t>TRD00711</t>
  </si>
  <si>
    <t>TRD00712</t>
  </si>
  <si>
    <t>TRD00713</t>
  </si>
  <si>
    <t>TRD00714</t>
  </si>
  <si>
    <t>INE005A01074</t>
  </si>
  <si>
    <t>TRD00715</t>
  </si>
  <si>
    <t>INE009A01071</t>
  </si>
  <si>
    <t>TRD00716</t>
  </si>
  <si>
    <t>TRD00717</t>
  </si>
  <si>
    <t>TRD00718</t>
  </si>
  <si>
    <t>INE004A01031</t>
  </si>
  <si>
    <t>TRD00719</t>
  </si>
  <si>
    <t>TRD00720</t>
  </si>
  <si>
    <t>TRD00721</t>
  </si>
  <si>
    <t>TRD00722</t>
  </si>
  <si>
    <t>TRD00723</t>
  </si>
  <si>
    <t>TRD00724</t>
  </si>
  <si>
    <t>INE002A01032</t>
  </si>
  <si>
    <t>TRD00725</t>
  </si>
  <si>
    <t>TRD00726</t>
  </si>
  <si>
    <t>TRD00727</t>
  </si>
  <si>
    <t>TRD00728</t>
  </si>
  <si>
    <t>INE002A01084</t>
  </si>
  <si>
    <t>TRD00729</t>
  </si>
  <si>
    <t>INE005A01051</t>
  </si>
  <si>
    <t>TRD00730</t>
  </si>
  <si>
    <t>TRD00731</t>
  </si>
  <si>
    <t>TRD00732</t>
  </si>
  <si>
    <t>TRD00733</t>
  </si>
  <si>
    <t>TRD00734</t>
  </si>
  <si>
    <t>TRD00735</t>
  </si>
  <si>
    <t>INE002A01049</t>
  </si>
  <si>
    <t>TRD00736</t>
  </si>
  <si>
    <t>TRD00737</t>
  </si>
  <si>
    <t>INE005A01059</t>
  </si>
  <si>
    <t>TRD00738</t>
  </si>
  <si>
    <t>TRD00739</t>
  </si>
  <si>
    <t>TRD00740</t>
  </si>
  <si>
    <t>INE002A01083</t>
  </si>
  <si>
    <t>TRD00741</t>
  </si>
  <si>
    <t>INE007A01060</t>
  </si>
  <si>
    <t>TRD00742</t>
  </si>
  <si>
    <t>INE001A01061</t>
  </si>
  <si>
    <t>TRD00743</t>
  </si>
  <si>
    <t>TRD00744</t>
  </si>
  <si>
    <t>TRD00745</t>
  </si>
  <si>
    <t>INE004A01069</t>
  </si>
  <si>
    <t>TRD00746</t>
  </si>
  <si>
    <t>INE002A01029</t>
  </si>
  <si>
    <t>TRD00747</t>
  </si>
  <si>
    <t>TRD00748</t>
  </si>
  <si>
    <t>TRD00749</t>
  </si>
  <si>
    <t>INE001A0106</t>
  </si>
  <si>
    <t>TRD00750</t>
  </si>
  <si>
    <t>TRD00751</t>
  </si>
  <si>
    <t>TRD00752</t>
  </si>
  <si>
    <t>TRD00753</t>
  </si>
  <si>
    <t>INE007A01029</t>
  </si>
  <si>
    <t>TRD00754</t>
  </si>
  <si>
    <t>INE004A01054</t>
  </si>
  <si>
    <t>TRD00755</t>
  </si>
  <si>
    <t>TRD00756</t>
  </si>
  <si>
    <t>INE003A01020</t>
  </si>
  <si>
    <t>TRD00757</t>
  </si>
  <si>
    <t>INE008A01091</t>
  </si>
  <si>
    <t>TRD00758</t>
  </si>
  <si>
    <t>TRD00759</t>
  </si>
  <si>
    <t>TRD00760</t>
  </si>
  <si>
    <t>TRD00761</t>
  </si>
  <si>
    <t>INE003A01048</t>
  </si>
  <si>
    <t>TRD00762</t>
  </si>
  <si>
    <t>TRD00763</t>
  </si>
  <si>
    <t>INE002A01025</t>
  </si>
  <si>
    <t>TRD00764</t>
  </si>
  <si>
    <t>TRD00765</t>
  </si>
  <si>
    <t>INE004A01051</t>
  </si>
  <si>
    <t>TRD00766</t>
  </si>
  <si>
    <t>INE004A01043</t>
  </si>
  <si>
    <t>TRD00767</t>
  </si>
  <si>
    <t>TRD00768</t>
  </si>
  <si>
    <t>TRD00769</t>
  </si>
  <si>
    <t>INE006A01022</t>
  </si>
  <si>
    <t>TRD00770</t>
  </si>
  <si>
    <t>INE005A01045</t>
  </si>
  <si>
    <t>TRD00771</t>
  </si>
  <si>
    <t>INE001A01062</t>
  </si>
  <si>
    <t>TRD00772</t>
  </si>
  <si>
    <t>TRD00773</t>
  </si>
  <si>
    <t>INE008A01096</t>
  </si>
  <si>
    <t>TRD00774</t>
  </si>
  <si>
    <t>TRD00775</t>
  </si>
  <si>
    <t>INE005A01026</t>
  </si>
  <si>
    <t>TRD00776</t>
  </si>
  <si>
    <t>INE009A01086</t>
  </si>
  <si>
    <t>TRD00777</t>
  </si>
  <si>
    <t>TRD00778</t>
  </si>
  <si>
    <t>TRD00779</t>
  </si>
  <si>
    <t>TRD00780</t>
  </si>
  <si>
    <t>TRD00781</t>
  </si>
  <si>
    <t>INE007A01080</t>
  </si>
  <si>
    <t>TRD00782</t>
  </si>
  <si>
    <t>INE004A01034</t>
  </si>
  <si>
    <t>TRD00783</t>
  </si>
  <si>
    <t>TRD00784</t>
  </si>
  <si>
    <t>TRD00785</t>
  </si>
  <si>
    <t>TRD00786</t>
  </si>
  <si>
    <t>TRD00787</t>
  </si>
  <si>
    <t>INE003A01063</t>
  </si>
  <si>
    <t>TRD00788</t>
  </si>
  <si>
    <t>TRD00789</t>
  </si>
  <si>
    <t>INE002A01015</t>
  </si>
  <si>
    <t>TRD00790</t>
  </si>
  <si>
    <t>TRD00791</t>
  </si>
  <si>
    <t>INE003A01077</t>
  </si>
  <si>
    <t>TRD00792</t>
  </si>
  <si>
    <t>TRD00793</t>
  </si>
  <si>
    <t>INE005A01077</t>
  </si>
  <si>
    <t>TRD00794</t>
  </si>
  <si>
    <t>INE006A01036</t>
  </si>
  <si>
    <t>TRD00795</t>
  </si>
  <si>
    <t>TRD00796</t>
  </si>
  <si>
    <t>INE003A01085</t>
  </si>
  <si>
    <t>TRD00797</t>
  </si>
  <si>
    <t>TRD00798</t>
  </si>
  <si>
    <t>INE003A0101</t>
  </si>
  <si>
    <t>TRD00799</t>
  </si>
  <si>
    <t>INE009A01051</t>
  </si>
  <si>
    <t>TRD00800</t>
  </si>
  <si>
    <t>INE009A01094</t>
  </si>
  <si>
    <t>TRD00801</t>
  </si>
  <si>
    <t>TRD00802</t>
  </si>
  <si>
    <t>TRD00803</t>
  </si>
  <si>
    <t>INE002A01043</t>
  </si>
  <si>
    <t>TRD00804</t>
  </si>
  <si>
    <t>TRD00805</t>
  </si>
  <si>
    <t>INE008A01043</t>
  </si>
  <si>
    <t>TRD00806</t>
  </si>
  <si>
    <t>TRD00807</t>
  </si>
  <si>
    <t>TRD00808</t>
  </si>
  <si>
    <t>TRD00809</t>
  </si>
  <si>
    <t>TRD00810</t>
  </si>
  <si>
    <t>INE007A01014</t>
  </si>
  <si>
    <t>TRD00811</t>
  </si>
  <si>
    <t>TRD00812</t>
  </si>
  <si>
    <t>TRD00813</t>
  </si>
  <si>
    <t>INE008A01083</t>
  </si>
  <si>
    <t>TRD00814</t>
  </si>
  <si>
    <t>INE009A01030</t>
  </si>
  <si>
    <t>TRD00815</t>
  </si>
  <si>
    <t>TRD00816</t>
  </si>
  <si>
    <t>TRD00817</t>
  </si>
  <si>
    <t>TRD00818</t>
  </si>
  <si>
    <t>TRD00819</t>
  </si>
  <si>
    <t>TRD00820</t>
  </si>
  <si>
    <t>TRD00821</t>
  </si>
  <si>
    <t>TRD00822</t>
  </si>
  <si>
    <t>INE004A01010</t>
  </si>
  <si>
    <t>TRD00823</t>
  </si>
  <si>
    <t>TRD00824</t>
  </si>
  <si>
    <t>TRD00825</t>
  </si>
  <si>
    <t>TRD00826</t>
  </si>
  <si>
    <t>INE005A01031</t>
  </si>
  <si>
    <t>TRD00827</t>
  </si>
  <si>
    <t>TRD00828</t>
  </si>
  <si>
    <t>INE002A01074</t>
  </si>
  <si>
    <t>TRD00829</t>
  </si>
  <si>
    <t>INE008A01036</t>
  </si>
  <si>
    <t>TRD00830</t>
  </si>
  <si>
    <t>TRD00831</t>
  </si>
  <si>
    <t>INE005A01072</t>
  </si>
  <si>
    <t>TRD00832</t>
  </si>
  <si>
    <t>INE003A01067</t>
  </si>
  <si>
    <t>TRD00833</t>
  </si>
  <si>
    <t>INE006A01026</t>
  </si>
  <si>
    <t>TRD00834</t>
  </si>
  <si>
    <t>TRD00835</t>
  </si>
  <si>
    <t>INE008A01066</t>
  </si>
  <si>
    <t>TRD00836</t>
  </si>
  <si>
    <t>TRD00837</t>
  </si>
  <si>
    <t>TRD00838</t>
  </si>
  <si>
    <t>INE008A01085</t>
  </si>
  <si>
    <t>TRD00839</t>
  </si>
  <si>
    <t>INE002A01046</t>
  </si>
  <si>
    <t>TRD00840</t>
  </si>
  <si>
    <t>TRD00841</t>
  </si>
  <si>
    <t>TRD00842</t>
  </si>
  <si>
    <t>TRD00843</t>
  </si>
  <si>
    <t>TRD00844</t>
  </si>
  <si>
    <t>TRD00845</t>
  </si>
  <si>
    <t>TRD00846</t>
  </si>
  <si>
    <t>TRD00847</t>
  </si>
  <si>
    <t>TRD00848</t>
  </si>
  <si>
    <t>INE003A0107</t>
  </si>
  <si>
    <t>TRD00849</t>
  </si>
  <si>
    <t>TRD00850</t>
  </si>
  <si>
    <t>INE006A01033</t>
  </si>
  <si>
    <t>TRD00851</t>
  </si>
  <si>
    <t>INE002A01020</t>
  </si>
  <si>
    <t>TRD00852</t>
  </si>
  <si>
    <t>TRD00853</t>
  </si>
  <si>
    <t>INE005A01083</t>
  </si>
  <si>
    <t>TRD00854</t>
  </si>
  <si>
    <t>TRD00855</t>
  </si>
  <si>
    <t>TRD00856</t>
  </si>
  <si>
    <t>TRD00857</t>
  </si>
  <si>
    <t>INE007A01061</t>
  </si>
  <si>
    <t>TRD00858</t>
  </si>
  <si>
    <t>INE008A01016</t>
  </si>
  <si>
    <t>TRD00859</t>
  </si>
  <si>
    <t>INE005A01020</t>
  </si>
  <si>
    <t>TRD00860</t>
  </si>
  <si>
    <t>TRD00861</t>
  </si>
  <si>
    <t>TRD00862</t>
  </si>
  <si>
    <t>TRD00863</t>
  </si>
  <si>
    <t>TRD00864</t>
  </si>
  <si>
    <t>TRD00865</t>
  </si>
  <si>
    <t>TRD00866</t>
  </si>
  <si>
    <t>TRD00867</t>
  </si>
  <si>
    <t>TRD00868</t>
  </si>
  <si>
    <t>TRD00869</t>
  </si>
  <si>
    <t>TRD00870</t>
  </si>
  <si>
    <t>INE003A01053</t>
  </si>
  <si>
    <t>TRD00871</t>
  </si>
  <si>
    <t>INE004A01076</t>
  </si>
  <si>
    <t>TRD00872</t>
  </si>
  <si>
    <t>TRD00873</t>
  </si>
  <si>
    <t>TRD00874</t>
  </si>
  <si>
    <t>TRD00875</t>
  </si>
  <si>
    <t>TRD00876</t>
  </si>
  <si>
    <t>TRD00877</t>
  </si>
  <si>
    <t>INE002A01055</t>
  </si>
  <si>
    <t>TRD00878</t>
  </si>
  <si>
    <t>TRD00879</t>
  </si>
  <si>
    <t>TRD00880</t>
  </si>
  <si>
    <t>TRD00881</t>
  </si>
  <si>
    <t>INE006A01087</t>
  </si>
  <si>
    <t>TRD00882</t>
  </si>
  <si>
    <t>TRD00883</t>
  </si>
  <si>
    <t>TRD00884</t>
  </si>
  <si>
    <t>TRD00885</t>
  </si>
  <si>
    <t>INE003A01046</t>
  </si>
  <si>
    <t>TRD00886</t>
  </si>
  <si>
    <t>INE006A01071</t>
  </si>
  <si>
    <t>TRD00887</t>
  </si>
  <si>
    <t>TRD00888</t>
  </si>
  <si>
    <t>TRD00889</t>
  </si>
  <si>
    <t>TRD00890</t>
  </si>
  <si>
    <t>TRD00891</t>
  </si>
  <si>
    <t>TRD00892</t>
  </si>
  <si>
    <t>TRD00893</t>
  </si>
  <si>
    <t>TRD00894</t>
  </si>
  <si>
    <t>TRD00895</t>
  </si>
  <si>
    <t>INE007A01035</t>
  </si>
  <si>
    <t>TRD00896</t>
  </si>
  <si>
    <t>INE008A01074</t>
  </si>
  <si>
    <t>TRD00897</t>
  </si>
  <si>
    <t>TRD00898</t>
  </si>
  <si>
    <t>TRD00899</t>
  </si>
  <si>
    <t>TRD00900</t>
  </si>
  <si>
    <t>INE008A0105</t>
  </si>
  <si>
    <t>TRD00901</t>
  </si>
  <si>
    <t>INE007A01057</t>
  </si>
  <si>
    <t>TRD00902</t>
  </si>
  <si>
    <t>TRD00903</t>
  </si>
  <si>
    <t>TRD00904</t>
  </si>
  <si>
    <t>TRD00905</t>
  </si>
  <si>
    <t>TRD00906</t>
  </si>
  <si>
    <t>TRD00907</t>
  </si>
  <si>
    <t>INE008A01080</t>
  </si>
  <si>
    <t>TRD00908</t>
  </si>
  <si>
    <t>TRD00909</t>
  </si>
  <si>
    <t>TRD00910</t>
  </si>
  <si>
    <t>TRD00911</t>
  </si>
  <si>
    <t>TRD00912</t>
  </si>
  <si>
    <t>TRD00913</t>
  </si>
  <si>
    <t>TRD00914</t>
  </si>
  <si>
    <t>INE002A01035</t>
  </si>
  <si>
    <t>TRD00915</t>
  </si>
  <si>
    <t>INE004A01060</t>
  </si>
  <si>
    <t>TRD00916</t>
  </si>
  <si>
    <t>TRD00917</t>
  </si>
  <si>
    <t>TRD00918</t>
  </si>
  <si>
    <t>TRD00919</t>
  </si>
  <si>
    <t>TRD00920</t>
  </si>
  <si>
    <t>INE006A0103</t>
  </si>
  <si>
    <t>TRD00921</t>
  </si>
  <si>
    <t>TRD00922</t>
  </si>
  <si>
    <t>TRD00923</t>
  </si>
  <si>
    <t>TRD00924</t>
  </si>
  <si>
    <t>INE003A01094</t>
  </si>
  <si>
    <t>TRD00925</t>
  </si>
  <si>
    <t>INE001A0103</t>
  </si>
  <si>
    <t>TRD00926</t>
  </si>
  <si>
    <t>TRD00927</t>
  </si>
  <si>
    <t>TRD00928</t>
  </si>
  <si>
    <t>TRD00929</t>
  </si>
  <si>
    <t>TRD00930</t>
  </si>
  <si>
    <t>TRD00931</t>
  </si>
  <si>
    <t>TRD00932</t>
  </si>
  <si>
    <t>TRD00933</t>
  </si>
  <si>
    <t>INE002A01061</t>
  </si>
  <si>
    <t>TRD00934</t>
  </si>
  <si>
    <t>TRD00935</t>
  </si>
  <si>
    <t>INE004A01092</t>
  </si>
  <si>
    <t>TRD00936</t>
  </si>
  <si>
    <t>TRD00937</t>
  </si>
  <si>
    <t>TRD00938</t>
  </si>
  <si>
    <t>TRD00939</t>
  </si>
  <si>
    <t>INE002A01097</t>
  </si>
  <si>
    <t>TRD00940</t>
  </si>
  <si>
    <t>TRD00941</t>
  </si>
  <si>
    <t>TRD00942</t>
  </si>
  <si>
    <t>TRD00943</t>
  </si>
  <si>
    <t>INE008A01058</t>
  </si>
  <si>
    <t>TRD00944</t>
  </si>
  <si>
    <t>TRD00945</t>
  </si>
  <si>
    <t>TRD00946</t>
  </si>
  <si>
    <t>TRD00947</t>
  </si>
  <si>
    <t>TRD00948</t>
  </si>
  <si>
    <t>TRD00949</t>
  </si>
  <si>
    <t>TRD00950</t>
  </si>
  <si>
    <t>TRD00951</t>
  </si>
  <si>
    <t>INE002A01092</t>
  </si>
  <si>
    <t>TRD00952</t>
  </si>
  <si>
    <t>TRD00953</t>
  </si>
  <si>
    <t>TRD00954</t>
  </si>
  <si>
    <t>INE009A01069</t>
  </si>
  <si>
    <t>TRD00955</t>
  </si>
  <si>
    <t>TRD00956</t>
  </si>
  <si>
    <t>TRD00957</t>
  </si>
  <si>
    <t>TRD00958</t>
  </si>
  <si>
    <t>INE008A01051</t>
  </si>
  <si>
    <t>TRD00959</t>
  </si>
  <si>
    <t>TRD00960</t>
  </si>
  <si>
    <t>TRD00961</t>
  </si>
  <si>
    <t>TRD00962</t>
  </si>
  <si>
    <t>TRD00963</t>
  </si>
  <si>
    <t>INE001A0105</t>
  </si>
  <si>
    <t>TRD00964</t>
  </si>
  <si>
    <t>TRD00965</t>
  </si>
  <si>
    <t>TRD00966</t>
  </si>
  <si>
    <t>TRD00967</t>
  </si>
  <si>
    <t>TRD00968</t>
  </si>
  <si>
    <t>INE007A01032</t>
  </si>
  <si>
    <t>TRD00969</t>
  </si>
  <si>
    <t>INE008A01069</t>
  </si>
  <si>
    <t>TRD00970</t>
  </si>
  <si>
    <t>TRD00971</t>
  </si>
  <si>
    <t>INE006A01029</t>
  </si>
  <si>
    <t>TRD00972</t>
  </si>
  <si>
    <t>TRD00973</t>
  </si>
  <si>
    <t>INE005A01094</t>
  </si>
  <si>
    <t>TRD00974</t>
  </si>
  <si>
    <t>INE001A01049</t>
  </si>
  <si>
    <t>TRD00975</t>
  </si>
  <si>
    <t>TRD00976</t>
  </si>
  <si>
    <t>INE008A01095</t>
  </si>
  <si>
    <t>TRD00977</t>
  </si>
  <si>
    <t>TRD00978</t>
  </si>
  <si>
    <t>TRD00979</t>
  </si>
  <si>
    <t>TRD00980</t>
  </si>
  <si>
    <t>TRD00981</t>
  </si>
  <si>
    <t>INE008A0101</t>
  </si>
  <si>
    <t>TRD00982</t>
  </si>
  <si>
    <t>INE002A0101</t>
  </si>
  <si>
    <t>TRD00983</t>
  </si>
  <si>
    <t>TRD00984</t>
  </si>
  <si>
    <t>TRD00985</t>
  </si>
  <si>
    <t>TRD00986</t>
  </si>
  <si>
    <t>TRD00987</t>
  </si>
  <si>
    <t>TRD00988</t>
  </si>
  <si>
    <t>TRD00989</t>
  </si>
  <si>
    <t>TRD00990</t>
  </si>
  <si>
    <t>TRD00991</t>
  </si>
  <si>
    <t>TRD00992</t>
  </si>
  <si>
    <t>INE008A01022</t>
  </si>
  <si>
    <t>TRD00993</t>
  </si>
  <si>
    <t>TRD00994</t>
  </si>
  <si>
    <t>TRD00995</t>
  </si>
  <si>
    <t>TRD00996</t>
  </si>
  <si>
    <t>TRD00997</t>
  </si>
  <si>
    <t>INE003A01075</t>
  </si>
  <si>
    <t>TRD00998</t>
  </si>
  <si>
    <t>TRD00999</t>
  </si>
  <si>
    <t>TRD01000</t>
  </si>
  <si>
    <t>INE002A01075</t>
  </si>
  <si>
    <t>TRD01001</t>
  </si>
  <si>
    <t>INE002A01011</t>
  </si>
  <si>
    <t>TRD01002</t>
  </si>
  <si>
    <t>TRD01003</t>
  </si>
  <si>
    <t>INE003A0109</t>
  </si>
  <si>
    <t>TRD01004</t>
  </si>
  <si>
    <t>TRD01005</t>
  </si>
  <si>
    <t>TRD01006</t>
  </si>
  <si>
    <t>INE005A01060</t>
  </si>
  <si>
    <t>TRD01007</t>
  </si>
  <si>
    <t>TRD01008</t>
  </si>
  <si>
    <t>TRD01009</t>
  </si>
  <si>
    <t>INE001A01038</t>
  </si>
  <si>
    <t>TRD01010</t>
  </si>
  <si>
    <t>INE002A01057</t>
  </si>
  <si>
    <t>TRD01011</t>
  </si>
  <si>
    <t>TRD01012</t>
  </si>
  <si>
    <t>TRD01013</t>
  </si>
  <si>
    <t>TRD01014</t>
  </si>
  <si>
    <t>TRD01015</t>
  </si>
  <si>
    <t>TRD01016</t>
  </si>
  <si>
    <t>TRD01017</t>
  </si>
  <si>
    <t>TRD01018</t>
  </si>
  <si>
    <t>INE002A01012</t>
  </si>
  <si>
    <t>TRD01019</t>
  </si>
  <si>
    <t>TRD01020</t>
  </si>
  <si>
    <t>TRD01021</t>
  </si>
  <si>
    <t>TRD01022</t>
  </si>
  <si>
    <t>INE005A01097</t>
  </si>
  <si>
    <t>TRD01023</t>
  </si>
  <si>
    <t>TRD01024</t>
  </si>
  <si>
    <t>INE006A01067</t>
  </si>
  <si>
    <t>TRD01025</t>
  </si>
  <si>
    <t>TRD01026</t>
  </si>
  <si>
    <t>TRD01027</t>
  </si>
  <si>
    <t>INE006A01051</t>
  </si>
  <si>
    <t>TRD01028</t>
  </si>
  <si>
    <t>TRD01029</t>
  </si>
  <si>
    <t>TRD01030</t>
  </si>
  <si>
    <t>INE007A01085</t>
  </si>
  <si>
    <t>TRD01031</t>
  </si>
  <si>
    <t>INE002A01034</t>
  </si>
  <si>
    <t>TRD01032</t>
  </si>
  <si>
    <t>TRD01033</t>
  </si>
  <si>
    <t>TRD01034</t>
  </si>
  <si>
    <t>TRD01035</t>
  </si>
  <si>
    <t>TRD01036</t>
  </si>
  <si>
    <t>TRD01037</t>
  </si>
  <si>
    <t>INE007A0109</t>
  </si>
  <si>
    <t>TRD01038</t>
  </si>
  <si>
    <t>INE003A01096</t>
  </si>
  <si>
    <t>TRD01039</t>
  </si>
  <si>
    <t>TRD01040</t>
  </si>
  <si>
    <t>TRD01041</t>
  </si>
  <si>
    <t>TRD01042</t>
  </si>
  <si>
    <t>TRD01043</t>
  </si>
  <si>
    <t>INE006A01088</t>
  </si>
  <si>
    <t>TRD01044</t>
  </si>
  <si>
    <t>TRD01045</t>
  </si>
  <si>
    <t>TRD01046</t>
  </si>
  <si>
    <t>INE001A01047</t>
  </si>
  <si>
    <t>TRD01047</t>
  </si>
  <si>
    <t>TRD01048</t>
  </si>
  <si>
    <t>TRD01049</t>
  </si>
  <si>
    <t>TRD01050</t>
  </si>
  <si>
    <t>TRD01051</t>
  </si>
  <si>
    <t>TRD01052</t>
  </si>
  <si>
    <t>TRD01053</t>
  </si>
  <si>
    <t>TRD01054</t>
  </si>
  <si>
    <t>TRD01055</t>
  </si>
  <si>
    <t>TRD01056</t>
  </si>
  <si>
    <t>TRD01057</t>
  </si>
  <si>
    <t>INE009A01065</t>
  </si>
  <si>
    <t>TRD01058</t>
  </si>
  <si>
    <t>TRD01059</t>
  </si>
  <si>
    <t>INE003A01051</t>
  </si>
  <si>
    <t>TRD01060</t>
  </si>
  <si>
    <t>TRD01061</t>
  </si>
  <si>
    <t>TRD01062</t>
  </si>
  <si>
    <t>INE009A01093</t>
  </si>
  <si>
    <t>TRD01063</t>
  </si>
  <si>
    <t>TRD01064</t>
  </si>
  <si>
    <t>INE008A01084</t>
  </si>
  <si>
    <t>TRD01065</t>
  </si>
  <si>
    <t>TRD01066</t>
  </si>
  <si>
    <t>TRD01067</t>
  </si>
  <si>
    <t>TRD01068</t>
  </si>
  <si>
    <t>INE001A01042</t>
  </si>
  <si>
    <t>TRD01069</t>
  </si>
  <si>
    <t>TRD01070</t>
  </si>
  <si>
    <t>INE001A01081</t>
  </si>
  <si>
    <t>TRD01071</t>
  </si>
  <si>
    <t>TRD01072</t>
  </si>
  <si>
    <t>INE001A01086</t>
  </si>
  <si>
    <t>TRD01073</t>
  </si>
  <si>
    <t>INE006A01059</t>
  </si>
  <si>
    <t>TRD01074</t>
  </si>
  <si>
    <t>INE008A01053</t>
  </si>
  <si>
    <t>TRD01075</t>
  </si>
  <si>
    <t>TRD01076</t>
  </si>
  <si>
    <t>INE008A0108</t>
  </si>
  <si>
    <t>TRD01077</t>
  </si>
  <si>
    <t>TRD01078</t>
  </si>
  <si>
    <t>INE009A01050</t>
  </si>
  <si>
    <t>TRD01079</t>
  </si>
  <si>
    <t>TRD01080</t>
  </si>
  <si>
    <t>TRD01081</t>
  </si>
  <si>
    <t>INE007A01062</t>
  </si>
  <si>
    <t>TRD01082</t>
  </si>
  <si>
    <t>TRD01083</t>
  </si>
  <si>
    <t>INE009A01026</t>
  </si>
  <si>
    <t>TRD01084</t>
  </si>
  <si>
    <t>INE005A01022</t>
  </si>
  <si>
    <t>TRD01085</t>
  </si>
  <si>
    <t>TRD01086</t>
  </si>
  <si>
    <t>TRD01087</t>
  </si>
  <si>
    <t>TRD01088</t>
  </si>
  <si>
    <t>TRD01089</t>
  </si>
  <si>
    <t>TRD01090</t>
  </si>
  <si>
    <t>TRD01091</t>
  </si>
  <si>
    <t>TRD01092</t>
  </si>
  <si>
    <t>TRD01093</t>
  </si>
  <si>
    <t>TRD01094</t>
  </si>
  <si>
    <t>TRD01095</t>
  </si>
  <si>
    <t>TRD01096</t>
  </si>
  <si>
    <t>INE009A01073</t>
  </si>
  <si>
    <t>TRD01097</t>
  </si>
  <si>
    <t>TRD01098</t>
  </si>
  <si>
    <t>INE009A0100</t>
  </si>
  <si>
    <t>TRD01099</t>
  </si>
  <si>
    <t>TRD01100</t>
  </si>
  <si>
    <t>TRD01101</t>
  </si>
  <si>
    <t>TRD01102</t>
  </si>
  <si>
    <t>INE003A01095</t>
  </si>
  <si>
    <t>TRD01103</t>
  </si>
  <si>
    <t>TRD01104</t>
  </si>
  <si>
    <t>TRD01105</t>
  </si>
  <si>
    <t>TRD01106</t>
  </si>
  <si>
    <t>INE005A01069</t>
  </si>
  <si>
    <t>TRD01107</t>
  </si>
  <si>
    <t>INE001A01031</t>
  </si>
  <si>
    <t>TRD01108</t>
  </si>
  <si>
    <t>TRD01109</t>
  </si>
  <si>
    <t>TRD01110</t>
  </si>
  <si>
    <t>TRD01111</t>
  </si>
  <si>
    <t>TRD01112</t>
  </si>
  <si>
    <t>INE005A01046</t>
  </si>
  <si>
    <t>TRD01113</t>
  </si>
  <si>
    <t>TRD01114</t>
  </si>
  <si>
    <t>TRD01115</t>
  </si>
  <si>
    <t>TRD01116</t>
  </si>
  <si>
    <t>TRD01117</t>
  </si>
  <si>
    <t>TRD01118</t>
  </si>
  <si>
    <t>INE001A01015</t>
  </si>
  <si>
    <t>TRD01119</t>
  </si>
  <si>
    <t>TRD01120</t>
  </si>
  <si>
    <t>TRD01121</t>
  </si>
  <si>
    <t>INE004A01071</t>
  </si>
  <si>
    <t>TRD01122</t>
  </si>
  <si>
    <t>INE005A01054</t>
  </si>
  <si>
    <t>TRD01123</t>
  </si>
  <si>
    <t>INE008A0102</t>
  </si>
  <si>
    <t>TRD01124</t>
  </si>
  <si>
    <t>TRD01125</t>
  </si>
  <si>
    <t>TRD01126</t>
  </si>
  <si>
    <t>TRD01127</t>
  </si>
  <si>
    <t>TRD01128</t>
  </si>
  <si>
    <t>TRD01129</t>
  </si>
  <si>
    <t>TRD01130</t>
  </si>
  <si>
    <t>TRD01131</t>
  </si>
  <si>
    <t>TRD01132</t>
  </si>
  <si>
    <t>TRD01133</t>
  </si>
  <si>
    <t>TRD01134</t>
  </si>
  <si>
    <t>TRD01135</t>
  </si>
  <si>
    <t>TRD01136</t>
  </si>
  <si>
    <t>TRD01137</t>
  </si>
  <si>
    <t>TRD01138</t>
  </si>
  <si>
    <t>TRD01139</t>
  </si>
  <si>
    <t>INE003A01015</t>
  </si>
  <si>
    <t>TRD01140</t>
  </si>
  <si>
    <t>TRD01141</t>
  </si>
  <si>
    <t>TRD01142</t>
  </si>
  <si>
    <t>TRD01143</t>
  </si>
  <si>
    <t>INE006A01089</t>
  </si>
  <si>
    <t>TRD01144</t>
  </si>
  <si>
    <t>TRD01145</t>
  </si>
  <si>
    <t>TRD01146</t>
  </si>
  <si>
    <t>TRD01147</t>
  </si>
  <si>
    <t>TRD01148</t>
  </si>
  <si>
    <t>TRD01149</t>
  </si>
  <si>
    <t>TRD01150</t>
  </si>
  <si>
    <t>INE009A01067</t>
  </si>
  <si>
    <t>TRD01151</t>
  </si>
  <si>
    <t>TRD01152</t>
  </si>
  <si>
    <t>TRD01153</t>
  </si>
  <si>
    <t>TRD01154</t>
  </si>
  <si>
    <t>INE006A01025</t>
  </si>
  <si>
    <t>TRD01155</t>
  </si>
  <si>
    <t>TRD01156</t>
  </si>
  <si>
    <t>TRD01157</t>
  </si>
  <si>
    <t>TRD01158</t>
  </si>
  <si>
    <t>TRD01159</t>
  </si>
  <si>
    <t>TRD01160</t>
  </si>
  <si>
    <t>TRD01161</t>
  </si>
  <si>
    <t>INE003A01023</t>
  </si>
  <si>
    <t>TRD01162</t>
  </si>
  <si>
    <t>TRD01163</t>
  </si>
  <si>
    <t>TRD01164</t>
  </si>
  <si>
    <t>TRD01165</t>
  </si>
  <si>
    <t>INE008A01024</t>
  </si>
  <si>
    <t>TRD01166</t>
  </si>
  <si>
    <t>TRD01167</t>
  </si>
  <si>
    <t>INE002A01045</t>
  </si>
  <si>
    <t>TRD01168</t>
  </si>
  <si>
    <t>TRD01169</t>
  </si>
  <si>
    <t>INE003A01081</t>
  </si>
  <si>
    <t>TRD01170</t>
  </si>
  <si>
    <t>INE001A01053</t>
  </si>
  <si>
    <t>TRD01171</t>
  </si>
  <si>
    <t>TRD01172</t>
  </si>
  <si>
    <t>TRD01173</t>
  </si>
  <si>
    <t>TRD01174</t>
  </si>
  <si>
    <t>INE002A01078</t>
  </si>
  <si>
    <t>TRD01175</t>
  </si>
  <si>
    <t>TRD01176</t>
  </si>
  <si>
    <t>TRD01177</t>
  </si>
  <si>
    <t>TRD01178</t>
  </si>
  <si>
    <t>TRD01179</t>
  </si>
  <si>
    <t>TRD01180</t>
  </si>
  <si>
    <t>INE009A01097</t>
  </si>
  <si>
    <t>TRD01181</t>
  </si>
  <si>
    <t>INE006A01074</t>
  </si>
  <si>
    <t>TRD01182</t>
  </si>
  <si>
    <t>INE004A01047</t>
  </si>
  <si>
    <t>TRD01183</t>
  </si>
  <si>
    <t>TRD01184</t>
  </si>
  <si>
    <t>TRD01185</t>
  </si>
  <si>
    <t>INE005A01036</t>
  </si>
  <si>
    <t>TRD01186</t>
  </si>
  <si>
    <t>TRD01187</t>
  </si>
  <si>
    <t>TRD01188</t>
  </si>
  <si>
    <t>TRD01189</t>
  </si>
  <si>
    <t>TRD01190</t>
  </si>
  <si>
    <t>TRD01191</t>
  </si>
  <si>
    <t>TRD01192</t>
  </si>
  <si>
    <t>TRD01193</t>
  </si>
  <si>
    <t>TRD01194</t>
  </si>
  <si>
    <t>TRD01195</t>
  </si>
  <si>
    <t>TRD01196</t>
  </si>
  <si>
    <t>TRD01197</t>
  </si>
  <si>
    <t>TRD01198</t>
  </si>
  <si>
    <t>TRD01199</t>
  </si>
  <si>
    <t>TRD01200</t>
  </si>
  <si>
    <t>TRD01201</t>
  </si>
  <si>
    <t>TRD01202</t>
  </si>
  <si>
    <t>TRD01203</t>
  </si>
  <si>
    <t>TRD01204</t>
  </si>
  <si>
    <t>INE007A01072</t>
  </si>
  <si>
    <t>TRD01205</t>
  </si>
  <si>
    <t>INE004A01044</t>
  </si>
  <si>
    <t>TRD01206</t>
  </si>
  <si>
    <t>TRD01207</t>
  </si>
  <si>
    <t>TRD01208</t>
  </si>
  <si>
    <t>INE007A01092</t>
  </si>
  <si>
    <t>TRD01209</t>
  </si>
  <si>
    <t>INE001A01079</t>
  </si>
  <si>
    <t>TRD01210</t>
  </si>
  <si>
    <t>INE003A01083</t>
  </si>
  <si>
    <t>TRD01211</t>
  </si>
  <si>
    <t>TRD01212</t>
  </si>
  <si>
    <t>TRD01213</t>
  </si>
  <si>
    <t>INE006A01043</t>
  </si>
  <si>
    <t>TRD01214</t>
  </si>
  <si>
    <t>TRD01215</t>
  </si>
  <si>
    <t>TRD01216</t>
  </si>
  <si>
    <t>TRD01217</t>
  </si>
  <si>
    <t>TRD01218</t>
  </si>
  <si>
    <t>TRD01219</t>
  </si>
  <si>
    <t>TRD01220</t>
  </si>
  <si>
    <t>TRD01221</t>
  </si>
  <si>
    <t>TRD01222</t>
  </si>
  <si>
    <t>TRD01223</t>
  </si>
  <si>
    <t>TRD01224</t>
  </si>
  <si>
    <t>TRD01225</t>
  </si>
  <si>
    <t>INE005A01085</t>
  </si>
  <si>
    <t>TRD01226</t>
  </si>
  <si>
    <t>TRD01227</t>
  </si>
  <si>
    <t>TRD01228</t>
  </si>
  <si>
    <t>TRD01229</t>
  </si>
  <si>
    <t>TRD01230</t>
  </si>
  <si>
    <t>INE009A01047</t>
  </si>
  <si>
    <t>TRD01231</t>
  </si>
  <si>
    <t>TRD01232</t>
  </si>
  <si>
    <t>TRD01233</t>
  </si>
  <si>
    <t>TRD01234</t>
  </si>
  <si>
    <t>TRD01235</t>
  </si>
  <si>
    <t>TRD01236</t>
  </si>
  <si>
    <t>TRD01237</t>
  </si>
  <si>
    <t>INE009A01019</t>
  </si>
  <si>
    <t>TRD01238</t>
  </si>
  <si>
    <t>TRD01239</t>
  </si>
  <si>
    <t>INE007A01097</t>
  </si>
  <si>
    <t>TRD01240</t>
  </si>
  <si>
    <t>TRD01241</t>
  </si>
  <si>
    <t>TRD01242</t>
  </si>
  <si>
    <t>TRD01243</t>
  </si>
  <si>
    <t>TRD01244</t>
  </si>
  <si>
    <t>INE006A01084</t>
  </si>
  <si>
    <t>TRD01245</t>
  </si>
  <si>
    <t>INE003A01073</t>
  </si>
  <si>
    <t>TRD01246</t>
  </si>
  <si>
    <t>TRD01247</t>
  </si>
  <si>
    <t>INE009A01033</t>
  </si>
  <si>
    <t>TRD01248</t>
  </si>
  <si>
    <t>TRD01249</t>
  </si>
  <si>
    <t>TRD01250</t>
  </si>
  <si>
    <t>TRD01251</t>
  </si>
  <si>
    <t>TRD01252</t>
  </si>
  <si>
    <t>TRD01253</t>
  </si>
  <si>
    <t>TRD01254</t>
  </si>
  <si>
    <t>INE007A01074</t>
  </si>
  <si>
    <t>TRD01255</t>
  </si>
  <si>
    <t>TRD01256</t>
  </si>
  <si>
    <t>TRD01257</t>
  </si>
  <si>
    <t>TRD01258</t>
  </si>
  <si>
    <t>TRD01259</t>
  </si>
  <si>
    <t>TRD01260</t>
  </si>
  <si>
    <t>TRD01261</t>
  </si>
  <si>
    <t>TRD01262</t>
  </si>
  <si>
    <t>TRD01263</t>
  </si>
  <si>
    <t>INE009A01034</t>
  </si>
  <si>
    <t>TRD01264</t>
  </si>
  <si>
    <t>TRD01265</t>
  </si>
  <si>
    <t>TRD01266</t>
  </si>
  <si>
    <t>TRD01267</t>
  </si>
  <si>
    <t>TRD01268</t>
  </si>
  <si>
    <t>TRD01269</t>
  </si>
  <si>
    <t>TRD01270</t>
  </si>
  <si>
    <t>TRD01271</t>
  </si>
  <si>
    <t>TRD01272</t>
  </si>
  <si>
    <t>INE005A01058</t>
  </si>
  <si>
    <t>TRD01273</t>
  </si>
  <si>
    <t>TRD01274</t>
  </si>
  <si>
    <t>TRD01275</t>
  </si>
  <si>
    <t>TRD01276</t>
  </si>
  <si>
    <t>TRD01277</t>
  </si>
  <si>
    <t>INE004A01070</t>
  </si>
  <si>
    <t>TRD01278</t>
  </si>
  <si>
    <t>TRD01279</t>
  </si>
  <si>
    <t>TRD01280</t>
  </si>
  <si>
    <t>TRD01281</t>
  </si>
  <si>
    <t>TRD01282</t>
  </si>
  <si>
    <t>TRD01283</t>
  </si>
  <si>
    <t>TRD01284</t>
  </si>
  <si>
    <t>TRD01285</t>
  </si>
  <si>
    <t>TRD01286</t>
  </si>
  <si>
    <t>TRD01287</t>
  </si>
  <si>
    <t>TRD01288</t>
  </si>
  <si>
    <t>TRD01289</t>
  </si>
  <si>
    <t>TRD01290</t>
  </si>
  <si>
    <t>TRD01291</t>
  </si>
  <si>
    <t>INE006A01086</t>
  </si>
  <si>
    <t>TRD01292</t>
  </si>
  <si>
    <t>TRD01293</t>
  </si>
  <si>
    <t>INE007A01023</t>
  </si>
  <si>
    <t>TRD01294</t>
  </si>
  <si>
    <t>TRD01295</t>
  </si>
  <si>
    <t>INE004A01067</t>
  </si>
  <si>
    <t>TRD01296</t>
  </si>
  <si>
    <t>INE004A01077</t>
  </si>
  <si>
    <t>TRD01297</t>
  </si>
  <si>
    <t>TRD01298</t>
  </si>
  <si>
    <t>TRD01299</t>
  </si>
  <si>
    <t>TRD01300</t>
  </si>
  <si>
    <t>TRD01301</t>
  </si>
  <si>
    <t>TRD01302</t>
  </si>
  <si>
    <t>INE007A01024</t>
  </si>
  <si>
    <t>TRD01303</t>
  </si>
  <si>
    <t>TRD01304</t>
  </si>
  <si>
    <t>INE003A01087</t>
  </si>
  <si>
    <t>TRD01305</t>
  </si>
  <si>
    <t>TRD01306</t>
  </si>
  <si>
    <t>TRD01307</t>
  </si>
  <si>
    <t>TRD01308</t>
  </si>
  <si>
    <t>TRD01309</t>
  </si>
  <si>
    <t>TRD01310</t>
  </si>
  <si>
    <t>TRD01311</t>
  </si>
  <si>
    <t>TRD01312</t>
  </si>
  <si>
    <t>TRD01313</t>
  </si>
  <si>
    <t>TRD01314</t>
  </si>
  <si>
    <t>TRD01315</t>
  </si>
  <si>
    <t>TRD01316</t>
  </si>
  <si>
    <t>TRD01317</t>
  </si>
  <si>
    <t>TRD01318</t>
  </si>
  <si>
    <t>TRD01319</t>
  </si>
  <si>
    <t>INE003A01011</t>
  </si>
  <si>
    <t>TRD01320</t>
  </si>
  <si>
    <t>TRD01321</t>
  </si>
  <si>
    <t>TRD01322</t>
  </si>
  <si>
    <t>INE001A01065</t>
  </si>
  <si>
    <t>TRD01323</t>
  </si>
  <si>
    <t>INE009A01031</t>
  </si>
  <si>
    <t>TRD01324</t>
  </si>
  <si>
    <t>TRD01325</t>
  </si>
  <si>
    <t>INE004A01098</t>
  </si>
  <si>
    <t>TRD01326</t>
  </si>
  <si>
    <t>TRD01327</t>
  </si>
  <si>
    <t>INE007A01043</t>
  </si>
  <si>
    <t>TRD01328</t>
  </si>
  <si>
    <t>TRD01329</t>
  </si>
  <si>
    <t>INE007A01031</t>
  </si>
  <si>
    <t>TRD01330</t>
  </si>
  <si>
    <t>INE001A01093</t>
  </si>
  <si>
    <t>TRD01331</t>
  </si>
  <si>
    <t>TRD01332</t>
  </si>
  <si>
    <t>TRD01333</t>
  </si>
  <si>
    <t>TRD01334</t>
  </si>
  <si>
    <t>TRD01335</t>
  </si>
  <si>
    <t>INE009A0109</t>
  </si>
  <si>
    <t>TRD01336</t>
  </si>
  <si>
    <t>TRD01337</t>
  </si>
  <si>
    <t>TRD01338</t>
  </si>
  <si>
    <t>TRD01339</t>
  </si>
  <si>
    <t>TRD01340</t>
  </si>
  <si>
    <t>TRD01341</t>
  </si>
  <si>
    <t>TRD01342</t>
  </si>
  <si>
    <t>INE009A01040</t>
  </si>
  <si>
    <t>TRD01343</t>
  </si>
  <si>
    <t>TRD01344</t>
  </si>
  <si>
    <t>TRD01345</t>
  </si>
  <si>
    <t>TRD01346</t>
  </si>
  <si>
    <t>TRD01347</t>
  </si>
  <si>
    <t>INE003A01071</t>
  </si>
  <si>
    <t>TRD01348</t>
  </si>
  <si>
    <t>TRD01349</t>
  </si>
  <si>
    <t>TRD01350</t>
  </si>
  <si>
    <t>TRD01351</t>
  </si>
  <si>
    <t>TRD01352</t>
  </si>
  <si>
    <t>INE004A01022</t>
  </si>
  <si>
    <t>TRD01353</t>
  </si>
  <si>
    <t>TRD01354</t>
  </si>
  <si>
    <t>TRD01355</t>
  </si>
  <si>
    <t>TRD01356</t>
  </si>
  <si>
    <t>TRD01357</t>
  </si>
  <si>
    <t>TRD01358</t>
  </si>
  <si>
    <t>TRD01359</t>
  </si>
  <si>
    <t>TRD01360</t>
  </si>
  <si>
    <t>TRD01361</t>
  </si>
  <si>
    <t>TRD01362</t>
  </si>
  <si>
    <t>TRD01363</t>
  </si>
  <si>
    <t>TRD01364</t>
  </si>
  <si>
    <t>INE006A01013</t>
  </si>
  <si>
    <t>TRD01365</t>
  </si>
  <si>
    <t>TRD01366</t>
  </si>
  <si>
    <t>TRD01367</t>
  </si>
  <si>
    <t>TRD01368</t>
  </si>
  <si>
    <t>TRD01369</t>
  </si>
  <si>
    <t>TRD01370</t>
  </si>
  <si>
    <t>TRD01371</t>
  </si>
  <si>
    <t>TRD01372</t>
  </si>
  <si>
    <t>INE005A01068</t>
  </si>
  <si>
    <t>TRD01373</t>
  </si>
  <si>
    <t>TRD01374</t>
  </si>
  <si>
    <t>TRD01375</t>
  </si>
  <si>
    <t>TRD01376</t>
  </si>
  <si>
    <t>TRD01377</t>
  </si>
  <si>
    <t>TRD01378</t>
  </si>
  <si>
    <t>TRD01379</t>
  </si>
  <si>
    <t>TRD01380</t>
  </si>
  <si>
    <t>TRD01381</t>
  </si>
  <si>
    <t>TRD01382</t>
  </si>
  <si>
    <t>TRD01383</t>
  </si>
  <si>
    <t>TRD01384</t>
  </si>
  <si>
    <t>TRD01385</t>
  </si>
  <si>
    <t>TRD01386</t>
  </si>
  <si>
    <t>TRD01387</t>
  </si>
  <si>
    <t>TRD01388</t>
  </si>
  <si>
    <t>INE007A01064</t>
  </si>
  <si>
    <t>TRD01389</t>
  </si>
  <si>
    <t>TRD01390</t>
  </si>
  <si>
    <t>TRD01391</t>
  </si>
  <si>
    <t>TRD01392</t>
  </si>
  <si>
    <t>INE001A0100</t>
  </si>
  <si>
    <t>TRD01393</t>
  </si>
  <si>
    <t>TRD01394</t>
  </si>
  <si>
    <t>TRD01395</t>
  </si>
  <si>
    <t>TRD01396</t>
  </si>
  <si>
    <t>TRD01397</t>
  </si>
  <si>
    <t>TRD01398</t>
  </si>
  <si>
    <t>INE009A01027</t>
  </si>
  <si>
    <t>TRD01399</t>
  </si>
  <si>
    <t>TRD01400</t>
  </si>
  <si>
    <t>TRD01401</t>
  </si>
  <si>
    <t>TRD01402</t>
  </si>
  <si>
    <t>TRD01403</t>
  </si>
  <si>
    <t>INE004A01065</t>
  </si>
  <si>
    <t>TRD01404</t>
  </si>
  <si>
    <t>TRD01405</t>
  </si>
  <si>
    <t>TRD01406</t>
  </si>
  <si>
    <t>TRD01407</t>
  </si>
  <si>
    <t>TRD01408</t>
  </si>
  <si>
    <t>TRD01409</t>
  </si>
  <si>
    <t>TRD01410</t>
  </si>
  <si>
    <t>TRD01411</t>
  </si>
  <si>
    <t>TRD01412</t>
  </si>
  <si>
    <t>INE008A01079</t>
  </si>
  <si>
    <t>TRD01413</t>
  </si>
  <si>
    <t>TRD01414</t>
  </si>
  <si>
    <t>TRD01415</t>
  </si>
  <si>
    <t>TRD01416</t>
  </si>
  <si>
    <t>TRD01417</t>
  </si>
  <si>
    <t>INE008A01031</t>
  </si>
  <si>
    <t>TRD01418</t>
  </si>
  <si>
    <t>TRD01419</t>
  </si>
  <si>
    <t>TRD01420</t>
  </si>
  <si>
    <t>INE006A01027</t>
  </si>
  <si>
    <t>TRD01421</t>
  </si>
  <si>
    <t>TRD01422</t>
  </si>
  <si>
    <t>TRD01423</t>
  </si>
  <si>
    <t>TRD01424</t>
  </si>
  <si>
    <t>TRD01425</t>
  </si>
  <si>
    <t>INE003A01021</t>
  </si>
  <si>
    <t>TRD01426</t>
  </si>
  <si>
    <t>TRD01427</t>
  </si>
  <si>
    <t>TRD01428</t>
  </si>
  <si>
    <t>TRD01429</t>
  </si>
  <si>
    <t>TRD01430</t>
  </si>
  <si>
    <t>TRD01431</t>
  </si>
  <si>
    <t>TRD01432</t>
  </si>
  <si>
    <t>TRD01433</t>
  </si>
  <si>
    <t>TRD01434</t>
  </si>
  <si>
    <t>TRD01435</t>
  </si>
  <si>
    <t>TRD01436</t>
  </si>
  <si>
    <t>TRD01437</t>
  </si>
  <si>
    <t>TRD01438</t>
  </si>
  <si>
    <t>TRD01439</t>
  </si>
  <si>
    <t>TRD01440</t>
  </si>
  <si>
    <t>TRD01441</t>
  </si>
  <si>
    <t>TRD01442</t>
  </si>
  <si>
    <t>TRD01443</t>
  </si>
  <si>
    <t>TRD01444</t>
  </si>
  <si>
    <t>TRD01445</t>
  </si>
  <si>
    <t>INE001A01021</t>
  </si>
  <si>
    <t>TRD01446</t>
  </si>
  <si>
    <t>TRD01447</t>
  </si>
  <si>
    <t>TRD01448</t>
  </si>
  <si>
    <t>TRD01449</t>
  </si>
  <si>
    <t>TRD01450</t>
  </si>
  <si>
    <t>TRD01451</t>
  </si>
  <si>
    <t>TRD01452</t>
  </si>
  <si>
    <t>TRD01453</t>
  </si>
  <si>
    <t>TRD01454</t>
  </si>
  <si>
    <t>TRD01455</t>
  </si>
  <si>
    <t>TRD01456</t>
  </si>
  <si>
    <t>TRD01457</t>
  </si>
  <si>
    <t>TRD01458</t>
  </si>
  <si>
    <t>INE005A01082</t>
  </si>
  <si>
    <t>TRD01459</t>
  </si>
  <si>
    <t>TRD01460</t>
  </si>
  <si>
    <t>INE002A01058</t>
  </si>
  <si>
    <t>TRD01461</t>
  </si>
  <si>
    <t>TRD01462</t>
  </si>
  <si>
    <t>TRD01463</t>
  </si>
  <si>
    <t>TRD01464</t>
  </si>
  <si>
    <t>TRD01465</t>
  </si>
  <si>
    <t>TRD01466</t>
  </si>
  <si>
    <t>TRD01467</t>
  </si>
  <si>
    <t>TRD01468</t>
  </si>
  <si>
    <t>TRD01469</t>
  </si>
  <si>
    <t>TRD01470</t>
  </si>
  <si>
    <t>TRD01471</t>
  </si>
  <si>
    <t>TRD01472</t>
  </si>
  <si>
    <t>TRD01473</t>
  </si>
  <si>
    <t>TRD01474</t>
  </si>
  <si>
    <t>TRD01475</t>
  </si>
  <si>
    <t>INE001A01056</t>
  </si>
  <si>
    <t>TRD01476</t>
  </si>
  <si>
    <t>TRD01477</t>
  </si>
  <si>
    <t>TRD01478</t>
  </si>
  <si>
    <t>TRD01479</t>
  </si>
  <si>
    <t>INE002A01090</t>
  </si>
  <si>
    <t>TRD01480</t>
  </si>
  <si>
    <t>TRD01481</t>
  </si>
  <si>
    <t>INE001A01018</t>
  </si>
  <si>
    <t>TRD01482</t>
  </si>
  <si>
    <t>INE002A01014</t>
  </si>
  <si>
    <t>TRD01483</t>
  </si>
  <si>
    <t>INE009A01032</t>
  </si>
  <si>
    <t>TRD01484</t>
  </si>
  <si>
    <t>TRD01485</t>
  </si>
  <si>
    <t>TRD01486</t>
  </si>
  <si>
    <t>TRD01487</t>
  </si>
  <si>
    <t>TRD01488</t>
  </si>
  <si>
    <t>TRD01489</t>
  </si>
  <si>
    <t>TRD01490</t>
  </si>
  <si>
    <t>TRD01491</t>
  </si>
  <si>
    <t>TRD01492</t>
  </si>
  <si>
    <t>TRD01493</t>
  </si>
  <si>
    <t>TRD01494</t>
  </si>
  <si>
    <t>TRD01495</t>
  </si>
  <si>
    <t>TRD01496</t>
  </si>
  <si>
    <t>TRD01497</t>
  </si>
  <si>
    <t>TRD01498</t>
  </si>
  <si>
    <t>TRD01499</t>
  </si>
  <si>
    <t>TRD01500</t>
  </si>
  <si>
    <t>TRD01501</t>
  </si>
  <si>
    <t>TRD01502</t>
  </si>
  <si>
    <t>TRD01503</t>
  </si>
  <si>
    <t>TRD01504</t>
  </si>
  <si>
    <t>TRD01505</t>
  </si>
  <si>
    <t>TRD01506</t>
  </si>
  <si>
    <t>INE007A01052</t>
  </si>
  <si>
    <t>TRD01507</t>
  </si>
  <si>
    <t>TRD01508</t>
  </si>
  <si>
    <t>TRD01509</t>
  </si>
  <si>
    <t>TRD01510</t>
  </si>
  <si>
    <t>TRD01511</t>
  </si>
  <si>
    <t>TRD01512</t>
  </si>
  <si>
    <t>TRD01513</t>
  </si>
  <si>
    <t>TRD01514</t>
  </si>
  <si>
    <t>TRD01515</t>
  </si>
  <si>
    <t>INE006A01073</t>
  </si>
  <si>
    <t>TRD01516</t>
  </si>
  <si>
    <t>TRD01517</t>
  </si>
  <si>
    <t>TRD01518</t>
  </si>
  <si>
    <t>TRD01519</t>
  </si>
  <si>
    <t>TRD01520</t>
  </si>
  <si>
    <t>TRD01521</t>
  </si>
  <si>
    <t>TRD01522</t>
  </si>
  <si>
    <t>TRD01523</t>
  </si>
  <si>
    <t>TRD01524</t>
  </si>
  <si>
    <t>TRD01525</t>
  </si>
  <si>
    <t>INE001A01098</t>
  </si>
  <si>
    <t>TRD01526</t>
  </si>
  <si>
    <t>TRD01527</t>
  </si>
  <si>
    <t>TRD01528</t>
  </si>
  <si>
    <t>TRD01529</t>
  </si>
  <si>
    <t>TRD01530</t>
  </si>
  <si>
    <t>TRD01531</t>
  </si>
  <si>
    <t>TRD01532</t>
  </si>
  <si>
    <t>INE002A01059</t>
  </si>
  <si>
    <t>TRD01533</t>
  </si>
  <si>
    <t>INE006A01095</t>
  </si>
  <si>
    <t>TRD01534</t>
  </si>
  <si>
    <t>TRD01535</t>
  </si>
  <si>
    <t>TRD01536</t>
  </si>
  <si>
    <t>TRD01537</t>
  </si>
  <si>
    <t>TRD01538</t>
  </si>
  <si>
    <t>INE001A01066</t>
  </si>
  <si>
    <t>TRD01539</t>
  </si>
  <si>
    <t>TRD01540</t>
  </si>
  <si>
    <t>TRD01541</t>
  </si>
  <si>
    <t>TRD01542</t>
  </si>
  <si>
    <t>TRD01543</t>
  </si>
  <si>
    <t>TRD01544</t>
  </si>
  <si>
    <t>TRD01545</t>
  </si>
  <si>
    <t>TRD01546</t>
  </si>
  <si>
    <t>TRD01547</t>
  </si>
  <si>
    <t>TRD01548</t>
  </si>
  <si>
    <t>TRD01549</t>
  </si>
  <si>
    <t>TRD01550</t>
  </si>
  <si>
    <t>TRD01551</t>
  </si>
  <si>
    <t>INE001A01017</t>
  </si>
  <si>
    <t>TRD01552</t>
  </si>
  <si>
    <t>INE004A01078</t>
  </si>
  <si>
    <t>TRD01553</t>
  </si>
  <si>
    <t>TRD01554</t>
  </si>
  <si>
    <t>TRD01555</t>
  </si>
  <si>
    <t>TRD01556</t>
  </si>
  <si>
    <t>TRD01557</t>
  </si>
  <si>
    <t>TRD01558</t>
  </si>
  <si>
    <t>INE002A01095</t>
  </si>
  <si>
    <t>TRD01559</t>
  </si>
  <si>
    <t>INE001A01048</t>
  </si>
  <si>
    <t>TRD01560</t>
  </si>
  <si>
    <t>TRD01561</t>
  </si>
  <si>
    <t>TRD01562</t>
  </si>
  <si>
    <t>INE003A01069</t>
  </si>
  <si>
    <t>TRD01563</t>
  </si>
  <si>
    <t>TRD01564</t>
  </si>
  <si>
    <t>TRD01565</t>
  </si>
  <si>
    <t>INE004A01028</t>
  </si>
  <si>
    <t>TRD01566</t>
  </si>
  <si>
    <t>TRD01567</t>
  </si>
  <si>
    <t>TRD01568</t>
  </si>
  <si>
    <t>INE005A01050</t>
  </si>
  <si>
    <t>TRD01569</t>
  </si>
  <si>
    <t>TRD01570</t>
  </si>
  <si>
    <t>TRD01571</t>
  </si>
  <si>
    <t>TRD01572</t>
  </si>
  <si>
    <t>TRD01573</t>
  </si>
  <si>
    <t>TRD01574</t>
  </si>
  <si>
    <t>INE001A01013</t>
  </si>
  <si>
    <t>TRD01575</t>
  </si>
  <si>
    <t>TRD01576</t>
  </si>
  <si>
    <t>INE006A01042</t>
  </si>
  <si>
    <t>TRD01577</t>
  </si>
  <si>
    <t>INE009A01046</t>
  </si>
  <si>
    <t>TRD01578</t>
  </si>
  <si>
    <t>TRD01579</t>
  </si>
  <si>
    <t>INE008A01089</t>
  </si>
  <si>
    <t>TRD01580</t>
  </si>
  <si>
    <t>TRD01581</t>
  </si>
  <si>
    <t>INE005A01086</t>
  </si>
  <si>
    <t>TRD01582</t>
  </si>
  <si>
    <t>TRD01583</t>
  </si>
  <si>
    <t>TRD01584</t>
  </si>
  <si>
    <t>INE006A01057</t>
  </si>
  <si>
    <t>TRD01585</t>
  </si>
  <si>
    <t>TRD01586</t>
  </si>
  <si>
    <t>INE007A01026</t>
  </si>
  <si>
    <t>TRD01587</t>
  </si>
  <si>
    <t>TRD01588</t>
  </si>
  <si>
    <t>TRD01589</t>
  </si>
  <si>
    <t>INE004A01029</t>
  </si>
  <si>
    <t>TRD01590</t>
  </si>
  <si>
    <t>TRD01591</t>
  </si>
  <si>
    <t>TRD01592</t>
  </si>
  <si>
    <t>TRD01593</t>
  </si>
  <si>
    <t>TRD01594</t>
  </si>
  <si>
    <t>TRD01595</t>
  </si>
  <si>
    <t>TRD01596</t>
  </si>
  <si>
    <t>TRD01597</t>
  </si>
  <si>
    <t>INE005A01028</t>
  </si>
  <si>
    <t>TRD01598</t>
  </si>
  <si>
    <t>TRD01599</t>
  </si>
  <si>
    <t>TRD01600</t>
  </si>
  <si>
    <t>TRD01601</t>
  </si>
  <si>
    <t>TRD01602</t>
  </si>
  <si>
    <t>TRD01603</t>
  </si>
  <si>
    <t>TRD01604</t>
  </si>
  <si>
    <t>TRD01605</t>
  </si>
  <si>
    <t>TRD01606</t>
  </si>
  <si>
    <t>TRD01607</t>
  </si>
  <si>
    <t>INE004A01041</t>
  </si>
  <si>
    <t>TRD01608</t>
  </si>
  <si>
    <t>TRD01609</t>
  </si>
  <si>
    <t>INE003A0106</t>
  </si>
  <si>
    <t>TRD01610</t>
  </si>
  <si>
    <t>TRD01611</t>
  </si>
  <si>
    <t>TRD01612</t>
  </si>
  <si>
    <t>TRD01613</t>
  </si>
  <si>
    <t>TRD01614</t>
  </si>
  <si>
    <t>INE007A01077</t>
  </si>
  <si>
    <t>TRD01615</t>
  </si>
  <si>
    <t>INE009A01025</t>
  </si>
  <si>
    <t>TRD01616</t>
  </si>
  <si>
    <t>TRD01617</t>
  </si>
  <si>
    <t>TRD01618</t>
  </si>
  <si>
    <t>TRD01619</t>
  </si>
  <si>
    <t>INE007A01020</t>
  </si>
  <si>
    <t>TRD01620</t>
  </si>
  <si>
    <t>TRD01621</t>
  </si>
  <si>
    <t>TRD01622</t>
  </si>
  <si>
    <t>TRD01623</t>
  </si>
  <si>
    <t>INE001A01071</t>
  </si>
  <si>
    <t>TRD01624</t>
  </si>
  <si>
    <t>TRD01625</t>
  </si>
  <si>
    <t>TRD01626</t>
  </si>
  <si>
    <t>TRD01627</t>
  </si>
  <si>
    <t>TRD01628</t>
  </si>
  <si>
    <t>INE007A01013</t>
  </si>
  <si>
    <t>TRD01629</t>
  </si>
  <si>
    <t>INE007A01055</t>
  </si>
  <si>
    <t>TRD01630</t>
  </si>
  <si>
    <t>TRD01631</t>
  </si>
  <si>
    <t>TRD01632</t>
  </si>
  <si>
    <t>TRD01633</t>
  </si>
  <si>
    <t>TRD01634</t>
  </si>
  <si>
    <t>TRD01635</t>
  </si>
  <si>
    <t>INE001A01078</t>
  </si>
  <si>
    <t>TRD01636</t>
  </si>
  <si>
    <t>TRD01637</t>
  </si>
  <si>
    <t>INE005A01040</t>
  </si>
  <si>
    <t>TRD01638</t>
  </si>
  <si>
    <t>TRD01639</t>
  </si>
  <si>
    <t>TRD01640</t>
  </si>
  <si>
    <t>TRD01641</t>
  </si>
  <si>
    <t>TRD01642</t>
  </si>
  <si>
    <t>TRD01643</t>
  </si>
  <si>
    <t>TRD01644</t>
  </si>
  <si>
    <t>TRD01645</t>
  </si>
  <si>
    <t>TRD01646</t>
  </si>
  <si>
    <t>TRD01647</t>
  </si>
  <si>
    <t>TRD01648</t>
  </si>
  <si>
    <t>TRD01649</t>
  </si>
  <si>
    <t>TRD01650</t>
  </si>
  <si>
    <t>TRD01651</t>
  </si>
  <si>
    <t>TRD01652</t>
  </si>
  <si>
    <t>TRD01653</t>
  </si>
  <si>
    <t>INE001A01092</t>
  </si>
  <si>
    <t>TRD01654</t>
  </si>
  <si>
    <t>TRD01655</t>
  </si>
  <si>
    <t>TRD01656</t>
  </si>
  <si>
    <t>INE004A01045</t>
  </si>
  <si>
    <t>TRD01657</t>
  </si>
  <si>
    <t>TRD01658</t>
  </si>
  <si>
    <t>TRD01659</t>
  </si>
  <si>
    <t>TRD01660</t>
  </si>
  <si>
    <t>TRD01661</t>
  </si>
  <si>
    <t>INE005A01029</t>
  </si>
  <si>
    <t>TRD01662</t>
  </si>
  <si>
    <t>TRD01663</t>
  </si>
  <si>
    <t>TRD01664</t>
  </si>
  <si>
    <t>TRD01665</t>
  </si>
  <si>
    <t>TRD01666</t>
  </si>
  <si>
    <t>TRD01667</t>
  </si>
  <si>
    <t>TRD01668</t>
  </si>
  <si>
    <t>TRD01669</t>
  </si>
  <si>
    <t>INE006A01049</t>
  </si>
  <si>
    <t>TRD01670</t>
  </si>
  <si>
    <t>TRD01671</t>
  </si>
  <si>
    <t>TRD01672</t>
  </si>
  <si>
    <t>TRD01673</t>
  </si>
  <si>
    <t>TRD01674</t>
  </si>
  <si>
    <t>TRD01675</t>
  </si>
  <si>
    <t>INE008A01093</t>
  </si>
  <si>
    <t>TRD01676</t>
  </si>
  <si>
    <t>TRD01677</t>
  </si>
  <si>
    <t>TRD01678</t>
  </si>
  <si>
    <t>TRD01679</t>
  </si>
  <si>
    <t>TRD01680</t>
  </si>
  <si>
    <t>TRD01681</t>
  </si>
  <si>
    <t>TRD01682</t>
  </si>
  <si>
    <t>TRD01683</t>
  </si>
  <si>
    <t>TRD01684</t>
  </si>
  <si>
    <t>TRD01685</t>
  </si>
  <si>
    <t>INE003A01089</t>
  </si>
  <si>
    <t>TRD01686</t>
  </si>
  <si>
    <t>TRD01687</t>
  </si>
  <si>
    <t>TRD01688</t>
  </si>
  <si>
    <t>TRD01689</t>
  </si>
  <si>
    <t>TRD01690</t>
  </si>
  <si>
    <t>TRD01691</t>
  </si>
  <si>
    <t>TRD01692</t>
  </si>
  <si>
    <t>TRD01693</t>
  </si>
  <si>
    <t>INE001A01085</t>
  </si>
  <si>
    <t>TRD01694</t>
  </si>
  <si>
    <t>TRD01695</t>
  </si>
  <si>
    <t>TRD01696</t>
  </si>
  <si>
    <t>INE007A01041</t>
  </si>
  <si>
    <t>TRD01697</t>
  </si>
  <si>
    <t>TRD01698</t>
  </si>
  <si>
    <t>TRD01699</t>
  </si>
  <si>
    <t>TRD01700</t>
  </si>
  <si>
    <t>TRD01701</t>
  </si>
  <si>
    <t>TRD01702</t>
  </si>
  <si>
    <t>TRD01703</t>
  </si>
  <si>
    <t>TRD01704</t>
  </si>
  <si>
    <t>TRD01705</t>
  </si>
  <si>
    <t>TRD01706</t>
  </si>
  <si>
    <t>TRD01707</t>
  </si>
  <si>
    <t>TRD01708</t>
  </si>
  <si>
    <t>TRD01709</t>
  </si>
  <si>
    <t>TRD01710</t>
  </si>
  <si>
    <t>TRD01711</t>
  </si>
  <si>
    <t>TRD01712</t>
  </si>
  <si>
    <t>TRD01713</t>
  </si>
  <si>
    <t>TRD01714</t>
  </si>
  <si>
    <t>INE008A01050</t>
  </si>
  <si>
    <t>TRD01715</t>
  </si>
  <si>
    <t>TRD01716</t>
  </si>
  <si>
    <t>TRD01717</t>
  </si>
  <si>
    <t>TRD01718</t>
  </si>
  <si>
    <t>INE007A01037</t>
  </si>
  <si>
    <t>TRD01719</t>
  </si>
  <si>
    <t>TRD01720</t>
  </si>
  <si>
    <t>TRD01721</t>
  </si>
  <si>
    <t>TRD01722</t>
  </si>
  <si>
    <t>TRD01723</t>
  </si>
  <si>
    <t>TRD01724</t>
  </si>
  <si>
    <t>TRD01725</t>
  </si>
  <si>
    <t>TRD01726</t>
  </si>
  <si>
    <t>TRD01727</t>
  </si>
  <si>
    <t>TRD01728</t>
  </si>
  <si>
    <t>TRD01729</t>
  </si>
  <si>
    <t>TRD01730</t>
  </si>
  <si>
    <t>TRD01731</t>
  </si>
  <si>
    <t>TRD01732</t>
  </si>
  <si>
    <t>TRD01733</t>
  </si>
  <si>
    <t>TRD01734</t>
  </si>
  <si>
    <t>INE003A01041</t>
  </si>
  <si>
    <t>TRD01735</t>
  </si>
  <si>
    <t>TRD01736</t>
  </si>
  <si>
    <t>TRD01737</t>
  </si>
  <si>
    <t>TRD01738</t>
  </si>
  <si>
    <t>TRD01739</t>
  </si>
  <si>
    <t>TRD01740</t>
  </si>
  <si>
    <t>TRD01741</t>
  </si>
  <si>
    <t>TRD01742</t>
  </si>
  <si>
    <t>TRD01743</t>
  </si>
  <si>
    <t>TRD01744</t>
  </si>
  <si>
    <t>TRD01745</t>
  </si>
  <si>
    <t>TRD01746</t>
  </si>
  <si>
    <t>TRD01747</t>
  </si>
  <si>
    <t>TRD01748</t>
  </si>
  <si>
    <t>TRD01749</t>
  </si>
  <si>
    <t>INE001A01029</t>
  </si>
  <si>
    <t>TRD01750</t>
  </si>
  <si>
    <t>TRD01751</t>
  </si>
  <si>
    <t>TRD01752</t>
  </si>
  <si>
    <t>TRD01753</t>
  </si>
  <si>
    <t>TRD01754</t>
  </si>
  <si>
    <t>TRD01755</t>
  </si>
  <si>
    <t>TRD01756</t>
  </si>
  <si>
    <t>INE002A01047</t>
  </si>
  <si>
    <t>TRD01757</t>
  </si>
  <si>
    <t>TRD01758</t>
  </si>
  <si>
    <t>TRD01759</t>
  </si>
  <si>
    <t>TRD01760</t>
  </si>
  <si>
    <t>TRD01761</t>
  </si>
  <si>
    <t>TRD01762</t>
  </si>
  <si>
    <t>TRD01763</t>
  </si>
  <si>
    <t>TRD01764</t>
  </si>
  <si>
    <t>TRD01765</t>
  </si>
  <si>
    <t>TRD01766</t>
  </si>
  <si>
    <t>TRD01767</t>
  </si>
  <si>
    <t>TRD01768</t>
  </si>
  <si>
    <t>INE005A01078</t>
  </si>
  <si>
    <t>TRD01769</t>
  </si>
  <si>
    <t>TRD01770</t>
  </si>
  <si>
    <t>TRD01771</t>
  </si>
  <si>
    <t>TRD01772</t>
  </si>
  <si>
    <t>TRD01773</t>
  </si>
  <si>
    <t>TRD01774</t>
  </si>
  <si>
    <t>TRD01775</t>
  </si>
  <si>
    <t>TRD01776</t>
  </si>
  <si>
    <t>TRD01777</t>
  </si>
  <si>
    <t>TRD01778</t>
  </si>
  <si>
    <t>TRD01779</t>
  </si>
  <si>
    <t>TRD01780</t>
  </si>
  <si>
    <t>TRD01781</t>
  </si>
  <si>
    <t>TRD01782</t>
  </si>
  <si>
    <t>TRD01783</t>
  </si>
  <si>
    <t>TRD01784</t>
  </si>
  <si>
    <t>TRD01785</t>
  </si>
  <si>
    <t>TRD01786</t>
  </si>
  <si>
    <t>TRD01787</t>
  </si>
  <si>
    <t>TRD01788</t>
  </si>
  <si>
    <t>TRD01789</t>
  </si>
  <si>
    <t>TRD01790</t>
  </si>
  <si>
    <t>TRD01791</t>
  </si>
  <si>
    <t>TRD01792</t>
  </si>
  <si>
    <t>TRD01793</t>
  </si>
  <si>
    <t>TRD01794</t>
  </si>
  <si>
    <t>TRD01795</t>
  </si>
  <si>
    <t>TRD01796</t>
  </si>
  <si>
    <t>TRD01797</t>
  </si>
  <si>
    <t>TRD01798</t>
  </si>
  <si>
    <t>TRD01799</t>
  </si>
  <si>
    <t>TRD01800</t>
  </si>
  <si>
    <t>TRD01801</t>
  </si>
  <si>
    <t>TRD01802</t>
  </si>
  <si>
    <t>TRD01803</t>
  </si>
  <si>
    <t>TRD01804</t>
  </si>
  <si>
    <t>TRD01805</t>
  </si>
  <si>
    <t>INE009A0105</t>
  </si>
  <si>
    <t>TRD01806</t>
  </si>
  <si>
    <t>TRD01807</t>
  </si>
  <si>
    <t>TRD01808</t>
  </si>
  <si>
    <t>TRD01809</t>
  </si>
  <si>
    <t>TRD01810</t>
  </si>
  <si>
    <t>TRD01811</t>
  </si>
  <si>
    <t>TRD01812</t>
  </si>
  <si>
    <t>TRD01813</t>
  </si>
  <si>
    <t>TRD01814</t>
  </si>
  <si>
    <t>TRD01815</t>
  </si>
  <si>
    <t>TRD01816</t>
  </si>
  <si>
    <t>TRD01817</t>
  </si>
  <si>
    <t>TRD01818</t>
  </si>
  <si>
    <t>TRD01819</t>
  </si>
  <si>
    <t>TRD01820</t>
  </si>
  <si>
    <t>INE009A01024</t>
  </si>
  <si>
    <t>TRD01821</t>
  </si>
  <si>
    <t>TRD01822</t>
  </si>
  <si>
    <t>TRD01823</t>
  </si>
  <si>
    <t>TRD01824</t>
  </si>
  <si>
    <t>TRD01825</t>
  </si>
  <si>
    <t>TRD01826</t>
  </si>
  <si>
    <t>TRD01827</t>
  </si>
  <si>
    <t>TRD01828</t>
  </si>
  <si>
    <t>TRD01829</t>
  </si>
  <si>
    <t>TRD01830</t>
  </si>
  <si>
    <t>INE004A01012</t>
  </si>
  <si>
    <t>TRD01831</t>
  </si>
  <si>
    <t>TRD01832</t>
  </si>
  <si>
    <t>TRD01833</t>
  </si>
  <si>
    <t>INE003A01097</t>
  </si>
  <si>
    <t>TRD01834</t>
  </si>
  <si>
    <t>TRD01835</t>
  </si>
  <si>
    <t>TRD01836</t>
  </si>
  <si>
    <t>TRD01837</t>
  </si>
  <si>
    <t>TRD01838</t>
  </si>
  <si>
    <t>TRD01839</t>
  </si>
  <si>
    <t>TRD01840</t>
  </si>
  <si>
    <t>TRD01841</t>
  </si>
  <si>
    <t>TRD01842</t>
  </si>
  <si>
    <t>TRD01843</t>
  </si>
  <si>
    <t>TRD01844</t>
  </si>
  <si>
    <t>TRD01845</t>
  </si>
  <si>
    <t>TRD01846</t>
  </si>
  <si>
    <t>TRD01847</t>
  </si>
  <si>
    <t>INE009A01015</t>
  </si>
  <si>
    <t>TRD01848</t>
  </si>
  <si>
    <t>TRD01849</t>
  </si>
  <si>
    <t>TRD01850</t>
  </si>
  <si>
    <t>TRD01851</t>
  </si>
  <si>
    <t>TRD01852</t>
  </si>
  <si>
    <t>TRD01853</t>
  </si>
  <si>
    <t>TRD01854</t>
  </si>
  <si>
    <t>TRD01855</t>
  </si>
  <si>
    <t>TRD01856</t>
  </si>
  <si>
    <t>TRD01857</t>
  </si>
  <si>
    <t>TRD01858</t>
  </si>
  <si>
    <t>TRD01859</t>
  </si>
  <si>
    <t>TRD01860</t>
  </si>
  <si>
    <t>TRD01861</t>
  </si>
  <si>
    <t>TRD01862</t>
  </si>
  <si>
    <t>TRD01863</t>
  </si>
  <si>
    <t>TRD01864</t>
  </si>
  <si>
    <t>TRD01865</t>
  </si>
  <si>
    <t>TRD01866</t>
  </si>
  <si>
    <t>TRD01867</t>
  </si>
  <si>
    <t>INE004A0102</t>
  </si>
  <si>
    <t>TRD01868</t>
  </si>
  <si>
    <t>TRD01869</t>
  </si>
  <si>
    <t>TRD01870</t>
  </si>
  <si>
    <t>TRD01871</t>
  </si>
  <si>
    <t>TRD01872</t>
  </si>
  <si>
    <t>TRD01873</t>
  </si>
  <si>
    <t>INE004A01066</t>
  </si>
  <si>
    <t>TRD01874</t>
  </si>
  <si>
    <t>TRD01875</t>
  </si>
  <si>
    <t>TRD01876</t>
  </si>
  <si>
    <t>TRD01877</t>
  </si>
  <si>
    <t>INE003A01032</t>
  </si>
  <si>
    <t>TRD01878</t>
  </si>
  <si>
    <t>TRD01879</t>
  </si>
  <si>
    <t>TRD01880</t>
  </si>
  <si>
    <t>TRD01881</t>
  </si>
  <si>
    <t>TRD01882</t>
  </si>
  <si>
    <t>TRD01883</t>
  </si>
  <si>
    <t>TRD01884</t>
  </si>
  <si>
    <t>TRD01885</t>
  </si>
  <si>
    <t>TRD01886</t>
  </si>
  <si>
    <t>TRD01887</t>
  </si>
  <si>
    <t>INE006A01031</t>
  </si>
  <si>
    <t>TRD01888</t>
  </si>
  <si>
    <t>TRD01889</t>
  </si>
  <si>
    <t>INE009A01041</t>
  </si>
  <si>
    <t>TRD01890</t>
  </si>
  <si>
    <t>TRD01891</t>
  </si>
  <si>
    <t>TRD01892</t>
  </si>
  <si>
    <t>TRD01893</t>
  </si>
  <si>
    <t>TRD01894</t>
  </si>
  <si>
    <t>TRD01895</t>
  </si>
  <si>
    <t>INE009A01048</t>
  </si>
  <si>
    <t>TRD01896</t>
  </si>
  <si>
    <t>TRD01897</t>
  </si>
  <si>
    <t>TRD01898</t>
  </si>
  <si>
    <t>TRD01899</t>
  </si>
  <si>
    <t>TRD01900</t>
  </si>
  <si>
    <t>TRD01901</t>
  </si>
  <si>
    <t>TRD01902</t>
  </si>
  <si>
    <t>TRD01903</t>
  </si>
  <si>
    <t>TRD01904</t>
  </si>
  <si>
    <t>TRD01905</t>
  </si>
  <si>
    <t>TRD01906</t>
  </si>
  <si>
    <t>TRD01907</t>
  </si>
  <si>
    <t>TRD01908</t>
  </si>
  <si>
    <t>TRD01909</t>
  </si>
  <si>
    <t>TRD01910</t>
  </si>
  <si>
    <t>TRD01911</t>
  </si>
  <si>
    <t>TRD01912</t>
  </si>
  <si>
    <t>INE006A01080</t>
  </si>
  <si>
    <t>TRD01913</t>
  </si>
  <si>
    <t>INE008A01039</t>
  </si>
  <si>
    <t>TRD01914</t>
  </si>
  <si>
    <t>TRD01915</t>
  </si>
  <si>
    <t>TRD01916</t>
  </si>
  <si>
    <t>TRD01917</t>
  </si>
  <si>
    <t>INE009A01042</t>
  </si>
  <si>
    <t>TRD01918</t>
  </si>
  <si>
    <t>TRD01919</t>
  </si>
  <si>
    <t>TRD01920</t>
  </si>
  <si>
    <t>TRD01921</t>
  </si>
  <si>
    <t>TRD01922</t>
  </si>
  <si>
    <t>TRD01923</t>
  </si>
  <si>
    <t>TRD01924</t>
  </si>
  <si>
    <t>TRD01925</t>
  </si>
  <si>
    <t>TRD01926</t>
  </si>
  <si>
    <t>TRD01927</t>
  </si>
  <si>
    <t>TRD01928</t>
  </si>
  <si>
    <t>TRD01929</t>
  </si>
  <si>
    <t>TRD01930</t>
  </si>
  <si>
    <t>TRD01931</t>
  </si>
  <si>
    <t>TRD01932</t>
  </si>
  <si>
    <t>TRD01933</t>
  </si>
  <si>
    <t>TRD01934</t>
  </si>
  <si>
    <t>INE002A01089</t>
  </si>
  <si>
    <t>TRD01935</t>
  </si>
  <si>
    <t>TRD01936</t>
  </si>
  <si>
    <t>TRD01937</t>
  </si>
  <si>
    <t>TRD01938</t>
  </si>
  <si>
    <t>TRD01939</t>
  </si>
  <si>
    <t>TRD01940</t>
  </si>
  <si>
    <t>INE001A01032</t>
  </si>
  <si>
    <t>TRD01941</t>
  </si>
  <si>
    <t>TRD01942</t>
  </si>
  <si>
    <t>TRD01943</t>
  </si>
  <si>
    <t>TRD01944</t>
  </si>
  <si>
    <t>TRD01945</t>
  </si>
  <si>
    <t>TRD01946</t>
  </si>
  <si>
    <t>INE005A0104</t>
  </si>
  <si>
    <t>TRD01947</t>
  </si>
  <si>
    <t>TRD01948</t>
  </si>
  <si>
    <t>TRD01949</t>
  </si>
  <si>
    <t>TRD01950</t>
  </si>
  <si>
    <t>TRD01951</t>
  </si>
  <si>
    <t>TRD01952</t>
  </si>
  <si>
    <t>TRD01953</t>
  </si>
  <si>
    <t>TRD01954</t>
  </si>
  <si>
    <t>TRD01955</t>
  </si>
  <si>
    <t>TRD01956</t>
  </si>
  <si>
    <t>TRD01957</t>
  </si>
  <si>
    <t>TRD01958</t>
  </si>
  <si>
    <t>TRD01959</t>
  </si>
  <si>
    <t>TRD01960</t>
  </si>
  <si>
    <t>TRD01961</t>
  </si>
  <si>
    <t>INE001A01073</t>
  </si>
  <si>
    <t>TRD01962</t>
  </si>
  <si>
    <t>TRD01963</t>
  </si>
  <si>
    <t>TRD01964</t>
  </si>
  <si>
    <t>TRD01965</t>
  </si>
  <si>
    <t>TRD01966</t>
  </si>
  <si>
    <t>INE003A01027</t>
  </si>
  <si>
    <t>TRD01967</t>
  </si>
  <si>
    <t>TRD01968</t>
  </si>
  <si>
    <t>TRD01969</t>
  </si>
  <si>
    <t>TRD01970</t>
  </si>
  <si>
    <t>TRD01971</t>
  </si>
  <si>
    <t>INE008A01064</t>
  </si>
  <si>
    <t>TRD01972</t>
  </si>
  <si>
    <t>TRD01973</t>
  </si>
  <si>
    <t>TRD01974</t>
  </si>
  <si>
    <t>TRD01975</t>
  </si>
  <si>
    <t>TRD01976</t>
  </si>
  <si>
    <t>TRD01977</t>
  </si>
  <si>
    <t>TRD01978</t>
  </si>
  <si>
    <t>TRD01979</t>
  </si>
  <si>
    <t>TRD01980</t>
  </si>
  <si>
    <t>TRD01981</t>
  </si>
  <si>
    <t>TRD01982</t>
  </si>
  <si>
    <t>TRD01983</t>
  </si>
  <si>
    <t>TRD01984</t>
  </si>
  <si>
    <t>TRD01985</t>
  </si>
  <si>
    <t>TRD01986</t>
  </si>
  <si>
    <t>TRD01987</t>
  </si>
  <si>
    <t>TRD01988</t>
  </si>
  <si>
    <t>INE003A01084</t>
  </si>
  <si>
    <t>TRD01989</t>
  </si>
  <si>
    <t>INE004A0101</t>
  </si>
  <si>
    <t>TRD01990</t>
  </si>
  <si>
    <t>TRD01991</t>
  </si>
  <si>
    <t>TRD01992</t>
  </si>
  <si>
    <t>TRD01993</t>
  </si>
  <si>
    <t>TRD01994</t>
  </si>
  <si>
    <t>TRD01995</t>
  </si>
  <si>
    <t>TRD01996</t>
  </si>
  <si>
    <t>TRD01997</t>
  </si>
  <si>
    <t>TRD01998</t>
  </si>
  <si>
    <t>TRD01999</t>
  </si>
  <si>
    <t>TRD02000</t>
  </si>
  <si>
    <t>Pass - Ready for Confirmation</t>
  </si>
  <si>
    <t>Exception - Limit Breach</t>
  </si>
  <si>
    <t>Fail - Invalid Price/Qty</t>
  </si>
  <si>
    <t>Fail - Missing Ref Data</t>
  </si>
  <si>
    <t>XXX</t>
  </si>
  <si>
    <t>Alpha Partners 1</t>
  </si>
  <si>
    <t>Standard Chartered A/C 277005</t>
  </si>
  <si>
    <t>Alpha Global 2</t>
  </si>
  <si>
    <t>JPMorgan A/C 582379</t>
  </si>
  <si>
    <t>Alpha Partners 3</t>
  </si>
  <si>
    <t>Citi A/C 508769</t>
  </si>
  <si>
    <t>Alpha Asset Management 4</t>
  </si>
  <si>
    <t>Deutsche Bank A/C 126543</t>
  </si>
  <si>
    <t>Alpha Asset Management 5</t>
  </si>
  <si>
    <t>JPMorgan A/C 860462</t>
  </si>
  <si>
    <t>Alpha Partners 6</t>
  </si>
  <si>
    <t>Standard Chartered A/C 441247</t>
  </si>
  <si>
    <t>Alpha Capital 7</t>
  </si>
  <si>
    <t>Standard Chartered A/C 682134</t>
  </si>
  <si>
    <t>Alpha Asset Management 8</t>
  </si>
  <si>
    <t>HDFC A/C 180445</t>
  </si>
  <si>
    <t>Alpha Capital 9</t>
  </si>
  <si>
    <t>Citi A/C 744145</t>
  </si>
  <si>
    <t>Alpha Capital 10</t>
  </si>
  <si>
    <t>HDFC A/C 543407</t>
  </si>
  <si>
    <t>JPMorgan A/C 987170</t>
  </si>
  <si>
    <t>Alpha Quant Fund 12</t>
  </si>
  <si>
    <t>Deutsche Bank A/C 324710</t>
  </si>
  <si>
    <t>HSBC A/C 972195</t>
  </si>
  <si>
    <t>Alpha Global 14</t>
  </si>
  <si>
    <t>HSBC A/C 864249</t>
  </si>
  <si>
    <t>Alpha Investments 15</t>
  </si>
  <si>
    <t>Deutsche Bank A/C 330518</t>
  </si>
  <si>
    <t>Alpha Holdings 16</t>
  </si>
  <si>
    <t>Barclays A/C 197229</t>
  </si>
  <si>
    <t>HDFC A/C 113752</t>
  </si>
  <si>
    <t>Alpha Partners 18</t>
  </si>
  <si>
    <t>JPMorgan A/C 704166</t>
  </si>
  <si>
    <t>Alpha Partners 19</t>
  </si>
  <si>
    <t>Citi A/C 543819</t>
  </si>
  <si>
    <t>Alpha Global 20</t>
  </si>
  <si>
    <t>Barclays A/C 560891</t>
  </si>
  <si>
    <t>Alpha Holdings 21</t>
  </si>
  <si>
    <t>HSBC A/C 562956</t>
  </si>
  <si>
    <t>Alpha Partners 22</t>
  </si>
  <si>
    <t>JPMorgan A/C 488546</t>
  </si>
  <si>
    <t>Alpha Holdings 23</t>
  </si>
  <si>
    <t>Deutsche Bank A/C 983712</t>
  </si>
  <si>
    <t>Alpha Quant Fund 24</t>
  </si>
  <si>
    <t>JPMorgan A/C 603587</t>
  </si>
  <si>
    <t>Alpha Global 25</t>
  </si>
  <si>
    <t>Standard Chartered A/C 438949</t>
  </si>
  <si>
    <t>Alpha Partners 26</t>
  </si>
  <si>
    <t>HSBC A/C 867781</t>
  </si>
  <si>
    <t>Alpha Quant Fund 27</t>
  </si>
  <si>
    <t>Standard Chartered A/C 331839</t>
  </si>
  <si>
    <t>Alpha Global 28</t>
  </si>
  <si>
    <t>HDFC A/C 638209</t>
  </si>
  <si>
    <t>HSBC A/C 785870</t>
  </si>
  <si>
    <t>Deutsche Bank A/C 917262</t>
  </si>
  <si>
    <t>Alpha Asset Management 31</t>
  </si>
  <si>
    <t>Citi A/C 194841</t>
  </si>
  <si>
    <t>Alpha Asset Management 32</t>
  </si>
  <si>
    <t>Barclays A/C 302646</t>
  </si>
  <si>
    <t>Alpha Capital 33</t>
  </si>
  <si>
    <t>HSBC A/C 172861</t>
  </si>
  <si>
    <t>Alpha Quant Fund 34</t>
  </si>
  <si>
    <t>Citi A/C 837378</t>
  </si>
  <si>
    <t>Alpha Asset Management 35</t>
  </si>
  <si>
    <t>HSBC A/C 604357</t>
  </si>
  <si>
    <t>Alpha Capital 36</t>
  </si>
  <si>
    <t>Citi A/C 359789</t>
  </si>
  <si>
    <t>Alpha Partners 37</t>
  </si>
  <si>
    <t>HSBC A/C 994063</t>
  </si>
  <si>
    <t>Alpha Capital 38</t>
  </si>
  <si>
    <t>Deutsche Bank A/C 153521</t>
  </si>
  <si>
    <t>Alpha Global 39</t>
  </si>
  <si>
    <t>Deutsche Bank A/C 917029</t>
  </si>
  <si>
    <t>Alpha Investments 40</t>
  </si>
  <si>
    <t>HDFC A/C 897530</t>
  </si>
  <si>
    <t>Alpha Holdings 41</t>
  </si>
  <si>
    <t>HSBC A/C 468615</t>
  </si>
  <si>
    <t>Alpha Partners 42</t>
  </si>
  <si>
    <t>Citi A/C 416082</t>
  </si>
  <si>
    <t>Alpha Investments 43</t>
  </si>
  <si>
    <t>Citi A/C 714496</t>
  </si>
  <si>
    <t>Alpha Capital 44</t>
  </si>
  <si>
    <t>Deutsche Bank A/C 428758</t>
  </si>
  <si>
    <t>Alpha Global 45</t>
  </si>
  <si>
    <t>HSBC A/C 540659</t>
  </si>
  <si>
    <t>Alpha Global 46</t>
  </si>
  <si>
    <t>Citi A/C 700450</t>
  </si>
  <si>
    <t>Alpha Holdings 47</t>
  </si>
  <si>
    <t>Citi A/C 703401</t>
  </si>
  <si>
    <t>Alpha Partners 48</t>
  </si>
  <si>
    <t>JPMorgan A/C 391364</t>
  </si>
  <si>
    <t>Alpha Holdings 49</t>
  </si>
  <si>
    <t>HDFC A/C 679335</t>
  </si>
  <si>
    <t>Alpha Quant Fund 50</t>
  </si>
  <si>
    <t>Standard Chartered A/C 307017</t>
  </si>
  <si>
    <t>INE009A01049</t>
  </si>
  <si>
    <t>INE008A0100</t>
  </si>
  <si>
    <t>INE004A01061</t>
  </si>
  <si>
    <t>INE006A01023</t>
  </si>
  <si>
    <t>INE009A01062</t>
  </si>
  <si>
    <t>INE001A01095</t>
  </si>
  <si>
    <t>INE003A01050</t>
  </si>
  <si>
    <t>INE009A01039</t>
  </si>
  <si>
    <t>INE002A01053</t>
  </si>
  <si>
    <t>INE003A01060</t>
  </si>
  <si>
    <t>INE005A01062</t>
  </si>
  <si>
    <t>INE007A01058</t>
  </si>
  <si>
    <t>INE003A01040</t>
  </si>
  <si>
    <t>INE002A01027</t>
  </si>
  <si>
    <t>INE004A01030</t>
  </si>
  <si>
    <t>INE006A01050</t>
  </si>
  <si>
    <t>INE002A01098</t>
  </si>
  <si>
    <t>INE006A01045</t>
  </si>
  <si>
    <t>INE001A0101</t>
  </si>
  <si>
    <t>INE001A01016</t>
  </si>
  <si>
    <t>INE005A0107</t>
  </si>
  <si>
    <t>INE002A01028</t>
  </si>
  <si>
    <t>INE004A01055</t>
  </si>
  <si>
    <t>INE002A0109</t>
  </si>
  <si>
    <t>INE001A01072</t>
  </si>
  <si>
    <t>INE007A01016</t>
  </si>
  <si>
    <t>INE005A01096</t>
  </si>
  <si>
    <t>INE001A01051</t>
  </si>
  <si>
    <t>INE004A01091</t>
  </si>
  <si>
    <t>INE004A0106</t>
  </si>
  <si>
    <t>INE006A01024</t>
  </si>
  <si>
    <t>INE008A01019</t>
  </si>
  <si>
    <t>INE006A01077</t>
  </si>
  <si>
    <t>INE002A01068</t>
  </si>
  <si>
    <t>INE007A01071</t>
  </si>
  <si>
    <t>INE004A01056</t>
  </si>
  <si>
    <t>INE007A01010</t>
  </si>
  <si>
    <t>INE004A01081</t>
  </si>
  <si>
    <t>INE003A01086</t>
  </si>
  <si>
    <t>INE008A0107</t>
  </si>
  <si>
    <t>INE009A01043</t>
  </si>
  <si>
    <t>INE005A01087</t>
  </si>
  <si>
    <t>INE003A01042</t>
  </si>
  <si>
    <t>INE004A01024</t>
  </si>
  <si>
    <t>INE002A01038</t>
  </si>
  <si>
    <t>INE008A01075</t>
  </si>
  <si>
    <t>INE006A01055</t>
  </si>
  <si>
    <t>INE007A01036</t>
  </si>
  <si>
    <t>INE005A01091</t>
  </si>
  <si>
    <t>INE008A01086</t>
  </si>
  <si>
    <t>INE005A01014</t>
  </si>
  <si>
    <t>INE003A01044</t>
  </si>
  <si>
    <t>INE007A01065</t>
  </si>
  <si>
    <t>INE008A01014</t>
  </si>
  <si>
    <t>INE002A01033</t>
  </si>
  <si>
    <t>INE001A01035</t>
  </si>
  <si>
    <t>INE006A01081</t>
  </si>
  <si>
    <t>INE007A01066</t>
  </si>
  <si>
    <t>INE007A01083</t>
  </si>
  <si>
    <t>INE004A01037</t>
  </si>
  <si>
    <t>INE004A01064</t>
  </si>
  <si>
    <t>INE009A01082</t>
  </si>
  <si>
    <t>INE007A01054</t>
  </si>
  <si>
    <t>INE006A01048</t>
  </si>
  <si>
    <t>INE001A01054</t>
  </si>
  <si>
    <t>INE001A01055</t>
  </si>
  <si>
    <t>INE006A01076</t>
  </si>
  <si>
    <t>INE005A01092</t>
  </si>
  <si>
    <t>INE007A01011</t>
  </si>
  <si>
    <t>INE004A01020</t>
  </si>
  <si>
    <t>INE008A01044</t>
  </si>
  <si>
    <t>INE001A01057</t>
  </si>
  <si>
    <t>INE009A01055</t>
  </si>
  <si>
    <t>INE007A01027</t>
  </si>
  <si>
    <t>INE007A01030</t>
  </si>
  <si>
    <t>INE001A01011</t>
  </si>
  <si>
    <t>INE008A01081</t>
  </si>
  <si>
    <t>INE007A01038</t>
  </si>
  <si>
    <t>INE002A01073</t>
  </si>
  <si>
    <t>INE007A01078</t>
  </si>
  <si>
    <t>INE005A01053</t>
  </si>
  <si>
    <t>INE008A01082</t>
  </si>
  <si>
    <t>INE005A01044</t>
  </si>
  <si>
    <t>INE004A01014</t>
  </si>
  <si>
    <t>INE004A01038</t>
  </si>
  <si>
    <t>INE003A0103</t>
  </si>
  <si>
    <t>INE001A01084</t>
  </si>
  <si>
    <t>INE002A01022</t>
  </si>
  <si>
    <t>INE002A01060</t>
  </si>
  <si>
    <t>INE001A01050</t>
  </si>
  <si>
    <t>INE003A01098</t>
  </si>
  <si>
    <t>INE006A01052</t>
  </si>
  <si>
    <t>INE004A01086</t>
  </si>
  <si>
    <t>INE002A01086</t>
  </si>
  <si>
    <t>INE003A01036</t>
  </si>
  <si>
    <t>INE003A01013</t>
  </si>
  <si>
    <t>Row Labels</t>
  </si>
  <si>
    <t>Grand Total</t>
  </si>
  <si>
    <t>Count of Trade ID</t>
  </si>
  <si>
    <t>Sum of Gross Value</t>
  </si>
  <si>
    <t>Middle Office TLC &amp; Exception Dashboard</t>
  </si>
  <si>
    <t>(blank)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</si>
</sst>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00"/>
  </numFmts>
  <fonts count="3" x14ac:knownFonts="1">
    <font>
      <sz val="11"/>
      <color theme="1"/>
      <name val="Aptos Narrow"/>
      <family val="2"/>
      <scheme val="minor"/>
    </font>
    <font>
      <b/>
      <sz val="11"/>
      <color theme="1"/>
      <name val="Aptos Narrow"/>
      <family val="2"/>
      <scheme val="minor"/>
    </font>
    <font>
      <b/>
      <sz val="22"/>
      <color theme="0"/>
      <name val="Aptos Narrow"/>
      <family val="2"/>
      <scheme val="minor"/>
    </font>
  </fonts>
  <fills count="3">
    <fill>
      <patternFill patternType="none"/>
    </fill>
    <fill>
      <patternFill patternType="gray125"/>
    </fill>
    <fill>
      <patternFill patternType="solid">
        <fgColor rgb="FF1C1C1C"/>
        <bgColor indexed="64"/>
      </patternFill>
    </fill>
  </fills>
  <borders count="1">
    <border>
      <left/>
      <right/>
      <top/>
      <bottom/>
      <diagonal/>
    </border>
  </borders>
  <cellStyleXfs count="1">
    <xf numFmtId="0" fontId="0" fillId="0" borderId="0"/>
  </cellStyleXfs>
  <cellXfs count="9">
    <xf numFmtId="0" fontId="0" fillId="0" borderId="0" xfId="0"/>
    <xf numFmtId="0" fontId="1" fillId="0" borderId="0" xfId="0" applyFont="1"/>
    <xf numFmtId="0" fontId="0" fillId="0" borderId="0" xfId="0" pivotButton="1"/>
    <xf numFmtId="0" fontId="0" fillId="0" borderId="0" xfId="0" applyAlignment="1">
      <alignment horizontal="left"/>
    </xf>
    <xf numFmtId="164" fontId="0" fillId="0" borderId="0" xfId="0" applyNumberFormat="1"/>
    <xf numFmtId="0" fontId="0" fillId="2" borderId="0" xfId="0" applyFill="1"/>
    <xf numFmtId="0" fontId="2" fillId="2" borderId="0" xfId="0" applyFont="1" applyFill="1" applyAlignment="1">
      <alignment horizontal="center" wrapText="1"/>
    </xf>
    <xf numFmtId="0" fontId="1" fillId="2" borderId="0" xfId="0" applyFont="1" applyFill="1" applyAlignment="1">
      <alignment horizontal="center" wrapText="1"/>
    </xf>
    <xf numFmtId="0" fontId="0" fillId="0" borderId="0" xfId="0" applyNumberFormat="1"/>
  </cellXfs>
  <cellStyles count="1">
    <cellStyle name="Normal" xfId="0" builtinId="0"/>
  </cellStyles>
  <dxfs count="10">
    <dxf>
      <font>
        <color theme="1"/>
      </font>
      <fill>
        <patternFill>
          <bgColor theme="6" tint="0.39994506668294322"/>
        </patternFill>
      </fill>
    </dxf>
    <dxf>
      <font>
        <color theme="1"/>
      </font>
      <fill>
        <patternFill>
          <bgColor rgb="FFFFFF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FF00"/>
        </patternFill>
      </fill>
    </dxf>
    <dxf>
      <font>
        <color theme="1"/>
      </font>
      <fill>
        <patternFill>
          <bgColor theme="6" tint="0.39994506668294322"/>
        </patternFill>
      </fill>
    </dxf>
    <dxf>
      <font>
        <color theme="1"/>
      </font>
      <fill>
        <patternFill>
          <bgColor rgb="FFFFFF00"/>
        </patternFill>
      </fill>
    </dxf>
    <dxf>
      <font>
        <color theme="1"/>
      </font>
      <fill>
        <patternFill>
          <bgColor theme="6" tint="0.39994506668294322"/>
        </patternFill>
      </fill>
    </dxf>
    <dxf>
      <font>
        <color theme="1"/>
      </font>
      <fill>
        <patternFill>
          <bgColor theme="6" tint="0.39994506668294322"/>
        </patternFill>
      </fill>
    </dxf>
  </dxfs>
  <tableStyles count="0" defaultTableStyle="TableStyleMedium2" defaultPivotStyle="PivotStyleLight16"/>
  <colors>
    <mruColors>
      <color rgb="FF1C1C1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[Trade enrichment and validation.xlsx]Pivot Data!PivotTable2</c:name>
    <c:fmtId val="2"/>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IN" sz="1400" b="1" i="0" u="none" strike="noStrike" baseline="0">
                <a:solidFill>
                  <a:schemeClr val="bg1"/>
                </a:solidFill>
              </a:rPr>
              <a:t>Gross Value Exposure by Currency</a:t>
            </a:r>
            <a:endParaRPr lang="en-US" b="1">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Data'!$E$1</c:f>
              <c:strCache>
                <c:ptCount val="1"/>
                <c:pt idx="0">
                  <c:v>Total</c:v>
                </c:pt>
              </c:strCache>
            </c:strRef>
          </c:tx>
          <c:spPr>
            <a:solidFill>
              <a:srgbClr val="00B0F0"/>
            </a:solidFill>
            <a:ln>
              <a:noFill/>
            </a:ln>
            <a:effectLst/>
          </c:spPr>
          <c:invertIfNegative val="0"/>
          <c:cat>
            <c:strRef>
              <c:f>'Pivot Data'!$D$2:$D$10</c:f>
              <c:strCache>
                <c:ptCount val="8"/>
                <c:pt idx="0">
                  <c:v>EUR</c:v>
                </c:pt>
                <c:pt idx="1">
                  <c:v>GBP</c:v>
                </c:pt>
                <c:pt idx="2">
                  <c:v>INR</c:v>
                </c:pt>
                <c:pt idx="3">
                  <c:v>JPY</c:v>
                </c:pt>
                <c:pt idx="4">
                  <c:v>SGD</c:v>
                </c:pt>
                <c:pt idx="5">
                  <c:v>USD</c:v>
                </c:pt>
                <c:pt idx="6">
                  <c:v>XXX</c:v>
                </c:pt>
                <c:pt idx="7">
                  <c:v>(blank)</c:v>
                </c:pt>
              </c:strCache>
            </c:strRef>
          </c:cat>
          <c:val>
            <c:numRef>
              <c:f>'Pivot Data'!$E$2:$E$10</c:f>
              <c:numCache>
                <c:formatCode>"₹"\ #,##0.00</c:formatCode>
                <c:ptCount val="8"/>
                <c:pt idx="0">
                  <c:v>46841771.273136139</c:v>
                </c:pt>
                <c:pt idx="1">
                  <c:v>44805633.416843414</c:v>
                </c:pt>
                <c:pt idx="2">
                  <c:v>81223371.369886398</c:v>
                </c:pt>
                <c:pt idx="3">
                  <c:v>68601143.994646072</c:v>
                </c:pt>
                <c:pt idx="4">
                  <c:v>48592594.027996063</c:v>
                </c:pt>
                <c:pt idx="5">
                  <c:v>64895583.248319626</c:v>
                </c:pt>
                <c:pt idx="6">
                  <c:v>1195712.4082565308</c:v>
                </c:pt>
              </c:numCache>
            </c:numRef>
          </c:val>
          <c:extLst>
            <c:ext xmlns:c16="http://schemas.microsoft.com/office/drawing/2014/chart" uri="{C3380CC4-5D6E-409C-BE32-E72D297353CC}">
              <c16:uniqueId val="{00000000-1C2F-4E4B-ACBB-2279FB13D3C3}"/>
            </c:ext>
          </c:extLst>
        </c:ser>
        <c:dLbls>
          <c:showLegendKey val="0"/>
          <c:showVal val="0"/>
          <c:showCatName val="0"/>
          <c:showSerName val="0"/>
          <c:showPercent val="0"/>
          <c:showBubbleSize val="0"/>
        </c:dLbls>
        <c:gapWidth val="219"/>
        <c:overlap val="-27"/>
        <c:axId val="1706170767"/>
        <c:axId val="1702652303"/>
      </c:barChart>
      <c:catAx>
        <c:axId val="17061707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702652303"/>
        <c:crosses val="autoZero"/>
        <c:auto val="1"/>
        <c:lblAlgn val="ctr"/>
        <c:lblOffset val="100"/>
        <c:noMultiLvlLbl val="0"/>
      </c:catAx>
      <c:valAx>
        <c:axId val="1702652303"/>
        <c:scaling>
          <c:orientation val="minMax"/>
        </c:scaling>
        <c:delete val="0"/>
        <c:axPos val="l"/>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7061707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[Trade enrichment and validation.xlsx]Pivot Data!PivotTable1</c:name>
    <c:fmtId val="4"/>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IN" sz="1400" b="1" i="0" u="none" strike="noStrike" baseline="0">
                <a:solidFill>
                  <a:schemeClr val="bg1"/>
                </a:solidFill>
              </a:rPr>
              <a:t>Daily STP &amp; Exception Breakdown</a:t>
            </a:r>
            <a:endParaRPr lang="en-US" b="1">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Data'!$B$1</c:f>
              <c:strCache>
                <c:ptCount val="1"/>
                <c:pt idx="0">
                  <c:v>Total</c:v>
                </c:pt>
              </c:strCache>
            </c:strRef>
          </c:tx>
          <c:spPr>
            <a:solidFill>
              <a:schemeClr val="accent1"/>
            </a:solidFill>
            <a:ln>
              <a:noFill/>
            </a:ln>
            <a:effectLst/>
          </c:spPr>
          <c:invertIfNegative val="0"/>
          <c:cat>
            <c:strRef>
              <c:f>'Pivot Data'!$A$2:$A$7</c:f>
              <c:strCache>
                <c:ptCount val="5"/>
                <c:pt idx="0">
                  <c:v>Exception - Limit Breach</c:v>
                </c:pt>
                <c:pt idx="1">
                  <c:v>Fail - Invalid Price/Qty</c:v>
                </c:pt>
                <c:pt idx="2">
                  <c:v>Fail - Missing Ref Data</c:v>
                </c:pt>
                <c:pt idx="3">
                  <c:v>Pass - Ready for Confirmation</c:v>
                </c:pt>
                <c:pt idx="4">
                  <c:v>(blank)</c:v>
                </c:pt>
              </c:strCache>
            </c:strRef>
          </c:cat>
          <c:val>
            <c:numRef>
              <c:f>'Pivot Data'!$B$2:$B$7</c:f>
              <c:numCache>
                <c:formatCode>General</c:formatCode>
                <c:ptCount val="5"/>
                <c:pt idx="0">
                  <c:v>33</c:v>
                </c:pt>
                <c:pt idx="1">
                  <c:v>15</c:v>
                </c:pt>
                <c:pt idx="2">
                  <c:v>21</c:v>
                </c:pt>
                <c:pt idx="3">
                  <c:v>1931</c:v>
                </c:pt>
              </c:numCache>
            </c:numRef>
          </c:val>
          <c:extLst>
            <c:ext xmlns:c16="http://schemas.microsoft.com/office/drawing/2014/chart" uri="{C3380CC4-5D6E-409C-BE32-E72D297353CC}">
              <c16:uniqueId val="{00000000-07FA-4E9B-B4F8-68021E86199A}"/>
            </c:ext>
          </c:extLst>
        </c:ser>
        <c:dLbls>
          <c:showLegendKey val="0"/>
          <c:showVal val="0"/>
          <c:showCatName val="0"/>
          <c:showSerName val="0"/>
          <c:showPercent val="0"/>
          <c:showBubbleSize val="0"/>
        </c:dLbls>
        <c:gapWidth val="219"/>
        <c:axId val="490201967"/>
        <c:axId val="1669819503"/>
      </c:barChart>
      <c:catAx>
        <c:axId val="4902019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crossAx val="1669819503"/>
        <c:crosses val="autoZero"/>
        <c:auto val="1"/>
        <c:lblAlgn val="ctr"/>
        <c:lblOffset val="100"/>
        <c:noMultiLvlLbl val="0"/>
      </c:catAx>
      <c:valAx>
        <c:axId val="166981950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4902019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13</xdr:col>
      <xdr:colOff>0</xdr:colOff>
      <xdr:row>5</xdr:row>
      <xdr:rowOff>0</xdr:rowOff>
    </xdr:from>
    <xdr:to>
      <xdr:col>20</xdr:col>
      <xdr:colOff>304800</xdr:colOff>
      <xdr:row>20</xdr:row>
      <xdr:rowOff>0</xdr:rowOff>
    </xdr:to>
    <xdr:graphicFrame macro="">
      <xdr:nvGraphicFramePr>
        <xdr:cNvPr id="2" name="Chart 1">
          <a:extLst>
            <a:ext uri="{FF2B5EF4-FFF2-40B4-BE49-F238E27FC236}">
              <a16:creationId xmlns:a16="http://schemas.microsoft.com/office/drawing/2014/main" id="{B1B2D256-5949-444C-A6D4-CC2E9D5264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0</xdr:colOff>
      <xdr:row>5</xdr:row>
      <xdr:rowOff>0</xdr:rowOff>
    </xdr:from>
    <xdr:to>
      <xdr:col>12</xdr:col>
      <xdr:colOff>304800</xdr:colOff>
      <xdr:row>20</xdr:row>
      <xdr:rowOff>7620</xdr:rowOff>
    </xdr:to>
    <xdr:graphicFrame macro="">
      <xdr:nvGraphicFramePr>
        <xdr:cNvPr id="3" name="Chart 2">
          <a:extLst>
            <a:ext uri="{FF2B5EF4-FFF2-40B4-BE49-F238E27FC236}">
              <a16:creationId xmlns:a16="http://schemas.microsoft.com/office/drawing/2014/main" id="{25E01862-AF58-45BF-A529-B5486129C2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472440</xdr:colOff>
      <xdr:row>4</xdr:row>
      <xdr:rowOff>175260</xdr:rowOff>
    </xdr:from>
    <xdr:to>
      <xdr:col>3</xdr:col>
      <xdr:colOff>472440</xdr:colOff>
      <xdr:row>13</xdr:row>
      <xdr:rowOff>160019</xdr:rowOff>
    </xdr:to>
    <mc:AlternateContent xmlns:mc="http://schemas.openxmlformats.org/markup-compatibility/2006">
      <mc:Choice xmlns:a14="http://schemas.microsoft.com/office/drawing/2010/main" Requires="a14">
        <xdr:graphicFrame macro="">
          <xdr:nvGraphicFramePr>
            <xdr:cNvPr id="4" name="Client Name">
              <a:extLst>
                <a:ext uri="{FF2B5EF4-FFF2-40B4-BE49-F238E27FC236}">
                  <a16:creationId xmlns:a16="http://schemas.microsoft.com/office/drawing/2014/main" id="{B2FE3C26-C2BD-1B86-84A3-30DBD41D52F2}"/>
                </a:ext>
              </a:extLst>
            </xdr:cNvPr>
            <xdr:cNvGraphicFramePr/>
          </xdr:nvGraphicFramePr>
          <xdr:xfrm>
            <a:off x="0" y="0"/>
            <a:ext cx="0" cy="0"/>
          </xdr:xfrm>
          <a:graphic>
            <a:graphicData uri="http://schemas.microsoft.com/office/drawing/2010/slicer">
              <sle:slicer xmlns:sle="http://schemas.microsoft.com/office/drawing/2010/slicer" name="Client Name"/>
            </a:graphicData>
          </a:graphic>
        </xdr:graphicFrame>
      </mc:Choice>
      <mc:Fallback>
        <xdr:sp macro="" textlink="">
          <xdr:nvSpPr>
            <xdr:cNvPr id="0" name=""/>
            <xdr:cNvSpPr>
              <a:spLocks noTextEdit="1"/>
            </xdr:cNvSpPr>
          </xdr:nvSpPr>
          <xdr:spPr>
            <a:xfrm>
              <a:off x="472440" y="906780"/>
              <a:ext cx="1828800" cy="16306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480060</xdr:colOff>
      <xdr:row>14</xdr:row>
      <xdr:rowOff>22861</xdr:rowOff>
    </xdr:from>
    <xdr:to>
      <xdr:col>3</xdr:col>
      <xdr:colOff>480060</xdr:colOff>
      <xdr:row>20</xdr:row>
      <xdr:rowOff>137160</xdr:rowOff>
    </xdr:to>
    <mc:AlternateContent xmlns:mc="http://schemas.openxmlformats.org/markup-compatibility/2006">
      <mc:Choice xmlns:a14="http://schemas.microsoft.com/office/drawing/2010/main" Requires="a14">
        <xdr:graphicFrame macro="">
          <xdr:nvGraphicFramePr>
            <xdr:cNvPr id="5" name="Currency">
              <a:extLst>
                <a:ext uri="{FF2B5EF4-FFF2-40B4-BE49-F238E27FC236}">
                  <a16:creationId xmlns:a16="http://schemas.microsoft.com/office/drawing/2014/main" id="{4C02A788-B85A-D60D-FB17-ED88FA7FADE0}"/>
                </a:ext>
              </a:extLst>
            </xdr:cNvPr>
            <xdr:cNvGraphicFramePr/>
          </xdr:nvGraphicFramePr>
          <xdr:xfrm>
            <a:off x="0" y="0"/>
            <a:ext cx="0" cy="0"/>
          </xdr:xfrm>
          <a:graphic>
            <a:graphicData uri="http://schemas.microsoft.com/office/drawing/2010/slicer">
              <sle:slicer xmlns:sle="http://schemas.microsoft.com/office/drawing/2010/slicer" name="Currency"/>
            </a:graphicData>
          </a:graphic>
        </xdr:graphicFrame>
      </mc:Choice>
      <mc:Fallback>
        <xdr:sp macro="" textlink="">
          <xdr:nvSpPr>
            <xdr:cNvPr id="0" name=""/>
            <xdr:cNvSpPr>
              <a:spLocks noTextEdit="1"/>
            </xdr:cNvSpPr>
          </xdr:nvSpPr>
          <xdr:spPr>
            <a:xfrm>
              <a:off x="480060" y="2583181"/>
              <a:ext cx="1828800" cy="12115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480060</xdr:colOff>
      <xdr:row>20</xdr:row>
      <xdr:rowOff>160021</xdr:rowOff>
    </xdr:from>
    <xdr:to>
      <xdr:col>3</xdr:col>
      <xdr:colOff>480060</xdr:colOff>
      <xdr:row>26</xdr:row>
      <xdr:rowOff>7620</xdr:rowOff>
    </xdr:to>
    <mc:AlternateContent xmlns:mc="http://schemas.openxmlformats.org/markup-compatibility/2006">
      <mc:Choice xmlns:a14="http://schemas.microsoft.com/office/drawing/2010/main" Requires="a14">
        <xdr:graphicFrame macro="">
          <xdr:nvGraphicFramePr>
            <xdr:cNvPr id="6" name="Validation Status">
              <a:extLst>
                <a:ext uri="{FF2B5EF4-FFF2-40B4-BE49-F238E27FC236}">
                  <a16:creationId xmlns:a16="http://schemas.microsoft.com/office/drawing/2014/main" id="{8C8C2E2D-53C6-0DB2-F298-9DAF200C70BD}"/>
                </a:ext>
              </a:extLst>
            </xdr:cNvPr>
            <xdr:cNvGraphicFramePr/>
          </xdr:nvGraphicFramePr>
          <xdr:xfrm>
            <a:off x="0" y="0"/>
            <a:ext cx="0" cy="0"/>
          </xdr:xfrm>
          <a:graphic>
            <a:graphicData uri="http://schemas.microsoft.com/office/drawing/2010/slicer">
              <sle:slicer xmlns:sle="http://schemas.microsoft.com/office/drawing/2010/slicer" name="Validation Status"/>
            </a:graphicData>
          </a:graphic>
        </xdr:graphicFrame>
      </mc:Choice>
      <mc:Fallback>
        <xdr:sp macro="" textlink="">
          <xdr:nvSpPr>
            <xdr:cNvPr id="0" name=""/>
            <xdr:cNvSpPr>
              <a:spLocks noTextEdit="1"/>
            </xdr:cNvSpPr>
          </xdr:nvSpPr>
          <xdr:spPr>
            <a:xfrm>
              <a:off x="480060" y="3817621"/>
              <a:ext cx="1828800" cy="9448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noj Thakar" refreshedDate="46271.405523263886" createdVersion="8" refreshedVersion="8" minRefreshableVersion="3" recordCount="2001" xr:uid="{BF23E97E-6282-4C50-B12C-1E0C5CDD74DD}">
  <cacheSource type="worksheet">
    <worksheetSource ref="A1:I1048576" sheet="MO_Validated_Trades"/>
  </cacheSource>
  <cacheFields count="9">
    <cacheField name="Trade ID" numFmtId="0">
      <sharedItems containsBlank="1"/>
    </cacheField>
    <cacheField name="ISIN" numFmtId="0">
      <sharedItems containsBlank="1"/>
    </cacheField>
    <cacheField name="Client Name" numFmtId="0">
      <sharedItems containsBlank="1" count="52">
        <s v="Alpha Global 46"/>
        <s v="Alpha Quant Fund 27"/>
        <s v="Alpha Quant Fund 34"/>
        <s v="Alpha Asset Management 4"/>
        <s v="Alpha Partners 26"/>
        <s v="Alpha Holdings 21"/>
        <s v="Alpha Capital 11"/>
        <s v="Alpha Partners 48"/>
        <s v="Alpha Global 39"/>
        <s v="Alpha Global 20"/>
        <s v="Alpha Global 30"/>
        <s v="Alpha Quant Fund 50"/>
        <s v="Alpha Partners 19"/>
        <s v="Alpha Investments 15"/>
        <s v="Alpha Capital 33"/>
        <s v="Alpha Asset Management 32"/>
        <s v="Alpha Capital 38"/>
        <s v="Alpha Holdings 16"/>
        <s v="Alpha Asset Management 35"/>
        <s v="Alpha Capital 36"/>
        <s v="Alpha Partners 3"/>
        <s v="Alpha Quant Fund 12"/>
        <s v="Alpha Investments 29"/>
        <s v="Alpha Partners 1"/>
        <s v="Alpha Investments 43"/>
        <s v="Alpha Investments 40"/>
        <s v="Alpha Partners 42"/>
        <s v="Alpha Holdings 49"/>
        <s v="Alpha Capital 9"/>
        <s v="Alpha Holdings 23"/>
        <s v="Alpha Global 2"/>
        <s v="Alpha Asset Management 5"/>
        <s v="Alpha Global 25"/>
        <s v="Alpha Asset Management 31"/>
        <s v="Alpha Partners 22"/>
        <s v="Alpha Asset Management 13"/>
        <s v="Alpha Global 14"/>
        <s v="UNKNOWN"/>
        <s v="Alpha Partners 37"/>
        <s v="Alpha Global 45"/>
        <s v="Alpha Holdings 41"/>
        <s v="Alpha Partners 6"/>
        <s v="Alpha Global 28"/>
        <s v="Alpha Quant Fund 24"/>
        <s v="Alpha Partners 18"/>
        <s v="Alpha Investments 17"/>
        <s v="Alpha Capital 44"/>
        <s v="Alpha Capital 7"/>
        <s v="Alpha Holdings 47"/>
        <s v="Alpha Capital 10"/>
        <s v="Alpha Asset Management 8"/>
        <m/>
      </sharedItems>
    </cacheField>
    <cacheField name="Currency" numFmtId="0">
      <sharedItems containsBlank="1" count="8">
        <s v="USD"/>
        <s v="EUR"/>
        <s v="JPY"/>
        <s v="SGD"/>
        <s v="INR"/>
        <s v="GBP"/>
        <s v="XXX"/>
        <m/>
      </sharedItems>
    </cacheField>
    <cacheField name="SSI Details" numFmtId="0">
      <sharedItems containsBlank="1"/>
    </cacheField>
    <cacheField name="Quantity" numFmtId="0">
      <sharedItems containsString="0" containsBlank="1" containsNumber="1" containsInteger="1" minValue="-50" maxValue="25000"/>
    </cacheField>
    <cacheField name="Price" numFmtId="0">
      <sharedItems containsString="0" containsBlank="1" containsNumber="1" minValue="10.199999809265137" maxValue="509.8900146484375"/>
    </cacheField>
    <cacheField name="Gross Value" numFmtId="0">
      <sharedItems containsString="0" containsBlank="1" containsNumber="1" minValue="-24972.999572753906" maxValue="12520249.938964844"/>
    </cacheField>
    <cacheField name="Validation Status" numFmtId="0">
      <sharedItems containsBlank="1" count="5">
        <s v="Pass - Ready for Confirmation"/>
        <s v="Fail - Invalid Price/Qty"/>
        <s v="Exception - Limit Breach"/>
        <s v="Fail - Missing Ref Data"/>
        <m/>
      </sharedItems>
    </cacheField>
  </cacheFields>
  <extLst>
    <ext xmlns:x14="http://schemas.microsoft.com/office/spreadsheetml/2009/9/main" uri="{725AE2AE-9491-48be-B2B4-4EB974FC3084}">
      <x14:pivotCacheDefinition pivotCacheId="137301708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1">
  <r>
    <s v="TRD00001"/>
    <s v="INE006A01070"/>
    <x v="0"/>
    <x v="0"/>
    <s v="Citi A/C 700450"/>
    <n v="480"/>
    <n v="314.57998657226563"/>
    <n v="150998.3935546875"/>
    <x v="0"/>
  </r>
  <r>
    <s v="TRD00002"/>
    <s v="INE004A01022"/>
    <x v="1"/>
    <x v="1"/>
    <s v="Standard Chartered A/C 331839"/>
    <n v="260"/>
    <n v="266.20999145507813"/>
    <n v="69214.597778320313"/>
    <x v="0"/>
  </r>
  <r>
    <s v="TRD00003"/>
    <s v="INE005A01073"/>
    <x v="2"/>
    <x v="2"/>
    <s v="Citi A/C 837378"/>
    <n v="300"/>
    <n v="169.60000610351563"/>
    <n v="50880.001831054688"/>
    <x v="0"/>
  </r>
  <r>
    <s v="TRD00004"/>
    <s v="INE004A01066"/>
    <x v="3"/>
    <x v="2"/>
    <s v="Deutsche Bank A/C 126543"/>
    <n v="490"/>
    <n v="128.5"/>
    <n v="62965"/>
    <x v="0"/>
  </r>
  <r>
    <s v="TRD00005"/>
    <s v="INE009A01087"/>
    <x v="4"/>
    <x v="0"/>
    <s v="HSBC A/C 867781"/>
    <n v="160"/>
    <n v="410.75"/>
    <n v="65720"/>
    <x v="0"/>
  </r>
  <r>
    <s v="TRD00006"/>
    <s v="INE009A01019"/>
    <x v="5"/>
    <x v="3"/>
    <s v="HSBC A/C 562956"/>
    <n v="340"/>
    <n v="198.22999572753906"/>
    <n v="67398.198547363281"/>
    <x v="0"/>
  </r>
  <r>
    <s v="TRD00007"/>
    <s v="INE008A01087"/>
    <x v="6"/>
    <x v="0"/>
    <s v="JPMorgan A/C 987170"/>
    <n v="480"/>
    <n v="336.8800048828125"/>
    <n v="161702.40234375"/>
    <x v="0"/>
  </r>
  <r>
    <s v="TRD00008"/>
    <s v="INE002A01017"/>
    <x v="7"/>
    <x v="3"/>
    <s v="JPMorgan A/C 391364"/>
    <n v="250"/>
    <n v="86.709999084472656"/>
    <n v="21677.499771118164"/>
    <x v="0"/>
  </r>
  <r>
    <s v="TRD00009"/>
    <s v="INE007A01073"/>
    <x v="8"/>
    <x v="3"/>
    <s v="Deutsche Bank A/C 917029"/>
    <n v="270"/>
    <n v="371.79998779296875"/>
    <n v="100385.99670410156"/>
    <x v="0"/>
  </r>
  <r>
    <s v="TRD00010"/>
    <s v="INE005A01023"/>
    <x v="9"/>
    <x v="2"/>
    <s v="Barclays A/C 560891"/>
    <n v="330"/>
    <n v="30.280000686645508"/>
    <n v="9992.4002265930176"/>
    <x v="0"/>
  </r>
  <r>
    <s v="TRD00011"/>
    <s v="INE001A01071"/>
    <x v="1"/>
    <x v="1"/>
    <s v="Standard Chartered A/C 331839"/>
    <n v="180"/>
    <n v="64.339996337890625"/>
    <n v="11581.199340820313"/>
    <x v="0"/>
  </r>
  <r>
    <s v="TRD00012"/>
    <s v="INE008A01025"/>
    <x v="10"/>
    <x v="2"/>
    <s v="Deutsche Bank A/C 917262"/>
    <n v="270"/>
    <n v="390.260009765625"/>
    <n v="105370.20263671875"/>
    <x v="0"/>
  </r>
  <r>
    <s v="TRD00013"/>
    <s v="INE007A01032"/>
    <x v="11"/>
    <x v="3"/>
    <s v="Standard Chartered A/C 307017"/>
    <n v="-50"/>
    <n v="477.41000366210938"/>
    <n v="-23870.500183105469"/>
    <x v="1"/>
  </r>
  <r>
    <s v="TRD00014"/>
    <s v="INE009A01015"/>
    <x v="12"/>
    <x v="4"/>
    <s v="Citi A/C 543819"/>
    <n v="490"/>
    <n v="374.94000244140625"/>
    <n v="183720.60119628906"/>
    <x v="0"/>
  </r>
  <r>
    <s v="TRD00015"/>
    <s v="INE008A01028"/>
    <x v="13"/>
    <x v="4"/>
    <s v="Deutsche Bank A/C 330518"/>
    <n v="420"/>
    <n v="162.41000366210938"/>
    <n v="68212.201538085938"/>
    <x v="0"/>
  </r>
  <r>
    <s v="TRD00016"/>
    <s v="INE002A01046"/>
    <x v="7"/>
    <x v="3"/>
    <s v="JPMorgan A/C 391364"/>
    <n v="30"/>
    <n v="347.8599853515625"/>
    <n v="10435.799560546875"/>
    <x v="0"/>
  </r>
  <r>
    <s v="TRD00017"/>
    <s v="INE005A01083"/>
    <x v="14"/>
    <x v="2"/>
    <s v="HSBC A/C 172861"/>
    <n v="450"/>
    <n v="290.92001342773438"/>
    <n v="130914.00604248047"/>
    <x v="0"/>
  </r>
  <r>
    <s v="TRD00018"/>
    <s v="INE001A01087"/>
    <x v="15"/>
    <x v="4"/>
    <s v="Barclays A/C 302646"/>
    <n v="450"/>
    <n v="452.76998901367188"/>
    <n v="203746.49505615234"/>
    <x v="0"/>
  </r>
  <r>
    <s v="TRD00019"/>
    <s v="INE007A01088"/>
    <x v="15"/>
    <x v="4"/>
    <s v="Barclays A/C 302646"/>
    <n v="170"/>
    <n v="146.14999389648438"/>
    <n v="24845.498962402344"/>
    <x v="0"/>
  </r>
  <r>
    <s v="TRD00020"/>
    <s v="INE009A01049"/>
    <x v="13"/>
    <x v="4"/>
    <s v="Deutsche Bank A/C 330518"/>
    <n v="390"/>
    <n v="285.3699951171875"/>
    <n v="111294.29809570313"/>
    <x v="0"/>
  </r>
  <r>
    <s v="TRD00021"/>
    <s v="INE008A01016"/>
    <x v="16"/>
    <x v="3"/>
    <s v="Deutsche Bank A/C 153521"/>
    <n v="270"/>
    <n v="136.30000305175781"/>
    <n v="36801.000823974609"/>
    <x v="0"/>
  </r>
  <r>
    <s v="TRD00022"/>
    <s v="INE003A01067"/>
    <x v="3"/>
    <x v="2"/>
    <s v="Deutsche Bank A/C 126543"/>
    <n v="100"/>
    <n v="66.360000610351563"/>
    <n v="6636.0000610351563"/>
    <x v="0"/>
  </r>
  <r>
    <s v="TRD00023"/>
    <s v="INE005A01063"/>
    <x v="8"/>
    <x v="3"/>
    <s v="Deutsche Bank A/C 917029"/>
    <n v="70"/>
    <n v="294.57000732421875"/>
    <n v="20619.900512695313"/>
    <x v="0"/>
  </r>
  <r>
    <s v="TRD00024"/>
    <s v="INE008A0100"/>
    <x v="17"/>
    <x v="0"/>
    <s v="Barclays A/C 197229"/>
    <n v="480"/>
    <n v="141.46000671386719"/>
    <n v="67900.80322265625"/>
    <x v="0"/>
  </r>
  <r>
    <s v="TRD00025"/>
    <s v="INE008A01053"/>
    <x v="2"/>
    <x v="2"/>
    <s v="Citi A/C 837378"/>
    <n v="30"/>
    <n v="279.16000366210938"/>
    <n v="8374.8001098632813"/>
    <x v="0"/>
  </r>
  <r>
    <s v="TRD00026"/>
    <s v="INE008A01033"/>
    <x v="18"/>
    <x v="2"/>
    <s v="HSBC A/C 604357"/>
    <n v="30"/>
    <n v="481.35000610351563"/>
    <n v="14440.500183105469"/>
    <x v="0"/>
  </r>
  <r>
    <s v="TRD00027"/>
    <s v="INE008A01031"/>
    <x v="19"/>
    <x v="2"/>
    <s v="Citi A/C 359789"/>
    <n v="210"/>
    <n v="373.27999877929688"/>
    <n v="78388.799743652344"/>
    <x v="0"/>
  </r>
  <r>
    <s v="TRD00028"/>
    <s v="INE005A01074"/>
    <x v="20"/>
    <x v="0"/>
    <s v="Citi A/C 508769"/>
    <n v="390"/>
    <n v="181.75"/>
    <n v="70882.5"/>
    <x v="0"/>
  </r>
  <r>
    <s v="TRD00029"/>
    <s v="INE001A01071"/>
    <x v="5"/>
    <x v="3"/>
    <s v="HSBC A/C 562956"/>
    <n v="310"/>
    <n v="485.1300048828125"/>
    <n v="150390.30151367188"/>
    <x v="0"/>
  </r>
  <r>
    <s v="TRD00030"/>
    <s v="INE004A01061"/>
    <x v="1"/>
    <x v="1"/>
    <s v="Standard Chartered A/C 331839"/>
    <n v="310"/>
    <n v="463.35000610351563"/>
    <n v="143638.50189208984"/>
    <x v="0"/>
  </r>
  <r>
    <s v="TRD00031"/>
    <s v="INE001A01069"/>
    <x v="1"/>
    <x v="1"/>
    <s v="Standard Chartered A/C 331839"/>
    <n v="150"/>
    <n v="147.91000366210938"/>
    <n v="22186.500549316406"/>
    <x v="0"/>
  </r>
  <r>
    <s v="TRD00032"/>
    <s v="INE003A01052"/>
    <x v="4"/>
    <x v="0"/>
    <s v="HSBC A/C 867781"/>
    <n v="190"/>
    <n v="171.8699951171875"/>
    <n v="32655.299072265625"/>
    <x v="0"/>
  </r>
  <r>
    <s v="TRD00033"/>
    <s v="INE007A01049"/>
    <x v="20"/>
    <x v="0"/>
    <s v="Citi A/C 508769"/>
    <n v="180"/>
    <n v="19.840000152587891"/>
    <n v="3571.2000274658203"/>
    <x v="0"/>
  </r>
  <r>
    <s v="TRD00034"/>
    <s v="INE002A01032"/>
    <x v="15"/>
    <x v="4"/>
    <s v="Barclays A/C 302646"/>
    <n v="30"/>
    <n v="278"/>
    <n v="8340"/>
    <x v="0"/>
  </r>
  <r>
    <s v="TRD00035"/>
    <s v="INE004A01057"/>
    <x v="21"/>
    <x v="1"/>
    <s v="Deutsche Bank A/C 324710"/>
    <n v="480"/>
    <n v="384.10000610351563"/>
    <n v="184368.0029296875"/>
    <x v="0"/>
  </r>
  <r>
    <s v="TRD00036"/>
    <s v="INE004A01011"/>
    <x v="16"/>
    <x v="3"/>
    <s v="Deutsche Bank A/C 153521"/>
    <n v="460"/>
    <n v="377.44000244140625"/>
    <n v="173622.40112304688"/>
    <x v="0"/>
  </r>
  <r>
    <s v="TRD00037"/>
    <s v="INE005A01065"/>
    <x v="22"/>
    <x v="4"/>
    <s v="HSBC A/C 785870"/>
    <n v="240"/>
    <n v="148.89999389648438"/>
    <n v="35735.99853515625"/>
    <x v="0"/>
  </r>
  <r>
    <s v="TRD00038"/>
    <s v="INE006A01023"/>
    <x v="23"/>
    <x v="2"/>
    <s v="Standard Chartered A/C 277005"/>
    <n v="250"/>
    <n v="190.91000366210938"/>
    <n v="47727.500915527344"/>
    <x v="0"/>
  </r>
  <r>
    <s v="TRD00039"/>
    <s v="INE005A01070"/>
    <x v="24"/>
    <x v="1"/>
    <s v="Citi A/C 714496"/>
    <n v="25000"/>
    <n v="284.57000732421875"/>
    <n v="7114250.1831054688"/>
    <x v="2"/>
  </r>
  <r>
    <s v="TRD00040"/>
    <s v="INE007A01050"/>
    <x v="13"/>
    <x v="4"/>
    <s v="Deutsche Bank A/C 330518"/>
    <n v="340"/>
    <n v="279.82000732421875"/>
    <n v="95138.802490234375"/>
    <x v="0"/>
  </r>
  <r>
    <s v="TRD00041"/>
    <s v="INE001A01049"/>
    <x v="25"/>
    <x v="5"/>
    <s v="HDFC A/C 897530"/>
    <n v="280"/>
    <n v="54.430000305175781"/>
    <n v="15240.400085449219"/>
    <x v="0"/>
  </r>
  <r>
    <s v="TRD00042"/>
    <s v="INE003A01016"/>
    <x v="12"/>
    <x v="4"/>
    <s v="Citi A/C 543819"/>
    <n v="440"/>
    <n v="58.849998474121094"/>
    <n v="25893.999328613281"/>
    <x v="0"/>
  </r>
  <r>
    <s v="TRD00043"/>
    <s v="INE009A01062"/>
    <x v="23"/>
    <x v="2"/>
    <s v="Standard Chartered A/C 277005"/>
    <n v="440"/>
    <n v="126.33000183105469"/>
    <n v="55585.200805664063"/>
    <x v="0"/>
  </r>
  <r>
    <s v="TRD00044"/>
    <s v="INE006A01087"/>
    <x v="14"/>
    <x v="2"/>
    <s v="HSBC A/C 172861"/>
    <n v="220"/>
    <n v="222.92999267578125"/>
    <n v="49044.598388671875"/>
    <x v="0"/>
  </r>
  <r>
    <s v="TRD00045"/>
    <s v="INE009A01031"/>
    <x v="26"/>
    <x v="0"/>
    <s v="Citi A/C 416082"/>
    <n v="230"/>
    <n v="197.52999877929688"/>
    <n v="45431.899719238281"/>
    <x v="0"/>
  </r>
  <r>
    <s v="TRD00046"/>
    <s v="INE005A01021"/>
    <x v="3"/>
    <x v="2"/>
    <s v="Deutsche Bank A/C 126543"/>
    <n v="250"/>
    <n v="31.809999465942383"/>
    <n v="7952.4998664855957"/>
    <x v="0"/>
  </r>
  <r>
    <s v="TRD00047"/>
    <s v="INE007A01024"/>
    <x v="12"/>
    <x v="4"/>
    <s v="Citi A/C 543819"/>
    <n v="50"/>
    <n v="90.290000915527344"/>
    <n v="4514.5000457763672"/>
    <x v="0"/>
  </r>
  <r>
    <s v="TRD00048"/>
    <s v="INE001A01095"/>
    <x v="26"/>
    <x v="0"/>
    <s v="Citi A/C 416082"/>
    <n v="230"/>
    <n v="370.260009765625"/>
    <n v="85159.80224609375"/>
    <x v="0"/>
  </r>
  <r>
    <s v="TRD00049"/>
    <s v="INE008A01031"/>
    <x v="27"/>
    <x v="2"/>
    <s v="HDFC A/C 679335"/>
    <n v="420"/>
    <n v="251.8699951171875"/>
    <n v="105785.39794921875"/>
    <x v="0"/>
  </r>
  <r>
    <s v="TRD00050"/>
    <s v="INE005A01016"/>
    <x v="12"/>
    <x v="4"/>
    <s v="Citi A/C 543819"/>
    <n v="10"/>
    <n v="248.05999755859375"/>
    <n v="2480.5999755859375"/>
    <x v="0"/>
  </r>
  <r>
    <s v="TRD00051"/>
    <s v="INE003A01072"/>
    <x v="28"/>
    <x v="2"/>
    <s v="Citi A/C 744145"/>
    <n v="470"/>
    <n v="254.55999755859375"/>
    <n v="119643.19885253906"/>
    <x v="0"/>
  </r>
  <r>
    <s v="TRD00052"/>
    <s v="INE005A01013"/>
    <x v="29"/>
    <x v="4"/>
    <s v="Deutsche Bank A/C 983712"/>
    <n v="30"/>
    <n v="299.95001220703125"/>
    <n v="8998.5003662109375"/>
    <x v="0"/>
  </r>
  <r>
    <s v="TRD00053"/>
    <s v="INE003A01089"/>
    <x v="26"/>
    <x v="0"/>
    <s v="Citi A/C 416082"/>
    <n v="480"/>
    <n v="295.60000610351563"/>
    <n v="141888.0029296875"/>
    <x v="0"/>
  </r>
  <r>
    <s v="TRD00054"/>
    <s v="INE008A01042"/>
    <x v="27"/>
    <x v="2"/>
    <s v="HDFC A/C 679335"/>
    <n v="380"/>
    <n v="285.70999145507813"/>
    <n v="108569.79675292969"/>
    <x v="0"/>
  </r>
  <r>
    <s v="TRD00055"/>
    <s v="INE003A01050"/>
    <x v="30"/>
    <x v="5"/>
    <s v="JPMorgan A/C 582379"/>
    <n v="340"/>
    <n v="197.27000427246094"/>
    <n v="67071.801452636719"/>
    <x v="0"/>
  </r>
  <r>
    <s v="TRD00056"/>
    <s v="INE005A01082"/>
    <x v="28"/>
    <x v="2"/>
    <s v="Citi A/C 744145"/>
    <n v="260"/>
    <n v="90.110000610351563"/>
    <n v="23428.600158691406"/>
    <x v="0"/>
  </r>
  <r>
    <s v="TRD00057"/>
    <s v="INE008A01047"/>
    <x v="31"/>
    <x v="4"/>
    <s v="JPMorgan A/C 860462"/>
    <n v="60"/>
    <n v="406.83999633789063"/>
    <n v="24410.399780273438"/>
    <x v="0"/>
  </r>
  <r>
    <s v="TRD00058"/>
    <s v="INE009A01039"/>
    <x v="32"/>
    <x v="1"/>
    <s v="Standard Chartered A/C 438949"/>
    <n v="490"/>
    <n v="222.89999389648438"/>
    <n v="109220.99700927734"/>
    <x v="0"/>
  </r>
  <r>
    <s v="TRD00059"/>
    <s v="INE001A01096"/>
    <x v="33"/>
    <x v="0"/>
    <s v="Citi A/C 194841"/>
    <n v="300"/>
    <n v="496.55999755859375"/>
    <n v="148967.99926757813"/>
    <x v="0"/>
  </r>
  <r>
    <s v="TRD00060"/>
    <s v="INE007A01043"/>
    <x v="2"/>
    <x v="2"/>
    <s v="Citi A/C 837378"/>
    <n v="40"/>
    <n v="318.8599853515625"/>
    <n v="12754.3994140625"/>
    <x v="0"/>
  </r>
  <r>
    <s v="TRD00061"/>
    <s v="INE001A01043"/>
    <x v="5"/>
    <x v="3"/>
    <s v="HSBC A/C 562956"/>
    <n v="310"/>
    <n v="163.69999694824219"/>
    <n v="50746.999053955078"/>
    <x v="0"/>
  </r>
  <r>
    <s v="TRD00062"/>
    <s v="INE005A01049"/>
    <x v="33"/>
    <x v="0"/>
    <s v="Citi A/C 194841"/>
    <n v="480"/>
    <n v="137.75999450683594"/>
    <n v="66124.79736328125"/>
    <x v="0"/>
  </r>
  <r>
    <s v="TRD00063"/>
    <s v="INE002A01053"/>
    <x v="22"/>
    <x v="4"/>
    <s v="HSBC A/C 785870"/>
    <n v="490"/>
    <n v="230.52999877929688"/>
    <n v="112959.69940185547"/>
    <x v="0"/>
  </r>
  <r>
    <s v="TRD00064"/>
    <s v="INE005A01037"/>
    <x v="22"/>
    <x v="4"/>
    <s v="HSBC A/C 785870"/>
    <n v="30"/>
    <n v="64.339996337890625"/>
    <n v="1930.1998901367188"/>
    <x v="0"/>
  </r>
  <r>
    <s v="TRD00065"/>
    <s v="INE003A01020"/>
    <x v="34"/>
    <x v="5"/>
    <s v="JPMorgan A/C 488546"/>
    <n v="350"/>
    <n v="144.32000732421875"/>
    <n v="50512.002563476563"/>
    <x v="0"/>
  </r>
  <r>
    <s v="TRD00066"/>
    <s v="INE009A01012"/>
    <x v="11"/>
    <x v="3"/>
    <s v="Standard Chartered A/C 307017"/>
    <n v="500"/>
    <n v="108.40000152587891"/>
    <n v="54200.000762939453"/>
    <x v="0"/>
  </r>
  <r>
    <s v="TRD00067"/>
    <s v="INE003A01060"/>
    <x v="22"/>
    <x v="4"/>
    <s v="HSBC A/C 785870"/>
    <n v="40"/>
    <n v="477.32998657226563"/>
    <n v="19093.199462890625"/>
    <x v="0"/>
  </r>
  <r>
    <s v="TRD00068"/>
    <s v="INE005A0104"/>
    <x v="22"/>
    <x v="4"/>
    <s v="HSBC A/C 785870"/>
    <n v="350"/>
    <n v="404.67001342773438"/>
    <n v="141634.50469970703"/>
    <x v="0"/>
  </r>
  <r>
    <s v="TRD00069"/>
    <s v="INE003A01017"/>
    <x v="26"/>
    <x v="0"/>
    <s v="Citi A/C 416082"/>
    <n v="330"/>
    <n v="426.82000732421875"/>
    <n v="140850.60241699219"/>
    <x v="0"/>
  </r>
  <r>
    <s v="TRD00070"/>
    <s v="INE008A01067"/>
    <x v="35"/>
    <x v="4"/>
    <s v="HSBC A/C 972195"/>
    <n v="180"/>
    <n v="212.94999694824219"/>
    <n v="38330.999450683594"/>
    <x v="0"/>
  </r>
  <r>
    <s v="TRD00071"/>
    <s v="INE008A01058"/>
    <x v="36"/>
    <x v="0"/>
    <s v="HSBC A/C 864249"/>
    <n v="110"/>
    <n v="315.05999755859375"/>
    <n v="34656.599731445313"/>
    <x v="0"/>
  </r>
  <r>
    <s v="TRD00072"/>
    <s v="INE002A01083"/>
    <x v="13"/>
    <x v="4"/>
    <s v="Deutsche Bank A/C 330518"/>
    <n v="170"/>
    <n v="417.98001098632813"/>
    <n v="71056.601867675781"/>
    <x v="0"/>
  </r>
  <r>
    <s v="TRD00073"/>
    <s v="INE005A01075"/>
    <x v="37"/>
    <x v="6"/>
    <s v="MISSING SSI"/>
    <n v="90"/>
    <n v="405.32998657226563"/>
    <n v="36479.698791503906"/>
    <x v="3"/>
  </r>
  <r>
    <s v="TRD00074"/>
    <s v="INE002A01074"/>
    <x v="21"/>
    <x v="1"/>
    <s v="Deutsche Bank A/C 324710"/>
    <n v="390"/>
    <n v="164.91999816894531"/>
    <n v="64318.799285888672"/>
    <x v="0"/>
  </r>
  <r>
    <s v="TRD00075"/>
    <s v="INE001A01029"/>
    <x v="27"/>
    <x v="2"/>
    <s v="HDFC A/C 679335"/>
    <n v="440"/>
    <n v="341"/>
    <n v="150040"/>
    <x v="0"/>
  </r>
  <r>
    <s v="TRD00076"/>
    <s v="INE006A01011"/>
    <x v="35"/>
    <x v="4"/>
    <s v="HSBC A/C 972195"/>
    <n v="410"/>
    <n v="111.52999877929688"/>
    <n v="45727.299499511719"/>
    <x v="0"/>
  </r>
  <r>
    <s v="TRD00077"/>
    <s v="INE004A01041"/>
    <x v="0"/>
    <x v="0"/>
    <s v="Citi A/C 700450"/>
    <n v="330"/>
    <n v="193.57000732421875"/>
    <n v="63878.102416992188"/>
    <x v="0"/>
  </r>
  <r>
    <s v="TRD00078"/>
    <s v="INE004A01011"/>
    <x v="31"/>
    <x v="4"/>
    <s v="JPMorgan A/C 860462"/>
    <n v="260"/>
    <n v="93.209999084472656"/>
    <n v="24234.599761962891"/>
    <x v="0"/>
  </r>
  <r>
    <s v="TRD00079"/>
    <s v="INE003A01030"/>
    <x v="8"/>
    <x v="3"/>
    <s v="Deutsche Bank A/C 917029"/>
    <n v="120"/>
    <n v="355.6199951171875"/>
    <n v="42674.3994140625"/>
    <x v="0"/>
  </r>
  <r>
    <s v="TRD00080"/>
    <s v="INE002A01079"/>
    <x v="13"/>
    <x v="4"/>
    <s v="Deutsche Bank A/C 330518"/>
    <n v="380"/>
    <n v="315.02999877929688"/>
    <n v="119711.39953613281"/>
    <x v="0"/>
  </r>
  <r>
    <s v="TRD00081"/>
    <s v="INE005A01062"/>
    <x v="25"/>
    <x v="5"/>
    <s v="HDFC A/C 897530"/>
    <n v="320"/>
    <n v="344.72000122070313"/>
    <n v="110310.400390625"/>
    <x v="0"/>
  </r>
  <r>
    <s v="TRD00082"/>
    <s v="INE007A01050"/>
    <x v="38"/>
    <x v="2"/>
    <s v="HSBC A/C 994063"/>
    <n v="310"/>
    <n v="107.05999755859375"/>
    <n v="33188.599243164063"/>
    <x v="0"/>
  </r>
  <r>
    <s v="TRD00083"/>
    <s v="INE002A01035"/>
    <x v="34"/>
    <x v="5"/>
    <s v="JPMorgan A/C 488546"/>
    <n v="40"/>
    <n v="303.45999145507813"/>
    <n v="12138.399658203125"/>
    <x v="0"/>
  </r>
  <r>
    <s v="TRD00084"/>
    <s v="INE003A01078"/>
    <x v="4"/>
    <x v="0"/>
    <s v="HSBC A/C 867781"/>
    <n v="250"/>
    <n v="424.39999389648438"/>
    <n v="106099.99847412109"/>
    <x v="0"/>
  </r>
  <r>
    <s v="TRD00085"/>
    <s v="INE005A01064"/>
    <x v="5"/>
    <x v="3"/>
    <s v="HSBC A/C 562956"/>
    <n v="20"/>
    <n v="499.42001342773438"/>
    <n v="9988.4002685546875"/>
    <x v="0"/>
  </r>
  <r>
    <s v="TRD00086"/>
    <s v="INE003A01046"/>
    <x v="7"/>
    <x v="3"/>
    <s v="JPMorgan A/C 391364"/>
    <n v="490"/>
    <n v="347.1199951171875"/>
    <n v="170088.79760742188"/>
    <x v="0"/>
  </r>
  <r>
    <s v="TRD00087"/>
    <s v="INE001A01096"/>
    <x v="38"/>
    <x v="2"/>
    <s v="HSBC A/C 994063"/>
    <n v="140"/>
    <n v="325.16000366210938"/>
    <n v="45522.400512695313"/>
    <x v="0"/>
  </r>
  <r>
    <s v="TRD00088"/>
    <s v="INE003A01060"/>
    <x v="18"/>
    <x v="2"/>
    <s v="HSBC A/C 604357"/>
    <n v="480"/>
    <n v="80.290000915527344"/>
    <n v="38539.200439453125"/>
    <x v="0"/>
  </r>
  <r>
    <s v="TRD00089"/>
    <s v="INE005A0101"/>
    <x v="10"/>
    <x v="2"/>
    <s v="Deutsche Bank A/C 917262"/>
    <n v="380"/>
    <n v="298.27999877929688"/>
    <n v="113346.39953613281"/>
    <x v="0"/>
  </r>
  <r>
    <s v="TRD00090"/>
    <s v="INE002A01052"/>
    <x v="1"/>
    <x v="1"/>
    <s v="Standard Chartered A/C 331839"/>
    <n v="260"/>
    <n v="453.989990234375"/>
    <n v="118037.3974609375"/>
    <x v="0"/>
  </r>
  <r>
    <s v="TRD00091"/>
    <s v="INE009A01069"/>
    <x v="29"/>
    <x v="4"/>
    <s v="Deutsche Bank A/C 983712"/>
    <n v="370"/>
    <n v="61.340000152587891"/>
    <n v="22695.80005645752"/>
    <x v="0"/>
  </r>
  <r>
    <s v="TRD00092"/>
    <s v="INE002A01077"/>
    <x v="33"/>
    <x v="0"/>
    <s v="Citi A/C 194841"/>
    <n v="20"/>
    <n v="423.30999755859375"/>
    <n v="8466.199951171875"/>
    <x v="0"/>
  </r>
  <r>
    <s v="TRD00093"/>
    <s v="INE006A01023"/>
    <x v="3"/>
    <x v="2"/>
    <s v="Deutsche Bank A/C 126543"/>
    <n v="350"/>
    <n v="381.92999267578125"/>
    <n v="133675.49743652344"/>
    <x v="0"/>
  </r>
  <r>
    <s v="TRD00094"/>
    <s v="INE006A01020"/>
    <x v="35"/>
    <x v="4"/>
    <s v="HSBC A/C 972195"/>
    <n v="70"/>
    <n v="68.30999755859375"/>
    <n v="4781.6998291015625"/>
    <x v="0"/>
  </r>
  <r>
    <s v="TRD00095"/>
    <s v="INE001A0105"/>
    <x v="9"/>
    <x v="2"/>
    <s v="Barclays A/C 560891"/>
    <n v="200"/>
    <n v="152.6199951171875"/>
    <n v="30523.9990234375"/>
    <x v="0"/>
  </r>
  <r>
    <s v="TRD00096"/>
    <s v="INE003A01084"/>
    <x v="20"/>
    <x v="0"/>
    <s v="Citi A/C 508769"/>
    <n v="330"/>
    <n v="94.080001831054688"/>
    <n v="31046.400604248047"/>
    <x v="0"/>
  </r>
  <r>
    <s v="TRD00097"/>
    <s v="INE009A01085"/>
    <x v="14"/>
    <x v="2"/>
    <s v="HSBC A/C 172861"/>
    <n v="390"/>
    <n v="390.989990234375"/>
    <n v="152486.09619140625"/>
    <x v="0"/>
  </r>
  <r>
    <s v="TRD00098"/>
    <s v="INE008A0104"/>
    <x v="39"/>
    <x v="1"/>
    <s v="HSBC A/C 540659"/>
    <n v="370"/>
    <n v="330.70001220703125"/>
    <n v="122359.00451660156"/>
    <x v="0"/>
  </r>
  <r>
    <s v="TRD00099"/>
    <s v="INE005A01057"/>
    <x v="17"/>
    <x v="0"/>
    <s v="Barclays A/C 197229"/>
    <n v="60"/>
    <n v="239.6300048828125"/>
    <n v="14377.80029296875"/>
    <x v="0"/>
  </r>
  <r>
    <s v="TRD00100"/>
    <s v="INE006A01034"/>
    <x v="40"/>
    <x v="2"/>
    <s v="HSBC A/C 468615"/>
    <n v="360"/>
    <n v="233.24000549316406"/>
    <n v="83966.401977539063"/>
    <x v="0"/>
  </r>
  <r>
    <s v="TRD00101"/>
    <s v="INE008A01041"/>
    <x v="41"/>
    <x v="4"/>
    <s v="Standard Chartered A/C 441247"/>
    <n v="450"/>
    <n v="466.10000610351563"/>
    <n v="209745.00274658203"/>
    <x v="0"/>
  </r>
  <r>
    <s v="TRD00102"/>
    <s v="INE008A01056"/>
    <x v="6"/>
    <x v="0"/>
    <s v="JPMorgan A/C 987170"/>
    <n v="110"/>
    <n v="381.79000854492188"/>
    <n v="41996.900939941406"/>
    <x v="0"/>
  </r>
  <r>
    <s v="TRD00103"/>
    <s v="INE005A01079"/>
    <x v="23"/>
    <x v="2"/>
    <s v="Standard Chartered A/C 277005"/>
    <n v="430"/>
    <n v="462.98001098632813"/>
    <n v="199081.40472412109"/>
    <x v="0"/>
  </r>
  <r>
    <s v="TRD00104"/>
    <s v="INE003A01078"/>
    <x v="2"/>
    <x v="2"/>
    <s v="Citi A/C 837378"/>
    <n v="60"/>
    <n v="481.41000366210938"/>
    <n v="28884.600219726563"/>
    <x v="0"/>
  </r>
  <r>
    <s v="TRD00105"/>
    <s v="INE003A01043"/>
    <x v="21"/>
    <x v="1"/>
    <s v="Deutsche Bank A/C 324710"/>
    <n v="490"/>
    <n v="247.8699951171875"/>
    <n v="121456.29760742188"/>
    <x v="0"/>
  </r>
  <r>
    <s v="TRD00106"/>
    <s v="INE008A01031"/>
    <x v="30"/>
    <x v="5"/>
    <s v="JPMorgan A/C 582379"/>
    <n v="260"/>
    <n v="362.20001220703125"/>
    <n v="94172.003173828125"/>
    <x v="0"/>
  </r>
  <r>
    <s v="TRD00107"/>
    <s v="INE002A01024"/>
    <x v="35"/>
    <x v="4"/>
    <s v="HSBC A/C 972195"/>
    <n v="240"/>
    <n v="463.32000732421875"/>
    <n v="111196.8017578125"/>
    <x v="0"/>
  </r>
  <r>
    <s v="TRD00108"/>
    <s v="INE006A01071"/>
    <x v="9"/>
    <x v="2"/>
    <s v="Barclays A/C 560891"/>
    <n v="390"/>
    <n v="479.22000122070313"/>
    <n v="186895.80047607422"/>
    <x v="0"/>
  </r>
  <r>
    <s v="TRD00109"/>
    <s v="INE004A01044"/>
    <x v="25"/>
    <x v="5"/>
    <s v="HDFC A/C 897530"/>
    <n v="440"/>
    <n v="376.92999267578125"/>
    <n v="165849.19677734375"/>
    <x v="0"/>
  </r>
  <r>
    <s v="TRD00110"/>
    <s v="INE001A01081"/>
    <x v="37"/>
    <x v="6"/>
    <s v="MISSING SSI"/>
    <n v="280"/>
    <n v="257.07000732421875"/>
    <n v="71979.60205078125"/>
    <x v="3"/>
  </r>
  <r>
    <s v="TRD00111"/>
    <s v="INE008A01059"/>
    <x v="26"/>
    <x v="0"/>
    <s v="Citi A/C 416082"/>
    <n v="390"/>
    <n v="464.51998901367188"/>
    <n v="181162.79571533203"/>
    <x v="0"/>
  </r>
  <r>
    <s v="TRD00112"/>
    <s v="INE007A01073"/>
    <x v="8"/>
    <x v="3"/>
    <s v="Deutsche Bank A/C 917029"/>
    <n v="150"/>
    <n v="293.80999755859375"/>
    <n v="44071.499633789063"/>
    <x v="0"/>
  </r>
  <r>
    <s v="TRD00113"/>
    <s v="INE007A01047"/>
    <x v="16"/>
    <x v="3"/>
    <s v="Deutsche Bank A/C 153521"/>
    <n v="440"/>
    <n v="287.16000366210938"/>
    <n v="126350.40161132813"/>
    <x v="0"/>
  </r>
  <r>
    <s v="TRD00114"/>
    <s v="INE009A01057"/>
    <x v="15"/>
    <x v="4"/>
    <s v="Barclays A/C 302646"/>
    <n v="160"/>
    <n v="57.139999389648438"/>
    <n v="9142.39990234375"/>
    <x v="0"/>
  </r>
  <r>
    <s v="TRD00115"/>
    <s v="INE003A0106"/>
    <x v="15"/>
    <x v="4"/>
    <s v="Barclays A/C 302646"/>
    <n v="400"/>
    <n v="36.590000152587891"/>
    <n v="14636.000061035156"/>
    <x v="0"/>
  </r>
  <r>
    <s v="TRD00116"/>
    <s v="INE007A01072"/>
    <x v="39"/>
    <x v="1"/>
    <s v="HSBC A/C 540659"/>
    <n v="260"/>
    <n v="228.69999694824219"/>
    <n v="59461.999206542969"/>
    <x v="0"/>
  </r>
  <r>
    <s v="TRD00117"/>
    <s v="INE005A01062"/>
    <x v="0"/>
    <x v="0"/>
    <s v="Citi A/C 700450"/>
    <n v="30"/>
    <n v="456.95001220703125"/>
    <n v="13708.500366210938"/>
    <x v="0"/>
  </r>
  <r>
    <s v="TRD00118"/>
    <s v="INE005A01057"/>
    <x v="31"/>
    <x v="4"/>
    <s v="JPMorgan A/C 860462"/>
    <n v="500"/>
    <n v="115.13999938964844"/>
    <n v="57569.999694824219"/>
    <x v="0"/>
  </r>
  <r>
    <s v="TRD00119"/>
    <s v="INE005A01067"/>
    <x v="21"/>
    <x v="1"/>
    <s v="Deutsche Bank A/C 324710"/>
    <n v="190"/>
    <n v="417.3800048828125"/>
    <n v="79302.200927734375"/>
    <x v="0"/>
  </r>
  <r>
    <s v="TRD00120"/>
    <s v="INE001A01076"/>
    <x v="30"/>
    <x v="5"/>
    <s v="JPMorgan A/C 582379"/>
    <n v="80"/>
    <n v="148.08999633789063"/>
    <n v="11847.19970703125"/>
    <x v="0"/>
  </r>
  <r>
    <s v="TRD00121"/>
    <s v="INE007A01098"/>
    <x v="42"/>
    <x v="0"/>
    <s v="HDFC A/C 638209"/>
    <n v="390"/>
    <n v="412.01998901367188"/>
    <n v="160687.79571533203"/>
    <x v="0"/>
  </r>
  <r>
    <s v="TRD00122"/>
    <s v="INE005A01021"/>
    <x v="16"/>
    <x v="3"/>
    <s v="Deutsche Bank A/C 153521"/>
    <n v="310"/>
    <n v="384.20001220703125"/>
    <n v="119102.00378417969"/>
    <x v="0"/>
  </r>
  <r>
    <s v="TRD00123"/>
    <s v="INE007A01058"/>
    <x v="23"/>
    <x v="2"/>
    <s v="Standard Chartered A/C 277005"/>
    <n v="260"/>
    <n v="60.009998321533203"/>
    <n v="15602.599563598633"/>
    <x v="0"/>
  </r>
  <r>
    <s v="TRD00124"/>
    <s v="INE001A0103"/>
    <x v="22"/>
    <x v="4"/>
    <s v="HSBC A/C 785870"/>
    <n v="130"/>
    <n v="505.1099853515625"/>
    <n v="65664.298095703125"/>
    <x v="0"/>
  </r>
  <r>
    <s v="TRD00125"/>
    <s v="INE005A01072"/>
    <x v="3"/>
    <x v="2"/>
    <s v="Deutsche Bank A/C 126543"/>
    <n v="40"/>
    <n v="105.48999786376953"/>
    <n v="4219.5999145507813"/>
    <x v="0"/>
  </r>
  <r>
    <s v="TRD00126"/>
    <s v="INE004A01063"/>
    <x v="20"/>
    <x v="0"/>
    <s v="Citi A/C 508769"/>
    <n v="100"/>
    <n v="317.45001220703125"/>
    <n v="31745.001220703125"/>
    <x v="0"/>
  </r>
  <r>
    <s v="TRD00127"/>
    <s v="INE003A01094"/>
    <x v="9"/>
    <x v="2"/>
    <s v="Barclays A/C 560891"/>
    <n v="130"/>
    <n v="417.60000610351563"/>
    <n v="54288.000793457031"/>
    <x v="0"/>
  </r>
  <r>
    <s v="TRD00128"/>
    <s v="INE001A01065"/>
    <x v="7"/>
    <x v="3"/>
    <s v="JPMorgan A/C 391364"/>
    <n v="420"/>
    <n v="252.8699951171875"/>
    <n v="106205.39794921875"/>
    <x v="0"/>
  </r>
  <r>
    <s v="TRD00129"/>
    <s v="INE003A0101"/>
    <x v="37"/>
    <x v="6"/>
    <s v="MISSING SSI"/>
    <n v="410"/>
    <n v="17.760000228881836"/>
    <n v="7281.6000938415527"/>
    <x v="3"/>
  </r>
  <r>
    <s v="TRD00130"/>
    <s v="INE009A01028"/>
    <x v="28"/>
    <x v="2"/>
    <s v="Citi A/C 744145"/>
    <n v="80"/>
    <n v="406.98001098632813"/>
    <n v="32558.40087890625"/>
    <x v="0"/>
  </r>
  <r>
    <s v="TRD00131"/>
    <s v="INE007A01024"/>
    <x v="43"/>
    <x v="3"/>
    <s v="JPMorgan A/C 603587"/>
    <n v="25000"/>
    <n v="98.269996643066406"/>
    <n v="2456749.9160766602"/>
    <x v="2"/>
  </r>
  <r>
    <s v="TRD00132"/>
    <s v="INE006A01085"/>
    <x v="40"/>
    <x v="2"/>
    <s v="HSBC A/C 468615"/>
    <n v="370"/>
    <n v="143.22999572753906"/>
    <n v="52995.098419189453"/>
    <x v="0"/>
  </r>
  <r>
    <s v="TRD00133"/>
    <s v="INE009A01066"/>
    <x v="27"/>
    <x v="2"/>
    <s v="HDFC A/C 679335"/>
    <n v="70"/>
    <n v="154.44999694824219"/>
    <n v="10811.499786376953"/>
    <x v="0"/>
  </r>
  <r>
    <s v="TRD00134"/>
    <s v="INE006A0102"/>
    <x v="32"/>
    <x v="1"/>
    <s v="Standard Chartered A/C 438949"/>
    <n v="380"/>
    <n v="78.449996948242188"/>
    <n v="29810.998840332031"/>
    <x v="0"/>
  </r>
  <r>
    <s v="TRD00135"/>
    <s v="INE004A01094"/>
    <x v="2"/>
    <x v="2"/>
    <s v="Citi A/C 837378"/>
    <n v="480"/>
    <n v="119.58999633789063"/>
    <n v="57403.1982421875"/>
    <x v="0"/>
  </r>
  <r>
    <s v="TRD00136"/>
    <s v="INE007A01015"/>
    <x v="14"/>
    <x v="2"/>
    <s v="HSBC A/C 172861"/>
    <n v="210"/>
    <n v="490.010009765625"/>
    <n v="102902.10205078125"/>
    <x v="0"/>
  </r>
  <r>
    <s v="TRD00137"/>
    <s v="INE006A01044"/>
    <x v="25"/>
    <x v="5"/>
    <s v="HDFC A/C 897530"/>
    <n v="330"/>
    <n v="159.71000671386719"/>
    <n v="52704.302215576172"/>
    <x v="0"/>
  </r>
  <r>
    <s v="TRD00138"/>
    <s v="INE008A01027"/>
    <x v="21"/>
    <x v="1"/>
    <s v="Deutsche Bank A/C 324710"/>
    <n v="270"/>
    <n v="106.44999694824219"/>
    <n v="28741.499176025391"/>
    <x v="0"/>
  </r>
  <r>
    <s v="TRD00139"/>
    <s v="INE002A01024"/>
    <x v="44"/>
    <x v="4"/>
    <s v="JPMorgan A/C 704166"/>
    <n v="360"/>
    <n v="65.830001831054688"/>
    <n v="23698.800659179688"/>
    <x v="0"/>
  </r>
  <r>
    <s v="TRD00140"/>
    <s v="INE004A01059"/>
    <x v="45"/>
    <x v="0"/>
    <s v="HDFC A/C 113752"/>
    <n v="110"/>
    <n v="281.260009765625"/>
    <n v="30938.60107421875"/>
    <x v="0"/>
  </r>
  <r>
    <s v="TRD00141"/>
    <s v="INE008A01071"/>
    <x v="33"/>
    <x v="0"/>
    <s v="Citi A/C 194841"/>
    <n v="440"/>
    <n v="253.96000671386719"/>
    <n v="111742.40295410156"/>
    <x v="0"/>
  </r>
  <r>
    <s v="TRD00142"/>
    <s v="INE008A01062"/>
    <x v="12"/>
    <x v="4"/>
    <s v="Citi A/C 543819"/>
    <n v="410"/>
    <n v="492.95999145507813"/>
    <n v="202113.59649658203"/>
    <x v="0"/>
  </r>
  <r>
    <s v="TRD00143"/>
    <s v="INE009A01048"/>
    <x v="31"/>
    <x v="4"/>
    <s v="JPMorgan A/C 860462"/>
    <n v="40"/>
    <n v="265.1199951171875"/>
    <n v="10604.7998046875"/>
    <x v="0"/>
  </r>
  <r>
    <s v="TRD00144"/>
    <s v="INE009A0109"/>
    <x v="11"/>
    <x v="3"/>
    <s v="Standard Chartered A/C 307017"/>
    <n v="470"/>
    <n v="345.07998657226563"/>
    <n v="162187.59368896484"/>
    <x v="0"/>
  </r>
  <r>
    <s v="TRD00145"/>
    <s v="INE007A01040"/>
    <x v="22"/>
    <x v="4"/>
    <s v="HSBC A/C 785870"/>
    <n v="280"/>
    <n v="265.32000732421875"/>
    <n v="74289.60205078125"/>
    <x v="0"/>
  </r>
  <r>
    <s v="TRD00146"/>
    <s v="INE006A01098"/>
    <x v="31"/>
    <x v="4"/>
    <s v="JPMorgan A/C 860462"/>
    <n v="200"/>
    <n v="66.129997253417969"/>
    <n v="13225.999450683594"/>
    <x v="0"/>
  </r>
  <r>
    <s v="TRD00147"/>
    <s v="INE008A01058"/>
    <x v="3"/>
    <x v="2"/>
    <s v="Deutsche Bank A/C 126543"/>
    <n v="390"/>
    <n v="45.590000152587891"/>
    <n v="17780.100059509277"/>
    <x v="0"/>
  </r>
  <r>
    <s v="TRD00148"/>
    <s v="INE002A01055"/>
    <x v="40"/>
    <x v="2"/>
    <s v="HSBC A/C 468615"/>
    <n v="160"/>
    <n v="509.6099853515625"/>
    <n v="81537.59765625"/>
    <x v="0"/>
  </r>
  <r>
    <s v="TRD00149"/>
    <s v="INE003A01040"/>
    <x v="46"/>
    <x v="4"/>
    <s v="Deutsche Bank A/C 428758"/>
    <n v="240"/>
    <n v="21.930000305175781"/>
    <n v="5263.2000732421875"/>
    <x v="0"/>
  </r>
  <r>
    <s v="TRD00150"/>
    <s v="INE002A01027"/>
    <x v="42"/>
    <x v="0"/>
    <s v="HDFC A/C 638209"/>
    <n v="30"/>
    <n v="154.05999755859375"/>
    <n v="4621.7999267578125"/>
    <x v="0"/>
  </r>
  <r>
    <s v="TRD00151"/>
    <s v="INE009A01045"/>
    <x v="29"/>
    <x v="4"/>
    <s v="Deutsche Bank A/C 983712"/>
    <n v="25000"/>
    <n v="323.57000732421875"/>
    <n v="8089250.1831054688"/>
    <x v="2"/>
  </r>
  <r>
    <s v="TRD00152"/>
    <s v="INE005A01021"/>
    <x v="0"/>
    <x v="0"/>
    <s v="Citi A/C 700450"/>
    <n v="140"/>
    <n v="95.639999389648438"/>
    <n v="13389.599914550781"/>
    <x v="0"/>
  </r>
  <r>
    <s v="TRD00153"/>
    <s v="INE002A01040"/>
    <x v="36"/>
    <x v="0"/>
    <s v="HSBC A/C 864249"/>
    <n v="490"/>
    <n v="232.80000305175781"/>
    <n v="114072.00149536133"/>
    <x v="0"/>
  </r>
  <r>
    <s v="TRD00154"/>
    <s v="INE007A01044"/>
    <x v="24"/>
    <x v="1"/>
    <s v="Citi A/C 714496"/>
    <n v="290"/>
    <n v="284.1300048828125"/>
    <n v="82397.701416015625"/>
    <x v="0"/>
  </r>
  <r>
    <s v="TRD00155"/>
    <s v="INE002A01023"/>
    <x v="37"/>
    <x v="6"/>
    <s v="MISSING SSI"/>
    <n v="390"/>
    <n v="476.22000122070313"/>
    <n v="185725.80047607422"/>
    <x v="3"/>
  </r>
  <r>
    <s v="TRD00156"/>
    <s v="INE004A01030"/>
    <x v="11"/>
    <x v="3"/>
    <s v="Standard Chartered A/C 307017"/>
    <n v="80"/>
    <n v="405.17001342773438"/>
    <n v="32413.60107421875"/>
    <x v="0"/>
  </r>
  <r>
    <s v="TRD00157"/>
    <s v="INE003A01087"/>
    <x v="27"/>
    <x v="2"/>
    <s v="HDFC A/C 679335"/>
    <n v="230"/>
    <n v="154.80999755859375"/>
    <n v="35606.299438476563"/>
    <x v="0"/>
  </r>
  <r>
    <s v="TRD00158"/>
    <s v="INE003A01014"/>
    <x v="6"/>
    <x v="0"/>
    <s v="JPMorgan A/C 987170"/>
    <n v="390"/>
    <n v="240.02999877929688"/>
    <n v="93611.699523925781"/>
    <x v="0"/>
  </r>
  <r>
    <s v="TRD00159"/>
    <s v="INE007A01034"/>
    <x v="41"/>
    <x v="4"/>
    <s v="Standard Chartered A/C 441247"/>
    <n v="270"/>
    <n v="371.02999877929688"/>
    <n v="100178.09967041016"/>
    <x v="0"/>
  </r>
  <r>
    <s v="TRD00160"/>
    <s v="INE009A01028"/>
    <x v="8"/>
    <x v="3"/>
    <s v="Deutsche Bank A/C 917029"/>
    <n v="380"/>
    <n v="203.33000183105469"/>
    <n v="77265.400695800781"/>
    <x v="0"/>
  </r>
  <r>
    <s v="TRD00161"/>
    <s v="INE004A01074"/>
    <x v="45"/>
    <x v="0"/>
    <s v="HDFC A/C 113752"/>
    <n v="360"/>
    <n v="87.769996643066406"/>
    <n v="31597.198791503906"/>
    <x v="0"/>
  </r>
  <r>
    <s v="TRD00162"/>
    <s v="INE006A0106"/>
    <x v="2"/>
    <x v="2"/>
    <s v="Citi A/C 837378"/>
    <n v="200"/>
    <n v="320.48001098632813"/>
    <n v="64096.002197265625"/>
    <x v="0"/>
  </r>
  <r>
    <s v="TRD00163"/>
    <s v="INE003A01054"/>
    <x v="38"/>
    <x v="2"/>
    <s v="HSBC A/C 994063"/>
    <n v="480"/>
    <n v="392.91000366210938"/>
    <n v="188596.8017578125"/>
    <x v="0"/>
  </r>
  <r>
    <s v="TRD00164"/>
    <s v="INE008A0106"/>
    <x v="47"/>
    <x v="4"/>
    <s v="Standard Chartered A/C 682134"/>
    <n v="130"/>
    <n v="241.85000610351563"/>
    <n v="31440.500793457031"/>
    <x v="0"/>
  </r>
  <r>
    <s v="TRD00165"/>
    <s v="INE004A01045"/>
    <x v="14"/>
    <x v="2"/>
    <s v="HSBC A/C 172861"/>
    <n v="210"/>
    <n v="499.3599853515625"/>
    <n v="104865.59692382813"/>
    <x v="0"/>
  </r>
  <r>
    <s v="TRD00166"/>
    <s v="INE004A01010"/>
    <x v="14"/>
    <x v="2"/>
    <s v="HSBC A/C 172861"/>
    <n v="100"/>
    <n v="242.83999633789063"/>
    <n v="24283.999633789063"/>
    <x v="0"/>
  </r>
  <r>
    <s v="TRD00167"/>
    <s v="INE001A01040"/>
    <x v="19"/>
    <x v="2"/>
    <s v="Citi A/C 359789"/>
    <n v="280"/>
    <n v="245"/>
    <n v="68600"/>
    <x v="0"/>
  </r>
  <r>
    <s v="TRD00168"/>
    <s v="INE001A01027"/>
    <x v="11"/>
    <x v="3"/>
    <s v="Standard Chartered A/C 307017"/>
    <n v="120"/>
    <n v="223.85000610351563"/>
    <n v="26862.000732421875"/>
    <x v="0"/>
  </r>
  <r>
    <s v="TRD00169"/>
    <s v="INE008A01062"/>
    <x v="25"/>
    <x v="5"/>
    <s v="HDFC A/C 897530"/>
    <n v="40"/>
    <n v="92.720001220703125"/>
    <n v="3708.800048828125"/>
    <x v="0"/>
  </r>
  <r>
    <s v="TRD00170"/>
    <s v="INE003A01090"/>
    <x v="41"/>
    <x v="4"/>
    <s v="Standard Chartered A/C 441247"/>
    <n v="350"/>
    <n v="210.25999450683594"/>
    <n v="73590.998077392578"/>
    <x v="0"/>
  </r>
  <r>
    <s v="TRD00171"/>
    <s v="INE007A01057"/>
    <x v="23"/>
    <x v="2"/>
    <s v="Standard Chartered A/C 277005"/>
    <n v="460"/>
    <n v="130.41000366210938"/>
    <n v="59988.601684570313"/>
    <x v="0"/>
  </r>
  <r>
    <s v="TRD00172"/>
    <s v="INE004A01059"/>
    <x v="35"/>
    <x v="4"/>
    <s v="HSBC A/C 972195"/>
    <n v="90"/>
    <n v="352.45999145507813"/>
    <n v="31721.399230957031"/>
    <x v="0"/>
  </r>
  <r>
    <s v="TRD00173"/>
    <s v="INE007A01094"/>
    <x v="19"/>
    <x v="2"/>
    <s v="Citi A/C 359789"/>
    <n v="120"/>
    <n v="70.970001220703125"/>
    <n v="8516.400146484375"/>
    <x v="0"/>
  </r>
  <r>
    <s v="TRD00174"/>
    <s v="INE002A01015"/>
    <x v="0"/>
    <x v="0"/>
    <s v="Citi A/C 700450"/>
    <n v="240"/>
    <n v="425.83999633789063"/>
    <n v="102201.59912109375"/>
    <x v="0"/>
  </r>
  <r>
    <s v="TRD00175"/>
    <s v="INE003A01070"/>
    <x v="4"/>
    <x v="0"/>
    <s v="HSBC A/C 867781"/>
    <n v="260"/>
    <n v="252.27000427246094"/>
    <n v="65590.201110839844"/>
    <x v="0"/>
  </r>
  <r>
    <s v="TRD00176"/>
    <s v="INE005A01066"/>
    <x v="40"/>
    <x v="2"/>
    <s v="HSBC A/C 468615"/>
    <n v="330"/>
    <n v="330.79000854492188"/>
    <n v="109160.70281982422"/>
    <x v="0"/>
  </r>
  <r>
    <s v="TRD00177"/>
    <s v="INE008A0106"/>
    <x v="36"/>
    <x v="0"/>
    <s v="HSBC A/C 864249"/>
    <n v="210"/>
    <n v="137.22000122070313"/>
    <n v="28816.200256347656"/>
    <x v="0"/>
  </r>
  <r>
    <s v="TRD00178"/>
    <s v="INE007A01046"/>
    <x v="7"/>
    <x v="3"/>
    <s v="JPMorgan A/C 391364"/>
    <n v="10"/>
    <n v="92.709999084472656"/>
    <n v="927.09999084472656"/>
    <x v="0"/>
  </r>
  <r>
    <s v="TRD00179"/>
    <s v="INE003A01046"/>
    <x v="41"/>
    <x v="4"/>
    <s v="Standard Chartered A/C 441247"/>
    <n v="450"/>
    <n v="313.70999145507813"/>
    <n v="141169.49615478516"/>
    <x v="0"/>
  </r>
  <r>
    <s v="TRD00180"/>
    <s v="INE003A01015"/>
    <x v="10"/>
    <x v="2"/>
    <s v="Deutsche Bank A/C 917262"/>
    <n v="90"/>
    <n v="361.989990234375"/>
    <n v="32579.09912109375"/>
    <x v="0"/>
  </r>
  <r>
    <s v="TRD00181"/>
    <s v="INE007A01062"/>
    <x v="9"/>
    <x v="2"/>
    <s v="Barclays A/C 560891"/>
    <n v="80"/>
    <n v="494.6199951171875"/>
    <n v="39569.599609375"/>
    <x v="0"/>
  </r>
  <r>
    <s v="TRD00182"/>
    <s v="INE008A01053"/>
    <x v="28"/>
    <x v="2"/>
    <s v="Citi A/C 744145"/>
    <n v="450"/>
    <n v="414.010009765625"/>
    <n v="186304.50439453125"/>
    <x v="0"/>
  </r>
  <r>
    <s v="TRD00183"/>
    <s v="INE006A01050"/>
    <x v="38"/>
    <x v="2"/>
    <s v="HSBC A/C 994063"/>
    <n v="310"/>
    <n v="17.850000381469727"/>
    <n v="5533.5001182556152"/>
    <x v="0"/>
  </r>
  <r>
    <s v="TRD00184"/>
    <s v="INE004A01069"/>
    <x v="43"/>
    <x v="3"/>
    <s v="JPMorgan A/C 603587"/>
    <n v="130"/>
    <n v="149.16000366210938"/>
    <n v="19390.800476074219"/>
    <x v="0"/>
  </r>
  <r>
    <s v="TRD00185"/>
    <s v="INE005A01030"/>
    <x v="27"/>
    <x v="2"/>
    <s v="HDFC A/C 679335"/>
    <n v="490"/>
    <n v="346.27999877929688"/>
    <n v="169677.19940185547"/>
    <x v="0"/>
  </r>
  <r>
    <s v="TRD00186"/>
    <s v="INE002A01098"/>
    <x v="43"/>
    <x v="3"/>
    <s v="JPMorgan A/C 603587"/>
    <n v="300"/>
    <n v="92.839996337890625"/>
    <n v="27851.998901367188"/>
    <x v="0"/>
  </r>
  <r>
    <s v="TRD00187"/>
    <s v="INE001A01047"/>
    <x v="36"/>
    <x v="0"/>
    <s v="HSBC A/C 864249"/>
    <n v="90"/>
    <n v="67.80999755859375"/>
    <n v="6102.8997802734375"/>
    <x v="0"/>
  </r>
  <r>
    <s v="TRD00188"/>
    <s v="INE007A01097"/>
    <x v="9"/>
    <x v="2"/>
    <s v="Barclays A/C 560891"/>
    <n v="240"/>
    <n v="395.44000244140625"/>
    <n v="94905.6005859375"/>
    <x v="0"/>
  </r>
  <r>
    <s v="TRD00189"/>
    <s v="INE006A01073"/>
    <x v="7"/>
    <x v="3"/>
    <s v="JPMorgan A/C 391364"/>
    <n v="210"/>
    <n v="395.32998657226563"/>
    <n v="83019.297180175781"/>
    <x v="0"/>
  </r>
  <r>
    <s v="TRD00190"/>
    <s v="INE006A01050"/>
    <x v="37"/>
    <x v="6"/>
    <s v="MISSING SSI"/>
    <n v="270"/>
    <n v="349.489990234375"/>
    <n v="94362.29736328125"/>
    <x v="3"/>
  </r>
  <r>
    <s v="TRD00191"/>
    <s v="INE006A01045"/>
    <x v="33"/>
    <x v="0"/>
    <s v="Citi A/C 194841"/>
    <n v="110"/>
    <n v="72.099998474121094"/>
    <n v="7930.9998321533203"/>
    <x v="0"/>
  </r>
  <r>
    <s v="TRD00192"/>
    <s v="INE003A01093"/>
    <x v="6"/>
    <x v="0"/>
    <s v="JPMorgan A/C 987170"/>
    <n v="230"/>
    <n v="165.10000610351563"/>
    <n v="37973.001403808594"/>
    <x v="0"/>
  </r>
  <r>
    <s v="TRD00193"/>
    <s v="INE006A01012"/>
    <x v="44"/>
    <x v="4"/>
    <s v="JPMorgan A/C 704166"/>
    <n v="240"/>
    <n v="11.569999694824219"/>
    <n v="2776.7999267578125"/>
    <x v="0"/>
  </r>
  <r>
    <s v="TRD00194"/>
    <s v="INE007A01088"/>
    <x v="47"/>
    <x v="4"/>
    <s v="Standard Chartered A/C 682134"/>
    <n v="160"/>
    <n v="346.1099853515625"/>
    <n v="55377.59765625"/>
    <x v="0"/>
  </r>
  <r>
    <s v="TRD00195"/>
    <s v="INE006A01047"/>
    <x v="42"/>
    <x v="0"/>
    <s v="HDFC A/C 638209"/>
    <n v="120"/>
    <n v="504.89999389648438"/>
    <n v="60587.999267578125"/>
    <x v="0"/>
  </r>
  <r>
    <s v="TRD00196"/>
    <s v="INE001A01093"/>
    <x v="20"/>
    <x v="0"/>
    <s v="Citi A/C 508769"/>
    <n v="140"/>
    <n v="175.69999694824219"/>
    <n v="24597.999572753906"/>
    <x v="0"/>
  </r>
  <r>
    <s v="TRD00197"/>
    <s v="INE002A01063"/>
    <x v="20"/>
    <x v="0"/>
    <s v="Citi A/C 508769"/>
    <n v="370"/>
    <n v="147.80999755859375"/>
    <n v="54689.699096679688"/>
    <x v="0"/>
  </r>
  <r>
    <s v="TRD00198"/>
    <s v="INE007A01079"/>
    <x v="34"/>
    <x v="5"/>
    <s v="JPMorgan A/C 488546"/>
    <n v="350"/>
    <n v="62.090000152587891"/>
    <n v="21731.500053405762"/>
    <x v="0"/>
  </r>
  <r>
    <s v="TRD00199"/>
    <s v="INE006A01094"/>
    <x v="23"/>
    <x v="2"/>
    <s v="Standard Chartered A/C 277005"/>
    <n v="260"/>
    <n v="160.97999572753906"/>
    <n v="41854.798889160156"/>
    <x v="0"/>
  </r>
  <r>
    <s v="TRD00200"/>
    <s v="INE006A01045"/>
    <x v="20"/>
    <x v="0"/>
    <s v="Citi A/C 508769"/>
    <n v="140"/>
    <n v="38.470001220703125"/>
    <n v="5385.8001708984375"/>
    <x v="0"/>
  </r>
  <r>
    <s v="TRD00201"/>
    <s v="INE008A0100"/>
    <x v="25"/>
    <x v="5"/>
    <s v="HDFC A/C 897530"/>
    <n v="170"/>
    <n v="390.1300048828125"/>
    <n v="66322.100830078125"/>
    <x v="0"/>
  </r>
  <r>
    <s v="TRD00202"/>
    <s v="INE005A01012"/>
    <x v="0"/>
    <x v="0"/>
    <s v="Citi A/C 700450"/>
    <n v="430"/>
    <n v="263.05999755859375"/>
    <n v="113115.79895019531"/>
    <x v="0"/>
  </r>
  <r>
    <s v="TRD00203"/>
    <s v="INE008A01064"/>
    <x v="20"/>
    <x v="0"/>
    <s v="Citi A/C 508769"/>
    <n v="110"/>
    <n v="305.95001220703125"/>
    <n v="33654.501342773438"/>
    <x v="0"/>
  </r>
  <r>
    <s v="TRD00204"/>
    <s v="INE006A01027"/>
    <x v="36"/>
    <x v="0"/>
    <s v="HSBC A/C 864249"/>
    <n v="300"/>
    <n v="19.040000915527344"/>
    <n v="5712.0002746582031"/>
    <x v="0"/>
  </r>
  <r>
    <s v="TRD00205"/>
    <s v="INE001A01098"/>
    <x v="15"/>
    <x v="4"/>
    <s v="Barclays A/C 302646"/>
    <n v="220"/>
    <n v="504.14999389648438"/>
    <n v="110912.99865722656"/>
    <x v="0"/>
  </r>
  <r>
    <s v="TRD00206"/>
    <s v="INE003A01062"/>
    <x v="33"/>
    <x v="0"/>
    <s v="Citi A/C 194841"/>
    <n v="460"/>
    <n v="214.6300048828125"/>
    <n v="98729.80224609375"/>
    <x v="0"/>
  </r>
  <r>
    <s v="TRD00207"/>
    <s v="INE009A01036"/>
    <x v="2"/>
    <x v="2"/>
    <s v="Citi A/C 837378"/>
    <n v="250"/>
    <n v="205.42999267578125"/>
    <n v="51357.498168945313"/>
    <x v="0"/>
  </r>
  <r>
    <s v="TRD00208"/>
    <s v="INE002A01017"/>
    <x v="19"/>
    <x v="2"/>
    <s v="Citi A/C 359789"/>
    <n v="220"/>
    <n v="383.02999877929688"/>
    <n v="84266.599731445313"/>
    <x v="0"/>
  </r>
  <r>
    <s v="TRD00209"/>
    <s v="INE003A01037"/>
    <x v="22"/>
    <x v="4"/>
    <s v="HSBC A/C 785870"/>
    <n v="100"/>
    <n v="255.5"/>
    <n v="25550"/>
    <x v="0"/>
  </r>
  <r>
    <s v="TRD00210"/>
    <s v="INE004A01011"/>
    <x v="22"/>
    <x v="4"/>
    <s v="HSBC A/C 785870"/>
    <n v="20"/>
    <n v="182.44999694824219"/>
    <n v="3648.9999389648438"/>
    <x v="0"/>
  </r>
  <r>
    <s v="TRD00211"/>
    <s v="INE001A01085"/>
    <x v="48"/>
    <x v="5"/>
    <s v="Citi A/C 703401"/>
    <n v="260"/>
    <n v="125.05999755859375"/>
    <n v="32515.599365234375"/>
    <x v="0"/>
  </r>
  <r>
    <s v="TRD00212"/>
    <s v="INE009A01092"/>
    <x v="5"/>
    <x v="3"/>
    <s v="HSBC A/C 562956"/>
    <n v="460"/>
    <n v="396.07000732421875"/>
    <n v="182192.20336914063"/>
    <x v="0"/>
  </r>
  <r>
    <s v="TRD00213"/>
    <s v="INE007A01093"/>
    <x v="14"/>
    <x v="2"/>
    <s v="HSBC A/C 172861"/>
    <n v="380"/>
    <n v="409.79998779296875"/>
    <n v="155723.99536132813"/>
    <x v="0"/>
  </r>
  <r>
    <s v="TRD00214"/>
    <s v="INE004A01034"/>
    <x v="25"/>
    <x v="5"/>
    <s v="HDFC A/C 897530"/>
    <n v="210"/>
    <n v="432.1199951171875"/>
    <n v="90745.198974609375"/>
    <x v="0"/>
  </r>
  <r>
    <s v="TRD00215"/>
    <s v="INE008A01093"/>
    <x v="46"/>
    <x v="4"/>
    <s v="Deutsche Bank A/C 428758"/>
    <n v="220"/>
    <n v="330.45001220703125"/>
    <n v="72699.002685546875"/>
    <x v="0"/>
  </r>
  <r>
    <s v="TRD00216"/>
    <s v="INE003A01033"/>
    <x v="5"/>
    <x v="3"/>
    <s v="HSBC A/C 562956"/>
    <n v="100"/>
    <n v="323.79000854492188"/>
    <n v="32379.000854492188"/>
    <x v="0"/>
  </r>
  <r>
    <s v="TRD00217"/>
    <s v="INE001A01046"/>
    <x v="48"/>
    <x v="5"/>
    <s v="Citi A/C 703401"/>
    <n v="150"/>
    <n v="232.69000244140625"/>
    <n v="34903.500366210938"/>
    <x v="0"/>
  </r>
  <r>
    <s v="TRD00218"/>
    <s v="INE006A01011"/>
    <x v="17"/>
    <x v="0"/>
    <s v="Barclays A/C 197229"/>
    <n v="80"/>
    <n v="229.27999877929688"/>
    <n v="18342.39990234375"/>
    <x v="0"/>
  </r>
  <r>
    <s v="TRD00219"/>
    <s v="INE005A01037"/>
    <x v="43"/>
    <x v="3"/>
    <s v="JPMorgan A/C 603587"/>
    <n v="200"/>
    <n v="87.230003356933594"/>
    <n v="17446.000671386719"/>
    <x v="0"/>
  </r>
  <r>
    <s v="TRD00220"/>
    <s v="INE006A01016"/>
    <x v="16"/>
    <x v="3"/>
    <s v="Deutsche Bank A/C 153521"/>
    <n v="220"/>
    <n v="431.79998779296875"/>
    <n v="94995.997314453125"/>
    <x v="0"/>
  </r>
  <r>
    <s v="TRD00221"/>
    <s v="INE005A01074"/>
    <x v="9"/>
    <x v="2"/>
    <s v="Barclays A/C 560891"/>
    <n v="490"/>
    <n v="489.77999877929688"/>
    <n v="239992.19940185547"/>
    <x v="0"/>
  </r>
  <r>
    <s v="TRD00222"/>
    <s v="INE005A01020"/>
    <x v="49"/>
    <x v="0"/>
    <s v="HDFC A/C 543407"/>
    <n v="220"/>
    <n v="339.54998779296875"/>
    <n v="74700.997314453125"/>
    <x v="0"/>
  </r>
  <r>
    <s v="TRD00223"/>
    <s v="INE006A01093"/>
    <x v="40"/>
    <x v="2"/>
    <s v="HSBC A/C 468615"/>
    <n v="280"/>
    <n v="161.02999877929688"/>
    <n v="45088.399658203125"/>
    <x v="0"/>
  </r>
  <r>
    <s v="TRD00224"/>
    <s v="INE002A01019"/>
    <x v="34"/>
    <x v="5"/>
    <s v="JPMorgan A/C 488546"/>
    <n v="410"/>
    <n v="485.73001098632813"/>
    <n v="199149.30450439453"/>
    <x v="0"/>
  </r>
  <r>
    <s v="TRD00225"/>
    <s v="INE005A01054"/>
    <x v="41"/>
    <x v="4"/>
    <s v="Standard Chartered A/C 441247"/>
    <n v="470"/>
    <n v="446.70001220703125"/>
    <n v="209949.00573730469"/>
    <x v="0"/>
  </r>
  <r>
    <s v="TRD00226"/>
    <s v="INE005A01038"/>
    <x v="29"/>
    <x v="4"/>
    <s v="Deutsche Bank A/C 983712"/>
    <n v="220"/>
    <n v="28.549999237060547"/>
    <n v="6280.9998321533203"/>
    <x v="0"/>
  </r>
  <r>
    <s v="TRD00227"/>
    <s v="INE005A01042"/>
    <x v="0"/>
    <x v="0"/>
    <s v="Citi A/C 700450"/>
    <n v="50"/>
    <n v="317.47000122070313"/>
    <n v="15873.500061035156"/>
    <x v="0"/>
  </r>
  <r>
    <s v="TRD00228"/>
    <s v="INE005A01022"/>
    <x v="32"/>
    <x v="1"/>
    <s v="Standard Chartered A/C 438949"/>
    <n v="230"/>
    <n v="251.21000671386719"/>
    <n v="57778.301544189453"/>
    <x v="0"/>
  </r>
  <r>
    <s v="TRD00229"/>
    <s v="INE006A01065"/>
    <x v="31"/>
    <x v="4"/>
    <s v="JPMorgan A/C 860462"/>
    <n v="160"/>
    <n v="369.07000732421875"/>
    <n v="59051.201171875"/>
    <x v="0"/>
  </r>
  <r>
    <s v="TRD00230"/>
    <s v="INE008A01043"/>
    <x v="31"/>
    <x v="4"/>
    <s v="JPMorgan A/C 860462"/>
    <n v="140"/>
    <n v="61.909999847412109"/>
    <n v="8667.3999786376953"/>
    <x v="0"/>
  </r>
  <r>
    <s v="TRD00231"/>
    <s v="INE005A01060"/>
    <x v="25"/>
    <x v="5"/>
    <s v="HDFC A/C 897530"/>
    <n v="70"/>
    <n v="322.17999267578125"/>
    <n v="22552.599487304688"/>
    <x v="0"/>
  </r>
  <r>
    <s v="TRD00232"/>
    <s v="INE001A0101"/>
    <x v="11"/>
    <x v="3"/>
    <s v="Standard Chartered A/C 307017"/>
    <n v="270"/>
    <n v="493.8599853515625"/>
    <n v="133342.19604492188"/>
    <x v="0"/>
  </r>
  <r>
    <s v="TRD00233"/>
    <s v="INE009A01085"/>
    <x v="9"/>
    <x v="2"/>
    <s v="Barclays A/C 560891"/>
    <n v="160"/>
    <n v="22.520000457763672"/>
    <n v="3603.2000732421875"/>
    <x v="0"/>
  </r>
  <r>
    <s v="TRD00234"/>
    <s v="INE001A01016"/>
    <x v="28"/>
    <x v="2"/>
    <s v="Citi A/C 744145"/>
    <n v="60"/>
    <n v="205.25999450683594"/>
    <n v="12315.599670410156"/>
    <x v="0"/>
  </r>
  <r>
    <s v="TRD00235"/>
    <s v="INE001A01026"/>
    <x v="32"/>
    <x v="1"/>
    <s v="Standard Chartered A/C 438949"/>
    <n v="430"/>
    <n v="440.77999877929688"/>
    <n v="189535.39947509766"/>
    <x v="0"/>
  </r>
  <r>
    <s v="TRD00236"/>
    <s v="INE002A01035"/>
    <x v="48"/>
    <x v="5"/>
    <s v="Citi A/C 703401"/>
    <n v="100"/>
    <n v="479.32000732421875"/>
    <n v="47932.000732421875"/>
    <x v="0"/>
  </r>
  <r>
    <s v="TRD00237"/>
    <s v="INE002A01092"/>
    <x v="23"/>
    <x v="2"/>
    <s v="Standard Chartered A/C 277005"/>
    <n v="30"/>
    <n v="172.66999816894531"/>
    <n v="5180.0999450683594"/>
    <x v="0"/>
  </r>
  <r>
    <s v="TRD00238"/>
    <s v="INE006A01031"/>
    <x v="38"/>
    <x v="2"/>
    <s v="HSBC A/C 994063"/>
    <n v="70"/>
    <n v="224.22000122070313"/>
    <n v="15695.400085449219"/>
    <x v="0"/>
  </r>
  <r>
    <s v="TRD00239"/>
    <s v="INE007A01019"/>
    <x v="20"/>
    <x v="0"/>
    <s v="Citi A/C 508769"/>
    <n v="210"/>
    <n v="438.89999389648438"/>
    <n v="92168.998718261719"/>
    <x v="0"/>
  </r>
  <r>
    <s v="TRD00240"/>
    <s v="INE002A0103"/>
    <x v="44"/>
    <x v="4"/>
    <s v="JPMorgan A/C 704166"/>
    <n v="300"/>
    <n v="473.19000244140625"/>
    <n v="141957.00073242188"/>
    <x v="0"/>
  </r>
  <r>
    <s v="TRD00241"/>
    <s v="INE006A01064"/>
    <x v="11"/>
    <x v="3"/>
    <s v="Standard Chartered A/C 307017"/>
    <n v="350"/>
    <n v="85.160003662109375"/>
    <n v="29806.001281738281"/>
    <x v="0"/>
  </r>
  <r>
    <s v="TRD00242"/>
    <s v="INE008A01069"/>
    <x v="8"/>
    <x v="3"/>
    <s v="Deutsche Bank A/C 917029"/>
    <n v="240"/>
    <n v="384.42001342773438"/>
    <n v="92260.80322265625"/>
    <x v="0"/>
  </r>
  <r>
    <s v="TRD00243"/>
    <s v="INE007A01015"/>
    <x v="43"/>
    <x v="3"/>
    <s v="JPMorgan A/C 603587"/>
    <n v="480"/>
    <n v="82.160003662109375"/>
    <n v="39436.8017578125"/>
    <x v="0"/>
  </r>
  <r>
    <s v="TRD00244"/>
    <s v="INE006A01080"/>
    <x v="36"/>
    <x v="0"/>
    <s v="HSBC A/C 864249"/>
    <n v="460"/>
    <n v="241.11000061035156"/>
    <n v="110910.60028076172"/>
    <x v="0"/>
  </r>
  <r>
    <s v="TRD00245"/>
    <s v="INE006A01079"/>
    <x v="12"/>
    <x v="4"/>
    <s v="Citi A/C 543819"/>
    <n v="210"/>
    <n v="25.600000381469727"/>
    <n v="5376.0000801086426"/>
    <x v="0"/>
  </r>
  <r>
    <s v="TRD00246"/>
    <s v="INE001A0108"/>
    <x v="44"/>
    <x v="4"/>
    <s v="JPMorgan A/C 704166"/>
    <n v="150"/>
    <n v="451.47000122070313"/>
    <n v="67720.500183105469"/>
    <x v="0"/>
  </r>
  <r>
    <s v="TRD00247"/>
    <s v="INE006A01093"/>
    <x v="40"/>
    <x v="2"/>
    <s v="HSBC A/C 468615"/>
    <n v="320"/>
    <n v="136.17999267578125"/>
    <n v="43577.59765625"/>
    <x v="0"/>
  </r>
  <r>
    <s v="TRD00248"/>
    <s v="INE008A01049"/>
    <x v="16"/>
    <x v="3"/>
    <s v="Deutsche Bank A/C 153521"/>
    <n v="140"/>
    <n v="48.709999084472656"/>
    <n v="6819.3998718261719"/>
    <x v="0"/>
  </r>
  <r>
    <s v="TRD00249"/>
    <s v="INE006A01017"/>
    <x v="28"/>
    <x v="2"/>
    <s v="Citi A/C 744145"/>
    <n v="180"/>
    <n v="259.6099853515625"/>
    <n v="46729.79736328125"/>
    <x v="0"/>
  </r>
  <r>
    <s v="TRD00250"/>
    <s v="INE008A01025"/>
    <x v="32"/>
    <x v="1"/>
    <s v="Standard Chartered A/C 438949"/>
    <n v="380"/>
    <n v="191.02000427246094"/>
    <n v="72587.601623535156"/>
    <x v="0"/>
  </r>
  <r>
    <s v="TRD00251"/>
    <s v="INE006A01033"/>
    <x v="31"/>
    <x v="4"/>
    <s v="JPMorgan A/C 860462"/>
    <n v="310"/>
    <n v="366.60000610351563"/>
    <n v="113646.00189208984"/>
    <x v="0"/>
  </r>
  <r>
    <s v="TRD00252"/>
    <s v="INE003A01084"/>
    <x v="40"/>
    <x v="2"/>
    <s v="HSBC A/C 468615"/>
    <n v="430"/>
    <n v="161.60000610351563"/>
    <n v="69488.002624511719"/>
    <x v="0"/>
  </r>
  <r>
    <s v="TRD00253"/>
    <s v="INE001A01053"/>
    <x v="29"/>
    <x v="4"/>
    <s v="Deutsche Bank A/C 983712"/>
    <n v="340"/>
    <n v="52.830001831054688"/>
    <n v="17962.200622558594"/>
    <x v="0"/>
  </r>
  <r>
    <s v="TRD00254"/>
    <s v="INE005A01098"/>
    <x v="21"/>
    <x v="1"/>
    <s v="Deutsche Bank A/C 324710"/>
    <n v="500"/>
    <n v="368.67001342773438"/>
    <n v="184335.00671386719"/>
    <x v="0"/>
  </r>
  <r>
    <s v="TRD00255"/>
    <s v="INE003A01012"/>
    <x v="44"/>
    <x v="4"/>
    <s v="JPMorgan A/C 704166"/>
    <n v="30"/>
    <n v="39.029998779296875"/>
    <n v="1170.8999633789063"/>
    <x v="0"/>
  </r>
  <r>
    <s v="TRD00256"/>
    <s v="INE003A01065"/>
    <x v="43"/>
    <x v="3"/>
    <s v="JPMorgan A/C 603587"/>
    <n v="400"/>
    <n v="345.42001342773438"/>
    <n v="138168.00537109375"/>
    <x v="0"/>
  </r>
  <r>
    <s v="TRD00257"/>
    <s v="INE003A01067"/>
    <x v="49"/>
    <x v="0"/>
    <s v="HDFC A/C 543407"/>
    <n v="260"/>
    <n v="170.88999938964844"/>
    <n v="44431.399841308594"/>
    <x v="0"/>
  </r>
  <r>
    <s v="TRD00258"/>
    <s v="INE005A0107"/>
    <x v="22"/>
    <x v="4"/>
    <s v="HSBC A/C 785870"/>
    <n v="90"/>
    <n v="250.05000305175781"/>
    <n v="22504.500274658203"/>
    <x v="0"/>
  </r>
  <r>
    <s v="TRD00259"/>
    <s v="INE001A0106"/>
    <x v="33"/>
    <x v="0"/>
    <s v="Citi A/C 194841"/>
    <n v="50"/>
    <n v="419.10000610351563"/>
    <n v="20955.000305175781"/>
    <x v="0"/>
  </r>
  <r>
    <s v="TRD00260"/>
    <s v="INE003A01070"/>
    <x v="8"/>
    <x v="3"/>
    <s v="Deutsche Bank A/C 917029"/>
    <n v="140"/>
    <n v="365.77999877929688"/>
    <n v="51209.199829101563"/>
    <x v="0"/>
  </r>
  <r>
    <s v="TRD00261"/>
    <s v="INE007A01037"/>
    <x v="43"/>
    <x v="3"/>
    <s v="JPMorgan A/C 603587"/>
    <n v="30"/>
    <n v="379.3900146484375"/>
    <n v="11381.700439453125"/>
    <x v="0"/>
  </r>
  <r>
    <s v="TRD00262"/>
    <s v="INE002A01028"/>
    <x v="22"/>
    <x v="4"/>
    <s v="HSBC A/C 785870"/>
    <n v="240"/>
    <n v="100.80000305175781"/>
    <n v="24192.000732421875"/>
    <x v="0"/>
  </r>
  <r>
    <s v="TRD00263"/>
    <s v="INE002A01095"/>
    <x v="0"/>
    <x v="0"/>
    <s v="Citi A/C 700450"/>
    <n v="460"/>
    <n v="272.45001220703125"/>
    <n v="125327.00561523438"/>
    <x v="0"/>
  </r>
  <r>
    <s v="TRD00264"/>
    <s v="INE007A01076"/>
    <x v="38"/>
    <x v="2"/>
    <s v="HSBC A/C 994063"/>
    <n v="220"/>
    <n v="488.32000732421875"/>
    <n v="107430.40161132813"/>
    <x v="0"/>
  </r>
  <r>
    <s v="TRD00265"/>
    <s v="INE009A01041"/>
    <x v="13"/>
    <x v="4"/>
    <s v="Deutsche Bank A/C 330518"/>
    <n v="220"/>
    <n v="443.97000122070313"/>
    <n v="97673.400268554688"/>
    <x v="0"/>
  </r>
  <r>
    <s v="TRD00266"/>
    <s v="INE009A01040"/>
    <x v="36"/>
    <x v="0"/>
    <s v="HSBC A/C 864249"/>
    <n v="20"/>
    <n v="186.52999877929688"/>
    <n v="3730.5999755859375"/>
    <x v="0"/>
  </r>
  <r>
    <s v="TRD00267"/>
    <s v="INE002A01058"/>
    <x v="36"/>
    <x v="0"/>
    <s v="HSBC A/C 864249"/>
    <n v="330"/>
    <n v="364.67999267578125"/>
    <n v="120344.39758300781"/>
    <x v="0"/>
  </r>
  <r>
    <s v="TRD00268"/>
    <s v="INE009A01063"/>
    <x v="5"/>
    <x v="3"/>
    <s v="HSBC A/C 562956"/>
    <n v="220"/>
    <n v="478.64999389648438"/>
    <n v="105302.99865722656"/>
    <x v="0"/>
  </r>
  <r>
    <s v="TRD00269"/>
    <s v="INE001A01056"/>
    <x v="19"/>
    <x v="2"/>
    <s v="Citi A/C 359789"/>
    <n v="410"/>
    <n v="130.25999450683594"/>
    <n v="53406.597747802734"/>
    <x v="0"/>
  </r>
  <r>
    <s v="TRD00270"/>
    <s v="INE003A01021"/>
    <x v="2"/>
    <x v="2"/>
    <s v="Citi A/C 837378"/>
    <n v="10"/>
    <n v="272.8800048828125"/>
    <n v="2728.800048828125"/>
    <x v="0"/>
  </r>
  <r>
    <s v="TRD00271"/>
    <s v="INE003A01071"/>
    <x v="38"/>
    <x v="2"/>
    <s v="HSBC A/C 994063"/>
    <n v="230"/>
    <n v="461.42999267578125"/>
    <n v="106128.89831542969"/>
    <x v="0"/>
  </r>
  <r>
    <s v="TRD00272"/>
    <s v="INE005A0109"/>
    <x v="40"/>
    <x v="2"/>
    <s v="HSBC A/C 468615"/>
    <n v="210"/>
    <n v="102.41000366210938"/>
    <n v="21506.100769042969"/>
    <x v="0"/>
  </r>
  <r>
    <s v="TRD00273"/>
    <s v="INE007A01062"/>
    <x v="38"/>
    <x v="2"/>
    <s v="HSBC A/C 994063"/>
    <n v="180"/>
    <n v="203.8800048828125"/>
    <n v="36698.40087890625"/>
    <x v="0"/>
  </r>
  <r>
    <s v="TRD00274"/>
    <s v="INE005A01049"/>
    <x v="26"/>
    <x v="0"/>
    <s v="Citi A/C 416082"/>
    <n v="280"/>
    <n v="125.44999694824219"/>
    <n v="35125.999145507813"/>
    <x v="0"/>
  </r>
  <r>
    <s v="TRD00275"/>
    <s v="INE002A01015"/>
    <x v="45"/>
    <x v="0"/>
    <s v="HDFC A/C 113752"/>
    <n v="260"/>
    <n v="328.32000732421875"/>
    <n v="85363.201904296875"/>
    <x v="0"/>
  </r>
  <r>
    <s v="TRD00276"/>
    <s v="INE005A01089"/>
    <x v="27"/>
    <x v="2"/>
    <s v="HDFC A/C 679335"/>
    <n v="280"/>
    <n v="125.20999908447266"/>
    <n v="35058.799743652344"/>
    <x v="0"/>
  </r>
  <r>
    <s v="TRD00277"/>
    <s v="INE002A01037"/>
    <x v="5"/>
    <x v="3"/>
    <s v="HSBC A/C 562956"/>
    <n v="110"/>
    <n v="430.45001220703125"/>
    <n v="47349.501342773438"/>
    <x v="0"/>
  </r>
  <r>
    <s v="TRD00278"/>
    <s v="INE001A0103"/>
    <x v="16"/>
    <x v="3"/>
    <s v="Deutsche Bank A/C 153521"/>
    <n v="410"/>
    <n v="509.8900146484375"/>
    <n v="209054.90600585938"/>
    <x v="0"/>
  </r>
  <r>
    <s v="TRD00279"/>
    <s v="INE002A01064"/>
    <x v="31"/>
    <x v="4"/>
    <s v="JPMorgan A/C 860462"/>
    <n v="490"/>
    <n v="230.97999572753906"/>
    <n v="113180.19790649414"/>
    <x v="0"/>
  </r>
  <r>
    <s v="TRD00280"/>
    <s v="INE007A01085"/>
    <x v="48"/>
    <x v="5"/>
    <s v="Citi A/C 703401"/>
    <n v="500"/>
    <n v="312.69000244140625"/>
    <n v="156345.00122070313"/>
    <x v="0"/>
  </r>
  <r>
    <s v="TRD00281"/>
    <s v="INE009A01057"/>
    <x v="16"/>
    <x v="3"/>
    <s v="Deutsche Bank A/C 153521"/>
    <n v="25000"/>
    <n v="279.8900146484375"/>
    <n v="6997250.3662109375"/>
    <x v="2"/>
  </r>
  <r>
    <s v="TRD00282"/>
    <s v="INE002A01035"/>
    <x v="36"/>
    <x v="0"/>
    <s v="HSBC A/C 864249"/>
    <n v="430"/>
    <n v="498.72000122070313"/>
    <n v="214449.60052490234"/>
    <x v="0"/>
  </r>
  <r>
    <s v="TRD00283"/>
    <s v="INE004A01052"/>
    <x v="26"/>
    <x v="0"/>
    <s v="Citi A/C 416082"/>
    <n v="210"/>
    <n v="490.32000732421875"/>
    <n v="102967.20153808594"/>
    <x v="0"/>
  </r>
  <r>
    <s v="TRD00284"/>
    <s v="INE008A01025"/>
    <x v="12"/>
    <x v="4"/>
    <s v="Citi A/C 543819"/>
    <n v="370"/>
    <n v="462.95001220703125"/>
    <n v="171291.50451660156"/>
    <x v="0"/>
  </r>
  <r>
    <s v="TRD00285"/>
    <s v="INE008A01030"/>
    <x v="14"/>
    <x v="2"/>
    <s v="HSBC A/C 172861"/>
    <n v="200"/>
    <n v="257.67001342773438"/>
    <n v="51534.002685546875"/>
    <x v="0"/>
  </r>
  <r>
    <s v="TRD00286"/>
    <s v="INE008A01079"/>
    <x v="48"/>
    <x v="5"/>
    <s v="Citi A/C 703401"/>
    <n v="60"/>
    <n v="98.349998474121094"/>
    <n v="5900.9999084472656"/>
    <x v="0"/>
  </r>
  <r>
    <s v="TRD00287"/>
    <s v="INE008A01078"/>
    <x v="43"/>
    <x v="3"/>
    <s v="JPMorgan A/C 603587"/>
    <n v="60"/>
    <n v="341.70001220703125"/>
    <n v="20502.000732421875"/>
    <x v="0"/>
  </r>
  <r>
    <s v="TRD00288"/>
    <s v="INE004A01067"/>
    <x v="20"/>
    <x v="0"/>
    <s v="Citi A/C 508769"/>
    <n v="380"/>
    <n v="227.19999694824219"/>
    <n v="86335.998840332031"/>
    <x v="0"/>
  </r>
  <r>
    <s v="TRD00289"/>
    <s v="INE005A01077"/>
    <x v="43"/>
    <x v="3"/>
    <s v="JPMorgan A/C 603587"/>
    <n v="480"/>
    <n v="127.16999816894531"/>
    <n v="61041.59912109375"/>
    <x v="0"/>
  </r>
  <r>
    <s v="TRD00290"/>
    <s v="INE004A01079"/>
    <x v="20"/>
    <x v="0"/>
    <s v="Citi A/C 508769"/>
    <n v="360"/>
    <n v="296.75"/>
    <n v="106830"/>
    <x v="0"/>
  </r>
  <r>
    <s v="TRD00291"/>
    <s v="INE001A01033"/>
    <x v="41"/>
    <x v="4"/>
    <s v="Standard Chartered A/C 441247"/>
    <n v="300"/>
    <n v="123.86000061035156"/>
    <n v="37158.000183105469"/>
    <x v="0"/>
  </r>
  <r>
    <s v="TRD00292"/>
    <s v="INE006A01035"/>
    <x v="4"/>
    <x v="0"/>
    <s v="HSBC A/C 867781"/>
    <n v="140"/>
    <n v="379.260009765625"/>
    <n v="53096.4013671875"/>
    <x v="0"/>
  </r>
  <r>
    <s v="TRD00293"/>
    <s v="INE001A01073"/>
    <x v="41"/>
    <x v="4"/>
    <s v="Standard Chartered A/C 441247"/>
    <n v="480"/>
    <n v="466.52999877929688"/>
    <n v="223934.3994140625"/>
    <x v="0"/>
  </r>
  <r>
    <s v="TRD00294"/>
    <s v="INE004A01075"/>
    <x v="13"/>
    <x v="4"/>
    <s v="Deutsche Bank A/C 330518"/>
    <n v="480"/>
    <n v="172.02000427246094"/>
    <n v="82569.60205078125"/>
    <x v="0"/>
  </r>
  <r>
    <s v="TRD00295"/>
    <s v="INE004A01055"/>
    <x v="5"/>
    <x v="3"/>
    <s v="HSBC A/C 562956"/>
    <n v="90"/>
    <n v="414.92999267578125"/>
    <n v="37343.699340820313"/>
    <x v="0"/>
  </r>
  <r>
    <s v="TRD00296"/>
    <s v="INE001A01068"/>
    <x v="34"/>
    <x v="5"/>
    <s v="JPMorgan A/C 488546"/>
    <n v="280"/>
    <n v="497.26998901367188"/>
    <n v="139235.59692382813"/>
    <x v="0"/>
  </r>
  <r>
    <s v="TRD00297"/>
    <s v="INE001A01058"/>
    <x v="21"/>
    <x v="1"/>
    <s v="Deutsche Bank A/C 324710"/>
    <n v="330"/>
    <n v="353.85000610351563"/>
    <n v="116770.50201416016"/>
    <x v="0"/>
  </r>
  <r>
    <s v="TRD00298"/>
    <s v="INE003A0108"/>
    <x v="13"/>
    <x v="4"/>
    <s v="Deutsche Bank A/C 330518"/>
    <n v="60"/>
    <n v="302.29998779296875"/>
    <n v="18137.999267578125"/>
    <x v="0"/>
  </r>
  <r>
    <s v="TRD00299"/>
    <s v="INE004A01087"/>
    <x v="30"/>
    <x v="5"/>
    <s v="JPMorgan A/C 582379"/>
    <n v="50"/>
    <n v="293.04000854492188"/>
    <n v="14652.000427246094"/>
    <x v="0"/>
  </r>
  <r>
    <s v="TRD00300"/>
    <s v="INE002A0109"/>
    <x v="29"/>
    <x v="4"/>
    <s v="Deutsche Bank A/C 983712"/>
    <n v="450"/>
    <n v="159.35000610351563"/>
    <n v="71707.502746582031"/>
    <x v="0"/>
  </r>
  <r>
    <s v="TRD00301"/>
    <s v="INE001A01072"/>
    <x v="4"/>
    <x v="0"/>
    <s v="HSBC A/C 867781"/>
    <n v="190"/>
    <n v="367.27999877929688"/>
    <n v="69783.199768066406"/>
    <x v="0"/>
  </r>
  <r>
    <s v="TRD00302"/>
    <s v="INE007A01016"/>
    <x v="38"/>
    <x v="2"/>
    <s v="HSBC A/C 994063"/>
    <n v="230"/>
    <n v="265.70001220703125"/>
    <n v="61111.002807617188"/>
    <x v="0"/>
  </r>
  <r>
    <s v="TRD00303"/>
    <s v="INE007A01068"/>
    <x v="33"/>
    <x v="0"/>
    <s v="Citi A/C 194841"/>
    <n v="330"/>
    <n v="336.30999755859375"/>
    <n v="110982.29919433594"/>
    <x v="0"/>
  </r>
  <r>
    <s v="TRD00304"/>
    <s v="INE005A01096"/>
    <x v="6"/>
    <x v="0"/>
    <s v="JPMorgan A/C 987170"/>
    <n v="290"/>
    <n v="443.6199951171875"/>
    <n v="128649.79858398438"/>
    <x v="0"/>
  </r>
  <r>
    <s v="TRD00305"/>
    <s v="INE005A01056"/>
    <x v="22"/>
    <x v="4"/>
    <s v="HSBC A/C 785870"/>
    <n v="180"/>
    <n v="84.919998168945313"/>
    <n v="15285.599670410156"/>
    <x v="0"/>
  </r>
  <r>
    <s v="TRD00306"/>
    <s v="INE002A01043"/>
    <x v="21"/>
    <x v="1"/>
    <s v="Deutsche Bank A/C 324710"/>
    <n v="140"/>
    <n v="140.36000061035156"/>
    <n v="19650.400085449219"/>
    <x v="0"/>
  </r>
  <r>
    <s v="TRD00307"/>
    <s v="INE008A01040"/>
    <x v="40"/>
    <x v="2"/>
    <s v="HSBC A/C 468615"/>
    <n v="70"/>
    <n v="122.87000274658203"/>
    <n v="8600.9001922607422"/>
    <x v="0"/>
  </r>
  <r>
    <s v="TRD00308"/>
    <s v="INE007A01072"/>
    <x v="9"/>
    <x v="2"/>
    <s v="Barclays A/C 560891"/>
    <n v="430"/>
    <n v="428.20001220703125"/>
    <n v="184126.00524902344"/>
    <x v="0"/>
  </r>
  <r>
    <s v="TRD00309"/>
    <s v="INE001A01051"/>
    <x v="3"/>
    <x v="2"/>
    <s v="Deutsche Bank A/C 126543"/>
    <n v="460"/>
    <n v="84.919998168945313"/>
    <n v="39063.199157714844"/>
    <x v="0"/>
  </r>
  <r>
    <s v="TRD00310"/>
    <s v="INE003A01028"/>
    <x v="32"/>
    <x v="1"/>
    <s v="Standard Chartered A/C 438949"/>
    <n v="430"/>
    <n v="504.39999389648438"/>
    <n v="216891.99737548828"/>
    <x v="0"/>
  </r>
  <r>
    <s v="TRD00311"/>
    <s v="INE002A01043"/>
    <x v="13"/>
    <x v="4"/>
    <s v="Deutsche Bank A/C 330518"/>
    <n v="420"/>
    <n v="230.83999633789063"/>
    <n v="96952.798461914063"/>
    <x v="0"/>
  </r>
  <r>
    <s v="TRD00312"/>
    <s v="INE002A01076"/>
    <x v="15"/>
    <x v="4"/>
    <s v="Barclays A/C 302646"/>
    <n v="30"/>
    <n v="191.22999572753906"/>
    <n v="5736.8998718261719"/>
    <x v="0"/>
  </r>
  <r>
    <s v="TRD00313"/>
    <s v="INE002A01096"/>
    <x v="18"/>
    <x v="2"/>
    <s v="HSBC A/C 604357"/>
    <n v="160"/>
    <n v="445.3900146484375"/>
    <n v="71262.40234375"/>
    <x v="0"/>
  </r>
  <r>
    <s v="TRD00314"/>
    <s v="INE004A01011"/>
    <x v="50"/>
    <x v="5"/>
    <s v="HDFC A/C 180445"/>
    <n v="240"/>
    <n v="435.95001220703125"/>
    <n v="104628.0029296875"/>
    <x v="0"/>
  </r>
  <r>
    <s v="TRD00315"/>
    <s v="INE004A01017"/>
    <x v="19"/>
    <x v="2"/>
    <s v="Citi A/C 359789"/>
    <n v="10"/>
    <n v="238.33999633789063"/>
    <n v="2383.3999633789063"/>
    <x v="0"/>
  </r>
  <r>
    <s v="TRD00316"/>
    <s v="INE006A01049"/>
    <x v="33"/>
    <x v="0"/>
    <s v="Citi A/C 194841"/>
    <n v="210"/>
    <n v="310.82998657226563"/>
    <n v="65274.297180175781"/>
    <x v="0"/>
  </r>
  <r>
    <s v="TRD00317"/>
    <s v="INE005A01034"/>
    <x v="3"/>
    <x v="2"/>
    <s v="Deutsche Bank A/C 126543"/>
    <n v="420"/>
    <n v="244.46000671386719"/>
    <n v="102673.20281982422"/>
    <x v="0"/>
  </r>
  <r>
    <s v="TRD00318"/>
    <s v="INE001A01034"/>
    <x v="24"/>
    <x v="1"/>
    <s v="Citi A/C 714496"/>
    <n v="25000"/>
    <n v="216.21000671386719"/>
    <n v="5405250.1678466797"/>
    <x v="2"/>
  </r>
  <r>
    <s v="TRD00319"/>
    <s v="INE001A0106"/>
    <x v="10"/>
    <x v="2"/>
    <s v="Deutsche Bank A/C 917262"/>
    <n v="440"/>
    <n v="479.5"/>
    <n v="210980"/>
    <x v="0"/>
  </r>
  <r>
    <s v="TRD00320"/>
    <s v="INE004A01030"/>
    <x v="49"/>
    <x v="0"/>
    <s v="HDFC A/C 543407"/>
    <n v="130"/>
    <n v="132.89999389648438"/>
    <n v="17276.999206542969"/>
    <x v="0"/>
  </r>
  <r>
    <s v="TRD00321"/>
    <s v="INE007A01034"/>
    <x v="20"/>
    <x v="0"/>
    <s v="Citi A/C 508769"/>
    <n v="410"/>
    <n v="385.6400146484375"/>
    <n v="158112.40600585938"/>
    <x v="0"/>
  </r>
  <r>
    <s v="TRD00322"/>
    <s v="INE001A01094"/>
    <x v="3"/>
    <x v="2"/>
    <s v="Deutsche Bank A/C 126543"/>
    <n v="450"/>
    <n v="486.01998901367188"/>
    <n v="218708.99505615234"/>
    <x v="0"/>
  </r>
  <r>
    <s v="TRD00323"/>
    <s v="INE006A01059"/>
    <x v="43"/>
    <x v="3"/>
    <s v="JPMorgan A/C 603587"/>
    <n v="25000"/>
    <n v="500.80999755859375"/>
    <n v="12520249.938964844"/>
    <x v="2"/>
  </r>
  <r>
    <s v="TRD00324"/>
    <s v="INE009A01050"/>
    <x v="2"/>
    <x v="2"/>
    <s v="Citi A/C 837378"/>
    <n v="410"/>
    <n v="100.98999786376953"/>
    <n v="41405.899124145508"/>
    <x v="0"/>
  </r>
  <r>
    <s v="TRD00325"/>
    <s v="INE008A01083"/>
    <x v="43"/>
    <x v="3"/>
    <s v="JPMorgan A/C 603587"/>
    <n v="110"/>
    <n v="386.48001098632813"/>
    <n v="42512.801208496094"/>
    <x v="0"/>
  </r>
  <r>
    <s v="TRD00326"/>
    <s v="INE004A01091"/>
    <x v="15"/>
    <x v="4"/>
    <s v="Barclays A/C 302646"/>
    <n v="20"/>
    <n v="305.76998901367188"/>
    <n v="6115.3997802734375"/>
    <x v="0"/>
  </r>
  <r>
    <s v="TRD00327"/>
    <s v="INE004A01080"/>
    <x v="16"/>
    <x v="3"/>
    <s v="Deutsche Bank A/C 153521"/>
    <n v="60"/>
    <n v="377.66000366210938"/>
    <n v="22659.600219726563"/>
    <x v="0"/>
  </r>
  <r>
    <s v="TRD00328"/>
    <s v="INE003A01085"/>
    <x v="0"/>
    <x v="0"/>
    <s v="Citi A/C 700450"/>
    <n v="370"/>
    <n v="441.25"/>
    <n v="163262.5"/>
    <x v="0"/>
  </r>
  <r>
    <s v="TRD00329"/>
    <s v="INE004A01015"/>
    <x v="20"/>
    <x v="0"/>
    <s v="Citi A/C 508769"/>
    <n v="60"/>
    <n v="405.97000122070313"/>
    <n v="24358.200073242188"/>
    <x v="0"/>
  </r>
  <r>
    <s v="TRD00330"/>
    <s v="INE009A0108"/>
    <x v="43"/>
    <x v="3"/>
    <s v="JPMorgan A/C 603587"/>
    <n v="470"/>
    <n v="501.55999755859375"/>
    <n v="235733.19885253906"/>
    <x v="0"/>
  </r>
  <r>
    <s v="TRD00331"/>
    <s v="INE009A01077"/>
    <x v="5"/>
    <x v="3"/>
    <s v="HSBC A/C 562956"/>
    <n v="410"/>
    <n v="28.069999694824219"/>
    <n v="11508.69987487793"/>
    <x v="0"/>
  </r>
  <r>
    <s v="TRD00332"/>
    <s v="INE002A01062"/>
    <x v="43"/>
    <x v="3"/>
    <s v="JPMorgan A/C 603587"/>
    <n v="430"/>
    <n v="105.84999847412109"/>
    <n v="45515.49934387207"/>
    <x v="0"/>
  </r>
  <r>
    <s v="TRD00333"/>
    <s v="INE003A01080"/>
    <x v="50"/>
    <x v="5"/>
    <s v="HDFC A/C 180445"/>
    <n v="60"/>
    <n v="425.57998657226563"/>
    <n v="25534.799194335938"/>
    <x v="0"/>
  </r>
  <r>
    <s v="TRD00334"/>
    <s v="INE007A01075"/>
    <x v="44"/>
    <x v="4"/>
    <s v="JPMorgan A/C 704166"/>
    <n v="20"/>
    <n v="498.260009765625"/>
    <n v="9965.2001953125"/>
    <x v="0"/>
  </r>
  <r>
    <s v="TRD00335"/>
    <s v="INE009A01065"/>
    <x v="26"/>
    <x v="0"/>
    <s v="Citi A/C 416082"/>
    <n v="60"/>
    <n v="405.16000366210938"/>
    <n v="24309.600219726563"/>
    <x v="0"/>
  </r>
  <r>
    <s v="TRD00336"/>
    <s v="INE009A01097"/>
    <x v="8"/>
    <x v="3"/>
    <s v="Deutsche Bank A/C 917029"/>
    <n v="110"/>
    <n v="47.919998168945313"/>
    <n v="5271.1997985839844"/>
    <x v="0"/>
  </r>
  <r>
    <s v="TRD00337"/>
    <s v="INE008A01095"/>
    <x v="6"/>
    <x v="0"/>
    <s v="JPMorgan A/C 987170"/>
    <n v="110"/>
    <n v="398.44000244140625"/>
    <n v="43828.400268554688"/>
    <x v="0"/>
  </r>
  <r>
    <s v="TRD00338"/>
    <s v="INE002A0108"/>
    <x v="14"/>
    <x v="2"/>
    <s v="HSBC A/C 172861"/>
    <n v="200"/>
    <n v="248.97999572753906"/>
    <n v="49795.999145507813"/>
    <x v="0"/>
  </r>
  <r>
    <s v="TRD00339"/>
    <s v="INE007A01060"/>
    <x v="9"/>
    <x v="2"/>
    <s v="Barclays A/C 560891"/>
    <n v="20"/>
    <n v="462.07000732421875"/>
    <n v="9241.400146484375"/>
    <x v="0"/>
  </r>
  <r>
    <s v="TRD00340"/>
    <s v="INE009A0107"/>
    <x v="28"/>
    <x v="2"/>
    <s v="Citi A/C 744145"/>
    <n v="420"/>
    <n v="220.58000183105469"/>
    <n v="92643.600769042969"/>
    <x v="0"/>
  </r>
  <r>
    <s v="TRD00341"/>
    <s v="INE002A01075"/>
    <x v="15"/>
    <x v="4"/>
    <s v="Barclays A/C 302646"/>
    <n v="240"/>
    <n v="277.67999267578125"/>
    <n v="66643.1982421875"/>
    <x v="0"/>
  </r>
  <r>
    <s v="TRD00342"/>
    <s v="INE003A01022"/>
    <x v="8"/>
    <x v="3"/>
    <s v="Deutsche Bank A/C 917029"/>
    <n v="20"/>
    <n v="206.85000610351563"/>
    <n v="4137.0001220703125"/>
    <x v="0"/>
  </r>
  <r>
    <s v="TRD00343"/>
    <s v="INE005A01079"/>
    <x v="4"/>
    <x v="0"/>
    <s v="HSBC A/C 867781"/>
    <n v="320"/>
    <n v="151.91000366210938"/>
    <n v="48611.201171875"/>
    <x v="0"/>
  </r>
  <r>
    <s v="TRD00344"/>
    <s v="INE004A0106"/>
    <x v="47"/>
    <x v="4"/>
    <s v="Standard Chartered A/C 682134"/>
    <n v="380"/>
    <n v="76.949996948242188"/>
    <n v="29240.998840332031"/>
    <x v="0"/>
  </r>
  <r>
    <s v="TRD00345"/>
    <s v="INE006A01036"/>
    <x v="40"/>
    <x v="2"/>
    <s v="HSBC A/C 468615"/>
    <n v="450"/>
    <n v="16.399999618530273"/>
    <n v="7379.999828338623"/>
    <x v="0"/>
  </r>
  <r>
    <s v="TRD00346"/>
    <s v="INE006A01033"/>
    <x v="50"/>
    <x v="5"/>
    <s v="HDFC A/C 180445"/>
    <n v="500"/>
    <n v="325.010009765625"/>
    <n v="162505.0048828125"/>
    <x v="0"/>
  </r>
  <r>
    <s v="TRD00347"/>
    <s v="INE006A01036"/>
    <x v="10"/>
    <x v="2"/>
    <s v="Deutsche Bank A/C 917262"/>
    <n v="460"/>
    <n v="427.80999755859375"/>
    <n v="196792.59887695313"/>
    <x v="0"/>
  </r>
  <r>
    <s v="TRD00348"/>
    <s v="INE005A0109"/>
    <x v="23"/>
    <x v="2"/>
    <s v="Standard Chartered A/C 277005"/>
    <n v="500"/>
    <n v="70.160003662109375"/>
    <n v="35080.001831054688"/>
    <x v="0"/>
  </r>
  <r>
    <s v="TRD00349"/>
    <s v="INE006A01092"/>
    <x v="50"/>
    <x v="5"/>
    <s v="HDFC A/C 180445"/>
    <n v="270"/>
    <n v="67.75"/>
    <n v="18292.5"/>
    <x v="0"/>
  </r>
  <r>
    <s v="TRD00350"/>
    <s v="INE002A01057"/>
    <x v="28"/>
    <x v="2"/>
    <s v="Citi A/C 744145"/>
    <n v="140"/>
    <n v="56.560001373291016"/>
    <n v="7918.4001922607422"/>
    <x v="0"/>
  </r>
  <r>
    <s v="TRD00351"/>
    <s v="INE002A01047"/>
    <x v="20"/>
    <x v="0"/>
    <s v="Citi A/C 508769"/>
    <n v="460"/>
    <n v="242.88999938964844"/>
    <n v="111729.39971923828"/>
    <x v="0"/>
  </r>
  <r>
    <s v="TRD00352"/>
    <s v="INE007A01032"/>
    <x v="35"/>
    <x v="4"/>
    <s v="HSBC A/C 972195"/>
    <n v="300"/>
    <n v="153.33999633789063"/>
    <n v="46001.998901367188"/>
    <x v="0"/>
  </r>
  <r>
    <s v="TRD00353"/>
    <s v="INE002A01062"/>
    <x v="3"/>
    <x v="2"/>
    <s v="Deutsche Bank A/C 126543"/>
    <n v="210"/>
    <n v="384.85000610351563"/>
    <n v="80818.501281738281"/>
    <x v="0"/>
  </r>
  <r>
    <s v="TRD00354"/>
    <s v="INE005A01010"/>
    <x v="21"/>
    <x v="1"/>
    <s v="Deutsche Bank A/C 324710"/>
    <n v="470"/>
    <n v="354.64999389648438"/>
    <n v="166685.49713134766"/>
    <x v="0"/>
  </r>
  <r>
    <s v="TRD00355"/>
    <s v="INE006A01028"/>
    <x v="13"/>
    <x v="4"/>
    <s v="Deutsche Bank A/C 330518"/>
    <n v="340"/>
    <n v="50.279998779296875"/>
    <n v="17095.199584960938"/>
    <x v="0"/>
  </r>
  <r>
    <s v="TRD00356"/>
    <s v="INE002A01092"/>
    <x v="35"/>
    <x v="4"/>
    <s v="HSBC A/C 972195"/>
    <n v="290"/>
    <n v="279.6199951171875"/>
    <n v="81089.798583984375"/>
    <x v="0"/>
  </r>
  <r>
    <s v="TRD00357"/>
    <s v="INE008A01058"/>
    <x v="27"/>
    <x v="2"/>
    <s v="HDFC A/C 679335"/>
    <n v="280"/>
    <n v="420.82000732421875"/>
    <n v="117829.60205078125"/>
    <x v="0"/>
  </r>
  <r>
    <s v="TRD00358"/>
    <s v="INE007A0107"/>
    <x v="16"/>
    <x v="3"/>
    <s v="Deutsche Bank A/C 153521"/>
    <n v="500"/>
    <n v="172.38999938964844"/>
    <n v="86194.999694824219"/>
    <x v="0"/>
  </r>
  <r>
    <s v="TRD00359"/>
    <s v="INE003A01093"/>
    <x v="19"/>
    <x v="2"/>
    <s v="Citi A/C 359789"/>
    <n v="110"/>
    <n v="303.1099853515625"/>
    <n v="33342.098388671875"/>
    <x v="0"/>
  </r>
  <r>
    <s v="TRD00360"/>
    <s v="INE003A0104"/>
    <x v="5"/>
    <x v="3"/>
    <s v="HSBC A/C 562956"/>
    <n v="490"/>
    <n v="402.10000610351563"/>
    <n v="197029.00299072266"/>
    <x v="0"/>
  </r>
  <r>
    <s v="TRD00361"/>
    <s v="INE007A01097"/>
    <x v="36"/>
    <x v="0"/>
    <s v="HSBC A/C 864249"/>
    <n v="10"/>
    <n v="128.78999328613281"/>
    <n v="1287.8999328613281"/>
    <x v="0"/>
  </r>
  <r>
    <s v="TRD00362"/>
    <s v="INE002A01062"/>
    <x v="47"/>
    <x v="4"/>
    <s v="Standard Chartered A/C 682134"/>
    <n v="250"/>
    <n v="462.89999389648438"/>
    <n v="115724.99847412109"/>
    <x v="0"/>
  </r>
  <r>
    <s v="TRD00363"/>
    <s v="INE003A01060"/>
    <x v="19"/>
    <x v="2"/>
    <s v="Citi A/C 359789"/>
    <n v="290"/>
    <n v="454.5"/>
    <n v="131805"/>
    <x v="0"/>
  </r>
  <r>
    <s v="TRD00364"/>
    <s v="INE002A01083"/>
    <x v="47"/>
    <x v="4"/>
    <s v="Standard Chartered A/C 682134"/>
    <n v="420"/>
    <n v="473.92999267578125"/>
    <n v="199050.59692382813"/>
    <x v="0"/>
  </r>
  <r>
    <s v="TRD00365"/>
    <s v="INE002A01096"/>
    <x v="44"/>
    <x v="4"/>
    <s v="JPMorgan A/C 704166"/>
    <n v="400"/>
    <n v="461.8800048828125"/>
    <n v="184752.001953125"/>
    <x v="0"/>
  </r>
  <r>
    <s v="TRD00366"/>
    <s v="INE002A01093"/>
    <x v="25"/>
    <x v="5"/>
    <s v="HDFC A/C 897530"/>
    <n v="240"/>
    <n v="179.32000732421875"/>
    <n v="43036.8017578125"/>
    <x v="0"/>
  </r>
  <r>
    <s v="TRD00367"/>
    <s v="INE009A01044"/>
    <x v="38"/>
    <x v="2"/>
    <s v="HSBC A/C 994063"/>
    <n v="400"/>
    <n v="457.57000732421875"/>
    <n v="183028.0029296875"/>
    <x v="0"/>
  </r>
  <r>
    <s v="TRD00368"/>
    <s v="INE003A01045"/>
    <x v="40"/>
    <x v="2"/>
    <s v="HSBC A/C 468615"/>
    <n v="90"/>
    <n v="448.22000122070313"/>
    <n v="40339.800109863281"/>
    <x v="0"/>
  </r>
  <r>
    <s v="TRD00369"/>
    <s v="INE005A01069"/>
    <x v="15"/>
    <x v="4"/>
    <s v="Barclays A/C 302646"/>
    <n v="480"/>
    <n v="373.20999145507813"/>
    <n v="179140.7958984375"/>
    <x v="0"/>
  </r>
  <r>
    <s v="TRD00370"/>
    <s v="INE008A01016"/>
    <x v="47"/>
    <x v="4"/>
    <s v="Standard Chartered A/C 682134"/>
    <n v="470"/>
    <n v="274.76998901367188"/>
    <n v="129141.89483642578"/>
    <x v="0"/>
  </r>
  <r>
    <s v="TRD00371"/>
    <s v="INE007A01060"/>
    <x v="47"/>
    <x v="4"/>
    <s v="Standard Chartered A/C 682134"/>
    <n v="450"/>
    <n v="265.45001220703125"/>
    <n v="119452.50549316406"/>
    <x v="0"/>
  </r>
  <r>
    <s v="TRD00372"/>
    <s v="INE007A0106"/>
    <x v="39"/>
    <x v="1"/>
    <s v="HSBC A/C 540659"/>
    <n v="10"/>
    <n v="278.1099853515625"/>
    <n v="2781.099853515625"/>
    <x v="0"/>
  </r>
  <r>
    <s v="TRD00373"/>
    <s v="INE008A01032"/>
    <x v="4"/>
    <x v="0"/>
    <s v="HSBC A/C 867781"/>
    <n v="250"/>
    <n v="315.92001342773438"/>
    <n v="78980.003356933594"/>
    <x v="0"/>
  </r>
  <r>
    <s v="TRD00374"/>
    <s v="INE006A01044"/>
    <x v="1"/>
    <x v="1"/>
    <s v="Standard Chartered A/C 331839"/>
    <n v="460"/>
    <n v="202.3699951171875"/>
    <n v="93090.19775390625"/>
    <x v="0"/>
  </r>
  <r>
    <s v="TRD00375"/>
    <s v="INE006A01024"/>
    <x v="44"/>
    <x v="4"/>
    <s v="JPMorgan A/C 704166"/>
    <n v="-50"/>
    <n v="277.07000732421875"/>
    <n v="-13853.500366210938"/>
    <x v="1"/>
  </r>
  <r>
    <s v="TRD00376"/>
    <s v="INE008A01063"/>
    <x v="26"/>
    <x v="0"/>
    <s v="Citi A/C 416082"/>
    <n v="90"/>
    <n v="233.1199951171875"/>
    <n v="20980.799560546875"/>
    <x v="0"/>
  </r>
  <r>
    <s v="TRD00377"/>
    <s v="INE004A01080"/>
    <x v="23"/>
    <x v="2"/>
    <s v="Standard Chartered A/C 277005"/>
    <n v="20"/>
    <n v="373.94000244140625"/>
    <n v="7478.800048828125"/>
    <x v="0"/>
  </r>
  <r>
    <s v="TRD00378"/>
    <s v="INE005A01046"/>
    <x v="7"/>
    <x v="3"/>
    <s v="JPMorgan A/C 391364"/>
    <n v="430"/>
    <n v="44.479999542236328"/>
    <n v="19126.399803161621"/>
    <x v="0"/>
  </r>
  <r>
    <s v="TRD00379"/>
    <s v="INE005A01080"/>
    <x v="1"/>
    <x v="1"/>
    <s v="Standard Chartered A/C 331839"/>
    <n v="130"/>
    <n v="97.550003051757813"/>
    <n v="12681.500396728516"/>
    <x v="0"/>
  </r>
  <r>
    <s v="TRD00380"/>
    <s v="INE008A01019"/>
    <x v="46"/>
    <x v="4"/>
    <s v="Deutsche Bank A/C 428758"/>
    <n v="320"/>
    <n v="143.72000122070313"/>
    <n v="45990.400390625"/>
    <x v="0"/>
  </r>
  <r>
    <s v="TRD00381"/>
    <s v="INE004A01060"/>
    <x v="0"/>
    <x v="0"/>
    <s v="Citi A/C 700450"/>
    <n v="380"/>
    <n v="301.41000366210938"/>
    <n v="114535.80139160156"/>
    <x v="0"/>
  </r>
  <r>
    <s v="TRD00382"/>
    <s v="INE008A01019"/>
    <x v="26"/>
    <x v="0"/>
    <s v="Citi A/C 416082"/>
    <n v="100"/>
    <n v="446.83999633789063"/>
    <n v="44683.999633789063"/>
    <x v="0"/>
  </r>
  <r>
    <s v="TRD00383"/>
    <s v="INE006A01070"/>
    <x v="10"/>
    <x v="2"/>
    <s v="Deutsche Bank A/C 917262"/>
    <n v="440"/>
    <n v="464.04000854492188"/>
    <n v="204177.60375976563"/>
    <x v="0"/>
  </r>
  <r>
    <s v="TRD00384"/>
    <s v="INE007A0107"/>
    <x v="12"/>
    <x v="4"/>
    <s v="Citi A/C 543819"/>
    <n v="270"/>
    <n v="494.8699951171875"/>
    <n v="133614.89868164063"/>
    <x v="0"/>
  </r>
  <r>
    <s v="TRD00385"/>
    <s v="INE009A01083"/>
    <x v="49"/>
    <x v="0"/>
    <s v="HDFC A/C 543407"/>
    <n v="120"/>
    <n v="188.96000671386719"/>
    <n v="22675.200805664063"/>
    <x v="0"/>
  </r>
  <r>
    <s v="TRD00386"/>
    <s v="INE008A01069"/>
    <x v="35"/>
    <x v="4"/>
    <s v="HSBC A/C 972195"/>
    <n v="440"/>
    <n v="453.80999755859375"/>
    <n v="199676.39892578125"/>
    <x v="0"/>
  </r>
  <r>
    <s v="TRD00387"/>
    <s v="INE004A01098"/>
    <x v="10"/>
    <x v="2"/>
    <s v="Deutsche Bank A/C 917262"/>
    <n v="340"/>
    <n v="204.69000244140625"/>
    <n v="69594.600830078125"/>
    <x v="0"/>
  </r>
  <r>
    <s v="TRD00388"/>
    <s v="INE007A01019"/>
    <x v="32"/>
    <x v="1"/>
    <s v="Standard Chartered A/C 438949"/>
    <n v="350"/>
    <n v="114.69000244140625"/>
    <n v="40141.500854492188"/>
    <x v="0"/>
  </r>
  <r>
    <s v="TRD00389"/>
    <s v="INE002A01040"/>
    <x v="27"/>
    <x v="2"/>
    <s v="HDFC A/C 679335"/>
    <n v="150"/>
    <n v="364.73001098632813"/>
    <n v="54709.501647949219"/>
    <x v="0"/>
  </r>
  <r>
    <s v="TRD00390"/>
    <s v="INE003A01089"/>
    <x v="12"/>
    <x v="4"/>
    <s v="Citi A/C 543819"/>
    <n v="350"/>
    <n v="393.51998901367188"/>
    <n v="137731.99615478516"/>
    <x v="0"/>
  </r>
  <r>
    <s v="TRD00391"/>
    <s v="INE008A01056"/>
    <x v="19"/>
    <x v="2"/>
    <s v="Citi A/C 359789"/>
    <n v="210"/>
    <n v="147.60000610351563"/>
    <n v="30996.001281738281"/>
    <x v="0"/>
  </r>
  <r>
    <s v="TRD00392"/>
    <s v="INE006A01044"/>
    <x v="12"/>
    <x v="4"/>
    <s v="Citi A/C 543819"/>
    <n v="430"/>
    <n v="331.32000732421875"/>
    <n v="142467.60314941406"/>
    <x v="0"/>
  </r>
  <r>
    <s v="TRD00393"/>
    <s v="INE001A01021"/>
    <x v="29"/>
    <x v="4"/>
    <s v="Deutsche Bank A/C 983712"/>
    <n v="340"/>
    <n v="156.82000732421875"/>
    <n v="53318.802490234375"/>
    <x v="0"/>
  </r>
  <r>
    <s v="TRD00394"/>
    <s v="INE003A01069"/>
    <x v="17"/>
    <x v="0"/>
    <s v="Barclays A/C 197229"/>
    <n v="210"/>
    <n v="94.089996337890625"/>
    <n v="19758.899230957031"/>
    <x v="0"/>
  </r>
  <r>
    <s v="TRD00395"/>
    <s v="INE009A01034"/>
    <x v="31"/>
    <x v="4"/>
    <s v="JPMorgan A/C 860462"/>
    <n v="450"/>
    <n v="120.91000366210938"/>
    <n v="54409.501647949219"/>
    <x v="0"/>
  </r>
  <r>
    <s v="TRD00396"/>
    <s v="INE007A01074"/>
    <x v="49"/>
    <x v="0"/>
    <s v="HDFC A/C 543407"/>
    <n v="420"/>
    <n v="472.8699951171875"/>
    <n v="198605.39794921875"/>
    <x v="0"/>
  </r>
  <r>
    <s v="TRD00397"/>
    <s v="INE006A01017"/>
    <x v="8"/>
    <x v="3"/>
    <s v="Deutsche Bank A/C 917029"/>
    <n v="100"/>
    <n v="393.3800048828125"/>
    <n v="39338.00048828125"/>
    <x v="0"/>
  </r>
  <r>
    <s v="TRD00398"/>
    <s v="INE008A01098"/>
    <x v="36"/>
    <x v="0"/>
    <s v="HSBC A/C 864249"/>
    <n v="410"/>
    <n v="383.66000366210938"/>
    <n v="157300.60150146484"/>
    <x v="0"/>
  </r>
  <r>
    <s v="TRD00399"/>
    <s v="INE007A01021"/>
    <x v="39"/>
    <x v="1"/>
    <s v="HSBC A/C 540659"/>
    <n v="450"/>
    <n v="452.739990234375"/>
    <n v="203732.99560546875"/>
    <x v="0"/>
  </r>
  <r>
    <s v="TRD00400"/>
    <s v="INE008A0101"/>
    <x v="3"/>
    <x v="2"/>
    <s v="Deutsche Bank A/C 126543"/>
    <n v="190"/>
    <n v="367.47000122070313"/>
    <n v="69819.300231933594"/>
    <x v="0"/>
  </r>
  <r>
    <s v="TRD00401"/>
    <s v="INE009A01019"/>
    <x v="3"/>
    <x v="2"/>
    <s v="Deutsche Bank A/C 126543"/>
    <n v="-50"/>
    <n v="414.07000732421875"/>
    <n v="-20703.500366210938"/>
    <x v="1"/>
  </r>
  <r>
    <s v="TRD00402"/>
    <s v="INE006A01077"/>
    <x v="37"/>
    <x v="6"/>
    <s v="MISSING SSI"/>
    <n v="200"/>
    <n v="69.389999389648438"/>
    <n v="13877.999877929688"/>
    <x v="3"/>
  </r>
  <r>
    <s v="TRD00403"/>
    <s v="INE008A01069"/>
    <x v="13"/>
    <x v="4"/>
    <s v="Deutsche Bank A/C 330518"/>
    <n v="130"/>
    <n v="480.22000122070313"/>
    <n v="62428.600158691406"/>
    <x v="0"/>
  </r>
  <r>
    <s v="TRD00404"/>
    <s v="INE006A01016"/>
    <x v="20"/>
    <x v="0"/>
    <s v="Citi A/C 508769"/>
    <n v="110"/>
    <n v="203.58999633789063"/>
    <n v="22394.899597167969"/>
    <x v="0"/>
  </r>
  <r>
    <s v="TRD00405"/>
    <s v="INE008A01028"/>
    <x v="23"/>
    <x v="2"/>
    <s v="Standard Chartered A/C 277005"/>
    <n v="270"/>
    <n v="52.25"/>
    <n v="14107.5"/>
    <x v="0"/>
  </r>
  <r>
    <s v="TRD00406"/>
    <s v="INE002A01068"/>
    <x v="26"/>
    <x v="0"/>
    <s v="Citi A/C 416082"/>
    <n v="410"/>
    <n v="440.489990234375"/>
    <n v="180600.89599609375"/>
    <x v="0"/>
  </r>
  <r>
    <s v="TRD00407"/>
    <s v="INE006A01083"/>
    <x v="15"/>
    <x v="4"/>
    <s v="Barclays A/C 302646"/>
    <n v="180"/>
    <n v="134.19000244140625"/>
    <n v="24154.200439453125"/>
    <x v="0"/>
  </r>
  <r>
    <s v="TRD00408"/>
    <s v="INE009A01051"/>
    <x v="43"/>
    <x v="3"/>
    <s v="JPMorgan A/C 603587"/>
    <n v="370"/>
    <n v="500.77999877929688"/>
    <n v="185288.59954833984"/>
    <x v="0"/>
  </r>
  <r>
    <s v="TRD00409"/>
    <s v="INE006A01033"/>
    <x v="39"/>
    <x v="1"/>
    <s v="HSBC A/C 540659"/>
    <n v="160"/>
    <n v="259.260009765625"/>
    <n v="41481.6015625"/>
    <x v="0"/>
  </r>
  <r>
    <s v="TRD00410"/>
    <s v="INE008A01024"/>
    <x v="44"/>
    <x v="4"/>
    <s v="JPMorgan A/C 704166"/>
    <n v="360"/>
    <n v="230.16999816894531"/>
    <n v="82861.199340820313"/>
    <x v="0"/>
  </r>
  <r>
    <s v="TRD00411"/>
    <s v="INE009A0101"/>
    <x v="25"/>
    <x v="5"/>
    <s v="HDFC A/C 897530"/>
    <n v="160"/>
    <n v="85.650001525878906"/>
    <n v="13704.000244140625"/>
    <x v="0"/>
  </r>
  <r>
    <s v="TRD00412"/>
    <s v="INE007A01071"/>
    <x v="31"/>
    <x v="4"/>
    <s v="JPMorgan A/C 860462"/>
    <n v="400"/>
    <n v="99.360000610351563"/>
    <n v="39744.000244140625"/>
    <x v="0"/>
  </r>
  <r>
    <s v="TRD00413"/>
    <s v="INE008A01031"/>
    <x v="10"/>
    <x v="2"/>
    <s v="Deutsche Bank A/C 917262"/>
    <n v="270"/>
    <n v="396.55999755859375"/>
    <n v="107071.19934082031"/>
    <x v="0"/>
  </r>
  <r>
    <s v="TRD00414"/>
    <s v="INE001A0105"/>
    <x v="22"/>
    <x v="4"/>
    <s v="HSBC A/C 785870"/>
    <n v="120"/>
    <n v="204.05999755859375"/>
    <n v="24487.19970703125"/>
    <x v="0"/>
  </r>
  <r>
    <s v="TRD00415"/>
    <s v="INE006A01098"/>
    <x v="25"/>
    <x v="5"/>
    <s v="HDFC A/C 897530"/>
    <n v="170"/>
    <n v="100.20999908447266"/>
    <n v="17035.699844360352"/>
    <x v="0"/>
  </r>
  <r>
    <s v="TRD00416"/>
    <s v="INE004A01056"/>
    <x v="48"/>
    <x v="5"/>
    <s v="Citi A/C 703401"/>
    <n v="290"/>
    <n v="264.95999145507813"/>
    <n v="76838.397521972656"/>
    <x v="0"/>
  </r>
  <r>
    <s v="TRD00417"/>
    <s v="INE009A0100"/>
    <x v="47"/>
    <x v="4"/>
    <s v="Standard Chartered A/C 682134"/>
    <n v="200"/>
    <n v="229.78999328613281"/>
    <n v="45957.998657226563"/>
    <x v="0"/>
  </r>
  <r>
    <s v="TRD00418"/>
    <s v="INE004A01087"/>
    <x v="1"/>
    <x v="1"/>
    <s v="Standard Chartered A/C 331839"/>
    <n v="280"/>
    <n v="127.76999664306641"/>
    <n v="35775.599060058594"/>
    <x v="0"/>
  </r>
  <r>
    <s v="TRD00419"/>
    <s v="INE007A01057"/>
    <x v="14"/>
    <x v="2"/>
    <s v="HSBC A/C 172861"/>
    <n v="280"/>
    <n v="443.510009765625"/>
    <n v="124182.802734375"/>
    <x v="0"/>
  </r>
  <r>
    <s v="TRD00420"/>
    <s v="INE003A01082"/>
    <x v="23"/>
    <x v="2"/>
    <s v="Standard Chartered A/C 277005"/>
    <n v="100"/>
    <n v="263.20001220703125"/>
    <n v="26320.001220703125"/>
    <x v="0"/>
  </r>
  <r>
    <s v="TRD00421"/>
    <s v="INE002A01018"/>
    <x v="22"/>
    <x v="4"/>
    <s v="HSBC A/C 785870"/>
    <n v="10"/>
    <n v="24.569999694824219"/>
    <n v="245.69999694824219"/>
    <x v="0"/>
  </r>
  <r>
    <s v="TRD00422"/>
    <s v="INE003A01051"/>
    <x v="35"/>
    <x v="4"/>
    <s v="HSBC A/C 972195"/>
    <n v="400"/>
    <n v="266.94000244140625"/>
    <n v="106776.0009765625"/>
    <x v="0"/>
  </r>
  <r>
    <s v="TRD00423"/>
    <s v="INE008A01053"/>
    <x v="34"/>
    <x v="5"/>
    <s v="JPMorgan A/C 488546"/>
    <n v="70"/>
    <n v="381.17001342773438"/>
    <n v="26681.900939941406"/>
    <x v="0"/>
  </r>
  <r>
    <s v="TRD00424"/>
    <s v="INE009A01028"/>
    <x v="9"/>
    <x v="2"/>
    <s v="Barclays A/C 560891"/>
    <n v="430"/>
    <n v="359.70001220703125"/>
    <n v="154671.00524902344"/>
    <x v="0"/>
  </r>
  <r>
    <s v="TRD00425"/>
    <s v="INE002A01062"/>
    <x v="48"/>
    <x v="5"/>
    <s v="Citi A/C 703401"/>
    <n v="290"/>
    <n v="46.520000457763672"/>
    <n v="13490.800132751465"/>
    <x v="0"/>
  </r>
  <r>
    <s v="TRD00426"/>
    <s v="INE001A01073"/>
    <x v="25"/>
    <x v="5"/>
    <s v="HDFC A/C 897530"/>
    <n v="70"/>
    <n v="387.19000244140625"/>
    <n v="27103.300170898438"/>
    <x v="0"/>
  </r>
  <r>
    <s v="TRD00427"/>
    <s v="INE003A01065"/>
    <x v="47"/>
    <x v="4"/>
    <s v="Standard Chartered A/C 682134"/>
    <n v="110"/>
    <n v="178.82000732421875"/>
    <n v="19670.200805664063"/>
    <x v="0"/>
  </r>
  <r>
    <s v="TRD00428"/>
    <s v="INE006A01072"/>
    <x v="31"/>
    <x v="4"/>
    <s v="JPMorgan A/C 860462"/>
    <n v="340"/>
    <n v="320.10000610351563"/>
    <n v="108834.00207519531"/>
    <x v="0"/>
  </r>
  <r>
    <s v="TRD00429"/>
    <s v="INE002A01012"/>
    <x v="35"/>
    <x v="4"/>
    <s v="HSBC A/C 972195"/>
    <n v="110"/>
    <n v="61.270000457763672"/>
    <n v="6739.7000503540039"/>
    <x v="0"/>
  </r>
  <r>
    <s v="TRD00430"/>
    <s v="INE001A01034"/>
    <x v="50"/>
    <x v="5"/>
    <s v="HDFC A/C 180445"/>
    <n v="370"/>
    <n v="254.13999938964844"/>
    <n v="94031.799774169922"/>
    <x v="0"/>
  </r>
  <r>
    <s v="TRD00431"/>
    <s v="INE005A01071"/>
    <x v="40"/>
    <x v="2"/>
    <s v="HSBC A/C 468615"/>
    <n v="480"/>
    <n v="102.08000183105469"/>
    <n v="48998.40087890625"/>
    <x v="0"/>
  </r>
  <r>
    <s v="TRD00432"/>
    <s v="INE008A01092"/>
    <x v="47"/>
    <x v="4"/>
    <s v="Standard Chartered A/C 682134"/>
    <n v="420"/>
    <n v="410.010009765625"/>
    <n v="172204.2041015625"/>
    <x v="0"/>
  </r>
  <r>
    <s v="TRD00433"/>
    <s v="INE007A01044"/>
    <x v="37"/>
    <x v="6"/>
    <s v="MISSING SSI"/>
    <n v="90"/>
    <n v="57.779998779296875"/>
    <n v="5200.1998901367188"/>
    <x v="3"/>
  </r>
  <r>
    <s v="TRD00434"/>
    <s v="INE006A01074"/>
    <x v="17"/>
    <x v="0"/>
    <s v="Barclays A/C 197229"/>
    <n v="100"/>
    <n v="379.760009765625"/>
    <n v="37976.0009765625"/>
    <x v="0"/>
  </r>
  <r>
    <s v="TRD00435"/>
    <s v="INE003A01085"/>
    <x v="35"/>
    <x v="4"/>
    <s v="HSBC A/C 972195"/>
    <n v="440"/>
    <n v="272.1099853515625"/>
    <n v="119728.3935546875"/>
    <x v="0"/>
  </r>
  <r>
    <s v="TRD00436"/>
    <s v="INE008A01089"/>
    <x v="5"/>
    <x v="3"/>
    <s v="HSBC A/C 562956"/>
    <n v="40"/>
    <n v="247.77999877929688"/>
    <n v="9911.199951171875"/>
    <x v="0"/>
  </r>
  <r>
    <s v="TRD00437"/>
    <s v="INE007A01010"/>
    <x v="46"/>
    <x v="4"/>
    <s v="Deutsche Bank A/C 428758"/>
    <n v="350"/>
    <n v="202.52999877929688"/>
    <n v="70885.499572753906"/>
    <x v="0"/>
  </r>
  <r>
    <s v="TRD00438"/>
    <s v="INE003A01057"/>
    <x v="8"/>
    <x v="3"/>
    <s v="Deutsche Bank A/C 917029"/>
    <n v="110"/>
    <n v="164.91000366210938"/>
    <n v="18140.100402832031"/>
    <x v="0"/>
  </r>
  <r>
    <s v="TRD00439"/>
    <s v="INE006A01084"/>
    <x v="19"/>
    <x v="2"/>
    <s v="Citi A/C 359789"/>
    <n v="100"/>
    <n v="46.310001373291016"/>
    <n v="4631.0001373291016"/>
    <x v="0"/>
  </r>
  <r>
    <s v="TRD00440"/>
    <s v="INE007A01031"/>
    <x v="45"/>
    <x v="0"/>
    <s v="HDFC A/C 113752"/>
    <n v="380"/>
    <n v="390.91000366210938"/>
    <n v="148545.80139160156"/>
    <x v="0"/>
  </r>
  <r>
    <s v="TRD00441"/>
    <s v="INE001A01077"/>
    <x v="40"/>
    <x v="2"/>
    <s v="HSBC A/C 468615"/>
    <n v="60"/>
    <n v="125.70999908447266"/>
    <n v="7542.5999450683594"/>
    <x v="0"/>
  </r>
  <r>
    <s v="TRD00442"/>
    <s v="INE004A01091"/>
    <x v="45"/>
    <x v="0"/>
    <s v="HDFC A/C 113752"/>
    <n v="50"/>
    <n v="310.54000854492188"/>
    <n v="15527.000427246094"/>
    <x v="0"/>
  </r>
  <r>
    <s v="TRD00443"/>
    <s v="INE009A01080"/>
    <x v="42"/>
    <x v="0"/>
    <s v="HDFC A/C 638209"/>
    <n v="270"/>
    <n v="388.010009765625"/>
    <n v="104762.70263671875"/>
    <x v="0"/>
  </r>
  <r>
    <s v="TRD00444"/>
    <s v="INE005A01043"/>
    <x v="49"/>
    <x v="0"/>
    <s v="HDFC A/C 543407"/>
    <n v="450"/>
    <n v="433.57000732421875"/>
    <n v="195106.50329589844"/>
    <x v="0"/>
  </r>
  <r>
    <s v="TRD00445"/>
    <s v="INE002A01014"/>
    <x v="32"/>
    <x v="1"/>
    <s v="Standard Chartered A/C 438949"/>
    <n v="360"/>
    <n v="405.45999145507813"/>
    <n v="145965.59692382813"/>
    <x v="0"/>
  </r>
  <r>
    <s v="TRD00446"/>
    <s v="INE007A01017"/>
    <x v="14"/>
    <x v="2"/>
    <s v="HSBC A/C 172861"/>
    <n v="40"/>
    <n v="394.760009765625"/>
    <n v="15790.400390625"/>
    <x v="0"/>
  </r>
  <r>
    <s v="TRD00447"/>
    <s v="INE009A01017"/>
    <x v="29"/>
    <x v="4"/>
    <s v="Deutsche Bank A/C 983712"/>
    <n v="100"/>
    <n v="375.33999633789063"/>
    <n v="37533.999633789063"/>
    <x v="0"/>
  </r>
  <r>
    <s v="TRD00448"/>
    <s v="INE007A01067"/>
    <x v="14"/>
    <x v="2"/>
    <s v="HSBC A/C 172861"/>
    <n v="410"/>
    <n v="453.8900146484375"/>
    <n v="186094.90600585938"/>
    <x v="0"/>
  </r>
  <r>
    <s v="TRD00449"/>
    <s v="INE007A01060"/>
    <x v="1"/>
    <x v="1"/>
    <s v="Standard Chartered A/C 331839"/>
    <n v="390"/>
    <n v="119.91000366210938"/>
    <n v="46764.901428222656"/>
    <x v="0"/>
  </r>
  <r>
    <s v="TRD00450"/>
    <s v="INE006A01075"/>
    <x v="5"/>
    <x v="3"/>
    <s v="HSBC A/C 562956"/>
    <n v="250"/>
    <n v="495.70999145507813"/>
    <n v="123927.49786376953"/>
    <x v="0"/>
  </r>
  <r>
    <s v="TRD00451"/>
    <s v="INE002A01034"/>
    <x v="3"/>
    <x v="2"/>
    <s v="Deutsche Bank A/C 126543"/>
    <n v="230"/>
    <n v="86.430000305175781"/>
    <n v="19878.90007019043"/>
    <x v="0"/>
  </r>
  <r>
    <s v="TRD00452"/>
    <s v="INE008A01045"/>
    <x v="44"/>
    <x v="4"/>
    <s v="JPMorgan A/C 704166"/>
    <n v="390"/>
    <n v="30"/>
    <n v="11700"/>
    <x v="0"/>
  </r>
  <r>
    <s v="TRD00453"/>
    <s v="INE002A01056"/>
    <x v="15"/>
    <x v="4"/>
    <s v="Barclays A/C 302646"/>
    <n v="290"/>
    <n v="347.17001342773438"/>
    <n v="100679.30389404297"/>
    <x v="0"/>
  </r>
  <r>
    <s v="TRD00454"/>
    <s v="INE007A0107"/>
    <x v="21"/>
    <x v="1"/>
    <s v="Deutsche Bank A/C 324710"/>
    <n v="290"/>
    <n v="191.50999450683594"/>
    <n v="55537.898406982422"/>
    <x v="0"/>
  </r>
  <r>
    <s v="TRD00455"/>
    <s v="INE001A01071"/>
    <x v="20"/>
    <x v="0"/>
    <s v="Citi A/C 508769"/>
    <n v="310"/>
    <n v="99.389999389648438"/>
    <n v="30810.899810791016"/>
    <x v="0"/>
  </r>
  <r>
    <s v="TRD00456"/>
    <s v="INE003A01016"/>
    <x v="27"/>
    <x v="2"/>
    <s v="HDFC A/C 679335"/>
    <n v="30"/>
    <n v="240.00999450683594"/>
    <n v="7200.2998352050781"/>
    <x v="0"/>
  </r>
  <r>
    <s v="TRD00457"/>
    <s v="INE001A01044"/>
    <x v="5"/>
    <x v="3"/>
    <s v="HSBC A/C 562956"/>
    <n v="200"/>
    <n v="165.3699951171875"/>
    <n v="33073.9990234375"/>
    <x v="0"/>
  </r>
  <r>
    <s v="TRD00458"/>
    <s v="INE005A01051"/>
    <x v="25"/>
    <x v="5"/>
    <s v="HDFC A/C 897530"/>
    <n v="320"/>
    <n v="60.279998779296875"/>
    <n v="19289.599609375"/>
    <x v="0"/>
  </r>
  <r>
    <s v="TRD00459"/>
    <s v="INE001A01069"/>
    <x v="20"/>
    <x v="0"/>
    <s v="Citi A/C 508769"/>
    <n v="460"/>
    <n v="492.3699951171875"/>
    <n v="226490.19775390625"/>
    <x v="0"/>
  </r>
  <r>
    <s v="TRD00460"/>
    <s v="INE007A01020"/>
    <x v="47"/>
    <x v="4"/>
    <s v="Standard Chartered A/C 682134"/>
    <n v="480"/>
    <n v="162.07000732421875"/>
    <n v="77793.603515625"/>
    <x v="0"/>
  </r>
  <r>
    <s v="TRD00461"/>
    <s v="INE009A01064"/>
    <x v="1"/>
    <x v="1"/>
    <s v="Standard Chartered A/C 331839"/>
    <n v="260"/>
    <n v="152.63999938964844"/>
    <n v="39686.399841308594"/>
    <x v="0"/>
  </r>
  <r>
    <s v="TRD00462"/>
    <s v="INE006A01051"/>
    <x v="38"/>
    <x v="2"/>
    <s v="HSBC A/C 994063"/>
    <n v="470"/>
    <n v="180.14999389648438"/>
    <n v="84670.497131347656"/>
    <x v="0"/>
  </r>
  <r>
    <s v="TRD00463"/>
    <s v="INE008A01070"/>
    <x v="19"/>
    <x v="2"/>
    <s v="Citi A/C 359789"/>
    <n v="340"/>
    <n v="343.47000122070313"/>
    <n v="116779.80041503906"/>
    <x v="0"/>
  </r>
  <r>
    <s v="TRD00464"/>
    <s v="INE007A0100"/>
    <x v="1"/>
    <x v="1"/>
    <s v="Standard Chartered A/C 331839"/>
    <n v="370"/>
    <n v="374.29000854492188"/>
    <n v="138487.30316162109"/>
    <x v="0"/>
  </r>
  <r>
    <s v="TRD00465"/>
    <s v="INE003A01055"/>
    <x v="2"/>
    <x v="2"/>
    <s v="Citi A/C 837378"/>
    <n v="110"/>
    <n v="387.1099853515625"/>
    <n v="42582.098388671875"/>
    <x v="0"/>
  </r>
  <r>
    <s v="TRD00466"/>
    <s v="INE004A01045"/>
    <x v="19"/>
    <x v="2"/>
    <s v="Citi A/C 359789"/>
    <n v="390"/>
    <n v="129.24000549316406"/>
    <n v="50403.602142333984"/>
    <x v="0"/>
  </r>
  <r>
    <s v="TRD00467"/>
    <s v="INE009A01013"/>
    <x v="38"/>
    <x v="2"/>
    <s v="HSBC A/C 994063"/>
    <n v="80"/>
    <n v="230.82000732421875"/>
    <n v="18465.6005859375"/>
    <x v="0"/>
  </r>
  <r>
    <s v="TRD00468"/>
    <s v="INE007A01093"/>
    <x v="25"/>
    <x v="5"/>
    <s v="HDFC A/C 897530"/>
    <n v="350"/>
    <n v="454.79000854492188"/>
    <n v="159176.50299072266"/>
    <x v="0"/>
  </r>
  <r>
    <s v="TRD00469"/>
    <s v="INE007A01060"/>
    <x v="43"/>
    <x v="3"/>
    <s v="JPMorgan A/C 603587"/>
    <n v="400"/>
    <n v="446.8900146484375"/>
    <n v="178756.005859375"/>
    <x v="0"/>
  </r>
  <r>
    <s v="TRD00470"/>
    <s v="INE005A01075"/>
    <x v="5"/>
    <x v="3"/>
    <s v="HSBC A/C 562956"/>
    <n v="210"/>
    <n v="485.69000244140625"/>
    <n v="101994.90051269531"/>
    <x v="0"/>
  </r>
  <r>
    <s v="TRD00471"/>
    <s v="INE008A01039"/>
    <x v="38"/>
    <x v="2"/>
    <s v="HSBC A/C 994063"/>
    <n v="330"/>
    <n v="232.55999755859375"/>
    <n v="76744.799194335938"/>
    <x v="0"/>
  </r>
  <r>
    <s v="TRD00472"/>
    <s v="INE004A01044"/>
    <x v="22"/>
    <x v="4"/>
    <s v="HSBC A/C 785870"/>
    <n v="60"/>
    <n v="481.70001220703125"/>
    <n v="28902.000732421875"/>
    <x v="0"/>
  </r>
  <r>
    <s v="TRD00473"/>
    <s v="INE007A01019"/>
    <x v="10"/>
    <x v="2"/>
    <s v="Deutsche Bank A/C 917262"/>
    <n v="260"/>
    <n v="410.1099853515625"/>
    <n v="106628.59619140625"/>
    <x v="0"/>
  </r>
  <r>
    <s v="TRD00474"/>
    <s v="INE004A01081"/>
    <x v="43"/>
    <x v="3"/>
    <s v="JPMorgan A/C 603587"/>
    <n v="90"/>
    <n v="327.60000610351563"/>
    <n v="29484.000549316406"/>
    <x v="0"/>
  </r>
  <r>
    <s v="TRD00475"/>
    <s v="INE001A01089"/>
    <x v="12"/>
    <x v="4"/>
    <s v="Citi A/C 543819"/>
    <n v="220"/>
    <n v="426.79998779296875"/>
    <n v="93895.997314453125"/>
    <x v="0"/>
  </r>
  <r>
    <s v="TRD00476"/>
    <s v="INE001A01091"/>
    <x v="42"/>
    <x v="0"/>
    <s v="HDFC A/C 638209"/>
    <n v="130"/>
    <n v="33.150001525878906"/>
    <n v="4309.5001983642578"/>
    <x v="0"/>
  </r>
  <r>
    <s v="TRD00477"/>
    <s v="INE008A01071"/>
    <x v="18"/>
    <x v="2"/>
    <s v="HSBC A/C 604357"/>
    <n v="340"/>
    <n v="354.89999389648438"/>
    <n v="120665.99792480469"/>
    <x v="0"/>
  </r>
  <r>
    <s v="TRD00478"/>
    <s v="INE007A0104"/>
    <x v="1"/>
    <x v="1"/>
    <s v="Standard Chartered A/C 331839"/>
    <n v="140"/>
    <n v="233.1199951171875"/>
    <n v="32636.79931640625"/>
    <x v="0"/>
  </r>
  <r>
    <s v="TRD00479"/>
    <s v="INE002A0105"/>
    <x v="45"/>
    <x v="0"/>
    <s v="HDFC A/C 113752"/>
    <n v="390"/>
    <n v="391.67001342773438"/>
    <n v="152751.30523681641"/>
    <x v="0"/>
  </r>
  <r>
    <s v="TRD00480"/>
    <s v="INE003A01075"/>
    <x v="12"/>
    <x v="4"/>
    <s v="Citi A/C 543819"/>
    <n v="210"/>
    <n v="187.25999450683594"/>
    <n v="39324.598846435547"/>
    <x v="0"/>
  </r>
  <r>
    <s v="TRD00481"/>
    <s v="INE005A01058"/>
    <x v="5"/>
    <x v="3"/>
    <s v="HSBC A/C 562956"/>
    <n v="-50"/>
    <n v="317.07000732421875"/>
    <n v="-15853.500366210938"/>
    <x v="1"/>
  </r>
  <r>
    <s v="TRD00482"/>
    <s v="INE005A01069"/>
    <x v="24"/>
    <x v="1"/>
    <s v="Citi A/C 714496"/>
    <n v="480"/>
    <n v="346.42999267578125"/>
    <n v="166286.396484375"/>
    <x v="0"/>
  </r>
  <r>
    <s v="TRD00483"/>
    <s v="INE001A01053"/>
    <x v="35"/>
    <x v="4"/>
    <s v="HSBC A/C 972195"/>
    <n v="340"/>
    <n v="20.329999923706055"/>
    <n v="6912.1999740600586"/>
    <x v="0"/>
  </r>
  <r>
    <s v="TRD00484"/>
    <s v="INE009A01038"/>
    <x v="12"/>
    <x v="4"/>
    <s v="Citi A/C 543819"/>
    <n v="340"/>
    <n v="326.30999755859375"/>
    <n v="110945.39916992188"/>
    <x v="0"/>
  </r>
  <r>
    <s v="TRD00485"/>
    <s v="INE008A0102"/>
    <x v="6"/>
    <x v="0"/>
    <s v="JPMorgan A/C 987170"/>
    <n v="450"/>
    <n v="72.25"/>
    <n v="32512.5"/>
    <x v="0"/>
  </r>
  <r>
    <s v="TRD00486"/>
    <s v="INE004A01097"/>
    <x v="15"/>
    <x v="4"/>
    <s v="Barclays A/C 302646"/>
    <n v="140"/>
    <n v="136.30999755859375"/>
    <n v="19083.399658203125"/>
    <x v="0"/>
  </r>
  <r>
    <s v="TRD00487"/>
    <s v="INE007A0107"/>
    <x v="0"/>
    <x v="0"/>
    <s v="Citi A/C 700450"/>
    <n v="80"/>
    <n v="216.97000122070313"/>
    <n v="17357.60009765625"/>
    <x v="0"/>
  </r>
  <r>
    <s v="TRD00488"/>
    <s v="INE003A01086"/>
    <x v="28"/>
    <x v="2"/>
    <s v="Citi A/C 744145"/>
    <n v="450"/>
    <n v="83.050003051757813"/>
    <n v="37372.501373291016"/>
    <x v="0"/>
  </r>
  <r>
    <s v="TRD00489"/>
    <s v="INE009A01020"/>
    <x v="23"/>
    <x v="2"/>
    <s v="Standard Chartered A/C 277005"/>
    <n v="110"/>
    <n v="323.6400146484375"/>
    <n v="35600.401611328125"/>
    <x v="0"/>
  </r>
  <r>
    <s v="TRD00490"/>
    <s v="INE005A01069"/>
    <x v="40"/>
    <x v="2"/>
    <s v="HSBC A/C 468615"/>
    <n v="-50"/>
    <n v="192.02999877929688"/>
    <n v="-9601.4999389648438"/>
    <x v="1"/>
  </r>
  <r>
    <s v="TRD00491"/>
    <s v="INE008A01017"/>
    <x v="6"/>
    <x v="0"/>
    <s v="JPMorgan A/C 987170"/>
    <n v="400"/>
    <n v="292.14999389648438"/>
    <n v="116859.99755859375"/>
    <x v="0"/>
  </r>
  <r>
    <s v="TRD00492"/>
    <s v="INE001A01074"/>
    <x v="12"/>
    <x v="4"/>
    <s v="Citi A/C 543819"/>
    <n v="260"/>
    <n v="223.99000549316406"/>
    <n v="58237.401428222656"/>
    <x v="0"/>
  </r>
  <r>
    <s v="TRD00493"/>
    <s v="INE009A01045"/>
    <x v="3"/>
    <x v="2"/>
    <s v="Deutsche Bank A/C 126543"/>
    <n v="170"/>
    <n v="473.17001342773438"/>
    <n v="80438.902282714844"/>
    <x v="0"/>
  </r>
  <r>
    <s v="TRD00494"/>
    <s v="INE009A0102"/>
    <x v="23"/>
    <x v="2"/>
    <s v="Standard Chartered A/C 277005"/>
    <n v="390"/>
    <n v="33.080001831054688"/>
    <n v="12901.200714111328"/>
    <x v="0"/>
  </r>
  <r>
    <s v="TRD00495"/>
    <s v="INE008A01034"/>
    <x v="31"/>
    <x v="4"/>
    <s v="JPMorgan A/C 860462"/>
    <n v="80"/>
    <n v="154.94999694824219"/>
    <n v="12395.999755859375"/>
    <x v="0"/>
  </r>
  <r>
    <s v="TRD00496"/>
    <s v="INE005A01093"/>
    <x v="23"/>
    <x v="2"/>
    <s v="Standard Chartered A/C 277005"/>
    <n v="70"/>
    <n v="97.80999755859375"/>
    <n v="6846.6998291015625"/>
    <x v="0"/>
  </r>
  <r>
    <s v="TRD00497"/>
    <s v="INE008A01046"/>
    <x v="8"/>
    <x v="3"/>
    <s v="Deutsche Bank A/C 917029"/>
    <n v="110"/>
    <n v="378.510009765625"/>
    <n v="41636.10107421875"/>
    <x v="0"/>
  </r>
  <r>
    <s v="TRD00498"/>
    <s v="INE003A01023"/>
    <x v="20"/>
    <x v="0"/>
    <s v="Citi A/C 508769"/>
    <n v="100"/>
    <n v="21.709999084472656"/>
    <n v="2170.9999084472656"/>
    <x v="0"/>
  </r>
  <r>
    <s v="TRD00499"/>
    <s v="INE002A01067"/>
    <x v="46"/>
    <x v="4"/>
    <s v="Deutsche Bank A/C 428758"/>
    <n v="370"/>
    <n v="309.8699951171875"/>
    <n v="114651.89819335938"/>
    <x v="0"/>
  </r>
  <r>
    <s v="TRD00500"/>
    <s v="INE003A01088"/>
    <x v="11"/>
    <x v="3"/>
    <s v="Standard Chartered A/C 307017"/>
    <n v="410"/>
    <n v="33.279998779296875"/>
    <n v="13644.799499511719"/>
    <x v="0"/>
  </r>
  <r>
    <s v="TRD00501"/>
    <s v="INE005A0109"/>
    <x v="29"/>
    <x v="4"/>
    <s v="Deutsche Bank A/C 983712"/>
    <n v="110"/>
    <n v="240.03999328613281"/>
    <n v="26404.399261474609"/>
    <x v="0"/>
  </r>
  <r>
    <s v="TRD00502"/>
    <s v="INE009A01015"/>
    <x v="23"/>
    <x v="2"/>
    <s v="Standard Chartered A/C 277005"/>
    <n v="30"/>
    <n v="486.04998779296875"/>
    <n v="14581.499633789063"/>
    <x v="0"/>
  </r>
  <r>
    <s v="TRD00503"/>
    <s v="INE008A0107"/>
    <x v="38"/>
    <x v="2"/>
    <s v="HSBC A/C 994063"/>
    <n v="170"/>
    <n v="85.029998779296875"/>
    <n v="14455.099792480469"/>
    <x v="0"/>
  </r>
  <r>
    <s v="TRD00504"/>
    <s v="INE007A01050"/>
    <x v="29"/>
    <x v="4"/>
    <s v="Deutsche Bank A/C 983712"/>
    <n v="150"/>
    <n v="358.51998901367188"/>
    <n v="53777.998352050781"/>
    <x v="0"/>
  </r>
  <r>
    <s v="TRD00505"/>
    <s v="INE002A01023"/>
    <x v="36"/>
    <x v="0"/>
    <s v="HSBC A/C 864249"/>
    <n v="50"/>
    <n v="385.8599853515625"/>
    <n v="19292.999267578125"/>
    <x v="0"/>
  </r>
  <r>
    <s v="TRD00506"/>
    <s v="INE003A01068"/>
    <x v="23"/>
    <x v="2"/>
    <s v="Standard Chartered A/C 277005"/>
    <n v="70"/>
    <n v="254.22000122070313"/>
    <n v="17795.400085449219"/>
    <x v="0"/>
  </r>
  <r>
    <s v="TRD00507"/>
    <s v="INE009A01043"/>
    <x v="40"/>
    <x v="2"/>
    <s v="HSBC A/C 468615"/>
    <n v="350"/>
    <n v="308.54998779296875"/>
    <n v="107992.49572753906"/>
    <x v="0"/>
  </r>
  <r>
    <s v="TRD00508"/>
    <s v="INE007A01068"/>
    <x v="42"/>
    <x v="0"/>
    <s v="HDFC A/C 638209"/>
    <n v="200"/>
    <n v="401.64999389648438"/>
    <n v="80329.998779296875"/>
    <x v="0"/>
  </r>
  <r>
    <s v="TRD00509"/>
    <s v="INE008A01078"/>
    <x v="9"/>
    <x v="2"/>
    <s v="Barclays A/C 560891"/>
    <n v="-50"/>
    <n v="288.41000366210938"/>
    <n v="-14420.500183105469"/>
    <x v="1"/>
  </r>
  <r>
    <s v="TRD00510"/>
    <s v="INE006A01026"/>
    <x v="16"/>
    <x v="3"/>
    <s v="Deutsche Bank A/C 153521"/>
    <n v="400"/>
    <n v="352.8599853515625"/>
    <n v="141143.994140625"/>
    <x v="0"/>
  </r>
  <r>
    <s v="TRD00511"/>
    <s v="INE002A01028"/>
    <x v="2"/>
    <x v="2"/>
    <s v="Citi A/C 837378"/>
    <n v="460"/>
    <n v="105.18000030517578"/>
    <n v="48382.800140380859"/>
    <x v="0"/>
  </r>
  <r>
    <s v="TRD00512"/>
    <s v="INE006A01059"/>
    <x v="44"/>
    <x v="4"/>
    <s v="JPMorgan A/C 704166"/>
    <n v="500"/>
    <n v="310.26998901367188"/>
    <n v="155134.99450683594"/>
    <x v="0"/>
  </r>
  <r>
    <s v="TRD00513"/>
    <s v="INE008A01095"/>
    <x v="18"/>
    <x v="2"/>
    <s v="HSBC A/C 604357"/>
    <n v="460"/>
    <n v="428.32998657226563"/>
    <n v="197031.79382324219"/>
    <x v="0"/>
  </r>
  <r>
    <s v="TRD00514"/>
    <s v="INE006A01065"/>
    <x v="21"/>
    <x v="1"/>
    <s v="Deutsche Bank A/C 324710"/>
    <n v="120"/>
    <n v="364.8800048828125"/>
    <n v="43785.6005859375"/>
    <x v="0"/>
  </r>
  <r>
    <s v="TRD00515"/>
    <s v="INE001A0100"/>
    <x v="18"/>
    <x v="2"/>
    <s v="HSBC A/C 604357"/>
    <n v="370"/>
    <n v="220.75"/>
    <n v="81677.5"/>
    <x v="0"/>
  </r>
  <r>
    <s v="TRD00516"/>
    <s v="INE009A01079"/>
    <x v="9"/>
    <x v="2"/>
    <s v="Barclays A/C 560891"/>
    <n v="420"/>
    <n v="42.090000152587891"/>
    <n v="17677.800064086914"/>
    <x v="0"/>
  </r>
  <r>
    <s v="TRD00517"/>
    <s v="INE005A01087"/>
    <x v="37"/>
    <x v="6"/>
    <s v="MISSING SSI"/>
    <n v="80"/>
    <n v="138.39999389648438"/>
    <n v="11071.99951171875"/>
    <x v="3"/>
  </r>
  <r>
    <s v="TRD00518"/>
    <s v="INE002A01089"/>
    <x v="25"/>
    <x v="5"/>
    <s v="HDFC A/C 897530"/>
    <n v="470"/>
    <n v="188.60000610351563"/>
    <n v="88642.002868652344"/>
    <x v="0"/>
  </r>
  <r>
    <s v="TRD00519"/>
    <s v="INE009A01043"/>
    <x v="36"/>
    <x v="0"/>
    <s v="HSBC A/C 864249"/>
    <n v="470"/>
    <n v="368.22000122070313"/>
    <n v="173063.40057373047"/>
    <x v="0"/>
  </r>
  <r>
    <s v="TRD00520"/>
    <s v="INE004A01033"/>
    <x v="36"/>
    <x v="0"/>
    <s v="HSBC A/C 864249"/>
    <n v="110"/>
    <n v="318.14999389648438"/>
    <n v="34996.499328613281"/>
    <x v="0"/>
  </r>
  <r>
    <s v="TRD00521"/>
    <s v="INE009A01012"/>
    <x v="33"/>
    <x v="0"/>
    <s v="Citi A/C 194841"/>
    <n v="60"/>
    <n v="280.80999755859375"/>
    <n v="16848.599853515625"/>
    <x v="0"/>
  </r>
  <r>
    <s v="TRD00522"/>
    <s v="INE008A01017"/>
    <x v="10"/>
    <x v="2"/>
    <s v="Deutsche Bank A/C 917262"/>
    <n v="370"/>
    <n v="350.19000244140625"/>
    <n v="129570.30090332031"/>
    <x v="0"/>
  </r>
  <r>
    <s v="TRD00523"/>
    <s v="INE008A01017"/>
    <x v="34"/>
    <x v="5"/>
    <s v="JPMorgan A/C 488546"/>
    <n v="230"/>
    <n v="221.8699951171875"/>
    <n v="51030.098876953125"/>
    <x v="0"/>
  </r>
  <r>
    <s v="TRD00524"/>
    <s v="INE004A01065"/>
    <x v="25"/>
    <x v="5"/>
    <s v="HDFC A/C 897530"/>
    <n v="210"/>
    <n v="442.94000244140625"/>
    <n v="93017.400512695313"/>
    <x v="0"/>
  </r>
  <r>
    <s v="TRD00525"/>
    <s v="INE007A01044"/>
    <x v="17"/>
    <x v="0"/>
    <s v="Barclays A/C 197229"/>
    <n v="500"/>
    <n v="162.10000610351563"/>
    <n v="81050.003051757813"/>
    <x v="0"/>
  </r>
  <r>
    <s v="TRD00526"/>
    <s v="INE003A01024"/>
    <x v="31"/>
    <x v="4"/>
    <s v="JPMorgan A/C 860462"/>
    <n v="190"/>
    <n v="379.58999633789063"/>
    <n v="72122.099304199219"/>
    <x v="0"/>
  </r>
  <r>
    <s v="TRD00527"/>
    <s v="INE008A0104"/>
    <x v="28"/>
    <x v="2"/>
    <s v="Citi A/C 744145"/>
    <n v="490"/>
    <n v="197.22000122070313"/>
    <n v="96637.800598144531"/>
    <x v="0"/>
  </r>
  <r>
    <s v="TRD00528"/>
    <s v="INE009A01066"/>
    <x v="23"/>
    <x v="2"/>
    <s v="Standard Chartered A/C 277005"/>
    <n v="10"/>
    <n v="68.349998474121094"/>
    <n v="683.49998474121094"/>
    <x v="0"/>
  </r>
  <r>
    <s v="TRD00529"/>
    <s v="INE007A01029"/>
    <x v="41"/>
    <x v="4"/>
    <s v="Standard Chartered A/C 441247"/>
    <n v="480"/>
    <n v="47.909999847412109"/>
    <n v="22996.799926757813"/>
    <x v="0"/>
  </r>
  <r>
    <s v="TRD00530"/>
    <s v="INE001A01089"/>
    <x v="17"/>
    <x v="0"/>
    <s v="Barclays A/C 197229"/>
    <n v="500"/>
    <n v="42.409999847412109"/>
    <n v="21204.999923706055"/>
    <x v="0"/>
  </r>
  <r>
    <s v="TRD00531"/>
    <s v="INE002A01079"/>
    <x v="4"/>
    <x v="0"/>
    <s v="HSBC A/C 867781"/>
    <n v="330"/>
    <n v="59.900001525878906"/>
    <n v="19767.000503540039"/>
    <x v="0"/>
  </r>
  <r>
    <s v="TRD00532"/>
    <s v="INE005A01015"/>
    <x v="11"/>
    <x v="3"/>
    <s v="Standard Chartered A/C 307017"/>
    <n v="100"/>
    <n v="459.989990234375"/>
    <n v="45998.9990234375"/>
    <x v="0"/>
  </r>
  <r>
    <s v="TRD00533"/>
    <s v="INE003A01042"/>
    <x v="30"/>
    <x v="5"/>
    <s v="JPMorgan A/C 582379"/>
    <n v="70"/>
    <n v="203.8699951171875"/>
    <n v="14270.899658203125"/>
    <x v="0"/>
  </r>
  <r>
    <s v="TRD00534"/>
    <s v="INE004A01090"/>
    <x v="17"/>
    <x v="0"/>
    <s v="Barclays A/C 197229"/>
    <n v="390"/>
    <n v="104.27999877929688"/>
    <n v="40669.199523925781"/>
    <x v="0"/>
  </r>
  <r>
    <s v="TRD00535"/>
    <s v="INE004A01024"/>
    <x v="4"/>
    <x v="0"/>
    <s v="HSBC A/C 867781"/>
    <n v="330"/>
    <n v="75.529998779296875"/>
    <n v="24924.899597167969"/>
    <x v="0"/>
  </r>
  <r>
    <s v="TRD00536"/>
    <s v="INE003A01088"/>
    <x v="16"/>
    <x v="3"/>
    <s v="Deutsche Bank A/C 153521"/>
    <n v="60"/>
    <n v="383.489990234375"/>
    <n v="23009.3994140625"/>
    <x v="0"/>
  </r>
  <r>
    <s v="TRD00537"/>
    <s v="INE001A01062"/>
    <x v="41"/>
    <x v="4"/>
    <s v="Standard Chartered A/C 441247"/>
    <n v="370"/>
    <n v="395.58999633789063"/>
    <n v="146368.29864501953"/>
    <x v="0"/>
  </r>
  <r>
    <s v="TRD00538"/>
    <s v="INE008A0107"/>
    <x v="31"/>
    <x v="4"/>
    <s v="JPMorgan A/C 860462"/>
    <n v="430"/>
    <n v="330.82000732421875"/>
    <n v="142252.60314941406"/>
    <x v="0"/>
  </r>
  <r>
    <s v="TRD00539"/>
    <s v="INE009A01015"/>
    <x v="49"/>
    <x v="0"/>
    <s v="HDFC A/C 543407"/>
    <n v="70"/>
    <n v="509.739990234375"/>
    <n v="35681.79931640625"/>
    <x v="0"/>
  </r>
  <r>
    <s v="TRD00540"/>
    <s v="INE008A01066"/>
    <x v="45"/>
    <x v="0"/>
    <s v="HDFC A/C 113752"/>
    <n v="460"/>
    <n v="104.48000335693359"/>
    <n v="48060.801544189453"/>
    <x v="0"/>
  </r>
  <r>
    <s v="TRD00541"/>
    <s v="INE002A01068"/>
    <x v="9"/>
    <x v="2"/>
    <s v="Barclays A/C 560891"/>
    <n v="440"/>
    <n v="388.70001220703125"/>
    <n v="171028.00537109375"/>
    <x v="0"/>
  </r>
  <r>
    <s v="TRD00542"/>
    <s v="INE006A01015"/>
    <x v="19"/>
    <x v="2"/>
    <s v="Citi A/C 359789"/>
    <n v="210"/>
    <n v="487.66000366210938"/>
    <n v="102408.60076904297"/>
    <x v="0"/>
  </r>
  <r>
    <s v="TRD00543"/>
    <s v="INE001A01031"/>
    <x v="22"/>
    <x v="4"/>
    <s v="HSBC A/C 785870"/>
    <n v="120"/>
    <n v="128.16000366210938"/>
    <n v="15379.200439453125"/>
    <x v="0"/>
  </r>
  <r>
    <s v="TRD00544"/>
    <s v="INE006A01025"/>
    <x v="38"/>
    <x v="2"/>
    <s v="HSBC A/C 994063"/>
    <n v="380"/>
    <n v="388.57000732421875"/>
    <n v="147656.60278320313"/>
    <x v="0"/>
  </r>
  <r>
    <s v="TRD00545"/>
    <s v="INE002A01038"/>
    <x v="39"/>
    <x v="1"/>
    <s v="HSBC A/C 540659"/>
    <n v="360"/>
    <n v="448.82998657226563"/>
    <n v="161578.79516601563"/>
    <x v="0"/>
  </r>
  <r>
    <s v="TRD00546"/>
    <s v="INE004A01093"/>
    <x v="28"/>
    <x v="2"/>
    <s v="Citi A/C 744145"/>
    <n v="290"/>
    <n v="340.42001342773438"/>
    <n v="98721.803894042969"/>
    <x v="0"/>
  </r>
  <r>
    <s v="TRD00547"/>
    <s v="INE003A01049"/>
    <x v="18"/>
    <x v="2"/>
    <s v="HSBC A/C 604357"/>
    <n v="60"/>
    <n v="196.41000366210938"/>
    <n v="11784.600219726563"/>
    <x v="0"/>
  </r>
  <r>
    <s v="TRD00548"/>
    <s v="INE008A01043"/>
    <x v="23"/>
    <x v="2"/>
    <s v="Standard Chartered A/C 277005"/>
    <n v="400"/>
    <n v="501.39999389648438"/>
    <n v="200559.99755859375"/>
    <x v="0"/>
  </r>
  <r>
    <s v="TRD00549"/>
    <s v="INE005A01049"/>
    <x v="14"/>
    <x v="2"/>
    <s v="HSBC A/C 172861"/>
    <n v="210"/>
    <n v="341.60000610351563"/>
    <n v="71736.001281738281"/>
    <x v="0"/>
  </r>
  <r>
    <s v="TRD00550"/>
    <s v="INE003A01021"/>
    <x v="1"/>
    <x v="1"/>
    <s v="Standard Chartered A/C 331839"/>
    <n v="270"/>
    <n v="154.72999572753906"/>
    <n v="41777.098846435547"/>
    <x v="0"/>
  </r>
  <r>
    <s v="TRD00551"/>
    <s v="INE001A01048"/>
    <x v="10"/>
    <x v="2"/>
    <s v="Deutsche Bank A/C 917262"/>
    <n v="25000"/>
    <n v="470.25"/>
    <n v="11756250"/>
    <x v="2"/>
  </r>
  <r>
    <s v="TRD00552"/>
    <s v="INE009A0107"/>
    <x v="9"/>
    <x v="2"/>
    <s v="Barclays A/C 560891"/>
    <n v="20"/>
    <n v="99.569999694824219"/>
    <n v="1991.3999938964844"/>
    <x v="0"/>
  </r>
  <r>
    <s v="TRD00553"/>
    <s v="INE004A01050"/>
    <x v="49"/>
    <x v="0"/>
    <s v="HDFC A/C 543407"/>
    <n v="220"/>
    <n v="78.80999755859375"/>
    <n v="17338.199462890625"/>
    <x v="0"/>
  </r>
  <r>
    <s v="TRD00554"/>
    <s v="INE006A01088"/>
    <x v="43"/>
    <x v="3"/>
    <s v="JPMorgan A/C 603587"/>
    <n v="60"/>
    <n v="209.97999572753906"/>
    <n v="12598.799743652344"/>
    <x v="0"/>
  </r>
  <r>
    <s v="TRD00555"/>
    <s v="INE004A01066"/>
    <x v="49"/>
    <x v="0"/>
    <s v="HDFC A/C 543407"/>
    <n v="330"/>
    <n v="427.8900146484375"/>
    <n v="141203.70483398438"/>
    <x v="0"/>
  </r>
  <r>
    <s v="TRD00556"/>
    <s v="INE005A01065"/>
    <x v="25"/>
    <x v="5"/>
    <s v="HDFC A/C 897530"/>
    <n v="330"/>
    <n v="50.159999847412109"/>
    <n v="16552.799949645996"/>
    <x v="0"/>
  </r>
  <r>
    <s v="TRD00557"/>
    <s v="INE005A01058"/>
    <x v="18"/>
    <x v="2"/>
    <s v="HSBC A/C 604357"/>
    <n v="160"/>
    <n v="27.239999771118164"/>
    <n v="4358.3999633789063"/>
    <x v="0"/>
  </r>
  <r>
    <s v="TRD00558"/>
    <s v="INE004A01055"/>
    <x v="46"/>
    <x v="4"/>
    <s v="Deutsche Bank A/C 428758"/>
    <n v="460"/>
    <n v="192.3699951171875"/>
    <n v="88490.19775390625"/>
    <x v="0"/>
  </r>
  <r>
    <s v="TRD00559"/>
    <s v="INE004A01057"/>
    <x v="44"/>
    <x v="4"/>
    <s v="JPMorgan A/C 704166"/>
    <n v="160"/>
    <n v="11.619999885559082"/>
    <n v="1859.1999816894531"/>
    <x v="0"/>
  </r>
  <r>
    <s v="TRD00560"/>
    <s v="INE005A0101"/>
    <x v="33"/>
    <x v="0"/>
    <s v="Citi A/C 194841"/>
    <n v="230"/>
    <n v="333.8800048828125"/>
    <n v="76792.401123046875"/>
    <x v="0"/>
  </r>
  <r>
    <s v="TRD00561"/>
    <s v="INE009A01017"/>
    <x v="50"/>
    <x v="5"/>
    <s v="HDFC A/C 180445"/>
    <n v="420"/>
    <n v="140.82000732421875"/>
    <n v="59144.403076171875"/>
    <x v="0"/>
  </r>
  <r>
    <s v="TRD00562"/>
    <s v="INE003A01069"/>
    <x v="30"/>
    <x v="5"/>
    <s v="JPMorgan A/C 582379"/>
    <n v="20"/>
    <n v="296.95001220703125"/>
    <n v="5939.000244140625"/>
    <x v="0"/>
  </r>
  <r>
    <s v="TRD00563"/>
    <s v="INE001A01017"/>
    <x v="17"/>
    <x v="0"/>
    <s v="Barclays A/C 197229"/>
    <n v="130"/>
    <n v="299.58999633789063"/>
    <n v="38946.699523925781"/>
    <x v="0"/>
  </r>
  <r>
    <s v="TRD00564"/>
    <s v="INE005A01054"/>
    <x v="4"/>
    <x v="0"/>
    <s v="HSBC A/C 867781"/>
    <n v="370"/>
    <n v="28.850000381469727"/>
    <n v="10674.500141143799"/>
    <x v="0"/>
  </r>
  <r>
    <s v="TRD00565"/>
    <s v="INE001A01064"/>
    <x v="35"/>
    <x v="4"/>
    <s v="HSBC A/C 972195"/>
    <n v="140"/>
    <n v="497.69000244140625"/>
    <n v="69676.600341796875"/>
    <x v="0"/>
  </r>
  <r>
    <s v="TRD00566"/>
    <s v="INE001A01072"/>
    <x v="33"/>
    <x v="0"/>
    <s v="Citi A/C 194841"/>
    <n v="400"/>
    <n v="101.84999847412109"/>
    <n v="40739.999389648438"/>
    <x v="0"/>
  </r>
  <r>
    <s v="TRD00567"/>
    <s v="INE006A01088"/>
    <x v="19"/>
    <x v="2"/>
    <s v="Citi A/C 359789"/>
    <n v="390"/>
    <n v="369.89999389648438"/>
    <n v="144260.99761962891"/>
    <x v="0"/>
  </r>
  <r>
    <s v="TRD00568"/>
    <s v="INE002A01065"/>
    <x v="28"/>
    <x v="2"/>
    <s v="Citi A/C 744145"/>
    <n v="380"/>
    <n v="213.21000671386719"/>
    <n v="81019.802551269531"/>
    <x v="0"/>
  </r>
  <r>
    <s v="TRD00569"/>
    <s v="INE006A01044"/>
    <x v="15"/>
    <x v="4"/>
    <s v="Barclays A/C 302646"/>
    <n v="460"/>
    <n v="175.97000122070313"/>
    <n v="80946.200561523438"/>
    <x v="0"/>
  </r>
  <r>
    <s v="TRD00570"/>
    <s v="INE002A0103"/>
    <x v="35"/>
    <x v="4"/>
    <s v="HSBC A/C 972195"/>
    <n v="220"/>
    <n v="185.19000244140625"/>
    <n v="40741.800537109375"/>
    <x v="0"/>
  </r>
  <r>
    <s v="TRD00571"/>
    <s v="INE008A01011"/>
    <x v="6"/>
    <x v="0"/>
    <s v="JPMorgan A/C 987170"/>
    <n v="60"/>
    <n v="300.67999267578125"/>
    <n v="18040.799560546875"/>
    <x v="0"/>
  </r>
  <r>
    <s v="TRD00572"/>
    <s v="INE008A01075"/>
    <x v="6"/>
    <x v="0"/>
    <s v="JPMorgan A/C 987170"/>
    <n v="420"/>
    <n v="465.05999755859375"/>
    <n v="195325.19897460938"/>
    <x v="0"/>
  </r>
  <r>
    <s v="TRD00573"/>
    <s v="INE009A01094"/>
    <x v="48"/>
    <x v="5"/>
    <s v="Citi A/C 703401"/>
    <n v="20"/>
    <n v="253.78999328613281"/>
    <n v="5075.7998657226563"/>
    <x v="0"/>
  </r>
  <r>
    <s v="TRD00574"/>
    <s v="INE001A0103"/>
    <x v="33"/>
    <x v="0"/>
    <s v="Citi A/C 194841"/>
    <n v="130"/>
    <n v="125.09999847412109"/>
    <n v="16262.999801635742"/>
    <x v="0"/>
  </r>
  <r>
    <s v="TRD00575"/>
    <s v="INE002A01025"/>
    <x v="32"/>
    <x v="1"/>
    <s v="Standard Chartered A/C 438949"/>
    <n v="300"/>
    <n v="170.05999755859375"/>
    <n v="51017.999267578125"/>
    <x v="0"/>
  </r>
  <r>
    <s v="TRD00576"/>
    <s v="INE002A01025"/>
    <x v="17"/>
    <x v="0"/>
    <s v="Barclays A/C 197229"/>
    <n v="120"/>
    <n v="362.54998779296875"/>
    <n v="43505.99853515625"/>
    <x v="0"/>
  </r>
  <r>
    <s v="TRD00577"/>
    <s v="INE006A01057"/>
    <x v="26"/>
    <x v="0"/>
    <s v="Citi A/C 416082"/>
    <n v="470"/>
    <n v="309.260009765625"/>
    <n v="145352.20458984375"/>
    <x v="0"/>
  </r>
  <r>
    <s v="TRD00578"/>
    <s v="INE004A01012"/>
    <x v="44"/>
    <x v="4"/>
    <s v="JPMorgan A/C 704166"/>
    <n v="270"/>
    <n v="499.70001220703125"/>
    <n v="134919.00329589844"/>
    <x v="0"/>
  </r>
  <r>
    <s v="TRD00579"/>
    <s v="INE002A01071"/>
    <x v="28"/>
    <x v="2"/>
    <s v="Citi A/C 744145"/>
    <n v="240"/>
    <n v="56.169998168945313"/>
    <n v="13480.799560546875"/>
    <x v="0"/>
  </r>
  <r>
    <s v="TRD00580"/>
    <s v="INE006A01055"/>
    <x v="41"/>
    <x v="4"/>
    <s v="Standard Chartered A/C 441247"/>
    <n v="110"/>
    <n v="483.79998779296875"/>
    <n v="53217.998657226563"/>
    <x v="0"/>
  </r>
  <r>
    <s v="TRD00581"/>
    <s v="INE002A01072"/>
    <x v="11"/>
    <x v="3"/>
    <s v="Standard Chartered A/C 307017"/>
    <n v="440"/>
    <n v="420.52999877929688"/>
    <n v="185033.19946289063"/>
    <x v="0"/>
  </r>
  <r>
    <s v="TRD00582"/>
    <s v="INE006A01072"/>
    <x v="50"/>
    <x v="5"/>
    <s v="HDFC A/C 180445"/>
    <n v="280"/>
    <n v="387.1199951171875"/>
    <n v="108393.5986328125"/>
    <x v="0"/>
  </r>
  <r>
    <s v="TRD00583"/>
    <s v="INE003A01090"/>
    <x v="7"/>
    <x v="3"/>
    <s v="JPMorgan A/C 391364"/>
    <n v="20"/>
    <n v="37.119998931884766"/>
    <n v="742.39997863769531"/>
    <x v="0"/>
  </r>
  <r>
    <s v="TRD00584"/>
    <s v="INE007A0106"/>
    <x v="13"/>
    <x v="4"/>
    <s v="Deutsche Bank A/C 330518"/>
    <n v="50"/>
    <n v="406.92001342773438"/>
    <n v="20346.000671386719"/>
    <x v="0"/>
  </r>
  <r>
    <s v="TRD00585"/>
    <s v="INE003A01081"/>
    <x v="30"/>
    <x v="5"/>
    <s v="JPMorgan A/C 582379"/>
    <n v="25000"/>
    <n v="72.330001831054688"/>
    <n v="1808250.0457763672"/>
    <x v="2"/>
  </r>
  <r>
    <s v="TRD00586"/>
    <s v="INE003A01032"/>
    <x v="42"/>
    <x v="0"/>
    <s v="HDFC A/C 638209"/>
    <n v="340"/>
    <n v="310.510009765625"/>
    <n v="105573.4033203125"/>
    <x v="0"/>
  </r>
  <r>
    <s v="TRD00587"/>
    <s v="INE007A01014"/>
    <x v="14"/>
    <x v="2"/>
    <s v="HSBC A/C 172861"/>
    <n v="400"/>
    <n v="290.6099853515625"/>
    <n v="116243.994140625"/>
    <x v="0"/>
  </r>
  <r>
    <s v="TRD00588"/>
    <s v="INE004A0109"/>
    <x v="23"/>
    <x v="2"/>
    <s v="Standard Chartered A/C 277005"/>
    <n v="410"/>
    <n v="73.419998168945313"/>
    <n v="30102.199249267578"/>
    <x v="0"/>
  </r>
  <r>
    <s v="TRD00589"/>
    <s v="INE004A01027"/>
    <x v="29"/>
    <x v="4"/>
    <s v="Deutsche Bank A/C 983712"/>
    <n v="150"/>
    <n v="508.79998779296875"/>
    <n v="76319.998168945313"/>
    <x v="0"/>
  </r>
  <r>
    <s v="TRD00590"/>
    <s v="INE003A01097"/>
    <x v="2"/>
    <x v="2"/>
    <s v="Citi A/C 837378"/>
    <n v="260"/>
    <n v="485.64999389648438"/>
    <n v="126268.99841308594"/>
    <x v="0"/>
  </r>
  <r>
    <s v="TRD00591"/>
    <s v="INE001A01021"/>
    <x v="18"/>
    <x v="2"/>
    <s v="HSBC A/C 604357"/>
    <n v="430"/>
    <n v="181.97000122070313"/>
    <n v="78247.100524902344"/>
    <x v="0"/>
  </r>
  <r>
    <s v="TRD00592"/>
    <s v="INE002A01018"/>
    <x v="17"/>
    <x v="0"/>
    <s v="Barclays A/C 197229"/>
    <n v="160"/>
    <n v="314.79000854492188"/>
    <n v="50366.4013671875"/>
    <x v="0"/>
  </r>
  <r>
    <s v="TRD00593"/>
    <s v="INE009A01078"/>
    <x v="19"/>
    <x v="2"/>
    <s v="Citi A/C 359789"/>
    <n v="40"/>
    <n v="390.20999145507813"/>
    <n v="15608.399658203125"/>
    <x v="0"/>
  </r>
  <r>
    <s v="TRD00594"/>
    <s v="INE007A01014"/>
    <x v="39"/>
    <x v="1"/>
    <s v="HSBC A/C 540659"/>
    <n v="460"/>
    <n v="453.39999389648438"/>
    <n v="208563.99719238281"/>
    <x v="0"/>
  </r>
  <r>
    <s v="TRD00595"/>
    <s v="INE008A0106"/>
    <x v="47"/>
    <x v="4"/>
    <s v="Standard Chartered A/C 682134"/>
    <n v="410"/>
    <n v="338.58999633789063"/>
    <n v="138821.89849853516"/>
    <x v="0"/>
  </r>
  <r>
    <s v="TRD00596"/>
    <s v="INE006A01055"/>
    <x v="33"/>
    <x v="0"/>
    <s v="Citi A/C 194841"/>
    <n v="170"/>
    <n v="419.05999755859375"/>
    <n v="71240.199584960938"/>
    <x v="0"/>
  </r>
  <r>
    <s v="TRD00597"/>
    <s v="INE005A01034"/>
    <x v="8"/>
    <x v="3"/>
    <s v="Deutsche Bank A/C 917029"/>
    <n v="25000"/>
    <n v="107.87999725341797"/>
    <n v="2696999.9313354492"/>
    <x v="2"/>
  </r>
  <r>
    <s v="TRD00598"/>
    <s v="INE007A01094"/>
    <x v="13"/>
    <x v="4"/>
    <s v="Deutsche Bank A/C 330518"/>
    <n v="220"/>
    <n v="399.58999633789063"/>
    <n v="87909.799194335938"/>
    <x v="0"/>
  </r>
  <r>
    <s v="TRD00599"/>
    <s v="INE007A01023"/>
    <x v="47"/>
    <x v="4"/>
    <s v="Standard Chartered A/C 682134"/>
    <n v="420"/>
    <n v="302.3900146484375"/>
    <n v="127003.80615234375"/>
    <x v="0"/>
  </r>
  <r>
    <s v="TRD00600"/>
    <s v="INE008A01091"/>
    <x v="13"/>
    <x v="4"/>
    <s v="Deutsche Bank A/C 330518"/>
    <n v="150"/>
    <n v="389.77999877929688"/>
    <n v="58466.999816894531"/>
    <x v="0"/>
  </r>
  <r>
    <s v="TRD00601"/>
    <s v="INE001A01033"/>
    <x v="14"/>
    <x v="2"/>
    <s v="HSBC A/C 172861"/>
    <n v="450"/>
    <n v="305.52999877929688"/>
    <n v="137488.49945068359"/>
    <x v="0"/>
  </r>
  <r>
    <s v="TRD00602"/>
    <s v="INE001A0107"/>
    <x v="4"/>
    <x v="0"/>
    <s v="HSBC A/C 867781"/>
    <n v="90"/>
    <n v="13.779999732971191"/>
    <n v="1240.1999759674072"/>
    <x v="0"/>
  </r>
  <r>
    <s v="TRD00603"/>
    <s v="INE006A01047"/>
    <x v="3"/>
    <x v="2"/>
    <s v="Deutsche Bank A/C 126543"/>
    <n v="300"/>
    <n v="48.939998626708984"/>
    <n v="14681.999588012695"/>
    <x v="0"/>
  </r>
  <r>
    <s v="TRD00604"/>
    <s v="INE001A01017"/>
    <x v="0"/>
    <x v="0"/>
    <s v="Citi A/C 700450"/>
    <n v="40"/>
    <n v="265.739990234375"/>
    <n v="10629.599609375"/>
    <x v="0"/>
  </r>
  <r>
    <s v="TRD00605"/>
    <s v="INE005A01054"/>
    <x v="32"/>
    <x v="1"/>
    <s v="Standard Chartered A/C 438949"/>
    <n v="260"/>
    <n v="89.239997863769531"/>
    <n v="23202.399444580078"/>
    <x v="0"/>
  </r>
  <r>
    <s v="TRD00606"/>
    <s v="INE002A01024"/>
    <x v="2"/>
    <x v="2"/>
    <s v="Citi A/C 837378"/>
    <n v="120"/>
    <n v="264.80999755859375"/>
    <n v="31777.19970703125"/>
    <x v="0"/>
  </r>
  <r>
    <s v="TRD00607"/>
    <s v="INE001A01068"/>
    <x v="49"/>
    <x v="0"/>
    <s v="HDFC A/C 543407"/>
    <n v="280"/>
    <n v="108.09999847412109"/>
    <n v="30267.999572753906"/>
    <x v="0"/>
  </r>
  <r>
    <s v="TRD00608"/>
    <s v="INE006A01055"/>
    <x v="49"/>
    <x v="0"/>
    <s v="HDFC A/C 543407"/>
    <n v="100"/>
    <n v="255.11000061035156"/>
    <n v="25511.000061035156"/>
    <x v="0"/>
  </r>
  <r>
    <s v="TRD00609"/>
    <s v="INE006A01029"/>
    <x v="19"/>
    <x v="2"/>
    <s v="Citi A/C 359789"/>
    <n v="420"/>
    <n v="412.1400146484375"/>
    <n v="173098.80615234375"/>
    <x v="0"/>
  </r>
  <r>
    <s v="TRD00610"/>
    <s v="INE004A01062"/>
    <x v="28"/>
    <x v="2"/>
    <s v="Citi A/C 744145"/>
    <n v="330"/>
    <n v="105.80000305175781"/>
    <n v="34914.001007080078"/>
    <x v="0"/>
  </r>
  <r>
    <s v="TRD00611"/>
    <s v="INE001A0102"/>
    <x v="46"/>
    <x v="4"/>
    <s v="Deutsche Bank A/C 428758"/>
    <n v="380"/>
    <n v="433.010009765625"/>
    <n v="164543.8037109375"/>
    <x v="0"/>
  </r>
  <r>
    <s v="TRD00612"/>
    <s v="INE008A01022"/>
    <x v="1"/>
    <x v="1"/>
    <s v="Standard Chartered A/C 331839"/>
    <n v="340"/>
    <n v="311.010009765625"/>
    <n v="105743.4033203125"/>
    <x v="0"/>
  </r>
  <r>
    <s v="TRD00613"/>
    <s v="INE005A01074"/>
    <x v="19"/>
    <x v="2"/>
    <s v="Citi A/C 359789"/>
    <n v="470"/>
    <n v="227.35000610351563"/>
    <n v="106854.50286865234"/>
    <x v="0"/>
  </r>
  <r>
    <s v="TRD00614"/>
    <s v="INE007A01036"/>
    <x v="34"/>
    <x v="5"/>
    <s v="JPMorgan A/C 488546"/>
    <n v="240"/>
    <n v="489.8800048828125"/>
    <n v="117571.201171875"/>
    <x v="0"/>
  </r>
  <r>
    <s v="TRD00615"/>
    <s v="INE002A01061"/>
    <x v="42"/>
    <x v="0"/>
    <s v="HDFC A/C 638209"/>
    <n v="120"/>
    <n v="476.79000854492188"/>
    <n v="57214.801025390625"/>
    <x v="0"/>
  </r>
  <r>
    <s v="TRD00616"/>
    <s v="INE001A01032"/>
    <x v="17"/>
    <x v="0"/>
    <s v="Barclays A/C 197229"/>
    <n v="290"/>
    <n v="386.55999755859375"/>
    <n v="112102.39929199219"/>
    <x v="0"/>
  </r>
  <r>
    <s v="TRD00617"/>
    <s v="INE006A0104"/>
    <x v="0"/>
    <x v="0"/>
    <s v="Citi A/C 700450"/>
    <n v="400"/>
    <n v="487.989990234375"/>
    <n v="195195.99609375"/>
    <x v="0"/>
  </r>
  <r>
    <s v="TRD00618"/>
    <s v="INE007A01061"/>
    <x v="24"/>
    <x v="1"/>
    <s v="Citi A/C 714496"/>
    <n v="360"/>
    <n v="370.17999267578125"/>
    <n v="133264.79736328125"/>
    <x v="0"/>
  </r>
  <r>
    <s v="TRD00619"/>
    <s v="INE005A01065"/>
    <x v="37"/>
    <x v="6"/>
    <s v="MISSING SSI"/>
    <n v="300"/>
    <n v="14.119999885559082"/>
    <n v="4235.9999656677246"/>
    <x v="3"/>
  </r>
  <r>
    <s v="TRD00620"/>
    <s v="INE004A01042"/>
    <x v="13"/>
    <x v="4"/>
    <s v="Deutsche Bank A/C 330518"/>
    <n v="290"/>
    <n v="456.22000122070313"/>
    <n v="132303.80035400391"/>
    <x v="0"/>
  </r>
  <r>
    <s v="TRD00621"/>
    <s v="INE008A0106"/>
    <x v="31"/>
    <x v="4"/>
    <s v="JPMorgan A/C 860462"/>
    <n v="260"/>
    <n v="254.66999816894531"/>
    <n v="66214.199523925781"/>
    <x v="0"/>
  </r>
  <r>
    <s v="TRD00622"/>
    <s v="INE003A01063"/>
    <x v="49"/>
    <x v="0"/>
    <s v="HDFC A/C 543407"/>
    <n v="200"/>
    <n v="202.69999694824219"/>
    <n v="40539.999389648438"/>
    <x v="0"/>
  </r>
  <r>
    <s v="TRD00623"/>
    <s v="INE004A01044"/>
    <x v="3"/>
    <x v="2"/>
    <s v="Deutsche Bank A/C 126543"/>
    <n v="120"/>
    <n v="70.080001831054688"/>
    <n v="8409.6002197265625"/>
    <x v="0"/>
  </r>
  <r>
    <s v="TRD00624"/>
    <s v="INE001A01032"/>
    <x v="43"/>
    <x v="3"/>
    <s v="JPMorgan A/C 603587"/>
    <n v="250"/>
    <n v="353.14999389648438"/>
    <n v="88287.498474121094"/>
    <x v="0"/>
  </r>
  <r>
    <s v="TRD00625"/>
    <s v="INE008A01022"/>
    <x v="16"/>
    <x v="3"/>
    <s v="Deutsche Bank A/C 153521"/>
    <n v="25000"/>
    <n v="358.95001220703125"/>
    <n v="8973750.3051757813"/>
    <x v="2"/>
  </r>
  <r>
    <s v="TRD00626"/>
    <s v="INE001A01029"/>
    <x v="45"/>
    <x v="0"/>
    <s v="HDFC A/C 113752"/>
    <n v="90"/>
    <n v="460.94000244140625"/>
    <n v="41484.600219726563"/>
    <x v="0"/>
  </r>
  <r>
    <s v="TRD00627"/>
    <s v="INE005A01083"/>
    <x v="14"/>
    <x v="2"/>
    <s v="HSBC A/C 172861"/>
    <n v="430"/>
    <n v="81.680000305175781"/>
    <n v="35122.400131225586"/>
    <x v="0"/>
  </r>
  <r>
    <s v="TRD00628"/>
    <s v="INE006A01087"/>
    <x v="24"/>
    <x v="1"/>
    <s v="Citi A/C 714496"/>
    <n v="320"/>
    <n v="503.6300048828125"/>
    <n v="161161.6015625"/>
    <x v="0"/>
  </r>
  <r>
    <s v="TRD00629"/>
    <s v="INE009A01049"/>
    <x v="15"/>
    <x v="4"/>
    <s v="Barclays A/C 302646"/>
    <n v="260"/>
    <n v="17.079999923706055"/>
    <n v="4440.7999801635742"/>
    <x v="0"/>
  </r>
  <r>
    <s v="TRD00630"/>
    <s v="INE005A01091"/>
    <x v="3"/>
    <x v="2"/>
    <s v="Deutsche Bank A/C 126543"/>
    <n v="140"/>
    <n v="170.1199951171875"/>
    <n v="23816.79931640625"/>
    <x v="0"/>
  </r>
  <r>
    <s v="TRD00631"/>
    <s v="INE003A0101"/>
    <x v="48"/>
    <x v="5"/>
    <s v="Citi A/C 703401"/>
    <n v="30"/>
    <n v="18.670000076293945"/>
    <n v="560.10000228881836"/>
    <x v="0"/>
  </r>
  <r>
    <s v="TRD00632"/>
    <s v="INE005A01077"/>
    <x v="36"/>
    <x v="0"/>
    <s v="HSBC A/C 864249"/>
    <n v="410"/>
    <n v="376.44000244140625"/>
    <n v="154340.40100097656"/>
    <x v="0"/>
  </r>
  <r>
    <s v="TRD00633"/>
    <s v="INE008A01086"/>
    <x v="0"/>
    <x v="0"/>
    <s v="Citi A/C 700450"/>
    <n v="430"/>
    <n v="64.970001220703125"/>
    <n v="27937.100524902344"/>
    <x v="0"/>
  </r>
  <r>
    <s v="TRD00634"/>
    <s v="INE008A0107"/>
    <x v="27"/>
    <x v="2"/>
    <s v="HDFC A/C 679335"/>
    <n v="130"/>
    <n v="163.60000610351563"/>
    <n v="21268.000793457031"/>
    <x v="0"/>
  </r>
  <r>
    <s v="TRD00635"/>
    <s v="INE005A01080"/>
    <x v="35"/>
    <x v="4"/>
    <s v="HSBC A/C 972195"/>
    <n v="240"/>
    <n v="259.5"/>
    <n v="62280"/>
    <x v="0"/>
  </r>
  <r>
    <s v="TRD00636"/>
    <s v="INE007A01064"/>
    <x v="0"/>
    <x v="0"/>
    <s v="Citi A/C 700450"/>
    <n v="400"/>
    <n v="197.6199951171875"/>
    <n v="79047.998046875"/>
    <x v="0"/>
  </r>
  <r>
    <s v="TRD00637"/>
    <s v="INE002A01080"/>
    <x v="26"/>
    <x v="0"/>
    <s v="Citi A/C 416082"/>
    <n v="400"/>
    <n v="330.760009765625"/>
    <n v="132304.00390625"/>
    <x v="0"/>
  </r>
  <r>
    <s v="TRD00638"/>
    <s v="INE001A01063"/>
    <x v="50"/>
    <x v="5"/>
    <s v="HDFC A/C 180445"/>
    <n v="460"/>
    <n v="269.510009765625"/>
    <n v="123974.6044921875"/>
    <x v="0"/>
  </r>
  <r>
    <s v="TRD00639"/>
    <s v="INE003A01012"/>
    <x v="25"/>
    <x v="5"/>
    <s v="HDFC A/C 897530"/>
    <n v="450"/>
    <n v="132.27999877929688"/>
    <n v="59525.999450683594"/>
    <x v="0"/>
  </r>
  <r>
    <s v="TRD00640"/>
    <s v="INE005A01039"/>
    <x v="48"/>
    <x v="5"/>
    <s v="Citi A/C 703401"/>
    <n v="170"/>
    <n v="295.29000854492188"/>
    <n v="50199.301452636719"/>
    <x v="0"/>
  </r>
  <r>
    <s v="TRD00641"/>
    <s v="INE002A01023"/>
    <x v="1"/>
    <x v="1"/>
    <s v="Standard Chartered A/C 331839"/>
    <n v="70"/>
    <n v="142.57000732421875"/>
    <n v="9979.9005126953125"/>
    <x v="0"/>
  </r>
  <r>
    <s v="TRD00642"/>
    <s v="INE003A01053"/>
    <x v="25"/>
    <x v="5"/>
    <s v="HDFC A/C 897530"/>
    <n v="20"/>
    <n v="315.97000122070313"/>
    <n v="6319.4000244140625"/>
    <x v="0"/>
  </r>
  <r>
    <s v="TRD00643"/>
    <s v="INE006A01086"/>
    <x v="19"/>
    <x v="2"/>
    <s v="Citi A/C 359789"/>
    <n v="50"/>
    <n v="465.14999389648438"/>
    <n v="23257.499694824219"/>
    <x v="0"/>
  </r>
  <r>
    <s v="TRD00644"/>
    <s v="INE007A01091"/>
    <x v="32"/>
    <x v="1"/>
    <s v="Standard Chartered A/C 438949"/>
    <n v="110"/>
    <n v="497.57000732421875"/>
    <n v="54732.700805664063"/>
    <x v="0"/>
  </r>
  <r>
    <s v="TRD00645"/>
    <s v="INE007A0103"/>
    <x v="49"/>
    <x v="0"/>
    <s v="HDFC A/C 543407"/>
    <n v="320"/>
    <n v="328.52999877929688"/>
    <n v="105129.599609375"/>
    <x v="0"/>
  </r>
  <r>
    <s v="TRD00646"/>
    <s v="INE006A01066"/>
    <x v="20"/>
    <x v="0"/>
    <s v="Citi A/C 508769"/>
    <n v="200"/>
    <n v="131.11000061035156"/>
    <n v="26222.000122070313"/>
    <x v="0"/>
  </r>
  <r>
    <s v="TRD00647"/>
    <s v="INE007A01094"/>
    <x v="47"/>
    <x v="4"/>
    <s v="Standard Chartered A/C 682134"/>
    <n v="430"/>
    <n v="86.220001220703125"/>
    <n v="37074.600524902344"/>
    <x v="0"/>
  </r>
  <r>
    <s v="TRD00648"/>
    <s v="INE005A01014"/>
    <x v="16"/>
    <x v="3"/>
    <s v="Deutsche Bank A/C 153521"/>
    <n v="120"/>
    <n v="132.58999633789063"/>
    <n v="15910.799560546875"/>
    <x v="0"/>
  </r>
  <r>
    <s v="TRD00649"/>
    <s v="INE009A01012"/>
    <x v="7"/>
    <x v="3"/>
    <s v="JPMorgan A/C 391364"/>
    <n v="50"/>
    <n v="216.75"/>
    <n v="10837.5"/>
    <x v="0"/>
  </r>
  <r>
    <s v="TRD00650"/>
    <s v="INE008A01093"/>
    <x v="31"/>
    <x v="4"/>
    <s v="JPMorgan A/C 860462"/>
    <n v="380"/>
    <n v="43.049999237060547"/>
    <n v="16358.999710083008"/>
    <x v="0"/>
  </r>
  <r>
    <s v="TRD00651"/>
    <s v="INE004A01027"/>
    <x v="35"/>
    <x v="4"/>
    <s v="HSBC A/C 972195"/>
    <n v="470"/>
    <n v="323.6300048828125"/>
    <n v="152106.10229492188"/>
    <x v="0"/>
  </r>
  <r>
    <s v="TRD00652"/>
    <s v="INE008A01094"/>
    <x v="26"/>
    <x v="0"/>
    <s v="Citi A/C 416082"/>
    <n v="80"/>
    <n v="28.479999542236328"/>
    <n v="2278.3999633789063"/>
    <x v="0"/>
  </r>
  <r>
    <s v="TRD00653"/>
    <s v="INE009A01040"/>
    <x v="27"/>
    <x v="2"/>
    <s v="HDFC A/C 679335"/>
    <n v="-50"/>
    <n v="443.739990234375"/>
    <n v="-22186.99951171875"/>
    <x v="1"/>
  </r>
  <r>
    <s v="TRD00654"/>
    <s v="INE003A01024"/>
    <x v="36"/>
    <x v="0"/>
    <s v="HSBC A/C 864249"/>
    <n v="490"/>
    <n v="445.67999267578125"/>
    <n v="218383.19641113281"/>
    <x v="0"/>
  </r>
  <r>
    <s v="TRD00655"/>
    <s v="INE009A01073"/>
    <x v="16"/>
    <x v="3"/>
    <s v="Deutsche Bank A/C 153521"/>
    <n v="10"/>
    <n v="272.95001220703125"/>
    <n v="2729.5001220703125"/>
    <x v="0"/>
  </r>
  <r>
    <s v="TRD00656"/>
    <s v="INE002A01098"/>
    <x v="36"/>
    <x v="0"/>
    <s v="HSBC A/C 864249"/>
    <n v="160"/>
    <n v="370.1199951171875"/>
    <n v="59219.19921875"/>
    <x v="0"/>
  </r>
  <r>
    <s v="TRD00657"/>
    <s v="INE007A0100"/>
    <x v="40"/>
    <x v="2"/>
    <s v="HSBC A/C 468615"/>
    <n v="400"/>
    <n v="127.08999633789063"/>
    <n v="50835.99853515625"/>
    <x v="0"/>
  </r>
  <r>
    <s v="TRD00658"/>
    <s v="INE009A01079"/>
    <x v="42"/>
    <x v="0"/>
    <s v="HDFC A/C 638209"/>
    <n v="270"/>
    <n v="129.07000732421875"/>
    <n v="34848.901977539063"/>
    <x v="0"/>
  </r>
  <r>
    <s v="TRD00659"/>
    <s v="INE007A01091"/>
    <x v="13"/>
    <x v="4"/>
    <s v="Deutsche Bank A/C 330518"/>
    <n v="190"/>
    <n v="406.55999755859375"/>
    <n v="77246.399536132813"/>
    <x v="0"/>
  </r>
  <r>
    <s v="TRD00660"/>
    <s v="INE003A01089"/>
    <x v="27"/>
    <x v="2"/>
    <s v="HDFC A/C 679335"/>
    <n v="170"/>
    <n v="185.39999389648438"/>
    <n v="31517.998962402344"/>
    <x v="0"/>
  </r>
  <r>
    <s v="TRD00661"/>
    <s v="INE008A01080"/>
    <x v="49"/>
    <x v="0"/>
    <s v="HDFC A/C 543407"/>
    <n v="60"/>
    <n v="136.74000549316406"/>
    <n v="8204.4003295898438"/>
    <x v="0"/>
  </r>
  <r>
    <s v="TRD00662"/>
    <s v="INE009A01072"/>
    <x v="2"/>
    <x v="2"/>
    <s v="Citi A/C 837378"/>
    <n v="320"/>
    <n v="127.02999877929688"/>
    <n v="40649.599609375"/>
    <x v="0"/>
  </r>
  <r>
    <s v="TRD00663"/>
    <s v="INE008A01025"/>
    <x v="8"/>
    <x v="3"/>
    <s v="Deutsche Bank A/C 917029"/>
    <n v="280"/>
    <n v="468.02999877929688"/>
    <n v="131048.39965820313"/>
    <x v="0"/>
  </r>
  <r>
    <s v="TRD00664"/>
    <s v="INE001A0101"/>
    <x v="23"/>
    <x v="2"/>
    <s v="Standard Chartered A/C 277005"/>
    <n v="330"/>
    <n v="166.82000732421875"/>
    <n v="55050.602416992188"/>
    <x v="0"/>
  </r>
  <r>
    <s v="TRD00665"/>
    <s v="INE002A01010"/>
    <x v="4"/>
    <x v="0"/>
    <s v="HSBC A/C 867781"/>
    <n v="250"/>
    <n v="175.80999755859375"/>
    <n v="43952.499389648438"/>
    <x v="0"/>
  </r>
  <r>
    <s v="TRD00666"/>
    <s v="INE009A01068"/>
    <x v="37"/>
    <x v="6"/>
    <s v="MISSING SSI"/>
    <n v="500"/>
    <n v="415.3900146484375"/>
    <n v="207695.00732421875"/>
    <x v="3"/>
  </r>
  <r>
    <s v="TRD00667"/>
    <s v="INE003A0105"/>
    <x v="42"/>
    <x v="0"/>
    <s v="HDFC A/C 638209"/>
    <n v="340"/>
    <n v="27.379999160766602"/>
    <n v="9309.1997146606445"/>
    <x v="0"/>
  </r>
  <r>
    <s v="TRD00668"/>
    <s v="INE003A01032"/>
    <x v="13"/>
    <x v="4"/>
    <s v="Deutsche Bank A/C 330518"/>
    <n v="400"/>
    <n v="414.30999755859375"/>
    <n v="165723.9990234375"/>
    <x v="0"/>
  </r>
  <r>
    <s v="TRD00669"/>
    <s v="INE001A01056"/>
    <x v="41"/>
    <x v="4"/>
    <s v="Standard Chartered A/C 441247"/>
    <n v="380"/>
    <n v="248.30000305175781"/>
    <n v="94354.001159667969"/>
    <x v="0"/>
  </r>
  <r>
    <s v="TRD00670"/>
    <s v="INE008A01089"/>
    <x v="48"/>
    <x v="5"/>
    <s v="Citi A/C 703401"/>
    <n v="100"/>
    <n v="303.04000854492188"/>
    <n v="30304.000854492188"/>
    <x v="0"/>
  </r>
  <r>
    <s v="TRD00671"/>
    <s v="INE007A01023"/>
    <x v="3"/>
    <x v="2"/>
    <s v="Deutsche Bank A/C 126543"/>
    <n v="270"/>
    <n v="203.75"/>
    <n v="55012.5"/>
    <x v="0"/>
  </r>
  <r>
    <s v="TRD00672"/>
    <s v="INE004A01082"/>
    <x v="26"/>
    <x v="0"/>
    <s v="Citi A/C 416082"/>
    <n v="230"/>
    <n v="177.25999450683594"/>
    <n v="40769.798736572266"/>
    <x v="0"/>
  </r>
  <r>
    <s v="TRD00673"/>
    <s v="INE008A01075"/>
    <x v="7"/>
    <x v="3"/>
    <s v="JPMorgan A/C 391364"/>
    <n v="210"/>
    <n v="301.92999267578125"/>
    <n v="63405.298461914063"/>
    <x v="0"/>
  </r>
  <r>
    <s v="TRD00674"/>
    <s v="INE003A01044"/>
    <x v="41"/>
    <x v="4"/>
    <s v="Standard Chartered A/C 441247"/>
    <n v="60"/>
    <n v="257.70001220703125"/>
    <n v="15462.000732421875"/>
    <x v="0"/>
  </r>
  <r>
    <s v="TRD00675"/>
    <s v="INE001A01012"/>
    <x v="29"/>
    <x v="4"/>
    <s v="Deutsche Bank A/C 983712"/>
    <n v="20"/>
    <n v="76.050003051757813"/>
    <n v="1521.0000610351563"/>
    <x v="0"/>
  </r>
  <r>
    <s v="TRD00676"/>
    <s v="INE005A01036"/>
    <x v="41"/>
    <x v="4"/>
    <s v="Standard Chartered A/C 441247"/>
    <n v="460"/>
    <n v="390.04000854492188"/>
    <n v="179418.40393066406"/>
    <x v="0"/>
  </r>
  <r>
    <s v="TRD00677"/>
    <s v="INE003A01054"/>
    <x v="15"/>
    <x v="4"/>
    <s v="Barclays A/C 302646"/>
    <n v="140"/>
    <n v="184.30000305175781"/>
    <n v="25802.000427246094"/>
    <x v="0"/>
  </r>
  <r>
    <s v="TRD00678"/>
    <s v="INE009A01041"/>
    <x v="4"/>
    <x v="0"/>
    <s v="HSBC A/C 867781"/>
    <n v="450"/>
    <n v="45"/>
    <n v="20250"/>
    <x v="0"/>
  </r>
  <r>
    <s v="TRD00679"/>
    <s v="INE006A01050"/>
    <x v="38"/>
    <x v="2"/>
    <s v="HSBC A/C 994063"/>
    <n v="150"/>
    <n v="409.8900146484375"/>
    <n v="61483.502197265625"/>
    <x v="0"/>
  </r>
  <r>
    <s v="TRD00680"/>
    <s v="INE001A01069"/>
    <x v="28"/>
    <x v="2"/>
    <s v="Citi A/C 744145"/>
    <n v="150"/>
    <n v="318.26998901367188"/>
    <n v="47740.498352050781"/>
    <x v="0"/>
  </r>
  <r>
    <s v="TRD00681"/>
    <s v="INE006A01070"/>
    <x v="21"/>
    <x v="1"/>
    <s v="Deutsche Bank A/C 324710"/>
    <n v="250"/>
    <n v="161.02000427246094"/>
    <n v="40255.001068115234"/>
    <x v="0"/>
  </r>
  <r>
    <s v="TRD00682"/>
    <s v="INE004A01057"/>
    <x v="21"/>
    <x v="1"/>
    <s v="Deutsche Bank A/C 324710"/>
    <n v="340"/>
    <n v="430.55999755859375"/>
    <n v="146390.39916992188"/>
    <x v="0"/>
  </r>
  <r>
    <s v="TRD00683"/>
    <s v="INE008A01015"/>
    <x v="0"/>
    <x v="0"/>
    <s v="Citi A/C 700450"/>
    <n v="250"/>
    <n v="470.89999389648438"/>
    <n v="117724.99847412109"/>
    <x v="0"/>
  </r>
  <r>
    <s v="TRD00684"/>
    <s v="INE006A01062"/>
    <x v="30"/>
    <x v="5"/>
    <s v="JPMorgan A/C 582379"/>
    <n v="400"/>
    <n v="227.58000183105469"/>
    <n v="91032.000732421875"/>
    <x v="0"/>
  </r>
  <r>
    <s v="TRD00685"/>
    <s v="INE003A0104"/>
    <x v="8"/>
    <x v="3"/>
    <s v="Deutsche Bank A/C 917029"/>
    <n v="110"/>
    <n v="497.73001098632813"/>
    <n v="54750.301208496094"/>
    <x v="0"/>
  </r>
  <r>
    <s v="TRD00686"/>
    <s v="INE008A01071"/>
    <x v="35"/>
    <x v="4"/>
    <s v="HSBC A/C 972195"/>
    <n v="330"/>
    <n v="180.02000427246094"/>
    <n v="59406.601409912109"/>
    <x v="0"/>
  </r>
  <r>
    <s v="TRD00687"/>
    <s v="INE002A01084"/>
    <x v="20"/>
    <x v="0"/>
    <s v="Citi A/C 508769"/>
    <n v="390"/>
    <n v="24.709999084472656"/>
    <n v="9636.8996429443359"/>
    <x v="0"/>
  </r>
  <r>
    <s v="TRD00688"/>
    <s v="INE004A01092"/>
    <x v="38"/>
    <x v="2"/>
    <s v="HSBC A/C 994063"/>
    <n v="270"/>
    <n v="383.60000610351563"/>
    <n v="103572.00164794922"/>
    <x v="0"/>
  </r>
  <r>
    <s v="TRD00689"/>
    <s v="INE008A01030"/>
    <x v="36"/>
    <x v="0"/>
    <s v="HSBC A/C 864249"/>
    <n v="300"/>
    <n v="460.04998779296875"/>
    <n v="138014.99633789063"/>
    <x v="0"/>
  </r>
  <r>
    <s v="TRD00690"/>
    <s v="INE008A01061"/>
    <x v="15"/>
    <x v="4"/>
    <s v="Barclays A/C 302646"/>
    <n v="480"/>
    <n v="59"/>
    <n v="28320"/>
    <x v="0"/>
  </r>
  <r>
    <s v="TRD00691"/>
    <s v="INE009A01037"/>
    <x v="28"/>
    <x v="2"/>
    <s v="Citi A/C 744145"/>
    <n v="160"/>
    <n v="336.94000244140625"/>
    <n v="53910.400390625"/>
    <x v="0"/>
  </r>
  <r>
    <s v="TRD00692"/>
    <s v="INE008A01038"/>
    <x v="13"/>
    <x v="4"/>
    <s v="Deutsche Bank A/C 330518"/>
    <n v="340"/>
    <n v="51.939998626708984"/>
    <n v="17659.599533081055"/>
    <x v="0"/>
  </r>
  <r>
    <s v="TRD00693"/>
    <s v="INE005A01029"/>
    <x v="8"/>
    <x v="3"/>
    <s v="Deutsche Bank A/C 917029"/>
    <n v="410"/>
    <n v="313.60000610351563"/>
    <n v="128576.00250244141"/>
    <x v="0"/>
  </r>
  <r>
    <s v="TRD00694"/>
    <s v="INE006A0107"/>
    <x v="12"/>
    <x v="4"/>
    <s v="Citi A/C 543819"/>
    <n v="370"/>
    <n v="333.1199951171875"/>
    <n v="123254.39819335938"/>
    <x v="0"/>
  </r>
  <r>
    <s v="TRD00695"/>
    <s v="INE006A01051"/>
    <x v="17"/>
    <x v="0"/>
    <s v="Barclays A/C 197229"/>
    <n v="120"/>
    <n v="173.22999572753906"/>
    <n v="20787.599487304688"/>
    <x v="0"/>
  </r>
  <r>
    <s v="TRD00696"/>
    <s v="INE005A01076"/>
    <x v="16"/>
    <x v="3"/>
    <s v="Deutsche Bank A/C 153521"/>
    <n v="190"/>
    <n v="498.239990234375"/>
    <n v="94665.59814453125"/>
    <x v="0"/>
  </r>
  <r>
    <s v="TRD00697"/>
    <s v="INE007A01077"/>
    <x v="13"/>
    <x v="4"/>
    <s v="Deutsche Bank A/C 330518"/>
    <n v="500"/>
    <n v="324.01998901367188"/>
    <n v="162009.99450683594"/>
    <x v="0"/>
  </r>
  <r>
    <s v="TRD00698"/>
    <s v="INE008A01083"/>
    <x v="1"/>
    <x v="1"/>
    <s v="Standard Chartered A/C 331839"/>
    <n v="80"/>
    <n v="268"/>
    <n v="21440"/>
    <x v="0"/>
  </r>
  <r>
    <s v="TRD00699"/>
    <s v="INE005A0105"/>
    <x v="32"/>
    <x v="1"/>
    <s v="Standard Chartered A/C 438949"/>
    <n v="25000"/>
    <n v="369.67001342773438"/>
    <n v="9241750.3356933594"/>
    <x v="2"/>
  </r>
  <r>
    <s v="TRD00700"/>
    <s v="INE006A01055"/>
    <x v="44"/>
    <x v="4"/>
    <s v="JPMorgan A/C 704166"/>
    <n v="200"/>
    <n v="415.82000732421875"/>
    <n v="83164.00146484375"/>
    <x v="0"/>
  </r>
  <r>
    <s v="TRD00701"/>
    <s v="INE009A01095"/>
    <x v="41"/>
    <x v="4"/>
    <s v="Standard Chartered A/C 441247"/>
    <n v="200"/>
    <n v="167.1199951171875"/>
    <n v="33423.9990234375"/>
    <x v="0"/>
  </r>
  <r>
    <s v="TRD00702"/>
    <s v="INE005A01070"/>
    <x v="0"/>
    <x v="0"/>
    <s v="Citi A/C 700450"/>
    <n v="220"/>
    <n v="199.00999450683594"/>
    <n v="43782.198791503906"/>
    <x v="0"/>
  </r>
  <r>
    <s v="TRD00703"/>
    <s v="INE003A01016"/>
    <x v="11"/>
    <x v="3"/>
    <s v="Standard Chartered A/C 307017"/>
    <n v="20"/>
    <n v="469.73001098632813"/>
    <n v="9394.6002197265625"/>
    <x v="0"/>
  </r>
  <r>
    <s v="TRD00704"/>
    <s v="INE009A01057"/>
    <x v="22"/>
    <x v="4"/>
    <s v="HSBC A/C 785870"/>
    <n v="170"/>
    <n v="70.360000610351563"/>
    <n v="11961.200103759766"/>
    <x v="0"/>
  </r>
  <r>
    <s v="TRD00705"/>
    <s v="INE005A01058"/>
    <x v="5"/>
    <x v="3"/>
    <s v="HSBC A/C 562956"/>
    <n v="260"/>
    <n v="474.76998901367188"/>
    <n v="123440.19714355469"/>
    <x v="0"/>
  </r>
  <r>
    <s v="TRD00706"/>
    <s v="INE007A01071"/>
    <x v="36"/>
    <x v="0"/>
    <s v="HSBC A/C 864249"/>
    <n v="150"/>
    <n v="289.6400146484375"/>
    <n v="43446.002197265625"/>
    <x v="0"/>
  </r>
  <r>
    <s v="TRD00707"/>
    <s v="INE004A01089"/>
    <x v="34"/>
    <x v="5"/>
    <s v="JPMorgan A/C 488546"/>
    <n v="280"/>
    <n v="504.489990234375"/>
    <n v="141257.197265625"/>
    <x v="0"/>
  </r>
  <r>
    <s v="TRD00708"/>
    <s v="INE009A01092"/>
    <x v="6"/>
    <x v="0"/>
    <s v="JPMorgan A/C 987170"/>
    <n v="350"/>
    <n v="241.6199951171875"/>
    <n v="84566.998291015625"/>
    <x v="0"/>
  </r>
  <r>
    <s v="TRD00709"/>
    <s v="INE003A0102"/>
    <x v="5"/>
    <x v="3"/>
    <s v="HSBC A/C 562956"/>
    <n v="110"/>
    <n v="506.17001342773438"/>
    <n v="55678.701477050781"/>
    <x v="0"/>
  </r>
  <r>
    <s v="TRD00710"/>
    <s v="INE008A01025"/>
    <x v="24"/>
    <x v="1"/>
    <s v="Citi A/C 714496"/>
    <n v="110"/>
    <n v="436.05999755859375"/>
    <n v="47966.599731445313"/>
    <x v="0"/>
  </r>
  <r>
    <s v="TRD00711"/>
    <s v="INE004A01013"/>
    <x v="0"/>
    <x v="0"/>
    <s v="Citi A/C 700450"/>
    <n v="400"/>
    <n v="52.060001373291016"/>
    <n v="20824.000549316406"/>
    <x v="0"/>
  </r>
  <r>
    <s v="TRD00712"/>
    <s v="INE002A0101"/>
    <x v="0"/>
    <x v="0"/>
    <s v="Citi A/C 700450"/>
    <n v="370"/>
    <n v="507.73001098632813"/>
    <n v="187860.10406494141"/>
    <x v="0"/>
  </r>
  <r>
    <s v="TRD00713"/>
    <s v="INE007A01065"/>
    <x v="8"/>
    <x v="3"/>
    <s v="Deutsche Bank A/C 917029"/>
    <n v="420"/>
    <n v="339.45001220703125"/>
    <n v="142569.00512695313"/>
    <x v="0"/>
  </r>
  <r>
    <s v="TRD00714"/>
    <s v="INE005A01072"/>
    <x v="44"/>
    <x v="4"/>
    <s v="JPMorgan A/C 704166"/>
    <n v="230"/>
    <n v="216.38999938964844"/>
    <n v="49769.699859619141"/>
    <x v="0"/>
  </r>
  <r>
    <s v="TRD00715"/>
    <s v="INE008A01027"/>
    <x v="3"/>
    <x v="2"/>
    <s v="Deutsche Bank A/C 126543"/>
    <n v="40"/>
    <n v="190.58000183105469"/>
    <n v="7623.2000732421875"/>
    <x v="0"/>
  </r>
  <r>
    <s v="TRD00716"/>
    <s v="INE001A01022"/>
    <x v="12"/>
    <x v="4"/>
    <s v="Citi A/C 543819"/>
    <n v="380"/>
    <n v="446.82000732421875"/>
    <n v="169791.60278320313"/>
    <x v="0"/>
  </r>
  <r>
    <s v="TRD00717"/>
    <s v="INE004A01090"/>
    <x v="28"/>
    <x v="2"/>
    <s v="Citi A/C 744145"/>
    <n v="300"/>
    <n v="52.729999542236328"/>
    <n v="15818.999862670898"/>
    <x v="0"/>
  </r>
  <r>
    <s v="TRD00718"/>
    <s v="INE001A01053"/>
    <x v="5"/>
    <x v="3"/>
    <s v="HSBC A/C 562956"/>
    <n v="150"/>
    <n v="208.75999450683594"/>
    <n v="31313.999176025391"/>
    <x v="0"/>
  </r>
  <r>
    <s v="TRD00719"/>
    <s v="INE003A01073"/>
    <x v="10"/>
    <x v="2"/>
    <s v="Deutsche Bank A/C 917262"/>
    <n v="330"/>
    <n v="498.16000366210938"/>
    <n v="164392.80120849609"/>
    <x v="0"/>
  </r>
  <r>
    <s v="TRD00720"/>
    <s v="INE002A01097"/>
    <x v="6"/>
    <x v="0"/>
    <s v="JPMorgan A/C 987170"/>
    <n v="10"/>
    <n v="137"/>
    <n v="1370"/>
    <x v="0"/>
  </r>
  <r>
    <s v="TRD00721"/>
    <s v="INE007A01018"/>
    <x v="21"/>
    <x v="1"/>
    <s v="Deutsche Bank A/C 324710"/>
    <n v="400"/>
    <n v="224.13999938964844"/>
    <n v="89655.999755859375"/>
    <x v="0"/>
  </r>
  <r>
    <s v="TRD00722"/>
    <s v="INE001A01010"/>
    <x v="18"/>
    <x v="2"/>
    <s v="HSBC A/C 604357"/>
    <n v="20"/>
    <n v="491.29000854492188"/>
    <n v="9825.8001708984375"/>
    <x v="0"/>
  </r>
  <r>
    <s v="TRD00723"/>
    <s v="INE003A01091"/>
    <x v="47"/>
    <x v="4"/>
    <s v="Standard Chartered A/C 682134"/>
    <n v="410"/>
    <n v="52.939998626708984"/>
    <n v="21705.399436950684"/>
    <x v="0"/>
  </r>
  <r>
    <s v="TRD00724"/>
    <s v="INE001A01068"/>
    <x v="31"/>
    <x v="4"/>
    <s v="JPMorgan A/C 860462"/>
    <n v="400"/>
    <n v="156.39999389648438"/>
    <n v="62559.99755859375"/>
    <x v="0"/>
  </r>
  <r>
    <s v="TRD00725"/>
    <s v="INE004A01087"/>
    <x v="15"/>
    <x v="4"/>
    <s v="Barclays A/C 302646"/>
    <n v="370"/>
    <n v="431.80999755859375"/>
    <n v="159769.69909667969"/>
    <x v="0"/>
  </r>
  <r>
    <s v="TRD00726"/>
    <s v="INE002A01080"/>
    <x v="24"/>
    <x v="1"/>
    <s v="Citi A/C 714496"/>
    <n v="480"/>
    <n v="142.11000061035156"/>
    <n v="68212.80029296875"/>
    <x v="0"/>
  </r>
  <r>
    <s v="TRD00727"/>
    <s v="INE003A01023"/>
    <x v="17"/>
    <x v="0"/>
    <s v="Barclays A/C 197229"/>
    <n v="420"/>
    <n v="433.02999877929688"/>
    <n v="181872.59948730469"/>
    <x v="0"/>
  </r>
  <r>
    <s v="TRD00728"/>
    <s v="INE002A01075"/>
    <x v="2"/>
    <x v="2"/>
    <s v="Citi A/C 837378"/>
    <n v="200"/>
    <n v="83.160003662109375"/>
    <n v="16632.000732421875"/>
    <x v="0"/>
  </r>
  <r>
    <s v="TRD00729"/>
    <s v="INE008A01040"/>
    <x v="30"/>
    <x v="5"/>
    <s v="JPMorgan A/C 582379"/>
    <n v="340"/>
    <n v="253.86000061035156"/>
    <n v="86312.400207519531"/>
    <x v="0"/>
  </r>
  <r>
    <s v="TRD00730"/>
    <s v="INE008A0108"/>
    <x v="1"/>
    <x v="1"/>
    <s v="Standard Chartered A/C 331839"/>
    <n v="160"/>
    <n v="239.33000183105469"/>
    <n v="38292.80029296875"/>
    <x v="0"/>
  </r>
  <r>
    <s v="TRD00731"/>
    <s v="INE008A0108"/>
    <x v="26"/>
    <x v="0"/>
    <s v="Citi A/C 416082"/>
    <n v="10"/>
    <n v="216.57000732421875"/>
    <n v="2165.7000732421875"/>
    <x v="0"/>
  </r>
  <r>
    <s v="TRD00732"/>
    <s v="INE002A01058"/>
    <x v="33"/>
    <x v="0"/>
    <s v="Citi A/C 194841"/>
    <n v="50"/>
    <n v="495.3900146484375"/>
    <n v="24769.500732421875"/>
    <x v="0"/>
  </r>
  <r>
    <s v="TRD00733"/>
    <s v="INE007A01017"/>
    <x v="3"/>
    <x v="2"/>
    <s v="Deutsche Bank A/C 126543"/>
    <n v="460"/>
    <n v="268.42001342773438"/>
    <n v="123473.20617675781"/>
    <x v="0"/>
  </r>
  <r>
    <s v="TRD00734"/>
    <s v="INE006A01031"/>
    <x v="9"/>
    <x v="2"/>
    <s v="Barclays A/C 560891"/>
    <n v="210"/>
    <n v="361.08999633789063"/>
    <n v="75828.899230957031"/>
    <x v="0"/>
  </r>
  <r>
    <s v="TRD00735"/>
    <s v="INE005A01086"/>
    <x v="17"/>
    <x v="0"/>
    <s v="Barclays A/C 197229"/>
    <n v="320"/>
    <n v="481.67001342773438"/>
    <n v="154134.404296875"/>
    <x v="0"/>
  </r>
  <r>
    <s v="TRD00736"/>
    <s v="INE006A01057"/>
    <x v="22"/>
    <x v="4"/>
    <s v="HSBC A/C 785870"/>
    <n v="80"/>
    <n v="471.22000122070313"/>
    <n v="37697.60009765625"/>
    <x v="0"/>
  </r>
  <r>
    <s v="TRD00737"/>
    <s v="INE004A01058"/>
    <x v="5"/>
    <x v="3"/>
    <s v="HSBC A/C 562956"/>
    <n v="360"/>
    <n v="53.599998474121094"/>
    <n v="19295.999450683594"/>
    <x v="0"/>
  </r>
  <r>
    <s v="TRD00738"/>
    <s v="INE009A01091"/>
    <x v="31"/>
    <x v="4"/>
    <s v="JPMorgan A/C 860462"/>
    <n v="260"/>
    <n v="85.519996643066406"/>
    <n v="22235.199127197266"/>
    <x v="0"/>
  </r>
  <r>
    <s v="TRD00739"/>
    <s v="INE007A0100"/>
    <x v="34"/>
    <x v="5"/>
    <s v="JPMorgan A/C 488546"/>
    <n v="470"/>
    <n v="306.47000122070313"/>
    <n v="144040.90057373047"/>
    <x v="0"/>
  </r>
  <r>
    <s v="TRD00740"/>
    <s v="INE008A01014"/>
    <x v="49"/>
    <x v="0"/>
    <s v="HDFC A/C 543407"/>
    <n v="450"/>
    <n v="88.769996643066406"/>
    <n v="39946.498489379883"/>
    <x v="0"/>
  </r>
  <r>
    <s v="TRD00741"/>
    <s v="INE004A0105"/>
    <x v="19"/>
    <x v="2"/>
    <s v="Citi A/C 359789"/>
    <n v="180"/>
    <n v="187.53999328613281"/>
    <n v="33757.198791503906"/>
    <x v="0"/>
  </r>
  <r>
    <s v="TRD00742"/>
    <s v="INE005A01030"/>
    <x v="17"/>
    <x v="0"/>
    <s v="Barclays A/C 197229"/>
    <n v="470"/>
    <n v="490.73001098632813"/>
    <n v="230643.10516357422"/>
    <x v="0"/>
  </r>
  <r>
    <s v="TRD00743"/>
    <s v="INE003A01089"/>
    <x v="26"/>
    <x v="0"/>
    <s v="Citi A/C 416082"/>
    <n v="130"/>
    <n v="269.07998657226563"/>
    <n v="34980.398254394531"/>
    <x v="0"/>
  </r>
  <r>
    <s v="TRD00744"/>
    <s v="INE005A01069"/>
    <x v="47"/>
    <x v="4"/>
    <s v="Standard Chartered A/C 682134"/>
    <n v="280"/>
    <n v="426.17001342773438"/>
    <n v="119327.60375976563"/>
    <x v="0"/>
  </r>
  <r>
    <s v="TRD00745"/>
    <s v="INE004A01096"/>
    <x v="33"/>
    <x v="0"/>
    <s v="Citi A/C 194841"/>
    <n v="70"/>
    <n v="248.36000061035156"/>
    <n v="17385.200042724609"/>
    <x v="0"/>
  </r>
  <r>
    <s v="TRD00746"/>
    <s v="INE007A01086"/>
    <x v="2"/>
    <x v="2"/>
    <s v="Citi A/C 837378"/>
    <n v="460"/>
    <n v="154.85000610351563"/>
    <n v="71231.002807617188"/>
    <x v="0"/>
  </r>
  <r>
    <s v="TRD00747"/>
    <s v="INE004A01094"/>
    <x v="28"/>
    <x v="2"/>
    <s v="Citi A/C 744145"/>
    <n v="420"/>
    <n v="447.6400146484375"/>
    <n v="188008.80615234375"/>
    <x v="0"/>
  </r>
  <r>
    <s v="TRD00748"/>
    <s v="INE002A01062"/>
    <x v="3"/>
    <x v="2"/>
    <s v="Deutsche Bank A/C 126543"/>
    <n v="220"/>
    <n v="61.540000915527344"/>
    <n v="13538.800201416016"/>
    <x v="0"/>
  </r>
  <r>
    <s v="TRD00749"/>
    <s v="INE008A01075"/>
    <x v="40"/>
    <x v="2"/>
    <s v="HSBC A/C 468615"/>
    <n v="170"/>
    <n v="314.17999267578125"/>
    <n v="53410.598754882813"/>
    <x v="0"/>
  </r>
  <r>
    <s v="TRD00750"/>
    <s v="INE002A0103"/>
    <x v="26"/>
    <x v="0"/>
    <s v="Citi A/C 416082"/>
    <n v="380"/>
    <n v="156"/>
    <n v="59280"/>
    <x v="0"/>
  </r>
  <r>
    <s v="TRD00751"/>
    <s v="INE008A01056"/>
    <x v="41"/>
    <x v="4"/>
    <s v="Standard Chartered A/C 441247"/>
    <n v="25000"/>
    <n v="487.8900146484375"/>
    <n v="12197250.366210938"/>
    <x v="2"/>
  </r>
  <r>
    <s v="TRD00752"/>
    <s v="INE008A01028"/>
    <x v="33"/>
    <x v="0"/>
    <s v="Citi A/C 194841"/>
    <n v="500"/>
    <n v="411.010009765625"/>
    <n v="205505.0048828125"/>
    <x v="0"/>
  </r>
  <r>
    <s v="TRD00753"/>
    <s v="INE002A01033"/>
    <x v="11"/>
    <x v="3"/>
    <s v="Standard Chartered A/C 307017"/>
    <n v="460"/>
    <n v="122.19999694824219"/>
    <n v="56211.998596191406"/>
    <x v="0"/>
  </r>
  <r>
    <s v="TRD00754"/>
    <s v="INE009A01035"/>
    <x v="31"/>
    <x v="4"/>
    <s v="JPMorgan A/C 860462"/>
    <n v="190"/>
    <n v="377.54998779296875"/>
    <n v="71734.497680664063"/>
    <x v="0"/>
  </r>
  <r>
    <s v="TRD00755"/>
    <s v="INE002A01094"/>
    <x v="9"/>
    <x v="2"/>
    <s v="Barclays A/C 560891"/>
    <n v="360"/>
    <n v="472.23001098632813"/>
    <n v="170002.80395507813"/>
    <x v="0"/>
  </r>
  <r>
    <s v="TRD00756"/>
    <s v="INE005A01043"/>
    <x v="16"/>
    <x v="3"/>
    <s v="Deutsche Bank A/C 153521"/>
    <n v="170"/>
    <n v="490.48001098632813"/>
    <n v="83381.601867675781"/>
    <x v="0"/>
  </r>
  <r>
    <s v="TRD00757"/>
    <s v="INE001A01032"/>
    <x v="8"/>
    <x v="3"/>
    <s v="Deutsche Bank A/C 917029"/>
    <n v="190"/>
    <n v="55.580001831054688"/>
    <n v="10560.200347900391"/>
    <x v="0"/>
  </r>
  <r>
    <s v="TRD00758"/>
    <s v="INE005A01082"/>
    <x v="29"/>
    <x v="4"/>
    <s v="Deutsche Bank A/C 983712"/>
    <n v="10"/>
    <n v="79.879997253417969"/>
    <n v="798.79997253417969"/>
    <x v="0"/>
  </r>
  <r>
    <s v="TRD00759"/>
    <s v="INE009A01039"/>
    <x v="10"/>
    <x v="2"/>
    <s v="Deutsche Bank A/C 917262"/>
    <n v="70"/>
    <n v="14.810000419616699"/>
    <n v="1036.7000293731689"/>
    <x v="0"/>
  </r>
  <r>
    <s v="TRD00760"/>
    <s v="INE001A01012"/>
    <x v="17"/>
    <x v="0"/>
    <s v="Barclays A/C 197229"/>
    <n v="380"/>
    <n v="100.83000183105469"/>
    <n v="38315.400695800781"/>
    <x v="0"/>
  </r>
  <r>
    <s v="TRD00761"/>
    <s v="INE001A01035"/>
    <x v="22"/>
    <x v="4"/>
    <s v="HSBC A/C 785870"/>
    <n v="250"/>
    <n v="117.5"/>
    <n v="29375"/>
    <x v="0"/>
  </r>
  <r>
    <s v="TRD00762"/>
    <s v="INE006A01012"/>
    <x v="14"/>
    <x v="2"/>
    <s v="HSBC A/C 172861"/>
    <n v="90"/>
    <n v="133.41000366210938"/>
    <n v="12006.900329589844"/>
    <x v="0"/>
  </r>
  <r>
    <s v="TRD00763"/>
    <s v="INE009A01065"/>
    <x v="2"/>
    <x v="2"/>
    <s v="Citi A/C 837378"/>
    <n v="100"/>
    <n v="256.23001098632813"/>
    <n v="25623.001098632813"/>
    <x v="0"/>
  </r>
  <r>
    <s v="TRD00764"/>
    <s v="INE007A01089"/>
    <x v="3"/>
    <x v="2"/>
    <s v="Deutsche Bank A/C 126543"/>
    <n v="70"/>
    <n v="382.69000244140625"/>
    <n v="26788.300170898438"/>
    <x v="0"/>
  </r>
  <r>
    <s v="TRD00765"/>
    <s v="INE003A01097"/>
    <x v="47"/>
    <x v="4"/>
    <s v="Standard Chartered A/C 682134"/>
    <n v="100"/>
    <n v="448.57998657226563"/>
    <n v="44857.998657226563"/>
    <x v="0"/>
  </r>
  <r>
    <s v="TRD00766"/>
    <s v="INE004A01075"/>
    <x v="29"/>
    <x v="4"/>
    <s v="Deutsche Bank A/C 983712"/>
    <n v="380"/>
    <n v="178.75999450683594"/>
    <n v="67928.797912597656"/>
    <x v="0"/>
  </r>
  <r>
    <s v="TRD00767"/>
    <s v="INE002A01027"/>
    <x v="34"/>
    <x v="5"/>
    <s v="JPMorgan A/C 488546"/>
    <n v="390"/>
    <n v="337.1400146484375"/>
    <n v="131484.60571289063"/>
    <x v="0"/>
  </r>
  <r>
    <s v="TRD00768"/>
    <s v="INE006A01027"/>
    <x v="24"/>
    <x v="1"/>
    <s v="Citi A/C 714496"/>
    <n v="190"/>
    <n v="476.69000244140625"/>
    <n v="90571.100463867188"/>
    <x v="0"/>
  </r>
  <r>
    <s v="TRD00769"/>
    <s v="INE008A01072"/>
    <x v="36"/>
    <x v="0"/>
    <s v="HSBC A/C 864249"/>
    <n v="190"/>
    <n v="189.46000671386719"/>
    <n v="35997.401275634766"/>
    <x v="0"/>
  </r>
  <r>
    <s v="TRD00770"/>
    <s v="INE008A01027"/>
    <x v="15"/>
    <x v="4"/>
    <s v="Barclays A/C 302646"/>
    <n v="330"/>
    <n v="356.55999755859375"/>
    <n v="117664.79919433594"/>
    <x v="0"/>
  </r>
  <r>
    <s v="TRD00771"/>
    <s v="INE008A01077"/>
    <x v="14"/>
    <x v="2"/>
    <s v="HSBC A/C 172861"/>
    <n v="390"/>
    <n v="398.1400146484375"/>
    <n v="155274.60571289063"/>
    <x v="0"/>
  </r>
  <r>
    <s v="TRD00772"/>
    <s v="INE008A01079"/>
    <x v="9"/>
    <x v="2"/>
    <s v="Barclays A/C 560891"/>
    <n v="210"/>
    <n v="23.440000534057617"/>
    <n v="4922.4001121520996"/>
    <x v="0"/>
  </r>
  <r>
    <s v="TRD00773"/>
    <s v="INE009A01011"/>
    <x v="8"/>
    <x v="3"/>
    <s v="Deutsche Bank A/C 917029"/>
    <n v="470"/>
    <n v="480.75"/>
    <n v="225952.5"/>
    <x v="0"/>
  </r>
  <r>
    <s v="TRD00774"/>
    <s v="INE004A01019"/>
    <x v="11"/>
    <x v="3"/>
    <s v="Standard Chartered A/C 307017"/>
    <n v="400"/>
    <n v="307.42001342773438"/>
    <n v="122968.00537109375"/>
    <x v="0"/>
  </r>
  <r>
    <s v="TRD00775"/>
    <s v="INE002A01068"/>
    <x v="41"/>
    <x v="4"/>
    <s v="Standard Chartered A/C 441247"/>
    <n v="60"/>
    <n v="79.870002746582031"/>
    <n v="4792.2001647949219"/>
    <x v="0"/>
  </r>
  <r>
    <s v="TRD00776"/>
    <s v="INE006A0100"/>
    <x v="4"/>
    <x v="0"/>
    <s v="HSBC A/C 867781"/>
    <n v="70"/>
    <n v="163.58000183105469"/>
    <n v="11450.600128173828"/>
    <x v="0"/>
  </r>
  <r>
    <s v="TRD00777"/>
    <s v="INE008A01068"/>
    <x v="9"/>
    <x v="2"/>
    <s v="Barclays A/C 560891"/>
    <n v="390"/>
    <n v="463.07998657226563"/>
    <n v="180601.19476318359"/>
    <x v="0"/>
  </r>
  <r>
    <s v="TRD00778"/>
    <s v="INE009A0105"/>
    <x v="13"/>
    <x v="4"/>
    <s v="Deutsche Bank A/C 330518"/>
    <n v="40"/>
    <n v="171.99000549316406"/>
    <n v="6879.6002197265625"/>
    <x v="0"/>
  </r>
  <r>
    <s v="TRD00779"/>
    <s v="INE003A01055"/>
    <x v="22"/>
    <x v="4"/>
    <s v="HSBC A/C 785870"/>
    <n v="350"/>
    <n v="22.959999084472656"/>
    <n v="8035.9996795654297"/>
    <x v="0"/>
  </r>
  <r>
    <s v="TRD00780"/>
    <s v="INE001A01040"/>
    <x v="7"/>
    <x v="3"/>
    <s v="JPMorgan A/C 391364"/>
    <n v="230"/>
    <n v="37.729999542236328"/>
    <n v="8677.8998947143555"/>
    <x v="0"/>
  </r>
  <r>
    <s v="TRD00781"/>
    <s v="INE005A01096"/>
    <x v="0"/>
    <x v="0"/>
    <s v="Citi A/C 700450"/>
    <n v="420"/>
    <n v="277.07998657226563"/>
    <n v="116373.59436035156"/>
    <x v="0"/>
  </r>
  <r>
    <s v="TRD00782"/>
    <s v="INE007A01037"/>
    <x v="17"/>
    <x v="0"/>
    <s v="Barclays A/C 197229"/>
    <n v="200"/>
    <n v="90.870002746582031"/>
    <n v="18174.000549316406"/>
    <x v="0"/>
  </r>
  <r>
    <s v="TRD00783"/>
    <s v="INE003A01089"/>
    <x v="24"/>
    <x v="1"/>
    <s v="Citi A/C 714496"/>
    <n v="210"/>
    <n v="368.01998901367188"/>
    <n v="77284.197692871094"/>
    <x v="0"/>
  </r>
  <r>
    <s v="TRD00784"/>
    <s v="INE003A01053"/>
    <x v="4"/>
    <x v="0"/>
    <s v="HSBC A/C 867781"/>
    <n v="140"/>
    <n v="286.510009765625"/>
    <n v="40111.4013671875"/>
    <x v="0"/>
  </r>
  <r>
    <s v="TRD00785"/>
    <s v="INE002A01050"/>
    <x v="47"/>
    <x v="4"/>
    <s v="Standard Chartered A/C 682134"/>
    <n v="490"/>
    <n v="63.369998931884766"/>
    <n v="31051.299476623535"/>
    <x v="0"/>
  </r>
  <r>
    <s v="TRD00786"/>
    <s v="INE001A01070"/>
    <x v="46"/>
    <x v="4"/>
    <s v="Deutsche Bank A/C 428758"/>
    <n v="340"/>
    <n v="204.69999694824219"/>
    <n v="69597.998962402344"/>
    <x v="0"/>
  </r>
  <r>
    <s v="TRD00787"/>
    <s v="INE004A01024"/>
    <x v="19"/>
    <x v="2"/>
    <s v="Citi A/C 359789"/>
    <n v="110"/>
    <n v="255.69000244140625"/>
    <n v="28125.900268554688"/>
    <x v="0"/>
  </r>
  <r>
    <s v="TRD00788"/>
    <s v="INE006A01093"/>
    <x v="27"/>
    <x v="2"/>
    <s v="HDFC A/C 679335"/>
    <n v="250"/>
    <n v="50.549999237060547"/>
    <n v="12637.499809265137"/>
    <x v="0"/>
  </r>
  <r>
    <s v="TRD00789"/>
    <s v="INE009A01080"/>
    <x v="40"/>
    <x v="2"/>
    <s v="HSBC A/C 468615"/>
    <n v="70"/>
    <n v="462.57000732421875"/>
    <n v="32379.900512695313"/>
    <x v="0"/>
  </r>
  <r>
    <s v="TRD00790"/>
    <s v="INE008A01056"/>
    <x v="18"/>
    <x v="2"/>
    <s v="HSBC A/C 604357"/>
    <n v="420"/>
    <n v="154.11000061035156"/>
    <n v="64726.200256347656"/>
    <x v="0"/>
  </r>
  <r>
    <s v="TRD00791"/>
    <s v="INE007A01013"/>
    <x v="48"/>
    <x v="5"/>
    <s v="Citi A/C 703401"/>
    <n v="480"/>
    <n v="326.57998657226563"/>
    <n v="156758.3935546875"/>
    <x v="0"/>
  </r>
  <r>
    <s v="TRD00792"/>
    <s v="INE009A01014"/>
    <x v="47"/>
    <x v="4"/>
    <s v="Standard Chartered A/C 682134"/>
    <n v="20"/>
    <n v="470.47000122070313"/>
    <n v="9409.4000244140625"/>
    <x v="0"/>
  </r>
  <r>
    <s v="TRD00793"/>
    <s v="INE001A01041"/>
    <x v="16"/>
    <x v="3"/>
    <s v="Deutsche Bank A/C 153521"/>
    <n v="100"/>
    <n v="115.30999755859375"/>
    <n v="11530.999755859375"/>
    <x v="0"/>
  </r>
  <r>
    <s v="TRD00794"/>
    <s v="INE004A01048"/>
    <x v="33"/>
    <x v="0"/>
    <s v="Citi A/C 194841"/>
    <n v="370"/>
    <n v="79.709999084472656"/>
    <n v="29492.699661254883"/>
    <x v="0"/>
  </r>
  <r>
    <s v="TRD00795"/>
    <s v="INE005A0109"/>
    <x v="13"/>
    <x v="4"/>
    <s v="Deutsche Bank A/C 330518"/>
    <n v="290"/>
    <n v="221.33000183105469"/>
    <n v="64185.700531005859"/>
    <x v="0"/>
  </r>
  <r>
    <s v="TRD00796"/>
    <s v="INE007A01067"/>
    <x v="38"/>
    <x v="2"/>
    <s v="HSBC A/C 994063"/>
    <n v="400"/>
    <n v="186.89999389648438"/>
    <n v="74759.99755859375"/>
    <x v="0"/>
  </r>
  <r>
    <s v="TRD00797"/>
    <s v="INE007A01085"/>
    <x v="38"/>
    <x v="2"/>
    <s v="HSBC A/C 994063"/>
    <n v="40"/>
    <n v="162.22000122070313"/>
    <n v="6488.800048828125"/>
    <x v="0"/>
  </r>
  <r>
    <s v="TRD00798"/>
    <s v="INE008A0101"/>
    <x v="12"/>
    <x v="4"/>
    <s v="Citi A/C 543819"/>
    <n v="160"/>
    <n v="122.12999725341797"/>
    <n v="19540.799560546875"/>
    <x v="0"/>
  </r>
  <r>
    <s v="TRD00799"/>
    <s v="INE007A01065"/>
    <x v="22"/>
    <x v="4"/>
    <s v="HSBC A/C 785870"/>
    <n v="480"/>
    <n v="80.550003051757813"/>
    <n v="38664.00146484375"/>
    <x v="0"/>
  </r>
  <r>
    <s v="TRD00800"/>
    <s v="INE009A0106"/>
    <x v="10"/>
    <x v="2"/>
    <s v="Deutsche Bank A/C 917262"/>
    <n v="340"/>
    <n v="340.47000122070313"/>
    <n v="115759.80041503906"/>
    <x v="0"/>
  </r>
  <r>
    <s v="TRD00801"/>
    <s v="INE009A01067"/>
    <x v="1"/>
    <x v="1"/>
    <s v="Standard Chartered A/C 331839"/>
    <n v="350"/>
    <n v="243.91000366210938"/>
    <n v="85368.501281738281"/>
    <x v="0"/>
  </r>
  <r>
    <s v="TRD00802"/>
    <s v="INE003A01065"/>
    <x v="8"/>
    <x v="3"/>
    <s v="Deutsche Bank A/C 917029"/>
    <n v="240"/>
    <n v="421.989990234375"/>
    <n v="101277.59765625"/>
    <x v="0"/>
  </r>
  <r>
    <s v="TRD00803"/>
    <s v="INE007A01035"/>
    <x v="22"/>
    <x v="4"/>
    <s v="HSBC A/C 785870"/>
    <n v="25000"/>
    <n v="23.260000228881836"/>
    <n v="581500.0057220459"/>
    <x v="0"/>
  </r>
  <r>
    <s v="TRD00804"/>
    <s v="INE001A01071"/>
    <x v="39"/>
    <x v="1"/>
    <s v="HSBC A/C 540659"/>
    <n v="400"/>
    <n v="297.25"/>
    <n v="118900"/>
    <x v="0"/>
  </r>
  <r>
    <s v="TRD00805"/>
    <s v="INE002A01095"/>
    <x v="0"/>
    <x v="0"/>
    <s v="Citi A/C 700450"/>
    <n v="260"/>
    <n v="481.39999389648438"/>
    <n v="125163.99841308594"/>
    <x v="0"/>
  </r>
  <r>
    <s v="TRD00806"/>
    <s v="INE009A0100"/>
    <x v="18"/>
    <x v="2"/>
    <s v="HSBC A/C 604357"/>
    <n v="330"/>
    <n v="63.270000457763672"/>
    <n v="20879.100151062012"/>
    <x v="0"/>
  </r>
  <r>
    <s v="TRD00807"/>
    <s v="INE002A01059"/>
    <x v="21"/>
    <x v="1"/>
    <s v="Deutsche Bank A/C 324710"/>
    <n v="90"/>
    <n v="350.70999145507813"/>
    <n v="31563.899230957031"/>
    <x v="0"/>
  </r>
  <r>
    <s v="TRD00808"/>
    <s v="INE005A01030"/>
    <x v="12"/>
    <x v="4"/>
    <s v="Citi A/C 543819"/>
    <n v="10"/>
    <n v="221.88999938964844"/>
    <n v="2218.8999938964844"/>
    <x v="0"/>
  </r>
  <r>
    <s v="TRD00809"/>
    <s v="INE001A01091"/>
    <x v="9"/>
    <x v="2"/>
    <s v="Barclays A/C 560891"/>
    <n v="270"/>
    <n v="375.30999755859375"/>
    <n v="101333.69934082031"/>
    <x v="0"/>
  </r>
  <r>
    <s v="TRD00810"/>
    <s v="INE002A0103"/>
    <x v="29"/>
    <x v="4"/>
    <s v="Deutsche Bank A/C 983712"/>
    <n v="10"/>
    <n v="79.769996643066406"/>
    <n v="797.69996643066406"/>
    <x v="0"/>
  </r>
  <r>
    <s v="TRD00811"/>
    <s v="INE007A01046"/>
    <x v="31"/>
    <x v="4"/>
    <s v="JPMorgan A/C 860462"/>
    <n v="150"/>
    <n v="424.3699951171875"/>
    <n v="63655.499267578125"/>
    <x v="0"/>
  </r>
  <r>
    <s v="TRD00812"/>
    <s v="INE007A01081"/>
    <x v="16"/>
    <x v="3"/>
    <s v="Deutsche Bank A/C 153521"/>
    <n v="20"/>
    <n v="68.529998779296875"/>
    <n v="1370.5999755859375"/>
    <x v="0"/>
  </r>
  <r>
    <s v="TRD00813"/>
    <s v="INE006A01097"/>
    <x v="35"/>
    <x v="4"/>
    <s v="HSBC A/C 972195"/>
    <n v="240"/>
    <n v="492"/>
    <n v="118080"/>
    <x v="0"/>
  </r>
  <r>
    <s v="TRD00814"/>
    <s v="INE002A01057"/>
    <x v="17"/>
    <x v="0"/>
    <s v="Barclays A/C 197229"/>
    <n v="360"/>
    <n v="244.83000183105469"/>
    <n v="88138.800659179688"/>
    <x v="0"/>
  </r>
  <r>
    <s v="TRD00815"/>
    <s v="INE005A01049"/>
    <x v="30"/>
    <x v="5"/>
    <s v="JPMorgan A/C 582379"/>
    <n v="170"/>
    <n v="197.3699951171875"/>
    <n v="33552.899169921875"/>
    <x v="0"/>
  </r>
  <r>
    <s v="TRD00816"/>
    <s v="INE009A01042"/>
    <x v="34"/>
    <x v="5"/>
    <s v="JPMorgan A/C 488546"/>
    <n v="450"/>
    <n v="290.29000854492188"/>
    <n v="130630.50384521484"/>
    <x v="0"/>
  </r>
  <r>
    <s v="TRD00817"/>
    <s v="INE003A01028"/>
    <x v="46"/>
    <x v="4"/>
    <s v="Deutsche Bank A/C 428758"/>
    <n v="200"/>
    <n v="284.58999633789063"/>
    <n v="56917.999267578125"/>
    <x v="0"/>
  </r>
  <r>
    <s v="TRD00818"/>
    <s v="INE004A01077"/>
    <x v="14"/>
    <x v="2"/>
    <s v="HSBC A/C 172861"/>
    <n v="380"/>
    <n v="11.569999694824219"/>
    <n v="4396.5998840332031"/>
    <x v="0"/>
  </r>
  <r>
    <s v="TRD00819"/>
    <s v="INE009A01086"/>
    <x v="34"/>
    <x v="5"/>
    <s v="JPMorgan A/C 488546"/>
    <n v="190"/>
    <n v="122.83000183105469"/>
    <n v="23337.700347900391"/>
    <x v="0"/>
  </r>
  <r>
    <s v="TRD00820"/>
    <s v="INE005A01027"/>
    <x v="25"/>
    <x v="5"/>
    <s v="HDFC A/C 897530"/>
    <n v="310"/>
    <n v="340.29998779296875"/>
    <n v="105492.99621582031"/>
    <x v="0"/>
  </r>
  <r>
    <s v="TRD00821"/>
    <s v="INE002A0100"/>
    <x v="2"/>
    <x v="2"/>
    <s v="Citi A/C 837378"/>
    <n v="150"/>
    <n v="206.21000671386719"/>
    <n v="30931.501007080078"/>
    <x v="0"/>
  </r>
  <r>
    <s v="TRD00822"/>
    <s v="INE002A01080"/>
    <x v="39"/>
    <x v="1"/>
    <s v="HSBC A/C 540659"/>
    <n v="80"/>
    <n v="333.1199951171875"/>
    <n v="26649.599609375"/>
    <x v="0"/>
  </r>
  <r>
    <s v="TRD00823"/>
    <s v="INE004A01071"/>
    <x v="38"/>
    <x v="2"/>
    <s v="HSBC A/C 994063"/>
    <n v="210"/>
    <n v="153.88999938964844"/>
    <n v="32316.899871826172"/>
    <x v="0"/>
  </r>
  <r>
    <s v="TRD00824"/>
    <s v="INE007A01052"/>
    <x v="36"/>
    <x v="0"/>
    <s v="HSBC A/C 864249"/>
    <n v="120"/>
    <n v="171.67999267578125"/>
    <n v="20601.59912109375"/>
    <x v="0"/>
  </r>
  <r>
    <s v="TRD00825"/>
    <s v="INE006A01028"/>
    <x v="20"/>
    <x v="0"/>
    <s v="Citi A/C 508769"/>
    <n v="120"/>
    <n v="209.99000549316406"/>
    <n v="25198.800659179688"/>
    <x v="0"/>
  </r>
  <r>
    <s v="TRD00826"/>
    <s v="INE006A01081"/>
    <x v="29"/>
    <x v="4"/>
    <s v="Deutsche Bank A/C 983712"/>
    <n v="500"/>
    <n v="162.61000061035156"/>
    <n v="81305.000305175781"/>
    <x v="0"/>
  </r>
  <r>
    <s v="TRD00827"/>
    <s v="INE009A01021"/>
    <x v="13"/>
    <x v="4"/>
    <s v="Deutsche Bank A/C 330518"/>
    <n v="260"/>
    <n v="243.66000366210938"/>
    <n v="63351.600952148438"/>
    <x v="0"/>
  </r>
  <r>
    <s v="TRD00828"/>
    <s v="INE008A01033"/>
    <x v="35"/>
    <x v="4"/>
    <s v="HSBC A/C 972195"/>
    <n v="400"/>
    <n v="237.55999755859375"/>
    <n v="95023.9990234375"/>
    <x v="0"/>
  </r>
  <r>
    <s v="TRD00829"/>
    <s v="INE009A01028"/>
    <x v="5"/>
    <x v="3"/>
    <s v="HSBC A/C 562956"/>
    <n v="120"/>
    <n v="249.03999328613281"/>
    <n v="29884.799194335938"/>
    <x v="0"/>
  </r>
  <r>
    <s v="TRD00830"/>
    <s v="INE002A01095"/>
    <x v="38"/>
    <x v="2"/>
    <s v="HSBC A/C 994063"/>
    <n v="-50"/>
    <n v="83.800003051757813"/>
    <n v="-4190.0001525878906"/>
    <x v="1"/>
  </r>
  <r>
    <s v="TRD00831"/>
    <s v="INE003A01087"/>
    <x v="4"/>
    <x v="0"/>
    <s v="HSBC A/C 867781"/>
    <n v="460"/>
    <n v="316.98001098632813"/>
    <n v="145810.80505371094"/>
    <x v="0"/>
  </r>
  <r>
    <s v="TRD00832"/>
    <s v="INE007A01066"/>
    <x v="24"/>
    <x v="1"/>
    <s v="Citi A/C 714496"/>
    <n v="30"/>
    <n v="458.55999755859375"/>
    <n v="13756.799926757813"/>
    <x v="0"/>
  </r>
  <r>
    <s v="TRD00833"/>
    <s v="INE003A01095"/>
    <x v="28"/>
    <x v="2"/>
    <s v="Citi A/C 744145"/>
    <n v="490"/>
    <n v="384.75"/>
    <n v="188527.5"/>
    <x v="0"/>
  </r>
  <r>
    <s v="TRD00834"/>
    <s v="INE003A01052"/>
    <x v="5"/>
    <x v="3"/>
    <s v="HSBC A/C 562956"/>
    <n v="310"/>
    <n v="479.58999633789063"/>
    <n v="148672.89886474609"/>
    <x v="0"/>
  </r>
  <r>
    <s v="TRD00835"/>
    <s v="INE001A01029"/>
    <x v="8"/>
    <x v="3"/>
    <s v="Deutsche Bank A/C 917029"/>
    <n v="340"/>
    <n v="384.92999267578125"/>
    <n v="130876.19750976563"/>
    <x v="0"/>
  </r>
  <r>
    <s v="TRD00836"/>
    <s v="INE009A01079"/>
    <x v="35"/>
    <x v="4"/>
    <s v="HSBC A/C 972195"/>
    <n v="140"/>
    <n v="250.41000366210938"/>
    <n v="35057.400512695313"/>
    <x v="0"/>
  </r>
  <r>
    <s v="TRD00837"/>
    <s v="INE008A01074"/>
    <x v="31"/>
    <x v="4"/>
    <s v="JPMorgan A/C 860462"/>
    <n v="140"/>
    <n v="483.51998901367188"/>
    <n v="67692.798461914063"/>
    <x v="0"/>
  </r>
  <r>
    <s v="TRD00838"/>
    <s v="INE005A01046"/>
    <x v="13"/>
    <x v="4"/>
    <s v="Deutsche Bank A/C 330518"/>
    <n v="450"/>
    <n v="499.52999877929688"/>
    <n v="224788.49945068359"/>
    <x v="0"/>
  </r>
  <r>
    <s v="TRD00839"/>
    <s v="INE003A01043"/>
    <x v="47"/>
    <x v="4"/>
    <s v="Standard Chartered A/C 682134"/>
    <n v="100"/>
    <n v="471.54998779296875"/>
    <n v="47154.998779296875"/>
    <x v="0"/>
  </r>
  <r>
    <s v="TRD00840"/>
    <s v="INE004A01076"/>
    <x v="2"/>
    <x v="2"/>
    <s v="Citi A/C 837378"/>
    <n v="280"/>
    <n v="80.470001220703125"/>
    <n v="22531.600341796875"/>
    <x v="0"/>
  </r>
  <r>
    <s v="TRD00841"/>
    <s v="INE003A01071"/>
    <x v="49"/>
    <x v="0"/>
    <s v="HDFC A/C 543407"/>
    <n v="90"/>
    <n v="265.02999877929688"/>
    <n v="23852.699890136719"/>
    <x v="0"/>
  </r>
  <r>
    <s v="TRD00842"/>
    <s v="INE009A01019"/>
    <x v="8"/>
    <x v="3"/>
    <s v="Deutsche Bank A/C 917029"/>
    <n v="310"/>
    <n v="471.739990234375"/>
    <n v="146239.39697265625"/>
    <x v="0"/>
  </r>
  <r>
    <s v="TRD00843"/>
    <s v="INE001A01022"/>
    <x v="8"/>
    <x v="3"/>
    <s v="Deutsche Bank A/C 917029"/>
    <n v="110"/>
    <n v="404.97000122070313"/>
    <n v="44546.700134277344"/>
    <x v="0"/>
  </r>
  <r>
    <s v="TRD00844"/>
    <s v="INE009A01047"/>
    <x v="36"/>
    <x v="0"/>
    <s v="HSBC A/C 864249"/>
    <n v="340"/>
    <n v="276.8599853515625"/>
    <n v="94132.39501953125"/>
    <x v="0"/>
  </r>
  <r>
    <s v="TRD00845"/>
    <s v="INE008A01078"/>
    <x v="15"/>
    <x v="4"/>
    <s v="Barclays A/C 302646"/>
    <n v="260"/>
    <n v="57.400001525878906"/>
    <n v="14924.000396728516"/>
    <x v="0"/>
  </r>
  <r>
    <s v="TRD00846"/>
    <s v="INE005A01061"/>
    <x v="30"/>
    <x v="5"/>
    <s v="JPMorgan A/C 582379"/>
    <n v="290"/>
    <n v="224.35000610351563"/>
    <n v="65061.501770019531"/>
    <x v="0"/>
  </r>
  <r>
    <s v="TRD00847"/>
    <s v="INE004A01055"/>
    <x v="40"/>
    <x v="2"/>
    <s v="HSBC A/C 468615"/>
    <n v="270"/>
    <n v="13.319999694824219"/>
    <n v="3596.3999176025391"/>
    <x v="0"/>
  </r>
  <r>
    <s v="TRD00848"/>
    <s v="INE007A01083"/>
    <x v="49"/>
    <x v="0"/>
    <s v="HDFC A/C 543407"/>
    <n v="210"/>
    <n v="167.72000122070313"/>
    <n v="35221.200256347656"/>
    <x v="0"/>
  </r>
  <r>
    <s v="TRD00849"/>
    <s v="INE005A01085"/>
    <x v="10"/>
    <x v="2"/>
    <s v="Deutsche Bank A/C 917262"/>
    <n v="20"/>
    <n v="188.75999450683594"/>
    <n v="3775.1998901367188"/>
    <x v="0"/>
  </r>
  <r>
    <s v="TRD00850"/>
    <s v="INE003A01063"/>
    <x v="49"/>
    <x v="0"/>
    <s v="HDFC A/C 543407"/>
    <n v="270"/>
    <n v="85.480003356933594"/>
    <n v="23079.60090637207"/>
    <x v="0"/>
  </r>
  <r>
    <s v="TRD00851"/>
    <s v="INE004A01033"/>
    <x v="29"/>
    <x v="4"/>
    <s v="Deutsche Bank A/C 983712"/>
    <n v="470"/>
    <n v="124.72000122070313"/>
    <n v="58618.400573730469"/>
    <x v="0"/>
  </r>
  <r>
    <s v="TRD00852"/>
    <s v="INE007A01075"/>
    <x v="15"/>
    <x v="4"/>
    <s v="Barclays A/C 302646"/>
    <n v="280"/>
    <n v="81.150001525878906"/>
    <n v="22722.000427246094"/>
    <x v="0"/>
  </r>
  <r>
    <s v="TRD00853"/>
    <s v="INE003A01083"/>
    <x v="49"/>
    <x v="0"/>
    <s v="HDFC A/C 543407"/>
    <n v="260"/>
    <n v="487.23001098632813"/>
    <n v="126679.80285644531"/>
    <x v="0"/>
  </r>
  <r>
    <s v="TRD00854"/>
    <s v="INE003A01017"/>
    <x v="5"/>
    <x v="3"/>
    <s v="HSBC A/C 562956"/>
    <n v="150"/>
    <n v="383.25"/>
    <n v="57487.5"/>
    <x v="0"/>
  </r>
  <r>
    <s v="TRD00855"/>
    <s v="INE009A01048"/>
    <x v="26"/>
    <x v="0"/>
    <s v="Citi A/C 416082"/>
    <n v="110"/>
    <n v="67.300003051757813"/>
    <n v="7403.0003356933594"/>
    <x v="0"/>
  </r>
  <r>
    <s v="TRD00856"/>
    <s v="INE001A01013"/>
    <x v="19"/>
    <x v="2"/>
    <s v="Citi A/C 359789"/>
    <n v="440"/>
    <n v="345.29000854492188"/>
    <n v="151927.60375976563"/>
    <x v="0"/>
  </r>
  <r>
    <s v="TRD00857"/>
    <s v="INE002A01062"/>
    <x v="33"/>
    <x v="0"/>
    <s v="Citi A/C 194841"/>
    <n v="380"/>
    <n v="280.94000244140625"/>
    <n v="106757.20092773438"/>
    <x v="0"/>
  </r>
  <r>
    <s v="TRD00858"/>
    <s v="INE005A01012"/>
    <x v="39"/>
    <x v="1"/>
    <s v="HSBC A/C 540659"/>
    <n v="320"/>
    <n v="445.79000854492188"/>
    <n v="142652.802734375"/>
    <x v="0"/>
  </r>
  <r>
    <s v="TRD00859"/>
    <s v="INE002A01088"/>
    <x v="31"/>
    <x v="4"/>
    <s v="JPMorgan A/C 860462"/>
    <n v="60"/>
    <n v="169.17999267578125"/>
    <n v="10150.799560546875"/>
    <x v="0"/>
  </r>
  <r>
    <s v="TRD00860"/>
    <s v="INE006A01087"/>
    <x v="10"/>
    <x v="2"/>
    <s v="Deutsche Bank A/C 917262"/>
    <n v="90"/>
    <n v="288.26998901367188"/>
    <n v="25944.299011230469"/>
    <x v="0"/>
  </r>
  <r>
    <s v="TRD00861"/>
    <s v="INE003A01014"/>
    <x v="23"/>
    <x v="2"/>
    <s v="Standard Chartered A/C 277005"/>
    <n v="270"/>
    <n v="398.01998901367188"/>
    <n v="107465.39703369141"/>
    <x v="0"/>
  </r>
  <r>
    <s v="TRD00862"/>
    <s v="INE002A01038"/>
    <x v="38"/>
    <x v="2"/>
    <s v="HSBC A/C 994063"/>
    <n v="160"/>
    <n v="101.23000335693359"/>
    <n v="16196.800537109375"/>
    <x v="0"/>
  </r>
  <r>
    <s v="TRD00863"/>
    <s v="INE001A01047"/>
    <x v="5"/>
    <x v="3"/>
    <s v="HSBC A/C 562956"/>
    <n v="230"/>
    <n v="258.489990234375"/>
    <n v="59452.69775390625"/>
    <x v="0"/>
  </r>
  <r>
    <s v="TRD00864"/>
    <s v="INE005A01088"/>
    <x v="29"/>
    <x v="4"/>
    <s v="Deutsche Bank A/C 983712"/>
    <n v="100"/>
    <n v="238.19999694824219"/>
    <n v="23819.999694824219"/>
    <x v="0"/>
  </r>
  <r>
    <s v="TRD00865"/>
    <s v="INE006A01027"/>
    <x v="1"/>
    <x v="1"/>
    <s v="Standard Chartered A/C 331839"/>
    <n v="320"/>
    <n v="166.58999633789063"/>
    <n v="53308.798828125"/>
    <x v="0"/>
  </r>
  <r>
    <s v="TRD00866"/>
    <s v="INE001A01087"/>
    <x v="47"/>
    <x v="4"/>
    <s v="Standard Chartered A/C 682134"/>
    <n v="80"/>
    <n v="177.69000244140625"/>
    <n v="14215.2001953125"/>
    <x v="0"/>
  </r>
  <r>
    <s v="TRD00867"/>
    <s v="INE007A01014"/>
    <x v="48"/>
    <x v="5"/>
    <s v="Citi A/C 703401"/>
    <n v="500"/>
    <n v="163.35000610351563"/>
    <n v="81675.003051757813"/>
    <x v="0"/>
  </r>
  <r>
    <s v="TRD00868"/>
    <s v="INE007A0109"/>
    <x v="5"/>
    <x v="3"/>
    <s v="HSBC A/C 562956"/>
    <n v="380"/>
    <n v="23.219999313354492"/>
    <n v="8823.599739074707"/>
    <x v="0"/>
  </r>
  <r>
    <s v="TRD00869"/>
    <s v="INE001A01093"/>
    <x v="44"/>
    <x v="4"/>
    <s v="JPMorgan A/C 704166"/>
    <n v="410"/>
    <n v="414.76998901367188"/>
    <n v="170055.69549560547"/>
    <x v="0"/>
  </r>
  <r>
    <s v="TRD00870"/>
    <s v="INE004A01050"/>
    <x v="6"/>
    <x v="0"/>
    <s v="JPMorgan A/C 987170"/>
    <n v="450"/>
    <n v="503.29000854492188"/>
    <n v="226480.50384521484"/>
    <x v="0"/>
  </r>
  <r>
    <s v="TRD00871"/>
    <s v="INE002A01078"/>
    <x v="40"/>
    <x v="2"/>
    <s v="HSBC A/C 468615"/>
    <n v="270"/>
    <n v="211.8800048828125"/>
    <n v="57207.601318359375"/>
    <x v="0"/>
  </r>
  <r>
    <s v="TRD00872"/>
    <s v="INE004A01037"/>
    <x v="2"/>
    <x v="2"/>
    <s v="Citi A/C 837378"/>
    <n v="320"/>
    <n v="471.44000244140625"/>
    <n v="150860.80078125"/>
    <x v="0"/>
  </r>
  <r>
    <s v="TRD00873"/>
    <s v="INE009A0104"/>
    <x v="10"/>
    <x v="2"/>
    <s v="Deutsche Bank A/C 917262"/>
    <n v="440"/>
    <n v="470.69000244140625"/>
    <n v="207103.60107421875"/>
    <x v="0"/>
  </r>
  <r>
    <s v="TRD00874"/>
    <s v="INE002A01017"/>
    <x v="50"/>
    <x v="5"/>
    <s v="HDFC A/C 180445"/>
    <n v="170"/>
    <n v="406.17001342773438"/>
    <n v="69048.902282714844"/>
    <x v="0"/>
  </r>
  <r>
    <s v="TRD00875"/>
    <s v="INE004A01032"/>
    <x v="6"/>
    <x v="0"/>
    <s v="JPMorgan A/C 987170"/>
    <n v="420"/>
    <n v="232.22000122070313"/>
    <n v="97532.400512695313"/>
    <x v="0"/>
  </r>
  <r>
    <s v="TRD00876"/>
    <s v="INE004A01064"/>
    <x v="45"/>
    <x v="0"/>
    <s v="HDFC A/C 113752"/>
    <n v="300"/>
    <n v="411"/>
    <n v="123300"/>
    <x v="0"/>
  </r>
  <r>
    <s v="TRD00877"/>
    <s v="INE001A01048"/>
    <x v="34"/>
    <x v="5"/>
    <s v="JPMorgan A/C 488546"/>
    <n v="310"/>
    <n v="162.47999572753906"/>
    <n v="50368.798675537109"/>
    <x v="0"/>
  </r>
  <r>
    <s v="TRD00878"/>
    <s v="INE003A01078"/>
    <x v="41"/>
    <x v="4"/>
    <s v="Standard Chartered A/C 441247"/>
    <n v="130"/>
    <n v="214.44000244140625"/>
    <n v="27877.200317382813"/>
    <x v="0"/>
  </r>
  <r>
    <s v="TRD00879"/>
    <s v="INE004A01065"/>
    <x v="36"/>
    <x v="0"/>
    <s v="HSBC A/C 864249"/>
    <n v="340"/>
    <n v="52.479999542236328"/>
    <n v="17843.199844360352"/>
    <x v="0"/>
  </r>
  <r>
    <s v="TRD00880"/>
    <s v="INE009A01082"/>
    <x v="33"/>
    <x v="0"/>
    <s v="Citi A/C 194841"/>
    <n v="210"/>
    <n v="170.00999450683594"/>
    <n v="35702.098846435547"/>
    <x v="0"/>
  </r>
  <r>
    <s v="TRD00881"/>
    <s v="INE005A01018"/>
    <x v="30"/>
    <x v="5"/>
    <s v="JPMorgan A/C 582379"/>
    <n v="25000"/>
    <n v="396.69000244140625"/>
    <n v="9917250.0610351563"/>
    <x v="2"/>
  </r>
  <r>
    <s v="TRD00882"/>
    <s v="INE006A01089"/>
    <x v="43"/>
    <x v="3"/>
    <s v="JPMorgan A/C 603587"/>
    <n v="90"/>
    <n v="223.42999267578125"/>
    <n v="20108.699340820313"/>
    <x v="0"/>
  </r>
  <r>
    <s v="TRD00883"/>
    <s v="INE005A01026"/>
    <x v="3"/>
    <x v="2"/>
    <s v="Deutsche Bank A/C 126543"/>
    <n v="390"/>
    <n v="440.17001342773438"/>
    <n v="171666.30523681641"/>
    <x v="0"/>
  </r>
  <r>
    <s v="TRD00884"/>
    <s v="INE009A01092"/>
    <x v="0"/>
    <x v="0"/>
    <s v="Citi A/C 700450"/>
    <n v="180"/>
    <n v="455.33999633789063"/>
    <n v="81961.199340820313"/>
    <x v="0"/>
  </r>
  <r>
    <s v="TRD00885"/>
    <s v="INE002A01024"/>
    <x v="28"/>
    <x v="2"/>
    <s v="Citi A/C 744145"/>
    <n v="430"/>
    <n v="91.470001220703125"/>
    <n v="39332.100524902344"/>
    <x v="0"/>
  </r>
  <r>
    <s v="TRD00886"/>
    <s v="INE005A0102"/>
    <x v="3"/>
    <x v="2"/>
    <s v="Deutsche Bank A/C 126543"/>
    <n v="60"/>
    <n v="335.1099853515625"/>
    <n v="20106.59912109375"/>
    <x v="0"/>
  </r>
  <r>
    <s v="TRD00887"/>
    <s v="INE007A0101"/>
    <x v="29"/>
    <x v="4"/>
    <s v="Deutsche Bank A/C 983712"/>
    <n v="190"/>
    <n v="86.910003662109375"/>
    <n v="16512.900695800781"/>
    <x v="0"/>
  </r>
  <r>
    <s v="TRD00888"/>
    <s v="INE008A01043"/>
    <x v="21"/>
    <x v="1"/>
    <s v="Deutsche Bank A/C 324710"/>
    <n v="390"/>
    <n v="411.57000732421875"/>
    <n v="160512.30285644531"/>
    <x v="0"/>
  </r>
  <r>
    <s v="TRD00889"/>
    <s v="INE009A01044"/>
    <x v="24"/>
    <x v="1"/>
    <s v="Citi A/C 714496"/>
    <n v="400"/>
    <n v="287.82998657226563"/>
    <n v="115131.99462890625"/>
    <x v="0"/>
  </r>
  <r>
    <s v="TRD00890"/>
    <s v="INE006A01066"/>
    <x v="0"/>
    <x v="0"/>
    <s v="Citi A/C 700450"/>
    <n v="440"/>
    <n v="358.54000854492188"/>
    <n v="157757.60375976563"/>
    <x v="0"/>
  </r>
  <r>
    <s v="TRD00891"/>
    <s v="INE007A01067"/>
    <x v="1"/>
    <x v="1"/>
    <s v="Standard Chartered A/C 331839"/>
    <n v="390"/>
    <n v="180.55999755859375"/>
    <n v="70418.399047851563"/>
    <x v="0"/>
  </r>
  <r>
    <s v="TRD00892"/>
    <s v="INE002A01048"/>
    <x v="48"/>
    <x v="5"/>
    <s v="Citi A/C 703401"/>
    <n v="100"/>
    <n v="474.85000610351563"/>
    <n v="47485.000610351563"/>
    <x v="0"/>
  </r>
  <r>
    <s v="TRD00893"/>
    <s v="INE003A0107"/>
    <x v="39"/>
    <x v="1"/>
    <s v="HSBC A/C 540659"/>
    <n v="25000"/>
    <n v="123.97000122070313"/>
    <n v="3099250.0305175781"/>
    <x v="2"/>
  </r>
  <r>
    <s v="TRD00894"/>
    <s v="INE007A01067"/>
    <x v="26"/>
    <x v="0"/>
    <s v="Citi A/C 416082"/>
    <n v="120"/>
    <n v="422.77999877929688"/>
    <n v="50733.599853515625"/>
    <x v="0"/>
  </r>
  <r>
    <s v="TRD00895"/>
    <s v="INE004A01010"/>
    <x v="31"/>
    <x v="4"/>
    <s v="JPMorgan A/C 860462"/>
    <n v="150"/>
    <n v="184.3699951171875"/>
    <n v="27655.499267578125"/>
    <x v="0"/>
  </r>
  <r>
    <s v="TRD00896"/>
    <s v="INE002A01076"/>
    <x v="14"/>
    <x v="2"/>
    <s v="HSBC A/C 172861"/>
    <n v="460"/>
    <n v="33"/>
    <n v="15180"/>
    <x v="0"/>
  </r>
  <r>
    <s v="TRD00897"/>
    <s v="INE001A01089"/>
    <x v="33"/>
    <x v="0"/>
    <s v="Citi A/C 194841"/>
    <n v="10"/>
    <n v="288.260009765625"/>
    <n v="2882.60009765625"/>
    <x v="0"/>
  </r>
  <r>
    <s v="TRD00898"/>
    <s v="INE005A01026"/>
    <x v="16"/>
    <x v="3"/>
    <s v="Deutsche Bank A/C 153521"/>
    <n v="150"/>
    <n v="215.02999877929688"/>
    <n v="32254.499816894531"/>
    <x v="0"/>
  </r>
  <r>
    <s v="TRD00899"/>
    <s v="INE004A01061"/>
    <x v="23"/>
    <x v="2"/>
    <s v="Standard Chartered A/C 277005"/>
    <n v="300"/>
    <n v="273.51998901367188"/>
    <n v="82055.996704101563"/>
    <x v="0"/>
  </r>
  <r>
    <s v="TRD00900"/>
    <s v="INE005A01025"/>
    <x v="0"/>
    <x v="0"/>
    <s v="Citi A/C 700450"/>
    <n v="240"/>
    <n v="369.25"/>
    <n v="88620"/>
    <x v="0"/>
  </r>
  <r>
    <s v="TRD00901"/>
    <s v="INE009A01045"/>
    <x v="50"/>
    <x v="5"/>
    <s v="HDFC A/C 180445"/>
    <n v="350"/>
    <n v="103.05000305175781"/>
    <n v="36067.501068115234"/>
    <x v="0"/>
  </r>
  <r>
    <s v="TRD00902"/>
    <s v="INE006A0106"/>
    <x v="3"/>
    <x v="2"/>
    <s v="Deutsche Bank A/C 126543"/>
    <n v="380"/>
    <n v="21.059999465942383"/>
    <n v="8002.7997970581055"/>
    <x v="0"/>
  </r>
  <r>
    <s v="TRD00903"/>
    <s v="INE006A01087"/>
    <x v="50"/>
    <x v="5"/>
    <s v="HDFC A/C 180445"/>
    <n v="150"/>
    <n v="364.739990234375"/>
    <n v="54710.99853515625"/>
    <x v="0"/>
  </r>
  <r>
    <s v="TRD00904"/>
    <s v="INE001A01027"/>
    <x v="4"/>
    <x v="0"/>
    <s v="HSBC A/C 867781"/>
    <n v="360"/>
    <n v="320.85000610351563"/>
    <n v="115506.00219726563"/>
    <x v="0"/>
  </r>
  <r>
    <s v="TRD00905"/>
    <s v="INE004A01058"/>
    <x v="12"/>
    <x v="4"/>
    <s v="Citi A/C 543819"/>
    <n v="280"/>
    <n v="271.48001098632813"/>
    <n v="76014.403076171875"/>
    <x v="0"/>
  </r>
  <r>
    <s v="TRD00906"/>
    <s v="INE008A01071"/>
    <x v="18"/>
    <x v="2"/>
    <s v="HSBC A/C 604357"/>
    <n v="80"/>
    <n v="44.009998321533203"/>
    <n v="3520.7998657226563"/>
    <x v="0"/>
  </r>
  <r>
    <s v="TRD00907"/>
    <s v="INE007A01054"/>
    <x v="29"/>
    <x v="4"/>
    <s v="Deutsche Bank A/C 983712"/>
    <n v="480"/>
    <n v="161.16000366210938"/>
    <n v="77356.8017578125"/>
    <x v="0"/>
  </r>
  <r>
    <s v="TRD00908"/>
    <s v="INE006A01048"/>
    <x v="44"/>
    <x v="4"/>
    <s v="JPMorgan A/C 704166"/>
    <n v="80"/>
    <n v="90.94000244140625"/>
    <n v="7275.2001953125"/>
    <x v="0"/>
  </r>
  <r>
    <s v="TRD00909"/>
    <s v="INE002A01095"/>
    <x v="6"/>
    <x v="0"/>
    <s v="JPMorgan A/C 987170"/>
    <n v="70"/>
    <n v="496.67001342773438"/>
    <n v="34766.900939941406"/>
    <x v="0"/>
  </r>
  <r>
    <s v="TRD00910"/>
    <s v="INE009A01089"/>
    <x v="32"/>
    <x v="1"/>
    <s v="Standard Chartered A/C 438949"/>
    <n v="10"/>
    <n v="487.010009765625"/>
    <n v="4870.10009765625"/>
    <x v="0"/>
  </r>
  <r>
    <s v="TRD00911"/>
    <s v="INE006A01027"/>
    <x v="8"/>
    <x v="3"/>
    <s v="Deutsche Bank A/C 917029"/>
    <n v="40"/>
    <n v="365.91000366210938"/>
    <n v="14636.400146484375"/>
    <x v="0"/>
  </r>
  <r>
    <s v="TRD00912"/>
    <s v="INE001A01054"/>
    <x v="45"/>
    <x v="0"/>
    <s v="HDFC A/C 113752"/>
    <n v="160"/>
    <n v="382.6300048828125"/>
    <n v="61220.80078125"/>
    <x v="0"/>
  </r>
  <r>
    <s v="TRD00913"/>
    <s v="INE002A01021"/>
    <x v="1"/>
    <x v="1"/>
    <s v="Standard Chartered A/C 331839"/>
    <n v="480"/>
    <n v="481.760009765625"/>
    <n v="231244.8046875"/>
    <x v="0"/>
  </r>
  <r>
    <s v="TRD00914"/>
    <s v="INE007A01026"/>
    <x v="9"/>
    <x v="2"/>
    <s v="Barclays A/C 560891"/>
    <n v="440"/>
    <n v="53.180000305175781"/>
    <n v="23399.200134277344"/>
    <x v="0"/>
  </r>
  <r>
    <s v="TRD00915"/>
    <s v="INE001A01071"/>
    <x v="3"/>
    <x v="2"/>
    <s v="Deutsche Bank A/C 126543"/>
    <n v="110"/>
    <n v="182.11000061035156"/>
    <n v="20032.100067138672"/>
    <x v="0"/>
  </r>
  <r>
    <s v="TRD00916"/>
    <s v="INE009A01012"/>
    <x v="12"/>
    <x v="4"/>
    <s v="Citi A/C 543819"/>
    <n v="380"/>
    <n v="399.04998779296875"/>
    <n v="151638.99536132813"/>
    <x v="0"/>
  </r>
  <r>
    <s v="TRD00917"/>
    <s v="INE009A0101"/>
    <x v="35"/>
    <x v="4"/>
    <s v="HSBC A/C 972195"/>
    <n v="25000"/>
    <n v="281.42001342773438"/>
    <n v="7035500.3356933594"/>
    <x v="2"/>
  </r>
  <r>
    <s v="TRD00918"/>
    <s v="INE008A0101"/>
    <x v="15"/>
    <x v="4"/>
    <s v="Barclays A/C 302646"/>
    <n v="280"/>
    <n v="149.28999328613281"/>
    <n v="41801.198120117188"/>
    <x v="0"/>
  </r>
  <r>
    <s v="TRD00919"/>
    <s v="INE008A01070"/>
    <x v="29"/>
    <x v="4"/>
    <s v="Deutsche Bank A/C 983712"/>
    <n v="230"/>
    <n v="454.69000244140625"/>
    <n v="104578.70056152344"/>
    <x v="0"/>
  </r>
  <r>
    <s v="TRD00920"/>
    <s v="INE006A01030"/>
    <x v="18"/>
    <x v="2"/>
    <s v="HSBC A/C 604357"/>
    <n v="500"/>
    <n v="10.380000114440918"/>
    <n v="5190.000057220459"/>
    <x v="0"/>
  </r>
  <r>
    <s v="TRD00921"/>
    <s v="INE006A01043"/>
    <x v="20"/>
    <x v="0"/>
    <s v="Citi A/C 508769"/>
    <n v="350"/>
    <n v="230.64999389648438"/>
    <n v="80727.497863769531"/>
    <x v="0"/>
  </r>
  <r>
    <s v="TRD00922"/>
    <s v="INE001A01055"/>
    <x v="15"/>
    <x v="4"/>
    <s v="Barclays A/C 302646"/>
    <n v="470"/>
    <n v="381.3800048828125"/>
    <n v="179248.60229492188"/>
    <x v="0"/>
  </r>
  <r>
    <s v="TRD00923"/>
    <s v="INE007A01046"/>
    <x v="4"/>
    <x v="0"/>
    <s v="HSBC A/C 867781"/>
    <n v="130"/>
    <n v="330.010009765625"/>
    <n v="42901.30126953125"/>
    <x v="0"/>
  </r>
  <r>
    <s v="TRD00924"/>
    <s v="INE009A01075"/>
    <x v="21"/>
    <x v="1"/>
    <s v="Deutsche Bank A/C 324710"/>
    <n v="20"/>
    <n v="295.510009765625"/>
    <n v="5910.2001953125"/>
    <x v="0"/>
  </r>
  <r>
    <s v="TRD00925"/>
    <s v="INE008A01039"/>
    <x v="21"/>
    <x v="1"/>
    <s v="Deutsche Bank A/C 324710"/>
    <n v="440"/>
    <n v="98.459999084472656"/>
    <n v="43322.399597167969"/>
    <x v="0"/>
  </r>
  <r>
    <s v="TRD00926"/>
    <s v="INE001A01013"/>
    <x v="29"/>
    <x v="4"/>
    <s v="Deutsche Bank A/C 983712"/>
    <n v="100"/>
    <n v="410.95999145507813"/>
    <n v="41095.999145507813"/>
    <x v="0"/>
  </r>
  <r>
    <s v="TRD00927"/>
    <s v="INE001A0108"/>
    <x v="25"/>
    <x v="5"/>
    <s v="HDFC A/C 897530"/>
    <n v="310"/>
    <n v="506.70999145507813"/>
    <n v="157080.09735107422"/>
    <x v="0"/>
  </r>
  <r>
    <s v="TRD00928"/>
    <s v="INE006A01015"/>
    <x v="22"/>
    <x v="4"/>
    <s v="HSBC A/C 785870"/>
    <n v="270"/>
    <n v="10.939999580383301"/>
    <n v="2953.7998867034912"/>
    <x v="0"/>
  </r>
  <r>
    <s v="TRD00929"/>
    <s v="INE006A01060"/>
    <x v="31"/>
    <x v="4"/>
    <s v="JPMorgan A/C 860462"/>
    <n v="350"/>
    <n v="150.47000122070313"/>
    <n v="52664.500427246094"/>
    <x v="0"/>
  </r>
  <r>
    <s v="TRD00930"/>
    <s v="INE002A01052"/>
    <x v="41"/>
    <x v="4"/>
    <s v="Standard Chartered A/C 441247"/>
    <n v="250"/>
    <n v="503.64999389648438"/>
    <n v="125912.49847412109"/>
    <x v="0"/>
  </r>
  <r>
    <s v="TRD00931"/>
    <s v="INE002A01032"/>
    <x v="36"/>
    <x v="0"/>
    <s v="HSBC A/C 864249"/>
    <n v="330"/>
    <n v="250.42999267578125"/>
    <n v="82641.897583007813"/>
    <x v="0"/>
  </r>
  <r>
    <s v="TRD00932"/>
    <s v="INE003A01024"/>
    <x v="25"/>
    <x v="5"/>
    <s v="HDFC A/C 897530"/>
    <n v="340"/>
    <n v="422.29998779296875"/>
    <n v="143581.99584960938"/>
    <x v="0"/>
  </r>
  <r>
    <s v="TRD00933"/>
    <s v="INE005A01083"/>
    <x v="19"/>
    <x v="2"/>
    <s v="Citi A/C 359789"/>
    <n v="140"/>
    <n v="152.30999755859375"/>
    <n v="21323.399658203125"/>
    <x v="0"/>
  </r>
  <r>
    <s v="TRD00934"/>
    <s v="INE008A01051"/>
    <x v="15"/>
    <x v="4"/>
    <s v="Barclays A/C 302646"/>
    <n v="500"/>
    <n v="425.07998657226563"/>
    <n v="212539.99328613281"/>
    <x v="0"/>
  </r>
  <r>
    <s v="TRD00935"/>
    <s v="INE006A01098"/>
    <x v="30"/>
    <x v="5"/>
    <s v="JPMorgan A/C 582379"/>
    <n v="290"/>
    <n v="326.79998779296875"/>
    <n v="94771.996459960938"/>
    <x v="0"/>
  </r>
  <r>
    <s v="TRD00936"/>
    <s v="INE001A01082"/>
    <x v="39"/>
    <x v="1"/>
    <s v="HSBC A/C 540659"/>
    <n v="290"/>
    <n v="295.20001220703125"/>
    <n v="85608.003540039063"/>
    <x v="0"/>
  </r>
  <r>
    <s v="TRD00937"/>
    <s v="INE009A01088"/>
    <x v="31"/>
    <x v="4"/>
    <s v="JPMorgan A/C 860462"/>
    <n v="410"/>
    <n v="369.60000610351563"/>
    <n v="151536.00250244141"/>
    <x v="0"/>
  </r>
  <r>
    <s v="TRD00938"/>
    <s v="INE004A01088"/>
    <x v="20"/>
    <x v="0"/>
    <s v="Citi A/C 508769"/>
    <n v="420"/>
    <n v="440.8699951171875"/>
    <n v="185165.39794921875"/>
    <x v="0"/>
  </r>
  <r>
    <s v="TRD00939"/>
    <s v="INE008A01085"/>
    <x v="3"/>
    <x v="2"/>
    <s v="Deutsche Bank A/C 126543"/>
    <n v="260"/>
    <n v="501.42999267578125"/>
    <n v="130371.79809570313"/>
    <x v="0"/>
  </r>
  <r>
    <s v="TRD00940"/>
    <s v="INE006A01067"/>
    <x v="39"/>
    <x v="1"/>
    <s v="HSBC A/C 540659"/>
    <n v="210"/>
    <n v="395.27999877929688"/>
    <n v="83008.799743652344"/>
    <x v="0"/>
  </r>
  <r>
    <s v="TRD00941"/>
    <s v="INE002A01051"/>
    <x v="13"/>
    <x v="4"/>
    <s v="Deutsche Bank A/C 330518"/>
    <n v="220"/>
    <n v="67.970001220703125"/>
    <n v="14953.400268554688"/>
    <x v="0"/>
  </r>
  <r>
    <s v="TRD00942"/>
    <s v="INE004A01041"/>
    <x v="5"/>
    <x v="3"/>
    <s v="HSBC A/C 562956"/>
    <n v="100"/>
    <n v="316.6400146484375"/>
    <n v="31664.00146484375"/>
    <x v="0"/>
  </r>
  <r>
    <s v="TRD00943"/>
    <s v="INE001A01070"/>
    <x v="5"/>
    <x v="3"/>
    <s v="HSBC A/C 562956"/>
    <n v="310"/>
    <n v="39.950000762939453"/>
    <n v="12384.50023651123"/>
    <x v="0"/>
  </r>
  <r>
    <s v="TRD00944"/>
    <s v="INE002A01057"/>
    <x v="46"/>
    <x v="4"/>
    <s v="Deutsche Bank A/C 428758"/>
    <n v="170"/>
    <n v="488.14999389648438"/>
    <n v="82985.498962402344"/>
    <x v="0"/>
  </r>
  <r>
    <s v="TRD00945"/>
    <s v="INE007A01052"/>
    <x v="17"/>
    <x v="0"/>
    <s v="Barclays A/C 197229"/>
    <n v="160"/>
    <n v="13.050000190734863"/>
    <n v="2088.0000305175781"/>
    <x v="0"/>
  </r>
  <r>
    <s v="TRD00946"/>
    <s v="INE002A01087"/>
    <x v="16"/>
    <x v="3"/>
    <s v="Deutsche Bank A/C 153521"/>
    <n v="120"/>
    <n v="318.01998901367188"/>
    <n v="38162.398681640625"/>
    <x v="0"/>
  </r>
  <r>
    <s v="TRD00947"/>
    <s v="INE007A01031"/>
    <x v="41"/>
    <x v="4"/>
    <s v="Standard Chartered A/C 441247"/>
    <n v="30"/>
    <n v="207.99000549316406"/>
    <n v="6239.7001647949219"/>
    <x v="0"/>
  </r>
  <r>
    <s v="TRD00948"/>
    <s v="INE002A01030"/>
    <x v="40"/>
    <x v="2"/>
    <s v="HSBC A/C 468615"/>
    <n v="260"/>
    <n v="339.45001220703125"/>
    <n v="88257.003173828125"/>
    <x v="0"/>
  </r>
  <r>
    <s v="TRD00949"/>
    <s v="INE009A01067"/>
    <x v="49"/>
    <x v="0"/>
    <s v="HDFC A/C 543407"/>
    <n v="300"/>
    <n v="470.45999145507813"/>
    <n v="141137.99743652344"/>
    <x v="0"/>
  </r>
  <r>
    <s v="TRD00950"/>
    <s v="INE001A0107"/>
    <x v="3"/>
    <x v="2"/>
    <s v="Deutsche Bank A/C 126543"/>
    <n v="40"/>
    <n v="210.63999938964844"/>
    <n v="8425.5999755859375"/>
    <x v="0"/>
  </r>
  <r>
    <s v="TRD00951"/>
    <s v="INE004A01046"/>
    <x v="49"/>
    <x v="0"/>
    <s v="HDFC A/C 543407"/>
    <n v="490"/>
    <n v="271.17001342773438"/>
    <n v="132873.30657958984"/>
    <x v="0"/>
  </r>
  <r>
    <s v="TRD00952"/>
    <s v="INE001A01064"/>
    <x v="8"/>
    <x v="3"/>
    <s v="Deutsche Bank A/C 917029"/>
    <n v="40"/>
    <n v="214.78999328613281"/>
    <n v="8591.5997314453125"/>
    <x v="0"/>
  </r>
  <r>
    <s v="TRD00953"/>
    <s v="INE003A01076"/>
    <x v="27"/>
    <x v="2"/>
    <s v="HDFC A/C 679335"/>
    <n v="230"/>
    <n v="205.82000732421875"/>
    <n v="47338.601684570313"/>
    <x v="0"/>
  </r>
  <r>
    <s v="TRD00954"/>
    <s v="INE006A01076"/>
    <x v="34"/>
    <x v="5"/>
    <s v="JPMorgan A/C 488546"/>
    <n v="25000"/>
    <n v="463.91000366210938"/>
    <n v="11597750.091552734"/>
    <x v="2"/>
  </r>
  <r>
    <s v="TRD00955"/>
    <s v="INE005A01032"/>
    <x v="11"/>
    <x v="3"/>
    <s v="Standard Chartered A/C 307017"/>
    <n v="450"/>
    <n v="281.16000366210938"/>
    <n v="126522.00164794922"/>
    <x v="0"/>
  </r>
  <r>
    <s v="TRD00956"/>
    <s v="INE009A01029"/>
    <x v="30"/>
    <x v="5"/>
    <s v="JPMorgan A/C 582379"/>
    <n v="440"/>
    <n v="113.62999725341797"/>
    <n v="49997.198791503906"/>
    <x v="0"/>
  </r>
  <r>
    <s v="TRD00957"/>
    <s v="INE007A01020"/>
    <x v="12"/>
    <x v="4"/>
    <s v="Citi A/C 543819"/>
    <n v="350"/>
    <n v="21.110000610351563"/>
    <n v="7388.5002136230469"/>
    <x v="0"/>
  </r>
  <r>
    <s v="TRD00958"/>
    <s v="INE009A01010"/>
    <x v="2"/>
    <x v="2"/>
    <s v="Citi A/C 837378"/>
    <n v="120"/>
    <n v="446.239990234375"/>
    <n v="53548.798828125"/>
    <x v="0"/>
  </r>
  <r>
    <s v="TRD00959"/>
    <s v="INE004A01097"/>
    <x v="15"/>
    <x v="4"/>
    <s v="Barclays A/C 302646"/>
    <n v="480"/>
    <n v="464.45001220703125"/>
    <n v="222936.005859375"/>
    <x v="0"/>
  </r>
  <r>
    <s v="TRD00960"/>
    <s v="INE003A01019"/>
    <x v="32"/>
    <x v="1"/>
    <s v="Standard Chartered A/C 438949"/>
    <n v="190"/>
    <n v="34"/>
    <n v="6460"/>
    <x v="0"/>
  </r>
  <r>
    <s v="TRD00961"/>
    <s v="INE002A01098"/>
    <x v="43"/>
    <x v="3"/>
    <s v="JPMorgan A/C 603587"/>
    <n v="300"/>
    <n v="245.96000671386719"/>
    <n v="73788.002014160156"/>
    <x v="0"/>
  </r>
  <r>
    <s v="TRD00962"/>
    <s v="INE002A0100"/>
    <x v="44"/>
    <x v="4"/>
    <s v="JPMorgan A/C 704166"/>
    <n v="410"/>
    <n v="74.19000244140625"/>
    <n v="30417.901000976563"/>
    <x v="0"/>
  </r>
  <r>
    <s v="TRD00963"/>
    <s v="INE007A01075"/>
    <x v="46"/>
    <x v="4"/>
    <s v="Deutsche Bank A/C 428758"/>
    <n v="390"/>
    <n v="125.40000152587891"/>
    <n v="48906.000595092773"/>
    <x v="0"/>
  </r>
  <r>
    <s v="TRD00964"/>
    <s v="INE009A01019"/>
    <x v="45"/>
    <x v="0"/>
    <s v="HDFC A/C 113752"/>
    <n v="170"/>
    <n v="389.07000732421875"/>
    <n v="66141.901245117188"/>
    <x v="0"/>
  </r>
  <r>
    <s v="TRD00965"/>
    <s v="INE003A01010"/>
    <x v="23"/>
    <x v="2"/>
    <s v="Standard Chartered A/C 277005"/>
    <n v="460"/>
    <n v="487.52999877929688"/>
    <n v="224263.79943847656"/>
    <x v="0"/>
  </r>
  <r>
    <s v="TRD00966"/>
    <s v="INE005A01069"/>
    <x v="16"/>
    <x v="3"/>
    <s v="Deutsche Bank A/C 153521"/>
    <n v="500"/>
    <n v="425.89999389648438"/>
    <n v="212949.99694824219"/>
    <x v="0"/>
  </r>
  <r>
    <s v="TRD00967"/>
    <s v="INE009A0106"/>
    <x v="44"/>
    <x v="4"/>
    <s v="JPMorgan A/C 704166"/>
    <n v="330"/>
    <n v="342.1300048828125"/>
    <n v="112902.90161132813"/>
    <x v="0"/>
  </r>
  <r>
    <s v="TRD00968"/>
    <s v="INE006A01068"/>
    <x v="49"/>
    <x v="0"/>
    <s v="HDFC A/C 543407"/>
    <n v="20"/>
    <n v="256.95999145507813"/>
    <n v="5139.1998291015625"/>
    <x v="0"/>
  </r>
  <r>
    <s v="TRD00969"/>
    <s v="INE005A01094"/>
    <x v="33"/>
    <x v="0"/>
    <s v="Citi A/C 194841"/>
    <n v="450"/>
    <n v="323.95001220703125"/>
    <n v="145777.50549316406"/>
    <x v="0"/>
  </r>
  <r>
    <s v="TRD00970"/>
    <s v="INE005A01059"/>
    <x v="32"/>
    <x v="1"/>
    <s v="Standard Chartered A/C 438949"/>
    <n v="20"/>
    <n v="79.5"/>
    <n v="1590"/>
    <x v="0"/>
  </r>
  <r>
    <s v="TRD00971"/>
    <s v="INE006A01030"/>
    <x v="16"/>
    <x v="3"/>
    <s v="Deutsche Bank A/C 153521"/>
    <n v="420"/>
    <n v="192.77000427246094"/>
    <n v="80963.401794433594"/>
    <x v="0"/>
  </r>
  <r>
    <s v="TRD00972"/>
    <s v="INE006A01010"/>
    <x v="16"/>
    <x v="3"/>
    <s v="Deutsche Bank A/C 153521"/>
    <n v="390"/>
    <n v="215.78999328613281"/>
    <n v="84158.097381591797"/>
    <x v="0"/>
  </r>
  <r>
    <s v="TRD00973"/>
    <s v="INE005A01092"/>
    <x v="7"/>
    <x v="3"/>
    <s v="JPMorgan A/C 391364"/>
    <n v="440"/>
    <n v="333.35000610351563"/>
    <n v="146674.00268554688"/>
    <x v="0"/>
  </r>
  <r>
    <s v="TRD00974"/>
    <s v="INE007A01011"/>
    <x v="36"/>
    <x v="0"/>
    <s v="HSBC A/C 864249"/>
    <n v="130"/>
    <n v="113.08999633789063"/>
    <n v="14701.699523925781"/>
    <x v="0"/>
  </r>
  <r>
    <s v="TRD00975"/>
    <s v="INE003A01087"/>
    <x v="18"/>
    <x v="2"/>
    <s v="HSBC A/C 604357"/>
    <n v="320"/>
    <n v="255.44999694824219"/>
    <n v="81743.9990234375"/>
    <x v="0"/>
  </r>
  <r>
    <s v="TRD00976"/>
    <s v="INE006A01081"/>
    <x v="2"/>
    <x v="2"/>
    <s v="Citi A/C 837378"/>
    <n v="400"/>
    <n v="343.67999267578125"/>
    <n v="137471.9970703125"/>
    <x v="0"/>
  </r>
  <r>
    <s v="TRD00977"/>
    <s v="INE007A01045"/>
    <x v="2"/>
    <x v="2"/>
    <s v="Citi A/C 837378"/>
    <n v="40"/>
    <n v="93.849998474121094"/>
    <n v="3753.9999389648438"/>
    <x v="0"/>
  </r>
  <r>
    <s v="TRD00978"/>
    <s v="INE006A01064"/>
    <x v="38"/>
    <x v="2"/>
    <s v="HSBC A/C 994063"/>
    <n v="460"/>
    <n v="104.81999969482422"/>
    <n v="48217.199859619141"/>
    <x v="0"/>
  </r>
  <r>
    <s v="TRD00979"/>
    <s v="INE004A01020"/>
    <x v="46"/>
    <x v="4"/>
    <s v="Deutsche Bank A/C 428758"/>
    <n v="170"/>
    <n v="108.30000305175781"/>
    <n v="18411.000518798828"/>
    <x v="0"/>
  </r>
  <r>
    <s v="TRD00980"/>
    <s v="INE002A01027"/>
    <x v="10"/>
    <x v="2"/>
    <s v="Deutsche Bank A/C 917262"/>
    <n v="210"/>
    <n v="218.77000427246094"/>
    <n v="45941.700897216797"/>
    <x v="0"/>
  </r>
  <r>
    <s v="TRD00981"/>
    <s v="INE006A01092"/>
    <x v="29"/>
    <x v="4"/>
    <s v="Deutsche Bank A/C 983712"/>
    <n v="410"/>
    <n v="183.57000732421875"/>
    <n v="75263.703002929688"/>
    <x v="0"/>
  </r>
  <r>
    <s v="TRD00982"/>
    <s v="INE008A01061"/>
    <x v="1"/>
    <x v="1"/>
    <s v="Standard Chartered A/C 331839"/>
    <n v="160"/>
    <n v="132.80000305175781"/>
    <n v="21248.00048828125"/>
    <x v="0"/>
  </r>
  <r>
    <s v="TRD00983"/>
    <s v="INE006A01067"/>
    <x v="0"/>
    <x v="0"/>
    <s v="Citi A/C 700450"/>
    <n v="100"/>
    <n v="329.42001342773438"/>
    <n v="32942.001342773438"/>
    <x v="0"/>
  </r>
  <r>
    <s v="TRD00984"/>
    <s v="INE007A01084"/>
    <x v="28"/>
    <x v="2"/>
    <s v="Citi A/C 744145"/>
    <n v="450"/>
    <n v="419.17999267578125"/>
    <n v="188630.99670410156"/>
    <x v="0"/>
  </r>
  <r>
    <s v="TRD00985"/>
    <s v="INE009A01075"/>
    <x v="48"/>
    <x v="5"/>
    <s v="Citi A/C 703401"/>
    <n v="190"/>
    <n v="180.6300048828125"/>
    <n v="34319.700927734375"/>
    <x v="0"/>
  </r>
  <r>
    <s v="TRD00986"/>
    <s v="INE009A01040"/>
    <x v="17"/>
    <x v="0"/>
    <s v="Barclays A/C 197229"/>
    <n v="350"/>
    <n v="275.16000366210938"/>
    <n v="96306.001281738281"/>
    <x v="0"/>
  </r>
  <r>
    <s v="TRD00987"/>
    <s v="INE004A01070"/>
    <x v="43"/>
    <x v="3"/>
    <s v="JPMorgan A/C 603587"/>
    <n v="260"/>
    <n v="496.95999145507813"/>
    <n v="129209.59777832031"/>
    <x v="0"/>
  </r>
  <r>
    <s v="TRD00988"/>
    <s v="INE008A01095"/>
    <x v="3"/>
    <x v="2"/>
    <s v="Deutsche Bank A/C 126543"/>
    <n v="260"/>
    <n v="23.030000686645508"/>
    <n v="5987.800178527832"/>
    <x v="0"/>
  </r>
  <r>
    <s v="TRD00989"/>
    <s v="INE009A01034"/>
    <x v="16"/>
    <x v="3"/>
    <s v="Deutsche Bank A/C 153521"/>
    <n v="10"/>
    <n v="163.16999816894531"/>
    <n v="1631.6999816894531"/>
    <x v="0"/>
  </r>
  <r>
    <s v="TRD00990"/>
    <s v="INE003A01044"/>
    <x v="16"/>
    <x v="3"/>
    <s v="Deutsche Bank A/C 153521"/>
    <n v="200"/>
    <n v="110.02999877929688"/>
    <n v="22005.999755859375"/>
    <x v="0"/>
  </r>
  <r>
    <s v="TRD00991"/>
    <s v="INE002A01071"/>
    <x v="21"/>
    <x v="1"/>
    <s v="Deutsche Bank A/C 324710"/>
    <n v="290"/>
    <n v="189.03999328613281"/>
    <n v="54821.598052978516"/>
    <x v="0"/>
  </r>
  <r>
    <s v="TRD00992"/>
    <s v="INE002A0102"/>
    <x v="48"/>
    <x v="5"/>
    <s v="Citi A/C 703401"/>
    <n v="290"/>
    <n v="108.44000244140625"/>
    <n v="31447.600708007813"/>
    <x v="0"/>
  </r>
  <r>
    <s v="TRD00993"/>
    <s v="INE004A01011"/>
    <x v="10"/>
    <x v="2"/>
    <s v="Deutsche Bank A/C 917262"/>
    <n v="30"/>
    <n v="209.30999755859375"/>
    <n v="6279.2999267578125"/>
    <x v="0"/>
  </r>
  <r>
    <s v="TRD00994"/>
    <s v="INE005A01012"/>
    <x v="43"/>
    <x v="3"/>
    <s v="JPMorgan A/C 603587"/>
    <n v="320"/>
    <n v="215.52999877929688"/>
    <n v="68969.599609375"/>
    <x v="0"/>
  </r>
  <r>
    <s v="TRD00995"/>
    <s v="INE006A0108"/>
    <x v="26"/>
    <x v="0"/>
    <s v="Citi A/C 416082"/>
    <n v="320"/>
    <n v="483.76998901367188"/>
    <n v="154806.396484375"/>
    <x v="0"/>
  </r>
  <r>
    <s v="TRD00996"/>
    <s v="INE001A01042"/>
    <x v="29"/>
    <x v="4"/>
    <s v="Deutsche Bank A/C 983712"/>
    <n v="180"/>
    <n v="253.55000305175781"/>
    <n v="45639.000549316406"/>
    <x v="0"/>
  </r>
  <r>
    <s v="TRD00997"/>
    <s v="INE008A01044"/>
    <x v="41"/>
    <x v="4"/>
    <s v="Standard Chartered A/C 441247"/>
    <n v="360"/>
    <n v="397.17999267578125"/>
    <n v="142984.79736328125"/>
    <x v="0"/>
  </r>
  <r>
    <s v="TRD00998"/>
    <s v="INE002A01084"/>
    <x v="28"/>
    <x v="2"/>
    <s v="Citi A/C 744145"/>
    <n v="380"/>
    <n v="169.77999877929688"/>
    <n v="64516.399536132813"/>
    <x v="0"/>
  </r>
  <r>
    <s v="TRD00999"/>
    <s v="INE003A01023"/>
    <x v="48"/>
    <x v="5"/>
    <s v="Citi A/C 703401"/>
    <n v="500"/>
    <n v="459.29000854492188"/>
    <n v="229645.00427246094"/>
    <x v="0"/>
  </r>
  <r>
    <s v="TRD01000"/>
    <s v="INE001A01057"/>
    <x v="21"/>
    <x v="1"/>
    <s v="Deutsche Bank A/C 324710"/>
    <n v="60"/>
    <n v="36.479999542236328"/>
    <n v="2188.7999725341797"/>
    <x v="0"/>
  </r>
  <r>
    <s v="TRD01001"/>
    <s v="INE005A01075"/>
    <x v="7"/>
    <x v="3"/>
    <s v="JPMorgan A/C 391364"/>
    <n v="170"/>
    <n v="304.8900146484375"/>
    <n v="51831.302490234375"/>
    <x v="0"/>
  </r>
  <r>
    <s v="TRD01002"/>
    <s v="INE007A0103"/>
    <x v="43"/>
    <x v="3"/>
    <s v="JPMorgan A/C 603587"/>
    <n v="490"/>
    <n v="50.909999847412109"/>
    <n v="24945.899925231934"/>
    <x v="0"/>
  </r>
  <r>
    <s v="TRD01003"/>
    <s v="INE005A01056"/>
    <x v="28"/>
    <x v="2"/>
    <s v="Citi A/C 744145"/>
    <n v="470"/>
    <n v="193.72999572753906"/>
    <n v="91053.097991943359"/>
    <x v="0"/>
  </r>
  <r>
    <s v="TRD01004"/>
    <s v="INE008A01089"/>
    <x v="27"/>
    <x v="2"/>
    <s v="HDFC A/C 679335"/>
    <n v="70"/>
    <n v="35.340000152587891"/>
    <n v="2473.8000106811523"/>
    <x v="0"/>
  </r>
  <r>
    <s v="TRD01005"/>
    <s v="INE003A01046"/>
    <x v="25"/>
    <x v="5"/>
    <s v="HDFC A/C 897530"/>
    <n v="90"/>
    <n v="10.569999694824219"/>
    <n v="951.29997253417969"/>
    <x v="0"/>
  </r>
  <r>
    <s v="TRD01006"/>
    <s v="INE008A0108"/>
    <x v="20"/>
    <x v="0"/>
    <s v="Citi A/C 508769"/>
    <n v="320"/>
    <n v="437.04998779296875"/>
    <n v="139855.99609375"/>
    <x v="0"/>
  </r>
  <r>
    <s v="TRD01007"/>
    <s v="INE001A01048"/>
    <x v="37"/>
    <x v="6"/>
    <s v="MISSING SSI"/>
    <n v="120"/>
    <n v="370.22000122070313"/>
    <n v="44426.400146484375"/>
    <x v="3"/>
  </r>
  <r>
    <s v="TRD01008"/>
    <s v="INE005A01076"/>
    <x v="13"/>
    <x v="4"/>
    <s v="Deutsche Bank A/C 330518"/>
    <n v="470"/>
    <n v="372.70999145507813"/>
    <n v="175173.69598388672"/>
    <x v="0"/>
  </r>
  <r>
    <s v="TRD01009"/>
    <s v="INE006A01046"/>
    <x v="29"/>
    <x v="4"/>
    <s v="Deutsche Bank A/C 983712"/>
    <n v="320"/>
    <n v="258.73001098632813"/>
    <n v="82793.603515625"/>
    <x v="0"/>
  </r>
  <r>
    <s v="TRD01010"/>
    <s v="INE002A01084"/>
    <x v="40"/>
    <x v="2"/>
    <s v="HSBC A/C 468615"/>
    <n v="440"/>
    <n v="495.29998779296875"/>
    <n v="217931.99462890625"/>
    <x v="0"/>
  </r>
  <r>
    <s v="TRD01011"/>
    <s v="INE008A01032"/>
    <x v="30"/>
    <x v="5"/>
    <s v="JPMorgan A/C 582379"/>
    <n v="140"/>
    <n v="338.54998779296875"/>
    <n v="47396.998291015625"/>
    <x v="0"/>
  </r>
  <r>
    <s v="TRD01012"/>
    <s v="INE005A01049"/>
    <x v="22"/>
    <x v="4"/>
    <s v="HSBC A/C 785870"/>
    <n v="90"/>
    <n v="83.620002746582031"/>
    <n v="7525.8002471923828"/>
    <x v="0"/>
  </r>
  <r>
    <s v="TRD01013"/>
    <s v="INE009A01068"/>
    <x v="13"/>
    <x v="4"/>
    <s v="Deutsche Bank A/C 330518"/>
    <n v="500"/>
    <n v="314.760009765625"/>
    <n v="157380.0048828125"/>
    <x v="0"/>
  </r>
  <r>
    <s v="TRD01014"/>
    <s v="INE003A01040"/>
    <x v="40"/>
    <x v="2"/>
    <s v="HSBC A/C 468615"/>
    <n v="430"/>
    <n v="155.25"/>
    <n v="66757.5"/>
    <x v="0"/>
  </r>
  <r>
    <s v="TRD01015"/>
    <s v="INE001A01087"/>
    <x v="31"/>
    <x v="4"/>
    <s v="JPMorgan A/C 860462"/>
    <n v="470"/>
    <n v="17.440000534057617"/>
    <n v="8196.8002510070801"/>
    <x v="0"/>
  </r>
  <r>
    <s v="TRD01016"/>
    <s v="INE004A01051"/>
    <x v="27"/>
    <x v="2"/>
    <s v="HDFC A/C 679335"/>
    <n v="60"/>
    <n v="352.760009765625"/>
    <n v="21165.6005859375"/>
    <x v="0"/>
  </r>
  <r>
    <s v="TRD01017"/>
    <s v="INE002A01045"/>
    <x v="42"/>
    <x v="0"/>
    <s v="HDFC A/C 638209"/>
    <n v="220"/>
    <n v="401.67001342773438"/>
    <n v="88367.402954101563"/>
    <x v="0"/>
  </r>
  <r>
    <s v="TRD01018"/>
    <s v="INE004A0102"/>
    <x v="25"/>
    <x v="5"/>
    <s v="HDFC A/C 897530"/>
    <n v="250"/>
    <n v="443.73001098632813"/>
    <n v="110932.50274658203"/>
    <x v="0"/>
  </r>
  <r>
    <s v="TRD01019"/>
    <s v="INE008A01024"/>
    <x v="11"/>
    <x v="3"/>
    <s v="Standard Chartered A/C 307017"/>
    <n v="50"/>
    <n v="47.529998779296875"/>
    <n v="2376.4999389648438"/>
    <x v="0"/>
  </r>
  <r>
    <s v="TRD01020"/>
    <s v="INE005A01036"/>
    <x v="36"/>
    <x v="0"/>
    <s v="HSBC A/C 864249"/>
    <n v="350"/>
    <n v="320.75"/>
    <n v="112262.5"/>
    <x v="0"/>
  </r>
  <r>
    <s v="TRD01021"/>
    <s v="INE005A01030"/>
    <x v="30"/>
    <x v="5"/>
    <s v="JPMorgan A/C 582379"/>
    <n v="410"/>
    <n v="160.10000610351563"/>
    <n v="65641.002502441406"/>
    <x v="0"/>
  </r>
  <r>
    <s v="TRD01022"/>
    <s v="INE007A01022"/>
    <x v="22"/>
    <x v="4"/>
    <s v="HSBC A/C 785870"/>
    <n v="360"/>
    <n v="501.3800048828125"/>
    <n v="180496.8017578125"/>
    <x v="0"/>
  </r>
  <r>
    <s v="TRD01023"/>
    <s v="INE002A01095"/>
    <x v="4"/>
    <x v="0"/>
    <s v="HSBC A/C 867781"/>
    <n v="350"/>
    <n v="69.449996948242188"/>
    <n v="24307.498931884766"/>
    <x v="0"/>
  </r>
  <r>
    <s v="TRD01024"/>
    <s v="INE009A01055"/>
    <x v="21"/>
    <x v="1"/>
    <s v="Deutsche Bank A/C 324710"/>
    <n v="390"/>
    <n v="128.21000671386719"/>
    <n v="50001.902618408203"/>
    <x v="0"/>
  </r>
  <r>
    <s v="TRD01025"/>
    <s v="INE009A01076"/>
    <x v="37"/>
    <x v="6"/>
    <s v="MISSING SSI"/>
    <n v="440"/>
    <n v="52.560001373291016"/>
    <n v="23126.400604248047"/>
    <x v="3"/>
  </r>
  <r>
    <s v="TRD01026"/>
    <s v="INE004A01046"/>
    <x v="4"/>
    <x v="0"/>
    <s v="HSBC A/C 867781"/>
    <n v="25000"/>
    <n v="171.94000244140625"/>
    <n v="4298500.0610351563"/>
    <x v="2"/>
  </r>
  <r>
    <s v="TRD01027"/>
    <s v="INE004A01090"/>
    <x v="42"/>
    <x v="0"/>
    <s v="HDFC A/C 638209"/>
    <n v="340"/>
    <n v="265.1099853515625"/>
    <n v="90137.39501953125"/>
    <x v="0"/>
  </r>
  <r>
    <s v="TRD01028"/>
    <s v="INE006A01042"/>
    <x v="15"/>
    <x v="4"/>
    <s v="Barclays A/C 302646"/>
    <n v="480"/>
    <n v="43.979999542236328"/>
    <n v="21110.399780273438"/>
    <x v="0"/>
  </r>
  <r>
    <s v="TRD01029"/>
    <s v="INE003A01080"/>
    <x v="12"/>
    <x v="4"/>
    <s v="Citi A/C 543819"/>
    <n v="60"/>
    <n v="309.57998657226563"/>
    <n v="18574.799194335938"/>
    <x v="0"/>
  </r>
  <r>
    <s v="TRD01030"/>
    <s v="INE002A01048"/>
    <x v="1"/>
    <x v="1"/>
    <s v="Standard Chartered A/C 331839"/>
    <n v="500"/>
    <n v="89.510002136230469"/>
    <n v="44755.001068115234"/>
    <x v="0"/>
  </r>
  <r>
    <s v="TRD01031"/>
    <s v="INE005A01094"/>
    <x v="42"/>
    <x v="0"/>
    <s v="HDFC A/C 638209"/>
    <n v="200"/>
    <n v="387.89999389648438"/>
    <n v="77579.998779296875"/>
    <x v="0"/>
  </r>
  <r>
    <s v="TRD01032"/>
    <s v="INE007A01027"/>
    <x v="47"/>
    <x v="4"/>
    <s v="Standard Chartered A/C 682134"/>
    <n v="340"/>
    <n v="435.48001098632813"/>
    <n v="148063.20373535156"/>
    <x v="0"/>
  </r>
  <r>
    <s v="TRD01033"/>
    <s v="INE002A01062"/>
    <x v="14"/>
    <x v="2"/>
    <s v="HSBC A/C 172861"/>
    <n v="100"/>
    <n v="439.51998901367188"/>
    <n v="43951.998901367188"/>
    <x v="0"/>
  </r>
  <r>
    <s v="TRD01034"/>
    <s v="INE008A01071"/>
    <x v="2"/>
    <x v="2"/>
    <s v="Citi A/C 837378"/>
    <n v="420"/>
    <n v="333.8599853515625"/>
    <n v="140221.19384765625"/>
    <x v="0"/>
  </r>
  <r>
    <s v="TRD01035"/>
    <s v="INE008A01036"/>
    <x v="32"/>
    <x v="1"/>
    <s v="Standard Chartered A/C 438949"/>
    <n v="250"/>
    <n v="28.889999389648438"/>
    <n v="7222.4998474121094"/>
    <x v="0"/>
  </r>
  <r>
    <s v="TRD01036"/>
    <s v="INE001A01095"/>
    <x v="22"/>
    <x v="4"/>
    <s v="HSBC A/C 785870"/>
    <n v="290"/>
    <n v="161.58000183105469"/>
    <n v="46858.200531005859"/>
    <x v="0"/>
  </r>
  <r>
    <s v="TRD01037"/>
    <s v="INE003A01095"/>
    <x v="47"/>
    <x v="4"/>
    <s v="Standard Chartered A/C 682134"/>
    <n v="260"/>
    <n v="345.45999145507813"/>
    <n v="89819.597778320313"/>
    <x v="0"/>
  </r>
  <r>
    <s v="TRD01038"/>
    <s v="INE002A01041"/>
    <x v="1"/>
    <x v="1"/>
    <s v="Standard Chartered A/C 331839"/>
    <n v="110"/>
    <n v="420.6099853515625"/>
    <n v="46267.098388671875"/>
    <x v="0"/>
  </r>
  <r>
    <s v="TRD01039"/>
    <s v="INE004A01044"/>
    <x v="39"/>
    <x v="1"/>
    <s v="HSBC A/C 540659"/>
    <n v="340"/>
    <n v="203.69000244140625"/>
    <n v="69254.600830078125"/>
    <x v="0"/>
  </r>
  <r>
    <s v="TRD01040"/>
    <s v="INE004A01074"/>
    <x v="32"/>
    <x v="1"/>
    <s v="Standard Chartered A/C 438949"/>
    <n v="170"/>
    <n v="237.89999389648438"/>
    <n v="40442.998962402344"/>
    <x v="0"/>
  </r>
  <r>
    <s v="TRD01041"/>
    <s v="INE005A01010"/>
    <x v="44"/>
    <x v="4"/>
    <s v="JPMorgan A/C 704166"/>
    <n v="360"/>
    <n v="43.020000457763672"/>
    <n v="15487.200164794922"/>
    <x v="0"/>
  </r>
  <r>
    <s v="TRD01042"/>
    <s v="INE001A01086"/>
    <x v="14"/>
    <x v="2"/>
    <s v="HSBC A/C 172861"/>
    <n v="390"/>
    <n v="365.39999389648438"/>
    <n v="142505.99761962891"/>
    <x v="0"/>
  </r>
  <r>
    <s v="TRD01043"/>
    <s v="INE001A01047"/>
    <x v="13"/>
    <x v="4"/>
    <s v="Deutsche Bank A/C 330518"/>
    <n v="280"/>
    <n v="427.92001342773438"/>
    <n v="119817.60375976563"/>
    <x v="0"/>
  </r>
  <r>
    <s v="TRD01044"/>
    <s v="INE007A01092"/>
    <x v="34"/>
    <x v="5"/>
    <s v="JPMorgan A/C 488546"/>
    <n v="310"/>
    <n v="180.05999755859375"/>
    <n v="55818.599243164063"/>
    <x v="0"/>
  </r>
  <r>
    <s v="TRD01045"/>
    <s v="INE008A01033"/>
    <x v="26"/>
    <x v="0"/>
    <s v="Citi A/C 416082"/>
    <n v="230"/>
    <n v="47.840000152587891"/>
    <n v="11003.200035095215"/>
    <x v="0"/>
  </r>
  <r>
    <s v="TRD01046"/>
    <s v="INE003A01035"/>
    <x v="1"/>
    <x v="1"/>
    <s v="Standard Chartered A/C 331839"/>
    <n v="90"/>
    <n v="183.83999633789063"/>
    <n v="16545.599670410156"/>
    <x v="0"/>
  </r>
  <r>
    <s v="TRD01047"/>
    <s v="INE007A01072"/>
    <x v="21"/>
    <x v="1"/>
    <s v="Deutsche Bank A/C 324710"/>
    <n v="420"/>
    <n v="217.22000122070313"/>
    <n v="91232.400512695313"/>
    <x v="0"/>
  </r>
  <r>
    <s v="TRD01048"/>
    <s v="INE008A01078"/>
    <x v="39"/>
    <x v="1"/>
    <s v="HSBC A/C 540659"/>
    <n v="20"/>
    <n v="503.69000244140625"/>
    <n v="10073.800048828125"/>
    <x v="0"/>
  </r>
  <r>
    <s v="TRD01049"/>
    <s v="INE001A01092"/>
    <x v="41"/>
    <x v="4"/>
    <s v="Standard Chartered A/C 441247"/>
    <n v="25000"/>
    <n v="206.72999572753906"/>
    <n v="5168249.8931884766"/>
    <x v="2"/>
  </r>
  <r>
    <s v="TRD01050"/>
    <s v="INE007A01081"/>
    <x v="42"/>
    <x v="0"/>
    <s v="HDFC A/C 638209"/>
    <n v="310"/>
    <n v="30.559999465942383"/>
    <n v="9473.5998344421387"/>
    <x v="0"/>
  </r>
  <r>
    <s v="TRD01051"/>
    <s v="INE007A01030"/>
    <x v="18"/>
    <x v="2"/>
    <s v="HSBC A/C 604357"/>
    <n v="290"/>
    <n v="67.970001220703125"/>
    <n v="19711.300354003906"/>
    <x v="0"/>
  </r>
  <r>
    <s v="TRD01052"/>
    <s v="INE002A01077"/>
    <x v="35"/>
    <x v="4"/>
    <s v="HSBC A/C 972195"/>
    <n v="250"/>
    <n v="148.28999328613281"/>
    <n v="37072.498321533203"/>
    <x v="0"/>
  </r>
  <r>
    <s v="TRD01053"/>
    <s v="INE004A01019"/>
    <x v="10"/>
    <x v="2"/>
    <s v="Deutsche Bank A/C 917262"/>
    <n v="160"/>
    <n v="108.69000244140625"/>
    <n v="17390.400390625"/>
    <x v="0"/>
  </r>
  <r>
    <s v="TRD01054"/>
    <s v="INE001A01059"/>
    <x v="13"/>
    <x v="4"/>
    <s v="Deutsche Bank A/C 330518"/>
    <n v="400"/>
    <n v="44.130001068115234"/>
    <n v="17652.000427246094"/>
    <x v="0"/>
  </r>
  <r>
    <s v="TRD01055"/>
    <s v="INE009A01070"/>
    <x v="8"/>
    <x v="3"/>
    <s v="Deutsche Bank A/C 917029"/>
    <n v="30"/>
    <n v="57.389999389648438"/>
    <n v="1721.6999816894531"/>
    <x v="0"/>
  </r>
  <r>
    <s v="TRD01056"/>
    <s v="INE001A01037"/>
    <x v="2"/>
    <x v="2"/>
    <s v="Citi A/C 837378"/>
    <n v="500"/>
    <n v="509.07998657226563"/>
    <n v="254539.99328613281"/>
    <x v="0"/>
  </r>
  <r>
    <s v="TRD01057"/>
    <s v="INE007A0109"/>
    <x v="5"/>
    <x v="3"/>
    <s v="HSBC A/C 562956"/>
    <n v="440"/>
    <n v="267.60000610351563"/>
    <n v="117744.00268554688"/>
    <x v="0"/>
  </r>
  <r>
    <s v="TRD01058"/>
    <s v="INE001A01048"/>
    <x v="2"/>
    <x v="2"/>
    <s v="Citi A/C 837378"/>
    <n v="400"/>
    <n v="459.17999267578125"/>
    <n v="183671.9970703125"/>
    <x v="0"/>
  </r>
  <r>
    <s v="TRD01059"/>
    <s v="INE001A01083"/>
    <x v="39"/>
    <x v="1"/>
    <s v="HSBC A/C 540659"/>
    <n v="80"/>
    <n v="217.83999633789063"/>
    <n v="17427.19970703125"/>
    <x v="0"/>
  </r>
  <r>
    <s v="TRD01060"/>
    <s v="INE003A01054"/>
    <x v="40"/>
    <x v="2"/>
    <s v="HSBC A/C 468615"/>
    <n v="100"/>
    <n v="435.42999267578125"/>
    <n v="43542.999267578125"/>
    <x v="0"/>
  </r>
  <r>
    <s v="TRD01061"/>
    <s v="INE008A01067"/>
    <x v="46"/>
    <x v="4"/>
    <s v="Deutsche Bank A/C 428758"/>
    <n v="240"/>
    <n v="11.600000381469727"/>
    <n v="2784.0000915527344"/>
    <x v="0"/>
  </r>
  <r>
    <s v="TRD01062"/>
    <s v="INE008A01041"/>
    <x v="26"/>
    <x v="0"/>
    <s v="Citi A/C 416082"/>
    <n v="200"/>
    <n v="103.83999633789063"/>
    <n v="20767.999267578125"/>
    <x v="0"/>
  </r>
  <r>
    <s v="TRD01063"/>
    <s v="INE009A01059"/>
    <x v="6"/>
    <x v="0"/>
    <s v="JPMorgan A/C 987170"/>
    <n v="340"/>
    <n v="377.42001342773438"/>
    <n v="128322.80456542969"/>
    <x v="0"/>
  </r>
  <r>
    <s v="TRD01064"/>
    <s v="INE006A01020"/>
    <x v="25"/>
    <x v="5"/>
    <s v="HDFC A/C 897530"/>
    <n v="440"/>
    <n v="255.44000244140625"/>
    <n v="112393.60107421875"/>
    <x v="0"/>
  </r>
  <r>
    <s v="TRD01065"/>
    <s v="INE008A01084"/>
    <x v="31"/>
    <x v="4"/>
    <s v="JPMorgan A/C 860462"/>
    <n v="430"/>
    <n v="168.80999755859375"/>
    <n v="72588.298950195313"/>
    <x v="0"/>
  </r>
  <r>
    <s v="TRD01066"/>
    <s v="INE004A01028"/>
    <x v="48"/>
    <x v="5"/>
    <s v="Citi A/C 703401"/>
    <n v="180"/>
    <n v="306.25"/>
    <n v="55125"/>
    <x v="0"/>
  </r>
  <r>
    <s v="TRD01067"/>
    <s v="INE008A01089"/>
    <x v="39"/>
    <x v="1"/>
    <s v="HSBC A/C 540659"/>
    <n v="200"/>
    <n v="364.27999877929688"/>
    <n v="72855.999755859375"/>
    <x v="0"/>
  </r>
  <r>
    <s v="TRD01068"/>
    <s v="INE004A01025"/>
    <x v="25"/>
    <x v="5"/>
    <s v="HDFC A/C 897530"/>
    <n v="410"/>
    <n v="297.26998901367188"/>
    <n v="121880.69549560547"/>
    <x v="0"/>
  </r>
  <r>
    <s v="TRD01069"/>
    <s v="INE007A01050"/>
    <x v="35"/>
    <x v="4"/>
    <s v="HSBC A/C 972195"/>
    <n v="430"/>
    <n v="67.349998474121094"/>
    <n v="28960.49934387207"/>
    <x v="0"/>
  </r>
  <r>
    <s v="TRD01070"/>
    <s v="INE008A01098"/>
    <x v="47"/>
    <x v="4"/>
    <s v="Standard Chartered A/C 682134"/>
    <n v="250"/>
    <n v="394.51998901367188"/>
    <n v="98629.997253417969"/>
    <x v="0"/>
  </r>
  <r>
    <s v="TRD01071"/>
    <s v="INE006A01065"/>
    <x v="3"/>
    <x v="2"/>
    <s v="Deutsche Bank A/C 126543"/>
    <n v="50"/>
    <n v="506.54000854492188"/>
    <n v="25327.000427246094"/>
    <x v="0"/>
  </r>
  <r>
    <s v="TRD01072"/>
    <s v="INE004A01059"/>
    <x v="27"/>
    <x v="2"/>
    <s v="HDFC A/C 679335"/>
    <n v="410"/>
    <n v="389.010009765625"/>
    <n v="159494.10400390625"/>
    <x v="0"/>
  </r>
  <r>
    <s v="TRD01073"/>
    <s v="INE006A01057"/>
    <x v="32"/>
    <x v="1"/>
    <s v="Standard Chartered A/C 438949"/>
    <n v="100"/>
    <n v="35.349998474121094"/>
    <n v="3534.9998474121094"/>
    <x v="0"/>
  </r>
  <r>
    <s v="TRD01074"/>
    <s v="INE009A01044"/>
    <x v="10"/>
    <x v="2"/>
    <s v="Deutsche Bank A/C 917262"/>
    <n v="280"/>
    <n v="196.77999877929688"/>
    <n v="55098.399658203125"/>
    <x v="0"/>
  </r>
  <r>
    <s v="TRD01075"/>
    <s v="INE004A01075"/>
    <x v="48"/>
    <x v="5"/>
    <s v="Citi A/C 703401"/>
    <n v="280"/>
    <n v="132.30999755859375"/>
    <n v="37046.79931640625"/>
    <x v="0"/>
  </r>
  <r>
    <s v="TRD01076"/>
    <s v="INE007A01015"/>
    <x v="43"/>
    <x v="3"/>
    <s v="JPMorgan A/C 603587"/>
    <n v="330"/>
    <n v="358.80999755859375"/>
    <n v="118407.29919433594"/>
    <x v="0"/>
  </r>
  <r>
    <s v="TRD01077"/>
    <s v="INE005A01093"/>
    <x v="11"/>
    <x v="3"/>
    <s v="Standard Chartered A/C 307017"/>
    <n v="360"/>
    <n v="400.94000244140625"/>
    <n v="144338.40087890625"/>
    <x v="0"/>
  </r>
  <r>
    <s v="TRD01078"/>
    <s v="INE001A01056"/>
    <x v="34"/>
    <x v="5"/>
    <s v="JPMorgan A/C 488546"/>
    <n v="180"/>
    <n v="41.150001525878906"/>
    <n v="7407.0002746582031"/>
    <x v="0"/>
  </r>
  <r>
    <s v="TRD01079"/>
    <s v="INE001A01011"/>
    <x v="10"/>
    <x v="2"/>
    <s v="Deutsche Bank A/C 917262"/>
    <n v="280"/>
    <n v="69.730003356933594"/>
    <n v="19524.400939941406"/>
    <x v="0"/>
  </r>
  <r>
    <s v="TRD01080"/>
    <s v="INE005A01080"/>
    <x v="43"/>
    <x v="3"/>
    <s v="JPMorgan A/C 603587"/>
    <n v="50"/>
    <n v="34.790000915527344"/>
    <n v="1739.5000457763672"/>
    <x v="0"/>
  </r>
  <r>
    <s v="TRD01081"/>
    <s v="INE004A01051"/>
    <x v="46"/>
    <x v="4"/>
    <s v="Deutsche Bank A/C 428758"/>
    <n v="80"/>
    <n v="492.23001098632813"/>
    <n v="39378.40087890625"/>
    <x v="0"/>
  </r>
  <r>
    <s v="TRD01082"/>
    <s v="INE009A01024"/>
    <x v="24"/>
    <x v="1"/>
    <s v="Citi A/C 714496"/>
    <n v="320"/>
    <n v="255.75999450683594"/>
    <n v="81843.1982421875"/>
    <x v="0"/>
  </r>
  <r>
    <s v="TRD01083"/>
    <s v="INE008A01063"/>
    <x v="35"/>
    <x v="4"/>
    <s v="HSBC A/C 972195"/>
    <n v="440"/>
    <n v="146.92999267578125"/>
    <n v="64649.19677734375"/>
    <x v="0"/>
  </r>
  <r>
    <s v="TRD01084"/>
    <s v="INE006A01048"/>
    <x v="41"/>
    <x v="4"/>
    <s v="Standard Chartered A/C 441247"/>
    <n v="470"/>
    <n v="245.07000732421875"/>
    <n v="115182.90344238281"/>
    <x v="0"/>
  </r>
  <r>
    <s v="TRD01085"/>
    <s v="INE003A01021"/>
    <x v="45"/>
    <x v="0"/>
    <s v="HDFC A/C 113752"/>
    <n v="150"/>
    <n v="137.35000610351563"/>
    <n v="20602.500915527344"/>
    <x v="0"/>
  </r>
  <r>
    <s v="TRD01086"/>
    <s v="INE008A01039"/>
    <x v="23"/>
    <x v="2"/>
    <s v="Standard Chartered A/C 277005"/>
    <n v="110"/>
    <n v="168.74000549316406"/>
    <n v="18561.400604248047"/>
    <x v="0"/>
  </r>
  <r>
    <s v="TRD01087"/>
    <s v="INE007A01023"/>
    <x v="30"/>
    <x v="5"/>
    <s v="JPMorgan A/C 582379"/>
    <n v="150"/>
    <n v="192.00999450683594"/>
    <n v="28801.499176025391"/>
    <x v="0"/>
  </r>
  <r>
    <s v="TRD01088"/>
    <s v="INE003A0108"/>
    <x v="42"/>
    <x v="0"/>
    <s v="HDFC A/C 638209"/>
    <n v="480"/>
    <n v="317.77999877929688"/>
    <n v="152534.3994140625"/>
    <x v="0"/>
  </r>
  <r>
    <s v="TRD01089"/>
    <s v="INE003A01092"/>
    <x v="32"/>
    <x v="1"/>
    <s v="Standard Chartered A/C 438949"/>
    <n v="480"/>
    <n v="164.42999267578125"/>
    <n v="78926.396484375"/>
    <x v="0"/>
  </r>
  <r>
    <s v="TRD01090"/>
    <s v="INE007A01090"/>
    <x v="30"/>
    <x v="5"/>
    <s v="JPMorgan A/C 582379"/>
    <n v="440"/>
    <n v="108.19999694824219"/>
    <n v="47607.998657226563"/>
    <x v="0"/>
  </r>
  <r>
    <s v="TRD01091"/>
    <s v="INE006A01079"/>
    <x v="41"/>
    <x v="4"/>
    <s v="Standard Chartered A/C 441247"/>
    <n v="310"/>
    <n v="33.119998931884766"/>
    <n v="10267.199668884277"/>
    <x v="0"/>
  </r>
  <r>
    <s v="TRD01092"/>
    <s v="INE003A01050"/>
    <x v="7"/>
    <x v="3"/>
    <s v="JPMorgan A/C 391364"/>
    <n v="470"/>
    <n v="81.029998779296875"/>
    <n v="38084.099426269531"/>
    <x v="0"/>
  </r>
  <r>
    <s v="TRD01093"/>
    <s v="INE004A01057"/>
    <x v="4"/>
    <x v="0"/>
    <s v="HSBC A/C 867781"/>
    <n v="440"/>
    <n v="401.60000610351563"/>
    <n v="176704.00268554688"/>
    <x v="0"/>
  </r>
  <r>
    <s v="TRD01094"/>
    <s v="INE005A01071"/>
    <x v="3"/>
    <x v="2"/>
    <s v="Deutsche Bank A/C 126543"/>
    <n v="180"/>
    <n v="402.27999877929688"/>
    <n v="72410.399780273438"/>
    <x v="0"/>
  </r>
  <r>
    <s v="TRD01095"/>
    <s v="INE006A01025"/>
    <x v="15"/>
    <x v="4"/>
    <s v="Barclays A/C 302646"/>
    <n v="300"/>
    <n v="498.3699951171875"/>
    <n v="149510.99853515625"/>
    <x v="0"/>
  </r>
  <r>
    <s v="TRD01096"/>
    <s v="INE008A01066"/>
    <x v="29"/>
    <x v="4"/>
    <s v="Deutsche Bank A/C 983712"/>
    <n v="320"/>
    <n v="362.97000122070313"/>
    <n v="116150.400390625"/>
    <x v="0"/>
  </r>
  <r>
    <s v="TRD01097"/>
    <s v="INE006A0106"/>
    <x v="22"/>
    <x v="4"/>
    <s v="HSBC A/C 785870"/>
    <n v="430"/>
    <n v="176.97000122070313"/>
    <n v="76097.100524902344"/>
    <x v="0"/>
  </r>
  <r>
    <s v="TRD01098"/>
    <s v="INE004A01070"/>
    <x v="17"/>
    <x v="0"/>
    <s v="Barclays A/C 197229"/>
    <n v="240"/>
    <n v="379.10000610351563"/>
    <n v="90984.00146484375"/>
    <x v="0"/>
  </r>
  <r>
    <s v="TRD01099"/>
    <s v="INE008A01049"/>
    <x v="16"/>
    <x v="3"/>
    <s v="Deutsche Bank A/C 153521"/>
    <n v="20"/>
    <n v="415.89999389648438"/>
    <n v="8317.9998779296875"/>
    <x v="0"/>
  </r>
  <r>
    <s v="TRD01100"/>
    <s v="INE009A01046"/>
    <x v="6"/>
    <x v="0"/>
    <s v="JPMorgan A/C 987170"/>
    <n v="430"/>
    <n v="491.70001220703125"/>
    <n v="211431.00524902344"/>
    <x v="0"/>
  </r>
  <r>
    <s v="TRD01101"/>
    <s v="INE001A01029"/>
    <x v="40"/>
    <x v="2"/>
    <s v="HSBC A/C 468615"/>
    <n v="350"/>
    <n v="318.67001342773438"/>
    <n v="111534.50469970703"/>
    <x v="0"/>
  </r>
  <r>
    <s v="TRD01102"/>
    <s v="INE003A01079"/>
    <x v="0"/>
    <x v="0"/>
    <s v="Citi A/C 700450"/>
    <n v="10"/>
    <n v="366.77999877929688"/>
    <n v="3667.7999877929688"/>
    <x v="0"/>
  </r>
  <r>
    <s v="TRD01103"/>
    <s v="INE003A01043"/>
    <x v="14"/>
    <x v="2"/>
    <s v="HSBC A/C 172861"/>
    <n v="350"/>
    <n v="113.81999969482422"/>
    <n v="39836.999893188477"/>
    <x v="0"/>
  </r>
  <r>
    <s v="TRD01104"/>
    <s v="INE007A01080"/>
    <x v="5"/>
    <x v="3"/>
    <s v="HSBC A/C 562956"/>
    <n v="200"/>
    <n v="295.3599853515625"/>
    <n v="59071.9970703125"/>
    <x v="0"/>
  </r>
  <r>
    <s v="TRD01105"/>
    <s v="INE006A01017"/>
    <x v="9"/>
    <x v="2"/>
    <s v="Barclays A/C 560891"/>
    <n v="70"/>
    <n v="154.83999633789063"/>
    <n v="10838.799743652344"/>
    <x v="0"/>
  </r>
  <r>
    <s v="TRD01106"/>
    <s v="INE002A01087"/>
    <x v="11"/>
    <x v="3"/>
    <s v="Standard Chartered A/C 307017"/>
    <n v="370"/>
    <n v="193.46000671386719"/>
    <n v="71580.202484130859"/>
    <x v="0"/>
  </r>
  <r>
    <s v="TRD01107"/>
    <s v="INE008A01097"/>
    <x v="29"/>
    <x v="4"/>
    <s v="Deutsche Bank A/C 983712"/>
    <n v="180"/>
    <n v="420.25"/>
    <n v="75645"/>
    <x v="0"/>
  </r>
  <r>
    <s v="TRD01108"/>
    <s v="INE009A01061"/>
    <x v="49"/>
    <x v="0"/>
    <s v="HDFC A/C 543407"/>
    <n v="-50"/>
    <n v="175.00999450683594"/>
    <n v="-8750.4997253417969"/>
    <x v="1"/>
  </r>
  <r>
    <s v="TRD01109"/>
    <s v="INE009A01018"/>
    <x v="33"/>
    <x v="0"/>
    <s v="Citi A/C 194841"/>
    <n v="170"/>
    <n v="221.55000305175781"/>
    <n v="37663.500518798828"/>
    <x v="0"/>
  </r>
  <r>
    <s v="TRD01110"/>
    <s v="INE009A0100"/>
    <x v="46"/>
    <x v="4"/>
    <s v="Deutsche Bank A/C 428758"/>
    <n v="250"/>
    <n v="191.30999755859375"/>
    <n v="47827.499389648438"/>
    <x v="0"/>
  </r>
  <r>
    <s v="TRD01111"/>
    <s v="INE004A01035"/>
    <x v="30"/>
    <x v="5"/>
    <s v="JPMorgan A/C 582379"/>
    <n v="100"/>
    <n v="255.44000244140625"/>
    <n v="25544.000244140625"/>
    <x v="0"/>
  </r>
  <r>
    <s v="TRD01112"/>
    <s v="INE008A01030"/>
    <x v="8"/>
    <x v="3"/>
    <s v="Deutsche Bank A/C 917029"/>
    <n v="180"/>
    <n v="280.3900146484375"/>
    <n v="50470.20263671875"/>
    <x v="0"/>
  </r>
  <r>
    <s v="TRD01113"/>
    <s v="INE005A01045"/>
    <x v="32"/>
    <x v="1"/>
    <s v="Standard Chartered A/C 438949"/>
    <n v="320"/>
    <n v="77.94000244140625"/>
    <n v="24940.80078125"/>
    <x v="0"/>
  </r>
  <r>
    <s v="TRD01114"/>
    <s v="INE009A01042"/>
    <x v="18"/>
    <x v="2"/>
    <s v="HSBC A/C 604357"/>
    <n v="410"/>
    <n v="155.14999389648438"/>
    <n v="63611.497497558594"/>
    <x v="0"/>
  </r>
  <r>
    <s v="TRD01115"/>
    <s v="INE008A01032"/>
    <x v="32"/>
    <x v="1"/>
    <s v="Standard Chartered A/C 438949"/>
    <n v="230"/>
    <n v="464.42999267578125"/>
    <n v="106818.89831542969"/>
    <x v="0"/>
  </r>
  <r>
    <s v="TRD01116"/>
    <s v="INE008A01031"/>
    <x v="6"/>
    <x v="0"/>
    <s v="JPMorgan A/C 987170"/>
    <n v="150"/>
    <n v="153.47000122070313"/>
    <n v="23020.500183105469"/>
    <x v="0"/>
  </r>
  <r>
    <s v="TRD01117"/>
    <s v="INE006A0105"/>
    <x v="16"/>
    <x v="3"/>
    <s v="Deutsche Bank A/C 153521"/>
    <n v="380"/>
    <n v="315.30999755859375"/>
    <n v="119817.79907226563"/>
    <x v="0"/>
  </r>
  <r>
    <s v="TRD01118"/>
    <s v="INE009A01020"/>
    <x v="6"/>
    <x v="0"/>
    <s v="JPMorgan A/C 987170"/>
    <n v="250"/>
    <n v="238.25"/>
    <n v="59562.5"/>
    <x v="0"/>
  </r>
  <r>
    <s v="TRD01119"/>
    <s v="INE008A01094"/>
    <x v="36"/>
    <x v="0"/>
    <s v="HSBC A/C 864249"/>
    <n v="420"/>
    <n v="155.96000671386719"/>
    <n v="65503.202819824219"/>
    <x v="0"/>
  </r>
  <r>
    <s v="TRD01120"/>
    <s v="INE003A01051"/>
    <x v="40"/>
    <x v="2"/>
    <s v="HSBC A/C 468615"/>
    <n v="170"/>
    <n v="497.3800048828125"/>
    <n v="84554.600830078125"/>
    <x v="0"/>
  </r>
  <r>
    <s v="TRD01121"/>
    <s v="INE002A01061"/>
    <x v="13"/>
    <x v="4"/>
    <s v="Deutsche Bank A/C 330518"/>
    <n v="130"/>
    <n v="136.77999877929688"/>
    <n v="17781.399841308594"/>
    <x v="0"/>
  </r>
  <r>
    <s v="TRD01122"/>
    <s v="INE007A01098"/>
    <x v="44"/>
    <x v="4"/>
    <s v="JPMorgan A/C 704166"/>
    <n v="20"/>
    <n v="143.75"/>
    <n v="2875"/>
    <x v="0"/>
  </r>
  <r>
    <s v="TRD01123"/>
    <s v="INE002A01087"/>
    <x v="13"/>
    <x v="4"/>
    <s v="Deutsche Bank A/C 330518"/>
    <n v="420"/>
    <n v="33.159999847412109"/>
    <n v="13927.199935913086"/>
    <x v="0"/>
  </r>
  <r>
    <s v="TRD01124"/>
    <s v="INE007A01056"/>
    <x v="32"/>
    <x v="1"/>
    <s v="Standard Chartered A/C 438949"/>
    <n v="10"/>
    <n v="15.239999771118164"/>
    <n v="152.39999771118164"/>
    <x v="0"/>
  </r>
  <r>
    <s v="TRD01125"/>
    <s v="INE008A01081"/>
    <x v="23"/>
    <x v="2"/>
    <s v="Standard Chartered A/C 277005"/>
    <n v="320"/>
    <n v="245.49000549316406"/>
    <n v="78556.8017578125"/>
    <x v="0"/>
  </r>
  <r>
    <s v="TRD01126"/>
    <s v="INE009A01044"/>
    <x v="30"/>
    <x v="5"/>
    <s v="JPMorgan A/C 582379"/>
    <n v="480"/>
    <n v="74.75"/>
    <n v="35880"/>
    <x v="0"/>
  </r>
  <r>
    <s v="TRD01127"/>
    <s v="INE005A01076"/>
    <x v="34"/>
    <x v="5"/>
    <s v="JPMorgan A/C 488546"/>
    <n v="490"/>
    <n v="299.16000366210938"/>
    <n v="146588.40179443359"/>
    <x v="0"/>
  </r>
  <r>
    <s v="TRD01128"/>
    <s v="INE002A01010"/>
    <x v="50"/>
    <x v="5"/>
    <s v="HDFC A/C 180445"/>
    <n v="420"/>
    <n v="410.17001342773438"/>
    <n v="172271.40563964844"/>
    <x v="0"/>
  </r>
  <r>
    <s v="TRD01129"/>
    <s v="INE006A01030"/>
    <x v="40"/>
    <x v="2"/>
    <s v="HSBC A/C 468615"/>
    <n v="220"/>
    <n v="344.55999755859375"/>
    <n v="75803.199462890625"/>
    <x v="0"/>
  </r>
  <r>
    <s v="TRD01130"/>
    <s v="INE006A01023"/>
    <x v="50"/>
    <x v="5"/>
    <s v="HDFC A/C 180445"/>
    <n v="420"/>
    <n v="234.38999938964844"/>
    <n v="98443.799743652344"/>
    <x v="0"/>
  </r>
  <r>
    <s v="TRD01131"/>
    <s v="INE008A01027"/>
    <x v="33"/>
    <x v="0"/>
    <s v="Citi A/C 194841"/>
    <n v="410"/>
    <n v="157.07000732421875"/>
    <n v="64398.703002929688"/>
    <x v="0"/>
  </r>
  <r>
    <s v="TRD01132"/>
    <s v="INE004A01079"/>
    <x v="18"/>
    <x v="2"/>
    <s v="HSBC A/C 604357"/>
    <n v="190"/>
    <n v="385.30999755859375"/>
    <n v="73208.899536132813"/>
    <x v="0"/>
  </r>
  <r>
    <s v="TRD01133"/>
    <s v="INE001A01073"/>
    <x v="10"/>
    <x v="2"/>
    <s v="Deutsche Bank A/C 917262"/>
    <n v="100"/>
    <n v="137.10000610351563"/>
    <n v="13710.000610351563"/>
    <x v="0"/>
  </r>
  <r>
    <s v="TRD01134"/>
    <s v="INE002A0101"/>
    <x v="15"/>
    <x v="4"/>
    <s v="Barclays A/C 302646"/>
    <n v="80"/>
    <n v="325.79998779296875"/>
    <n v="26063.9990234375"/>
    <x v="0"/>
  </r>
  <r>
    <s v="TRD01135"/>
    <s v="INE007A0104"/>
    <x v="38"/>
    <x v="2"/>
    <s v="HSBC A/C 994063"/>
    <n v="440"/>
    <n v="310.02999877929688"/>
    <n v="136413.19946289063"/>
    <x v="0"/>
  </r>
  <r>
    <s v="TRD01136"/>
    <s v="INE009A01030"/>
    <x v="20"/>
    <x v="0"/>
    <s v="Citi A/C 508769"/>
    <n v="25000"/>
    <n v="75.519996643066406"/>
    <n v="1887999.9160766602"/>
    <x v="2"/>
  </r>
  <r>
    <s v="TRD01137"/>
    <s v="INE003A01015"/>
    <x v="4"/>
    <x v="0"/>
    <s v="HSBC A/C 867781"/>
    <n v="25000"/>
    <n v="469.79000854492188"/>
    <n v="11744750.213623047"/>
    <x v="2"/>
  </r>
  <r>
    <s v="TRD01138"/>
    <s v="INE004A01062"/>
    <x v="5"/>
    <x v="3"/>
    <s v="HSBC A/C 562956"/>
    <n v="370"/>
    <n v="289.52999877929688"/>
    <n v="107126.09954833984"/>
    <x v="0"/>
  </r>
  <r>
    <s v="TRD01139"/>
    <s v="INE005A0108"/>
    <x v="16"/>
    <x v="3"/>
    <s v="Deutsche Bank A/C 153521"/>
    <n v="360"/>
    <n v="315.39999389648438"/>
    <n v="113543.99780273438"/>
    <x v="0"/>
  </r>
  <r>
    <s v="TRD01140"/>
    <s v="INE007A01089"/>
    <x v="13"/>
    <x v="4"/>
    <s v="Deutsche Bank A/C 330518"/>
    <n v="250"/>
    <n v="29.079999923706055"/>
    <n v="7269.9999809265137"/>
    <x v="0"/>
  </r>
  <r>
    <s v="TRD01141"/>
    <s v="INE006A01074"/>
    <x v="3"/>
    <x v="2"/>
    <s v="Deutsche Bank A/C 126543"/>
    <n v="320"/>
    <n v="295.07000732421875"/>
    <n v="94422.40234375"/>
    <x v="0"/>
  </r>
  <r>
    <s v="TRD01142"/>
    <s v="INE007A01020"/>
    <x v="47"/>
    <x v="4"/>
    <s v="Standard Chartered A/C 682134"/>
    <n v="160"/>
    <n v="110.69999694824219"/>
    <n v="17711.99951171875"/>
    <x v="0"/>
  </r>
  <r>
    <s v="TRD01143"/>
    <s v="INE003A01021"/>
    <x v="30"/>
    <x v="5"/>
    <s v="JPMorgan A/C 582379"/>
    <n v="390"/>
    <n v="356.07998657226563"/>
    <n v="138871.19476318359"/>
    <x v="0"/>
  </r>
  <r>
    <s v="TRD01144"/>
    <s v="INE008A01060"/>
    <x v="9"/>
    <x v="2"/>
    <s v="Barclays A/C 560891"/>
    <n v="420"/>
    <n v="44.150001525878906"/>
    <n v="18543.000640869141"/>
    <x v="0"/>
  </r>
  <r>
    <s v="TRD01145"/>
    <s v="INE005A01062"/>
    <x v="36"/>
    <x v="0"/>
    <s v="HSBC A/C 864249"/>
    <n v="25000"/>
    <n v="209.22999572753906"/>
    <n v="5230749.8931884766"/>
    <x v="2"/>
  </r>
  <r>
    <s v="TRD01146"/>
    <s v="INE002A01049"/>
    <x v="42"/>
    <x v="0"/>
    <s v="HDFC A/C 638209"/>
    <n v="70"/>
    <n v="489.60000610351563"/>
    <n v="34272.000427246094"/>
    <x v="0"/>
  </r>
  <r>
    <s v="TRD01147"/>
    <s v="INE009A01023"/>
    <x v="13"/>
    <x v="4"/>
    <s v="Deutsche Bank A/C 330518"/>
    <n v="430"/>
    <n v="44.349998474121094"/>
    <n v="19070.49934387207"/>
    <x v="0"/>
  </r>
  <r>
    <s v="TRD01148"/>
    <s v="INE003A01067"/>
    <x v="42"/>
    <x v="0"/>
    <s v="HDFC A/C 638209"/>
    <n v="470"/>
    <n v="442.10000610351563"/>
    <n v="207787.00286865234"/>
    <x v="0"/>
  </r>
  <r>
    <s v="TRD01149"/>
    <s v="INE003A0109"/>
    <x v="34"/>
    <x v="5"/>
    <s v="JPMorgan A/C 488546"/>
    <n v="410"/>
    <n v="290.5"/>
    <n v="119105"/>
    <x v="0"/>
  </r>
  <r>
    <s v="TRD01150"/>
    <s v="INE007A01038"/>
    <x v="9"/>
    <x v="2"/>
    <s v="Barclays A/C 560891"/>
    <n v="20"/>
    <n v="486.29998779296875"/>
    <n v="9725.999755859375"/>
    <x v="0"/>
  </r>
  <r>
    <s v="TRD01151"/>
    <s v="INE008A01071"/>
    <x v="2"/>
    <x v="2"/>
    <s v="Citi A/C 837378"/>
    <n v="420"/>
    <n v="465.27999877929688"/>
    <n v="195417.59948730469"/>
    <x v="0"/>
  </r>
  <r>
    <s v="TRD01152"/>
    <s v="INE005A01092"/>
    <x v="0"/>
    <x v="0"/>
    <s v="Citi A/C 700450"/>
    <n v="270"/>
    <n v="452.29000854492188"/>
    <n v="122118.30230712891"/>
    <x v="0"/>
  </r>
  <r>
    <s v="TRD01153"/>
    <s v="INE007A0107"/>
    <x v="32"/>
    <x v="1"/>
    <s v="Standard Chartered A/C 438949"/>
    <n v="25000"/>
    <n v="88.569999694824219"/>
    <n v="2214249.9923706055"/>
    <x v="2"/>
  </r>
  <r>
    <s v="TRD01154"/>
    <s v="INE004A01054"/>
    <x v="6"/>
    <x v="0"/>
    <s v="JPMorgan A/C 987170"/>
    <n v="410"/>
    <n v="416.489990234375"/>
    <n v="170760.89599609375"/>
    <x v="0"/>
  </r>
  <r>
    <s v="TRD01155"/>
    <s v="INE006A01014"/>
    <x v="19"/>
    <x v="2"/>
    <s v="Citi A/C 359789"/>
    <n v="110"/>
    <n v="149.67999267578125"/>
    <n v="16464.799194335938"/>
    <x v="0"/>
  </r>
  <r>
    <s v="TRD01156"/>
    <s v="INE006A01042"/>
    <x v="49"/>
    <x v="0"/>
    <s v="HDFC A/C 543407"/>
    <n v="210"/>
    <n v="244.44999694824219"/>
    <n v="51334.499359130859"/>
    <x v="0"/>
  </r>
  <r>
    <s v="TRD01157"/>
    <s v="INE002A01063"/>
    <x v="22"/>
    <x v="4"/>
    <s v="HSBC A/C 785870"/>
    <n v="30"/>
    <n v="477.42001342773438"/>
    <n v="14322.600402832031"/>
    <x v="0"/>
  </r>
  <r>
    <s v="TRD01158"/>
    <s v="INE002A01073"/>
    <x v="14"/>
    <x v="2"/>
    <s v="HSBC A/C 172861"/>
    <n v="360"/>
    <n v="195.5"/>
    <n v="70380"/>
    <x v="0"/>
  </r>
  <r>
    <s v="TRD01159"/>
    <s v="INE001A01097"/>
    <x v="33"/>
    <x v="0"/>
    <s v="Citi A/C 194841"/>
    <n v="240"/>
    <n v="65.930000305175781"/>
    <n v="15823.200073242188"/>
    <x v="0"/>
  </r>
  <r>
    <s v="TRD01160"/>
    <s v="INE004A01036"/>
    <x v="22"/>
    <x v="4"/>
    <s v="HSBC A/C 785870"/>
    <n v="170"/>
    <n v="326.260009765625"/>
    <n v="55464.20166015625"/>
    <x v="0"/>
  </r>
  <r>
    <s v="TRD01161"/>
    <s v="INE001A01017"/>
    <x v="23"/>
    <x v="2"/>
    <s v="Standard Chartered A/C 277005"/>
    <n v="370"/>
    <n v="34.349998474121094"/>
    <n v="12709.499435424805"/>
    <x v="0"/>
  </r>
  <r>
    <s v="TRD01162"/>
    <s v="INE003A01045"/>
    <x v="17"/>
    <x v="0"/>
    <s v="Barclays A/C 197229"/>
    <n v="70"/>
    <n v="318.3800048828125"/>
    <n v="22286.600341796875"/>
    <x v="0"/>
  </r>
  <r>
    <s v="TRD01163"/>
    <s v="INE008A01050"/>
    <x v="6"/>
    <x v="0"/>
    <s v="JPMorgan A/C 987170"/>
    <n v="190"/>
    <n v="126.83000183105469"/>
    <n v="24097.700347900391"/>
    <x v="0"/>
  </r>
  <r>
    <s v="TRD01164"/>
    <s v="INE005A01040"/>
    <x v="9"/>
    <x v="2"/>
    <s v="Barclays A/C 560891"/>
    <n v="140"/>
    <n v="478.5"/>
    <n v="66990"/>
    <x v="0"/>
  </r>
  <r>
    <s v="TRD01165"/>
    <s v="INE006A01048"/>
    <x v="46"/>
    <x v="4"/>
    <s v="Deutsche Bank A/C 428758"/>
    <n v="60"/>
    <n v="212.5"/>
    <n v="12750"/>
    <x v="0"/>
  </r>
  <r>
    <s v="TRD01166"/>
    <s v="INE008A01084"/>
    <x v="33"/>
    <x v="0"/>
    <s v="Citi A/C 194841"/>
    <n v="60"/>
    <n v="238.25999450683594"/>
    <n v="14295.599670410156"/>
    <x v="0"/>
  </r>
  <r>
    <s v="TRD01167"/>
    <s v="INE009A01087"/>
    <x v="48"/>
    <x v="5"/>
    <s v="Citi A/C 703401"/>
    <n v="480"/>
    <n v="285.510009765625"/>
    <n v="137044.8046875"/>
    <x v="0"/>
  </r>
  <r>
    <s v="TRD01168"/>
    <s v="INE003A01069"/>
    <x v="20"/>
    <x v="0"/>
    <s v="Citi A/C 508769"/>
    <n v="-50"/>
    <n v="164.30999755859375"/>
    <n v="-8215.4998779296875"/>
    <x v="1"/>
  </r>
  <r>
    <s v="TRD01169"/>
    <s v="INE003A01028"/>
    <x v="19"/>
    <x v="2"/>
    <s v="Citi A/C 359789"/>
    <n v="70"/>
    <n v="194"/>
    <n v="13580"/>
    <x v="0"/>
  </r>
  <r>
    <s v="TRD01170"/>
    <s v="INE002A01090"/>
    <x v="31"/>
    <x v="4"/>
    <s v="JPMorgan A/C 860462"/>
    <n v="50"/>
    <n v="229.74000549316406"/>
    <n v="11487.000274658203"/>
    <x v="0"/>
  </r>
  <r>
    <s v="TRD01171"/>
    <s v="INE007A01078"/>
    <x v="35"/>
    <x v="4"/>
    <s v="HSBC A/C 972195"/>
    <n v="350"/>
    <n v="272.760009765625"/>
    <n v="95466.00341796875"/>
    <x v="0"/>
  </r>
  <r>
    <s v="TRD01172"/>
    <s v="INE003A01096"/>
    <x v="5"/>
    <x v="3"/>
    <s v="HSBC A/C 562956"/>
    <n v="50"/>
    <n v="332.07000732421875"/>
    <n v="16603.500366210938"/>
    <x v="0"/>
  </r>
  <r>
    <s v="TRD01173"/>
    <s v="INE004A01058"/>
    <x v="30"/>
    <x v="5"/>
    <s v="JPMorgan A/C 582379"/>
    <n v="150"/>
    <n v="174.53999328613281"/>
    <n v="26180.998992919922"/>
    <x v="0"/>
  </r>
  <r>
    <s v="TRD01174"/>
    <s v="INE009A01046"/>
    <x v="45"/>
    <x v="0"/>
    <s v="HDFC A/C 113752"/>
    <n v="310"/>
    <n v="74.819999694824219"/>
    <n v="23194.199905395508"/>
    <x v="0"/>
  </r>
  <r>
    <s v="TRD01175"/>
    <s v="INE008A01053"/>
    <x v="25"/>
    <x v="5"/>
    <s v="HDFC A/C 897530"/>
    <n v="90"/>
    <n v="65.370002746582031"/>
    <n v="5883.3002471923828"/>
    <x v="0"/>
  </r>
  <r>
    <s v="TRD01176"/>
    <s v="INE003A01039"/>
    <x v="19"/>
    <x v="2"/>
    <s v="Citi A/C 359789"/>
    <n v="240"/>
    <n v="186.49000549316406"/>
    <n v="44757.601318359375"/>
    <x v="0"/>
  </r>
  <r>
    <s v="TRD01177"/>
    <s v="INE006A01075"/>
    <x v="22"/>
    <x v="4"/>
    <s v="HSBC A/C 785870"/>
    <n v="410"/>
    <n v="236.25999450683594"/>
    <n v="96866.597747802734"/>
    <x v="0"/>
  </r>
  <r>
    <s v="TRD01178"/>
    <s v="INE005A01098"/>
    <x v="19"/>
    <x v="2"/>
    <s v="Citi A/C 359789"/>
    <n v="410"/>
    <n v="20.600000381469727"/>
    <n v="8446.0001564025879"/>
    <x v="0"/>
  </r>
  <r>
    <s v="TRD01179"/>
    <s v="INE006A01059"/>
    <x v="14"/>
    <x v="2"/>
    <s v="HSBC A/C 172861"/>
    <n v="470"/>
    <n v="103.23000335693359"/>
    <n v="48518.101577758789"/>
    <x v="0"/>
  </r>
  <r>
    <s v="TRD01180"/>
    <s v="INE002A01073"/>
    <x v="19"/>
    <x v="2"/>
    <s v="Citi A/C 359789"/>
    <n v="480"/>
    <n v="55.669998168945313"/>
    <n v="26721.59912109375"/>
    <x v="0"/>
  </r>
  <r>
    <s v="TRD01181"/>
    <s v="INE001A01068"/>
    <x v="4"/>
    <x v="0"/>
    <s v="HSBC A/C 867781"/>
    <n v="240"/>
    <n v="207.27999877929688"/>
    <n v="49747.19970703125"/>
    <x v="0"/>
  </r>
  <r>
    <s v="TRD01182"/>
    <s v="INE008A01037"/>
    <x v="9"/>
    <x v="2"/>
    <s v="Barclays A/C 560891"/>
    <n v="240"/>
    <n v="395.22000122070313"/>
    <n v="94852.80029296875"/>
    <x v="0"/>
  </r>
  <r>
    <s v="TRD01183"/>
    <s v="INE002A01087"/>
    <x v="37"/>
    <x v="6"/>
    <s v="MISSING SSI"/>
    <n v="30"/>
    <n v="361.95001220703125"/>
    <n v="10858.500366210938"/>
    <x v="3"/>
  </r>
  <r>
    <s v="TRD01184"/>
    <s v="INE004A01077"/>
    <x v="8"/>
    <x v="3"/>
    <s v="Deutsche Bank A/C 917029"/>
    <n v="90"/>
    <n v="139.83999633789063"/>
    <n v="12585.599670410156"/>
    <x v="0"/>
  </r>
  <r>
    <s v="TRD01185"/>
    <s v="INE005A01063"/>
    <x v="6"/>
    <x v="0"/>
    <s v="JPMorgan A/C 987170"/>
    <n v="280"/>
    <n v="45.020000457763672"/>
    <n v="12605.600128173828"/>
    <x v="0"/>
  </r>
  <r>
    <s v="TRD01186"/>
    <s v="INE008A0106"/>
    <x v="45"/>
    <x v="0"/>
    <s v="HDFC A/C 113752"/>
    <n v="460"/>
    <n v="204.69999694824219"/>
    <n v="94161.998596191406"/>
    <x v="0"/>
  </r>
  <r>
    <s v="TRD01187"/>
    <s v="INE001A01035"/>
    <x v="38"/>
    <x v="2"/>
    <s v="HSBC A/C 994063"/>
    <n v="220"/>
    <n v="160.1300048828125"/>
    <n v="35228.60107421875"/>
    <x v="0"/>
  </r>
  <r>
    <s v="TRD01188"/>
    <s v="INE004A01025"/>
    <x v="41"/>
    <x v="4"/>
    <s v="Standard Chartered A/C 441247"/>
    <n v="60"/>
    <n v="116.62999725341797"/>
    <n v="6997.7998352050781"/>
    <x v="0"/>
  </r>
  <r>
    <s v="TRD01189"/>
    <s v="INE003A01045"/>
    <x v="38"/>
    <x v="2"/>
    <s v="HSBC A/C 994063"/>
    <n v="200"/>
    <n v="193.60000610351563"/>
    <n v="38720.001220703125"/>
    <x v="0"/>
  </r>
  <r>
    <s v="TRD01190"/>
    <s v="INE004A01010"/>
    <x v="48"/>
    <x v="5"/>
    <s v="Citi A/C 703401"/>
    <n v="290"/>
    <n v="174.47000122070313"/>
    <n v="50596.300354003906"/>
    <x v="0"/>
  </r>
  <r>
    <s v="TRD01191"/>
    <s v="INE005A01030"/>
    <x v="15"/>
    <x v="4"/>
    <s v="Barclays A/C 302646"/>
    <n v="190"/>
    <n v="256.760009765625"/>
    <n v="48784.40185546875"/>
    <x v="0"/>
  </r>
  <r>
    <s v="TRD01192"/>
    <s v="INE009A01060"/>
    <x v="40"/>
    <x v="2"/>
    <s v="HSBC A/C 468615"/>
    <n v="180"/>
    <n v="302.04000854492188"/>
    <n v="54367.201538085938"/>
    <x v="0"/>
  </r>
  <r>
    <s v="TRD01193"/>
    <s v="INE001A01052"/>
    <x v="3"/>
    <x v="2"/>
    <s v="Deutsche Bank A/C 126543"/>
    <n v="260"/>
    <n v="85.949996948242188"/>
    <n v="22346.999206542969"/>
    <x v="0"/>
  </r>
  <r>
    <s v="TRD01194"/>
    <s v="INE007A0103"/>
    <x v="30"/>
    <x v="5"/>
    <s v="JPMorgan A/C 582379"/>
    <n v="360"/>
    <n v="48.169998168945313"/>
    <n v="17341.199340820313"/>
    <x v="0"/>
  </r>
  <r>
    <s v="TRD01195"/>
    <s v="INE007A0102"/>
    <x v="7"/>
    <x v="3"/>
    <s v="JPMorgan A/C 391364"/>
    <n v="130"/>
    <n v="42.479999542236328"/>
    <n v="5522.3999404907227"/>
    <x v="0"/>
  </r>
  <r>
    <s v="TRD01196"/>
    <s v="INE005A01085"/>
    <x v="47"/>
    <x v="4"/>
    <s v="Standard Chartered A/C 682134"/>
    <n v="130"/>
    <n v="86.699996948242188"/>
    <n v="11270.999603271484"/>
    <x v="0"/>
  </r>
  <r>
    <s v="TRD01197"/>
    <s v="INE005A01088"/>
    <x v="43"/>
    <x v="3"/>
    <s v="JPMorgan A/C 603587"/>
    <n v="140"/>
    <n v="112.69999694824219"/>
    <n v="15777.999572753906"/>
    <x v="0"/>
  </r>
  <r>
    <s v="TRD01198"/>
    <s v="INE005A01086"/>
    <x v="0"/>
    <x v="0"/>
    <s v="Citi A/C 700450"/>
    <n v="380"/>
    <n v="216.42999267578125"/>
    <n v="82243.397216796875"/>
    <x v="0"/>
  </r>
  <r>
    <s v="TRD01199"/>
    <s v="INE005A01053"/>
    <x v="23"/>
    <x v="2"/>
    <s v="Standard Chartered A/C 277005"/>
    <n v="250"/>
    <n v="407.92001342773438"/>
    <n v="101980.00335693359"/>
    <x v="0"/>
  </r>
  <r>
    <s v="TRD01200"/>
    <s v="INE009A0105"/>
    <x v="12"/>
    <x v="4"/>
    <s v="Citi A/C 543819"/>
    <n v="130"/>
    <n v="361.22000122070313"/>
    <n v="46958.600158691406"/>
    <x v="0"/>
  </r>
  <r>
    <s v="TRD01201"/>
    <s v="INE002A01056"/>
    <x v="21"/>
    <x v="1"/>
    <s v="Deutsche Bank A/C 324710"/>
    <n v="60"/>
    <n v="164.47000122070313"/>
    <n v="9868.2000732421875"/>
    <x v="0"/>
  </r>
  <r>
    <s v="TRD01202"/>
    <s v="INE004A01066"/>
    <x v="26"/>
    <x v="0"/>
    <s v="Citi A/C 416082"/>
    <n v="40"/>
    <n v="69.870002746582031"/>
    <n v="2794.8001098632813"/>
    <x v="0"/>
  </r>
  <r>
    <s v="TRD01203"/>
    <s v="INE004A01087"/>
    <x v="20"/>
    <x v="0"/>
    <s v="Citi A/C 508769"/>
    <n v="260"/>
    <n v="243.69000244140625"/>
    <n v="63359.400634765625"/>
    <x v="0"/>
  </r>
  <r>
    <s v="TRD01204"/>
    <s v="INE007A01021"/>
    <x v="40"/>
    <x v="2"/>
    <s v="HSBC A/C 468615"/>
    <n v="380"/>
    <n v="16.229999542236328"/>
    <n v="6167.3998260498047"/>
    <x v="0"/>
  </r>
  <r>
    <s v="TRD01205"/>
    <s v="INE009A01059"/>
    <x v="15"/>
    <x v="4"/>
    <s v="Barclays A/C 302646"/>
    <n v="210"/>
    <n v="131.88999938964844"/>
    <n v="27696.899871826172"/>
    <x v="0"/>
  </r>
  <r>
    <s v="TRD01206"/>
    <s v="INE009A01044"/>
    <x v="31"/>
    <x v="4"/>
    <s v="JPMorgan A/C 860462"/>
    <n v="50"/>
    <n v="499.1199951171875"/>
    <n v="24955.999755859375"/>
    <x v="0"/>
  </r>
  <r>
    <s v="TRD01207"/>
    <s v="INE001A01010"/>
    <x v="12"/>
    <x v="4"/>
    <s v="Citi A/C 543819"/>
    <n v="360"/>
    <n v="440.42001342773438"/>
    <n v="158551.20483398438"/>
    <x v="0"/>
  </r>
  <r>
    <s v="TRD01208"/>
    <s v="INE006A01036"/>
    <x v="38"/>
    <x v="2"/>
    <s v="HSBC A/C 994063"/>
    <n v="70"/>
    <n v="442.3699951171875"/>
    <n v="30965.899658203125"/>
    <x v="0"/>
  </r>
  <r>
    <s v="TRD01209"/>
    <s v="INE002A0101"/>
    <x v="7"/>
    <x v="3"/>
    <s v="JPMorgan A/C 391364"/>
    <n v="300"/>
    <n v="405.58999633789063"/>
    <n v="121676.99890136719"/>
    <x v="0"/>
  </r>
  <r>
    <s v="TRD01210"/>
    <s v="INE001A01023"/>
    <x v="27"/>
    <x v="2"/>
    <s v="HDFC A/C 679335"/>
    <n v="110"/>
    <n v="394.79998779296875"/>
    <n v="43427.998657226563"/>
    <x v="0"/>
  </r>
  <r>
    <s v="TRD01211"/>
    <s v="INE002A01021"/>
    <x v="36"/>
    <x v="0"/>
    <s v="HSBC A/C 864249"/>
    <n v="250"/>
    <n v="388.739990234375"/>
    <n v="97184.99755859375"/>
    <x v="0"/>
  </r>
  <r>
    <s v="TRD01212"/>
    <s v="INE002A01054"/>
    <x v="9"/>
    <x v="2"/>
    <s v="Barclays A/C 560891"/>
    <n v="430"/>
    <n v="30.239999771118164"/>
    <n v="13003.199901580811"/>
    <x v="0"/>
  </r>
  <r>
    <s v="TRD01213"/>
    <s v="INE008A01082"/>
    <x v="43"/>
    <x v="3"/>
    <s v="JPMorgan A/C 603587"/>
    <n v="40"/>
    <n v="376.19000244140625"/>
    <n v="15047.60009765625"/>
    <x v="0"/>
  </r>
  <r>
    <s v="TRD01214"/>
    <s v="INE002A0107"/>
    <x v="16"/>
    <x v="3"/>
    <s v="Deutsche Bank A/C 153521"/>
    <n v="430"/>
    <n v="147.52999877929688"/>
    <n v="63437.899475097656"/>
    <x v="0"/>
  </r>
  <r>
    <s v="TRD01215"/>
    <s v="INE004A01024"/>
    <x v="11"/>
    <x v="3"/>
    <s v="Standard Chartered A/C 307017"/>
    <n v="130"/>
    <n v="479.26998901367188"/>
    <n v="62305.098571777344"/>
    <x v="0"/>
  </r>
  <r>
    <s v="TRD01216"/>
    <s v="INE002A01078"/>
    <x v="31"/>
    <x v="4"/>
    <s v="JPMorgan A/C 860462"/>
    <n v="140"/>
    <n v="170.49000549316406"/>
    <n v="23868.600769042969"/>
    <x v="0"/>
  </r>
  <r>
    <s v="TRD01217"/>
    <s v="INE004A0109"/>
    <x v="32"/>
    <x v="1"/>
    <s v="Standard Chartered A/C 438949"/>
    <n v="120"/>
    <n v="434.30999755859375"/>
    <n v="52117.19970703125"/>
    <x v="0"/>
  </r>
  <r>
    <s v="TRD01218"/>
    <s v="INE009A01097"/>
    <x v="19"/>
    <x v="2"/>
    <s v="Citi A/C 359789"/>
    <n v="200"/>
    <n v="147.94000244140625"/>
    <n v="29588.00048828125"/>
    <x v="0"/>
  </r>
  <r>
    <s v="TRD01219"/>
    <s v="INE004A01024"/>
    <x v="24"/>
    <x v="1"/>
    <s v="Citi A/C 714496"/>
    <n v="210"/>
    <n v="102.63999938964844"/>
    <n v="21554.399871826172"/>
    <x v="0"/>
  </r>
  <r>
    <s v="TRD01220"/>
    <s v="INE003A01012"/>
    <x v="41"/>
    <x v="4"/>
    <s v="Standard Chartered A/C 441247"/>
    <n v="410"/>
    <n v="253.72000122070313"/>
    <n v="104025.20050048828"/>
    <x v="0"/>
  </r>
  <r>
    <s v="TRD01221"/>
    <s v="INE005A01082"/>
    <x v="35"/>
    <x v="4"/>
    <s v="HSBC A/C 972195"/>
    <n v="250"/>
    <n v="470.57998657226563"/>
    <n v="117644.99664306641"/>
    <x v="0"/>
  </r>
  <r>
    <s v="TRD01222"/>
    <s v="INE002A01098"/>
    <x v="41"/>
    <x v="4"/>
    <s v="Standard Chartered A/C 441247"/>
    <n v="140"/>
    <n v="286.66000366210938"/>
    <n v="40132.400512695313"/>
    <x v="0"/>
  </r>
  <r>
    <s v="TRD01223"/>
    <s v="INE008A01022"/>
    <x v="41"/>
    <x v="4"/>
    <s v="Standard Chartered A/C 441247"/>
    <n v="190"/>
    <n v="149.47000122070313"/>
    <n v="28399.300231933594"/>
    <x v="0"/>
  </r>
  <r>
    <s v="TRD01224"/>
    <s v="INE001A01058"/>
    <x v="16"/>
    <x v="3"/>
    <s v="Deutsche Bank A/C 153521"/>
    <n v="440"/>
    <n v="170.58000183105469"/>
    <n v="75055.200805664063"/>
    <x v="0"/>
  </r>
  <r>
    <s v="TRD01225"/>
    <s v="INE008A0107"/>
    <x v="3"/>
    <x v="2"/>
    <s v="Deutsche Bank A/C 126543"/>
    <n v="130"/>
    <n v="375.6300048828125"/>
    <n v="48831.900634765625"/>
    <x v="0"/>
  </r>
  <r>
    <s v="TRD01226"/>
    <s v="INE005A01015"/>
    <x v="36"/>
    <x v="0"/>
    <s v="HSBC A/C 864249"/>
    <n v="450"/>
    <n v="454.30999755859375"/>
    <n v="204439.49890136719"/>
    <x v="0"/>
  </r>
  <r>
    <s v="TRD01227"/>
    <s v="INE003A01023"/>
    <x v="3"/>
    <x v="2"/>
    <s v="Deutsche Bank A/C 126543"/>
    <n v="280"/>
    <n v="10.390000343322754"/>
    <n v="2909.2000961303711"/>
    <x v="0"/>
  </r>
  <r>
    <s v="TRD01228"/>
    <s v="INE003A01019"/>
    <x v="35"/>
    <x v="4"/>
    <s v="HSBC A/C 972195"/>
    <n v="440"/>
    <n v="311.67999267578125"/>
    <n v="137139.19677734375"/>
    <x v="0"/>
  </r>
  <r>
    <s v="TRD01229"/>
    <s v="INE002A01084"/>
    <x v="21"/>
    <x v="1"/>
    <s v="Deutsche Bank A/C 324710"/>
    <n v="470"/>
    <n v="40.069999694824219"/>
    <n v="18832.899856567383"/>
    <x v="0"/>
  </r>
  <r>
    <s v="TRD01230"/>
    <s v="INE004A01047"/>
    <x v="29"/>
    <x v="4"/>
    <s v="Deutsche Bank A/C 983712"/>
    <n v="320"/>
    <n v="41.520000457763672"/>
    <n v="13286.400146484375"/>
    <x v="0"/>
  </r>
  <r>
    <s v="TRD01231"/>
    <s v="INE005A01029"/>
    <x v="27"/>
    <x v="2"/>
    <s v="HDFC A/C 679335"/>
    <n v="25000"/>
    <n v="173.32000732421875"/>
    <n v="4333000.1831054688"/>
    <x v="2"/>
  </r>
  <r>
    <s v="TRD01232"/>
    <s v="INE002A01039"/>
    <x v="37"/>
    <x v="6"/>
    <s v="MISSING SSI"/>
    <n v="170"/>
    <n v="288.69000244140625"/>
    <n v="49077.300415039063"/>
    <x v="3"/>
  </r>
  <r>
    <s v="TRD01233"/>
    <s v="INE002A01011"/>
    <x v="49"/>
    <x v="0"/>
    <s v="HDFC A/C 543407"/>
    <n v="25000"/>
    <n v="302.14999389648438"/>
    <n v="7553749.8474121094"/>
    <x v="2"/>
  </r>
  <r>
    <s v="TRD01234"/>
    <s v="INE009A01090"/>
    <x v="38"/>
    <x v="2"/>
    <s v="HSBC A/C 994063"/>
    <n v="-50"/>
    <n v="365.22000122070313"/>
    <n v="-18261.000061035156"/>
    <x v="1"/>
  </r>
  <r>
    <s v="TRD01235"/>
    <s v="INE009A01035"/>
    <x v="48"/>
    <x v="5"/>
    <s v="Citi A/C 703401"/>
    <n v="220"/>
    <n v="394.91000366210938"/>
    <n v="86880.200805664063"/>
    <x v="0"/>
  </r>
  <r>
    <s v="TRD01236"/>
    <s v="INE002A0108"/>
    <x v="47"/>
    <x v="4"/>
    <s v="Standard Chartered A/C 682134"/>
    <n v="10"/>
    <n v="21.299999237060547"/>
    <n v="212.99999237060547"/>
    <x v="0"/>
  </r>
  <r>
    <s v="TRD01237"/>
    <s v="INE001A01094"/>
    <x v="17"/>
    <x v="0"/>
    <s v="Barclays A/C 197229"/>
    <n v="80"/>
    <n v="325.66000366210938"/>
    <n v="26052.80029296875"/>
    <x v="0"/>
  </r>
  <r>
    <s v="TRD01238"/>
    <s v="INE006A01042"/>
    <x v="15"/>
    <x v="4"/>
    <s v="Barclays A/C 302646"/>
    <n v="380"/>
    <n v="209.6300048828125"/>
    <n v="79659.40185546875"/>
    <x v="0"/>
  </r>
  <r>
    <s v="TRD01239"/>
    <s v="INE001A01074"/>
    <x v="28"/>
    <x v="2"/>
    <s v="Citi A/C 744145"/>
    <n v="350"/>
    <n v="145.1199951171875"/>
    <n v="50791.998291015625"/>
    <x v="0"/>
  </r>
  <r>
    <s v="TRD01240"/>
    <s v="INE008A01039"/>
    <x v="44"/>
    <x v="4"/>
    <s v="JPMorgan A/C 704166"/>
    <n v="140"/>
    <n v="424.3599853515625"/>
    <n v="59410.39794921875"/>
    <x v="0"/>
  </r>
  <r>
    <s v="TRD01241"/>
    <s v="INE008A01064"/>
    <x v="42"/>
    <x v="0"/>
    <s v="HDFC A/C 638209"/>
    <n v="360"/>
    <n v="409.91000366210938"/>
    <n v="147567.60131835938"/>
    <x v="0"/>
  </r>
  <r>
    <s v="TRD01242"/>
    <s v="INE005A0101"/>
    <x v="43"/>
    <x v="3"/>
    <s v="JPMorgan A/C 603587"/>
    <n v="390"/>
    <n v="284.6300048828125"/>
    <n v="111005.70190429688"/>
    <x v="0"/>
  </r>
  <r>
    <s v="TRD01243"/>
    <s v="INE009A01078"/>
    <x v="8"/>
    <x v="3"/>
    <s v="Deutsche Bank A/C 917029"/>
    <n v="50"/>
    <n v="301.69000244140625"/>
    <n v="15084.500122070313"/>
    <x v="0"/>
  </r>
  <r>
    <s v="TRD01244"/>
    <s v="INE004A01053"/>
    <x v="5"/>
    <x v="3"/>
    <s v="HSBC A/C 562956"/>
    <n v="400"/>
    <n v="34.580001831054688"/>
    <n v="13832.000732421875"/>
    <x v="0"/>
  </r>
  <r>
    <s v="TRD01245"/>
    <s v="INE007A01056"/>
    <x v="44"/>
    <x v="4"/>
    <s v="JPMorgan A/C 704166"/>
    <n v="480"/>
    <n v="127.09999847412109"/>
    <n v="61007.999267578125"/>
    <x v="0"/>
  </r>
  <r>
    <s v="TRD01246"/>
    <s v="INE007A01048"/>
    <x v="24"/>
    <x v="1"/>
    <s v="Citi A/C 714496"/>
    <n v="50"/>
    <n v="43.349998474121094"/>
    <n v="2167.4999237060547"/>
    <x v="0"/>
  </r>
  <r>
    <s v="TRD01247"/>
    <s v="INE001A01063"/>
    <x v="41"/>
    <x v="4"/>
    <s v="Standard Chartered A/C 441247"/>
    <n v="340"/>
    <n v="317.760009765625"/>
    <n v="108038.4033203125"/>
    <x v="0"/>
  </r>
  <r>
    <s v="TRD01248"/>
    <s v="INE009A01063"/>
    <x v="19"/>
    <x v="2"/>
    <s v="Citi A/C 359789"/>
    <n v="330"/>
    <n v="305.07998657226563"/>
    <n v="100676.39556884766"/>
    <x v="0"/>
  </r>
  <r>
    <s v="TRD01249"/>
    <s v="INE008A01087"/>
    <x v="41"/>
    <x v="4"/>
    <s v="Standard Chartered A/C 441247"/>
    <n v="450"/>
    <n v="430.33999633789063"/>
    <n v="193652.99835205078"/>
    <x v="0"/>
  </r>
  <r>
    <s v="TRD01250"/>
    <s v="INE007A0101"/>
    <x v="28"/>
    <x v="2"/>
    <s v="Citi A/C 744145"/>
    <n v="370"/>
    <n v="438.91000366210938"/>
    <n v="162396.70135498047"/>
    <x v="0"/>
  </r>
  <r>
    <s v="TRD01251"/>
    <s v="INE005A01044"/>
    <x v="14"/>
    <x v="2"/>
    <s v="HSBC A/C 172861"/>
    <n v="230"/>
    <n v="146.46000671386719"/>
    <n v="33685.801544189453"/>
    <x v="0"/>
  </r>
  <r>
    <s v="TRD01252"/>
    <s v="INE009A01086"/>
    <x v="2"/>
    <x v="2"/>
    <s v="Citi A/C 837378"/>
    <n v="420"/>
    <n v="188.97999572753906"/>
    <n v="79371.598205566406"/>
    <x v="0"/>
  </r>
  <r>
    <s v="TRD01253"/>
    <s v="INE006A01072"/>
    <x v="35"/>
    <x v="4"/>
    <s v="HSBC A/C 972195"/>
    <n v="270"/>
    <n v="272.76998901367188"/>
    <n v="73647.897033691406"/>
    <x v="0"/>
  </r>
  <r>
    <s v="TRD01254"/>
    <s v="INE007A01073"/>
    <x v="24"/>
    <x v="1"/>
    <s v="Citi A/C 714496"/>
    <n v="360"/>
    <n v="424.42999267578125"/>
    <n v="152794.79736328125"/>
    <x v="0"/>
  </r>
  <r>
    <s v="TRD01255"/>
    <s v="INE007A01037"/>
    <x v="16"/>
    <x v="3"/>
    <s v="Deutsche Bank A/C 153521"/>
    <n v="250"/>
    <n v="240.89999389648438"/>
    <n v="60224.998474121094"/>
    <x v="0"/>
  </r>
  <r>
    <s v="TRD01256"/>
    <s v="INE005A01038"/>
    <x v="14"/>
    <x v="2"/>
    <s v="HSBC A/C 172861"/>
    <n v="200"/>
    <n v="139.41000366210938"/>
    <n v="27882.000732421875"/>
    <x v="0"/>
  </r>
  <r>
    <s v="TRD01257"/>
    <s v="INE002A01028"/>
    <x v="28"/>
    <x v="2"/>
    <s v="Citi A/C 744145"/>
    <n v="480"/>
    <n v="107.5"/>
    <n v="51600"/>
    <x v="0"/>
  </r>
  <r>
    <s v="TRD01258"/>
    <s v="INE001A01082"/>
    <x v="36"/>
    <x v="0"/>
    <s v="HSBC A/C 864249"/>
    <n v="60"/>
    <n v="453.04998779296875"/>
    <n v="27182.999267578125"/>
    <x v="0"/>
  </r>
  <r>
    <s v="TRD01259"/>
    <s v="INE009A01058"/>
    <x v="26"/>
    <x v="0"/>
    <s v="Citi A/C 416082"/>
    <n v="400"/>
    <n v="54.209999084472656"/>
    <n v="21683.999633789063"/>
    <x v="0"/>
  </r>
  <r>
    <s v="TRD01260"/>
    <s v="INE002A01034"/>
    <x v="41"/>
    <x v="4"/>
    <s v="Standard Chartered A/C 441247"/>
    <n v="180"/>
    <n v="109.48999786376953"/>
    <n v="19708.199615478516"/>
    <x v="0"/>
  </r>
  <r>
    <s v="TRD01261"/>
    <s v="INE008A01068"/>
    <x v="36"/>
    <x v="0"/>
    <s v="HSBC A/C 864249"/>
    <n v="70"/>
    <n v="387.67001342773438"/>
    <n v="27136.900939941406"/>
    <x v="0"/>
  </r>
  <r>
    <s v="TRD01262"/>
    <s v="INE009A01044"/>
    <x v="24"/>
    <x v="1"/>
    <s v="Citi A/C 714496"/>
    <n v="460"/>
    <n v="477.8800048828125"/>
    <n v="219824.80224609375"/>
    <x v="0"/>
  </r>
  <r>
    <s v="TRD01263"/>
    <s v="INE005A01022"/>
    <x v="13"/>
    <x v="4"/>
    <s v="Deutsche Bank A/C 330518"/>
    <n v="200"/>
    <n v="39.520000457763672"/>
    <n v="7904.0000915527344"/>
    <x v="0"/>
  </r>
  <r>
    <s v="TRD01264"/>
    <s v="INE009A01089"/>
    <x v="34"/>
    <x v="5"/>
    <s v="JPMorgan A/C 488546"/>
    <n v="380"/>
    <n v="52.349998474121094"/>
    <n v="19892.999420166016"/>
    <x v="0"/>
  </r>
  <r>
    <s v="TRD01265"/>
    <s v="INE009A0109"/>
    <x v="7"/>
    <x v="3"/>
    <s v="JPMorgan A/C 391364"/>
    <n v="80"/>
    <n v="66.410003662109375"/>
    <n v="5312.80029296875"/>
    <x v="0"/>
  </r>
  <r>
    <s v="TRD01266"/>
    <s v="INE007A01072"/>
    <x v="23"/>
    <x v="2"/>
    <s v="Standard Chartered A/C 277005"/>
    <n v="80"/>
    <n v="452.04998779296875"/>
    <n v="36163.9990234375"/>
    <x v="0"/>
  </r>
  <r>
    <s v="TRD01267"/>
    <s v="INE005A01044"/>
    <x v="42"/>
    <x v="0"/>
    <s v="HDFC A/C 638209"/>
    <n v="160"/>
    <n v="149.96000671386719"/>
    <n v="23993.60107421875"/>
    <x v="0"/>
  </r>
  <r>
    <s v="TRD01268"/>
    <s v="INE002A01020"/>
    <x v="23"/>
    <x v="2"/>
    <s v="Standard Chartered A/C 277005"/>
    <n v="310"/>
    <n v="421.1099853515625"/>
    <n v="130544.09545898438"/>
    <x v="0"/>
  </r>
  <r>
    <s v="TRD01269"/>
    <s v="INE007A01067"/>
    <x v="14"/>
    <x v="2"/>
    <s v="HSBC A/C 172861"/>
    <n v="10"/>
    <n v="96.819999694824219"/>
    <n v="968.19999694824219"/>
    <x v="0"/>
  </r>
  <r>
    <s v="TRD01270"/>
    <s v="INE006A01083"/>
    <x v="47"/>
    <x v="4"/>
    <s v="Standard Chartered A/C 682134"/>
    <n v="450"/>
    <n v="328.69000244140625"/>
    <n v="147910.50109863281"/>
    <x v="0"/>
  </r>
  <r>
    <s v="TRD01271"/>
    <s v="INE004A01041"/>
    <x v="23"/>
    <x v="2"/>
    <s v="Standard Chartered A/C 277005"/>
    <n v="310"/>
    <n v="338.6400146484375"/>
    <n v="104978.40454101563"/>
    <x v="0"/>
  </r>
  <r>
    <s v="TRD01272"/>
    <s v="INE003A01041"/>
    <x v="36"/>
    <x v="0"/>
    <s v="HSBC A/C 864249"/>
    <n v="490"/>
    <n v="168.91000366210938"/>
    <n v="82765.901794433594"/>
    <x v="0"/>
  </r>
  <r>
    <s v="TRD01273"/>
    <s v="INE005A01057"/>
    <x v="38"/>
    <x v="2"/>
    <s v="HSBC A/C 994063"/>
    <n v="380"/>
    <n v="432.04998779296875"/>
    <n v="164178.99536132813"/>
    <x v="0"/>
  </r>
  <r>
    <s v="TRD01274"/>
    <s v="INE009A01093"/>
    <x v="15"/>
    <x v="4"/>
    <s v="Barclays A/C 302646"/>
    <n v="70"/>
    <n v="60.919998168945313"/>
    <n v="4264.3998718261719"/>
    <x v="0"/>
  </r>
  <r>
    <s v="TRD01275"/>
    <s v="INE004A01029"/>
    <x v="31"/>
    <x v="4"/>
    <s v="JPMorgan A/C 860462"/>
    <n v="160"/>
    <n v="58.689998626708984"/>
    <n v="9390.3997802734375"/>
    <x v="0"/>
  </r>
  <r>
    <s v="TRD01276"/>
    <s v="INE004A01068"/>
    <x v="33"/>
    <x v="0"/>
    <s v="Citi A/C 194841"/>
    <n v="440"/>
    <n v="248.85000610351563"/>
    <n v="109494.00268554688"/>
    <x v="0"/>
  </r>
  <r>
    <s v="TRD01277"/>
    <s v="INE005A01095"/>
    <x v="15"/>
    <x v="4"/>
    <s v="Barclays A/C 302646"/>
    <n v="210"/>
    <n v="25.209999084472656"/>
    <n v="5294.0998077392578"/>
    <x v="0"/>
  </r>
  <r>
    <s v="TRD01278"/>
    <s v="INE009A01018"/>
    <x v="0"/>
    <x v="0"/>
    <s v="Citi A/C 700450"/>
    <n v="470"/>
    <n v="101.86000061035156"/>
    <n v="47874.200286865234"/>
    <x v="0"/>
  </r>
  <r>
    <s v="TRD01279"/>
    <s v="INE007A01022"/>
    <x v="50"/>
    <x v="5"/>
    <s v="HDFC A/C 180445"/>
    <n v="220"/>
    <n v="263.239990234375"/>
    <n v="57912.7978515625"/>
    <x v="0"/>
  </r>
  <r>
    <s v="TRD01280"/>
    <s v="INE008A01018"/>
    <x v="29"/>
    <x v="4"/>
    <s v="Deutsche Bank A/C 983712"/>
    <n v="160"/>
    <n v="114.08000183105469"/>
    <n v="18252.80029296875"/>
    <x v="0"/>
  </r>
  <r>
    <s v="TRD01281"/>
    <s v="INE001A01096"/>
    <x v="38"/>
    <x v="2"/>
    <s v="HSBC A/C 994063"/>
    <n v="500"/>
    <n v="329.42999267578125"/>
    <n v="164714.99633789063"/>
    <x v="0"/>
  </r>
  <r>
    <s v="TRD01282"/>
    <s v="INE009A01072"/>
    <x v="9"/>
    <x v="2"/>
    <s v="Barclays A/C 560891"/>
    <n v="150"/>
    <n v="404.6400146484375"/>
    <n v="60696.002197265625"/>
    <x v="0"/>
  </r>
  <r>
    <s v="TRD01283"/>
    <s v="INE008A01036"/>
    <x v="14"/>
    <x v="2"/>
    <s v="HSBC A/C 172861"/>
    <n v="500"/>
    <n v="405.41000366210938"/>
    <n v="202705.00183105469"/>
    <x v="0"/>
  </r>
  <r>
    <s v="TRD01284"/>
    <s v="INE009A0106"/>
    <x v="28"/>
    <x v="2"/>
    <s v="Citi A/C 744145"/>
    <n v="180"/>
    <n v="217.69999694824219"/>
    <n v="39185.999450683594"/>
    <x v="0"/>
  </r>
  <r>
    <s v="TRD01285"/>
    <s v="INE005A01077"/>
    <x v="43"/>
    <x v="3"/>
    <s v="JPMorgan A/C 603587"/>
    <n v="290"/>
    <n v="297.82998657226563"/>
    <n v="86370.696105957031"/>
    <x v="0"/>
  </r>
  <r>
    <s v="TRD01286"/>
    <s v="INE002A01071"/>
    <x v="43"/>
    <x v="3"/>
    <s v="JPMorgan A/C 603587"/>
    <n v="140"/>
    <n v="422.39999389648438"/>
    <n v="59135.999145507813"/>
    <x v="0"/>
  </r>
  <r>
    <s v="TRD01287"/>
    <s v="INE008A01086"/>
    <x v="27"/>
    <x v="2"/>
    <s v="HDFC A/C 679335"/>
    <n v="40"/>
    <n v="438.32998657226563"/>
    <n v="17533.199462890625"/>
    <x v="0"/>
  </r>
  <r>
    <s v="TRD01288"/>
    <s v="INE009A01047"/>
    <x v="6"/>
    <x v="0"/>
    <s v="JPMorgan A/C 987170"/>
    <n v="20"/>
    <n v="12.859999656677246"/>
    <n v="257.19999313354492"/>
    <x v="0"/>
  </r>
  <r>
    <s v="TRD01289"/>
    <s v="INE009A01053"/>
    <x v="21"/>
    <x v="1"/>
    <s v="Deutsche Bank A/C 324710"/>
    <n v="70"/>
    <n v="383.54000854492188"/>
    <n v="26847.800598144531"/>
    <x v="0"/>
  </r>
  <r>
    <s v="TRD01290"/>
    <s v="INE009A01033"/>
    <x v="42"/>
    <x v="0"/>
    <s v="HDFC A/C 638209"/>
    <n v="440"/>
    <n v="108.23999786376953"/>
    <n v="47625.599060058594"/>
    <x v="0"/>
  </r>
  <r>
    <s v="TRD01291"/>
    <s v="INE002A01090"/>
    <x v="1"/>
    <x v="1"/>
    <s v="Standard Chartered A/C 331839"/>
    <n v="330"/>
    <n v="315.1199951171875"/>
    <n v="103989.59838867188"/>
    <x v="0"/>
  </r>
  <r>
    <s v="TRD01292"/>
    <s v="INE002A01056"/>
    <x v="48"/>
    <x v="5"/>
    <s v="Citi A/C 703401"/>
    <n v="170"/>
    <n v="452.67001342773438"/>
    <n v="76953.902282714844"/>
    <x v="0"/>
  </r>
  <r>
    <s v="TRD01293"/>
    <s v="INE008A01039"/>
    <x v="34"/>
    <x v="5"/>
    <s v="JPMorgan A/C 488546"/>
    <n v="380"/>
    <n v="39.689998626708984"/>
    <n v="15082.199478149414"/>
    <x v="0"/>
  </r>
  <r>
    <s v="TRD01294"/>
    <s v="INE006A01070"/>
    <x v="30"/>
    <x v="5"/>
    <s v="JPMorgan A/C 582379"/>
    <n v="80"/>
    <n v="415.29000854492188"/>
    <n v="33223.20068359375"/>
    <x v="0"/>
  </r>
  <r>
    <s v="TRD01295"/>
    <s v="INE009A01062"/>
    <x v="19"/>
    <x v="2"/>
    <s v="Citi A/C 359789"/>
    <n v="400"/>
    <n v="488.89999389648438"/>
    <n v="195559.99755859375"/>
    <x v="0"/>
  </r>
  <r>
    <s v="TRD01296"/>
    <s v="INE008A01051"/>
    <x v="25"/>
    <x v="5"/>
    <s v="HDFC A/C 897530"/>
    <n v="170"/>
    <n v="490.260009765625"/>
    <n v="83344.20166015625"/>
    <x v="0"/>
  </r>
  <r>
    <s v="TRD01297"/>
    <s v="INE004A01050"/>
    <x v="29"/>
    <x v="4"/>
    <s v="Deutsche Bank A/C 983712"/>
    <n v="220"/>
    <n v="219.39999389648438"/>
    <n v="48267.998657226563"/>
    <x v="0"/>
  </r>
  <r>
    <s v="TRD01298"/>
    <s v="INE004A0101"/>
    <x v="44"/>
    <x v="4"/>
    <s v="JPMorgan A/C 704166"/>
    <n v="70"/>
    <n v="296.69000244140625"/>
    <n v="20768.300170898438"/>
    <x v="0"/>
  </r>
  <r>
    <s v="TRD01299"/>
    <s v="INE005A01018"/>
    <x v="7"/>
    <x v="3"/>
    <s v="JPMorgan A/C 391364"/>
    <n v="260"/>
    <n v="412.80999755859375"/>
    <n v="107330.59936523438"/>
    <x v="0"/>
  </r>
  <r>
    <s v="TRD01300"/>
    <s v="INE002A01046"/>
    <x v="50"/>
    <x v="5"/>
    <s v="HDFC A/C 180445"/>
    <n v="30"/>
    <n v="78.75"/>
    <n v="2362.5"/>
    <x v="0"/>
  </r>
  <r>
    <s v="TRD01301"/>
    <s v="INE008A0104"/>
    <x v="38"/>
    <x v="2"/>
    <s v="HSBC A/C 994063"/>
    <n v="-50"/>
    <n v="499.45999145507813"/>
    <n v="-24972.999572753906"/>
    <x v="1"/>
  </r>
  <r>
    <s v="TRD01302"/>
    <s v="INE002A01072"/>
    <x v="9"/>
    <x v="2"/>
    <s v="Barclays A/C 560891"/>
    <n v="160"/>
    <n v="163.22000122070313"/>
    <n v="26115.2001953125"/>
    <x v="0"/>
  </r>
  <r>
    <s v="TRD01303"/>
    <s v="INE008A01038"/>
    <x v="38"/>
    <x v="2"/>
    <s v="HSBC A/C 994063"/>
    <n v="160"/>
    <n v="41.029998779296875"/>
    <n v="6564.7998046875"/>
    <x v="0"/>
  </r>
  <r>
    <s v="TRD01304"/>
    <s v="INE008A0105"/>
    <x v="22"/>
    <x v="4"/>
    <s v="HSBC A/C 785870"/>
    <n v="70"/>
    <n v="165.3800048828125"/>
    <n v="11576.600341796875"/>
    <x v="0"/>
  </r>
  <r>
    <s v="TRD01305"/>
    <s v="INE005A01031"/>
    <x v="50"/>
    <x v="5"/>
    <s v="HDFC A/C 180445"/>
    <n v="130"/>
    <n v="76.529998779296875"/>
    <n v="9948.8998413085938"/>
    <x v="0"/>
  </r>
  <r>
    <s v="TRD01306"/>
    <s v="INE001A01089"/>
    <x v="23"/>
    <x v="2"/>
    <s v="Standard Chartered A/C 277005"/>
    <n v="480"/>
    <n v="72.599998474121094"/>
    <n v="34847.999267578125"/>
    <x v="0"/>
  </r>
  <r>
    <s v="TRD01307"/>
    <s v="INE003A01016"/>
    <x v="34"/>
    <x v="5"/>
    <s v="JPMorgan A/C 488546"/>
    <n v="440"/>
    <n v="459.47000122070313"/>
    <n v="202166.80053710938"/>
    <x v="0"/>
  </r>
  <r>
    <s v="TRD01308"/>
    <s v="INE008A01062"/>
    <x v="11"/>
    <x v="3"/>
    <s v="Standard Chartered A/C 307017"/>
    <n v="240"/>
    <n v="300.8900146484375"/>
    <n v="72213.603515625"/>
    <x v="0"/>
  </r>
  <r>
    <s v="TRD01309"/>
    <s v="INE007A01041"/>
    <x v="11"/>
    <x v="3"/>
    <s v="Standard Chartered A/C 307017"/>
    <n v="280"/>
    <n v="168.3699951171875"/>
    <n v="47143.5986328125"/>
    <x v="0"/>
  </r>
  <r>
    <s v="TRD01310"/>
    <s v="INE002A01083"/>
    <x v="30"/>
    <x v="5"/>
    <s v="JPMorgan A/C 582379"/>
    <n v="360"/>
    <n v="391.26998901367188"/>
    <n v="140857.19604492188"/>
    <x v="0"/>
  </r>
  <r>
    <s v="TRD01311"/>
    <s v="INE006A01080"/>
    <x v="29"/>
    <x v="4"/>
    <s v="Deutsche Bank A/C 983712"/>
    <n v="450"/>
    <n v="306.75"/>
    <n v="138037.5"/>
    <x v="0"/>
  </r>
  <r>
    <s v="TRD01312"/>
    <s v="INE005A01040"/>
    <x v="39"/>
    <x v="1"/>
    <s v="HSBC A/C 540659"/>
    <n v="440"/>
    <n v="509.760009765625"/>
    <n v="224294.404296875"/>
    <x v="0"/>
  </r>
  <r>
    <s v="TRD01313"/>
    <s v="INE008A01033"/>
    <x v="19"/>
    <x v="2"/>
    <s v="Citi A/C 359789"/>
    <n v="370"/>
    <n v="103.11000061035156"/>
    <n v="38150.700225830078"/>
    <x v="0"/>
  </r>
  <r>
    <s v="TRD01314"/>
    <s v="INE004A01044"/>
    <x v="10"/>
    <x v="2"/>
    <s v="Deutsche Bank A/C 917262"/>
    <n v="210"/>
    <n v="447.3800048828125"/>
    <n v="93949.801025390625"/>
    <x v="0"/>
  </r>
  <r>
    <s v="TRD01315"/>
    <s v="INE007A01023"/>
    <x v="48"/>
    <x v="5"/>
    <s v="Citi A/C 703401"/>
    <n v="80"/>
    <n v="410.98001098632813"/>
    <n v="32878.40087890625"/>
    <x v="0"/>
  </r>
  <r>
    <s v="TRD01316"/>
    <s v="INE008A01032"/>
    <x v="5"/>
    <x v="3"/>
    <s v="HSBC A/C 562956"/>
    <n v="30"/>
    <n v="120.12999725341797"/>
    <n v="3603.8999176025391"/>
    <x v="0"/>
  </r>
  <r>
    <s v="TRD01317"/>
    <s v="INE007A01097"/>
    <x v="43"/>
    <x v="3"/>
    <s v="JPMorgan A/C 603587"/>
    <n v="270"/>
    <n v="208.86000061035156"/>
    <n v="56392.200164794922"/>
    <x v="0"/>
  </r>
  <r>
    <s v="TRD01318"/>
    <s v="INE009A01063"/>
    <x v="24"/>
    <x v="1"/>
    <s v="Citi A/C 714496"/>
    <n v="410"/>
    <n v="69.029998779296875"/>
    <n v="28302.299499511719"/>
    <x v="0"/>
  </r>
  <r>
    <s v="TRD01319"/>
    <s v="INE006A01033"/>
    <x v="23"/>
    <x v="2"/>
    <s v="Standard Chartered A/C 277005"/>
    <n v="230"/>
    <n v="100.29000091552734"/>
    <n v="23066.700210571289"/>
    <x v="0"/>
  </r>
  <r>
    <s v="TRD01320"/>
    <s v="INE009A01026"/>
    <x v="19"/>
    <x v="2"/>
    <s v="Citi A/C 359789"/>
    <n v="430"/>
    <n v="460.10000610351563"/>
    <n v="197843.00262451172"/>
    <x v="0"/>
  </r>
  <r>
    <s v="TRD01321"/>
    <s v="INE005A01026"/>
    <x v="34"/>
    <x v="5"/>
    <s v="JPMorgan A/C 488546"/>
    <n v="380"/>
    <n v="313.760009765625"/>
    <n v="119228.8037109375"/>
    <x v="0"/>
  </r>
  <r>
    <s v="TRD01322"/>
    <s v="INE006A01031"/>
    <x v="27"/>
    <x v="2"/>
    <s v="HDFC A/C 679335"/>
    <n v="350"/>
    <n v="84.360000610351563"/>
    <n v="29526.000213623047"/>
    <x v="0"/>
  </r>
  <r>
    <s v="TRD01323"/>
    <s v="INE005A0102"/>
    <x v="46"/>
    <x v="4"/>
    <s v="Deutsche Bank A/C 428758"/>
    <n v="25000"/>
    <n v="282.08999633789063"/>
    <n v="7052249.9084472656"/>
    <x v="2"/>
  </r>
  <r>
    <s v="TRD01324"/>
    <s v="INE004A01084"/>
    <x v="41"/>
    <x v="4"/>
    <s v="Standard Chartered A/C 441247"/>
    <n v="20"/>
    <n v="23.469999313354492"/>
    <n v="469.39998626708984"/>
    <x v="0"/>
  </r>
  <r>
    <s v="TRD01325"/>
    <s v="INE007A01014"/>
    <x v="17"/>
    <x v="0"/>
    <s v="Barclays A/C 197229"/>
    <n v="180"/>
    <n v="96"/>
    <n v="17280"/>
    <x v="0"/>
  </r>
  <r>
    <s v="TRD01326"/>
    <s v="INE005A01068"/>
    <x v="21"/>
    <x v="1"/>
    <s v="Deutsche Bank A/C 324710"/>
    <n v="250"/>
    <n v="431.57998657226563"/>
    <n v="107894.99664306641"/>
    <x v="0"/>
  </r>
  <r>
    <s v="TRD01327"/>
    <s v="INE006A01023"/>
    <x v="40"/>
    <x v="2"/>
    <s v="HSBC A/C 468615"/>
    <n v="460"/>
    <n v="126.12999725341797"/>
    <n v="58019.798736572266"/>
    <x v="0"/>
  </r>
  <r>
    <s v="TRD01328"/>
    <s v="INE001A01053"/>
    <x v="15"/>
    <x v="4"/>
    <s v="Barclays A/C 302646"/>
    <n v="210"/>
    <n v="189.69000244140625"/>
    <n v="39834.900512695313"/>
    <x v="0"/>
  </r>
  <r>
    <s v="TRD01329"/>
    <s v="INE003A01074"/>
    <x v="36"/>
    <x v="0"/>
    <s v="HSBC A/C 864249"/>
    <n v="370"/>
    <n v="296.30999755859375"/>
    <n v="109634.69909667969"/>
    <x v="0"/>
  </r>
  <r>
    <s v="TRD01330"/>
    <s v="INE006A0103"/>
    <x v="27"/>
    <x v="2"/>
    <s v="HDFC A/C 679335"/>
    <n v="490"/>
    <n v="34.130001068115234"/>
    <n v="16723.700523376465"/>
    <x v="0"/>
  </r>
  <r>
    <s v="TRD01331"/>
    <s v="INE002A01094"/>
    <x v="27"/>
    <x v="2"/>
    <s v="HDFC A/C 679335"/>
    <n v="60"/>
    <n v="155.35000610351563"/>
    <n v="9321.0003662109375"/>
    <x v="0"/>
  </r>
  <r>
    <s v="TRD01332"/>
    <s v="INE009A0105"/>
    <x v="50"/>
    <x v="5"/>
    <s v="HDFC A/C 180445"/>
    <n v="290"/>
    <n v="326.239990234375"/>
    <n v="94609.59716796875"/>
    <x v="0"/>
  </r>
  <r>
    <s v="TRD01333"/>
    <s v="INE003A01032"/>
    <x v="34"/>
    <x v="5"/>
    <s v="JPMorgan A/C 488546"/>
    <n v="310"/>
    <n v="377.10000610351563"/>
    <n v="116901.00189208984"/>
    <x v="0"/>
  </r>
  <r>
    <s v="TRD01334"/>
    <s v="INE008A01071"/>
    <x v="44"/>
    <x v="4"/>
    <s v="JPMorgan A/C 704166"/>
    <n v="450"/>
    <n v="52.340000152587891"/>
    <n v="23553.000068664551"/>
    <x v="0"/>
  </r>
  <r>
    <s v="TRD01335"/>
    <s v="INE005A01063"/>
    <x v="29"/>
    <x v="4"/>
    <s v="Deutsche Bank A/C 983712"/>
    <n v="10"/>
    <n v="260.3800048828125"/>
    <n v="2603.800048828125"/>
    <x v="0"/>
  </r>
  <r>
    <s v="TRD01336"/>
    <s v="INE005A01042"/>
    <x v="7"/>
    <x v="3"/>
    <s v="JPMorgan A/C 391364"/>
    <n v="450"/>
    <n v="323.75"/>
    <n v="145687.5"/>
    <x v="0"/>
  </r>
  <r>
    <s v="TRD01337"/>
    <s v="INE004A01088"/>
    <x v="3"/>
    <x v="2"/>
    <s v="Deutsche Bank A/C 126543"/>
    <n v="200"/>
    <n v="229.02000427246094"/>
    <n v="45804.000854492188"/>
    <x v="0"/>
  </r>
  <r>
    <s v="TRD01338"/>
    <s v="INE005A01078"/>
    <x v="14"/>
    <x v="2"/>
    <s v="HSBC A/C 172861"/>
    <n v="360"/>
    <n v="376.80999755859375"/>
    <n v="135651.59912109375"/>
    <x v="0"/>
  </r>
  <r>
    <s v="TRD01339"/>
    <s v="INE003A01034"/>
    <x v="22"/>
    <x v="4"/>
    <s v="HSBC A/C 785870"/>
    <n v="10"/>
    <n v="331.83999633789063"/>
    <n v="3318.3999633789063"/>
    <x v="0"/>
  </r>
  <r>
    <s v="TRD01340"/>
    <s v="INE006A01069"/>
    <x v="17"/>
    <x v="0"/>
    <s v="Barclays A/C 197229"/>
    <n v="410"/>
    <n v="72.849998474121094"/>
    <n v="29868.499374389648"/>
    <x v="0"/>
  </r>
  <r>
    <s v="TRD01341"/>
    <s v="INE002A01048"/>
    <x v="43"/>
    <x v="3"/>
    <s v="JPMorgan A/C 603587"/>
    <n v="240"/>
    <n v="242.67999267578125"/>
    <n v="58243.1982421875"/>
    <x v="0"/>
  </r>
  <r>
    <s v="TRD01342"/>
    <s v="INE006A01027"/>
    <x v="50"/>
    <x v="5"/>
    <s v="HDFC A/C 180445"/>
    <n v="420"/>
    <n v="398.19000244140625"/>
    <n v="167239.80102539063"/>
    <x v="0"/>
  </r>
  <r>
    <s v="TRD01343"/>
    <s v="INE001A0109"/>
    <x v="22"/>
    <x v="4"/>
    <s v="HSBC A/C 785870"/>
    <n v="270"/>
    <n v="260.35000610351563"/>
    <n v="70294.501647949219"/>
    <x v="0"/>
  </r>
  <r>
    <s v="TRD01344"/>
    <s v="INE007A01089"/>
    <x v="1"/>
    <x v="1"/>
    <s v="Standard Chartered A/C 331839"/>
    <n v="360"/>
    <n v="464.16000366210938"/>
    <n v="167097.60131835938"/>
    <x v="0"/>
  </r>
  <r>
    <s v="TRD01345"/>
    <s v="INE004A01014"/>
    <x v="37"/>
    <x v="6"/>
    <s v="MISSING SSI"/>
    <n v="130"/>
    <n v="146.94999694824219"/>
    <n v="19103.499603271484"/>
    <x v="3"/>
  </r>
  <r>
    <s v="TRD01346"/>
    <s v="INE006A01057"/>
    <x v="13"/>
    <x v="4"/>
    <s v="Deutsche Bank A/C 330518"/>
    <n v="350"/>
    <n v="318.20999145507813"/>
    <n v="111373.49700927734"/>
    <x v="0"/>
  </r>
  <r>
    <s v="TRD01347"/>
    <s v="INE009A01061"/>
    <x v="49"/>
    <x v="0"/>
    <s v="HDFC A/C 543407"/>
    <n v="210"/>
    <n v="498.3800048828125"/>
    <n v="104659.80102539063"/>
    <x v="0"/>
  </r>
  <r>
    <s v="TRD01348"/>
    <s v="INE008A01071"/>
    <x v="46"/>
    <x v="4"/>
    <s v="Deutsche Bank A/C 428758"/>
    <n v="180"/>
    <n v="507.04998779296875"/>
    <n v="91268.997802734375"/>
    <x v="0"/>
  </r>
  <r>
    <s v="TRD01349"/>
    <s v="INE007A01063"/>
    <x v="3"/>
    <x v="2"/>
    <s v="Deutsche Bank A/C 126543"/>
    <n v="100"/>
    <n v="109.11000061035156"/>
    <n v="10911.000061035156"/>
    <x v="0"/>
  </r>
  <r>
    <s v="TRD01350"/>
    <s v="INE006A01015"/>
    <x v="38"/>
    <x v="2"/>
    <s v="HSBC A/C 994063"/>
    <n v="380"/>
    <n v="264.76998901367188"/>
    <n v="100612.59582519531"/>
    <x v="0"/>
  </r>
  <r>
    <s v="TRD01351"/>
    <s v="INE002A01052"/>
    <x v="12"/>
    <x v="4"/>
    <s v="Citi A/C 543819"/>
    <n v="310"/>
    <n v="379.54998779296875"/>
    <n v="117660.49621582031"/>
    <x v="0"/>
  </r>
  <r>
    <s v="TRD01352"/>
    <s v="INE005A0108"/>
    <x v="18"/>
    <x v="2"/>
    <s v="HSBC A/C 604357"/>
    <n v="280"/>
    <n v="54.270000457763672"/>
    <n v="15195.600128173828"/>
    <x v="0"/>
  </r>
  <r>
    <s v="TRD01353"/>
    <s v="INE005A01061"/>
    <x v="20"/>
    <x v="0"/>
    <s v="Citi A/C 508769"/>
    <n v="-50"/>
    <n v="493.010009765625"/>
    <n v="-24650.50048828125"/>
    <x v="1"/>
  </r>
  <r>
    <s v="TRD01354"/>
    <s v="INE001A01064"/>
    <x v="27"/>
    <x v="2"/>
    <s v="HDFC A/C 679335"/>
    <n v="340"/>
    <n v="388.73001098632813"/>
    <n v="132168.20373535156"/>
    <x v="0"/>
  </r>
  <r>
    <s v="TRD01355"/>
    <s v="INE007A01089"/>
    <x v="32"/>
    <x v="1"/>
    <s v="Standard Chartered A/C 438949"/>
    <n v="390"/>
    <n v="251.80000305175781"/>
    <n v="98202.001190185547"/>
    <x v="0"/>
  </r>
  <r>
    <s v="TRD01356"/>
    <s v="INE009A01022"/>
    <x v="1"/>
    <x v="1"/>
    <s v="Standard Chartered A/C 331839"/>
    <n v="20"/>
    <n v="235.78999328613281"/>
    <n v="4715.7998657226563"/>
    <x v="0"/>
  </r>
  <r>
    <s v="TRD01357"/>
    <s v="INE004A01038"/>
    <x v="27"/>
    <x v="2"/>
    <s v="HDFC A/C 679335"/>
    <n v="120"/>
    <n v="377.07000732421875"/>
    <n v="45248.40087890625"/>
    <x v="0"/>
  </r>
  <r>
    <s v="TRD01358"/>
    <s v="INE003A0103"/>
    <x v="19"/>
    <x v="2"/>
    <s v="Citi A/C 359789"/>
    <n v="400"/>
    <n v="344.83999633789063"/>
    <n v="137935.99853515625"/>
    <x v="0"/>
  </r>
  <r>
    <s v="TRD01359"/>
    <s v="INE002A01021"/>
    <x v="47"/>
    <x v="4"/>
    <s v="Standard Chartered A/C 682134"/>
    <n v="90"/>
    <n v="191.10000610351563"/>
    <n v="17199.000549316406"/>
    <x v="0"/>
  </r>
  <r>
    <s v="TRD01360"/>
    <s v="INE001A01085"/>
    <x v="19"/>
    <x v="2"/>
    <s v="Citi A/C 359789"/>
    <n v="210"/>
    <n v="100.65000152587891"/>
    <n v="21136.50032043457"/>
    <x v="0"/>
  </r>
  <r>
    <s v="TRD01361"/>
    <s v="INE005A01030"/>
    <x v="45"/>
    <x v="0"/>
    <s v="HDFC A/C 113752"/>
    <n v="320"/>
    <n v="141.13999938964844"/>
    <n v="45164.7998046875"/>
    <x v="0"/>
  </r>
  <r>
    <s v="TRD01362"/>
    <s v="INE006A01075"/>
    <x v="11"/>
    <x v="3"/>
    <s v="Standard Chartered A/C 307017"/>
    <n v="270"/>
    <n v="12.989999771118164"/>
    <n v="3507.2999382019043"/>
    <x v="0"/>
  </r>
  <r>
    <s v="TRD01363"/>
    <s v="INE005A01083"/>
    <x v="47"/>
    <x v="4"/>
    <s v="Standard Chartered A/C 682134"/>
    <n v="450"/>
    <n v="299.45999145507813"/>
    <n v="134756.99615478516"/>
    <x v="0"/>
  </r>
  <r>
    <s v="TRD01364"/>
    <s v="INE004A0103"/>
    <x v="36"/>
    <x v="0"/>
    <s v="HSBC A/C 864249"/>
    <n v="30"/>
    <n v="216.6199951171875"/>
    <n v="6498.599853515625"/>
    <x v="0"/>
  </r>
  <r>
    <s v="TRD01365"/>
    <s v="INE004A01023"/>
    <x v="12"/>
    <x v="4"/>
    <s v="Citi A/C 543819"/>
    <n v="240"/>
    <n v="363.33999633789063"/>
    <n v="87201.59912109375"/>
    <x v="0"/>
  </r>
  <r>
    <s v="TRD01366"/>
    <s v="INE003A01023"/>
    <x v="32"/>
    <x v="1"/>
    <s v="Standard Chartered A/C 438949"/>
    <n v="80"/>
    <n v="471.29998779296875"/>
    <n v="37703.9990234375"/>
    <x v="0"/>
  </r>
  <r>
    <s v="TRD01367"/>
    <s v="INE004A01018"/>
    <x v="47"/>
    <x v="4"/>
    <s v="Standard Chartered A/C 682134"/>
    <n v="100"/>
    <n v="155.02000427246094"/>
    <n v="15502.000427246094"/>
    <x v="0"/>
  </r>
  <r>
    <s v="TRD01368"/>
    <s v="INE005A01015"/>
    <x v="46"/>
    <x v="4"/>
    <s v="Deutsche Bank A/C 428758"/>
    <n v="120"/>
    <n v="161.80999755859375"/>
    <n v="19417.19970703125"/>
    <x v="0"/>
  </r>
  <r>
    <s v="TRD01369"/>
    <s v="INE005A01059"/>
    <x v="16"/>
    <x v="3"/>
    <s v="Deutsche Bank A/C 153521"/>
    <n v="30"/>
    <n v="121.79000091552734"/>
    <n v="3653.7000274658203"/>
    <x v="0"/>
  </r>
  <r>
    <s v="TRD01370"/>
    <s v="INE001A01085"/>
    <x v="46"/>
    <x v="4"/>
    <s v="Deutsche Bank A/C 428758"/>
    <n v="480"/>
    <n v="297.89999389648438"/>
    <n v="142991.9970703125"/>
    <x v="0"/>
  </r>
  <r>
    <s v="TRD01371"/>
    <s v="INE004A01065"/>
    <x v="40"/>
    <x v="2"/>
    <s v="HSBC A/C 468615"/>
    <n v="180"/>
    <n v="335.89999389648438"/>
    <n v="60461.998901367188"/>
    <x v="0"/>
  </r>
  <r>
    <s v="TRD01372"/>
    <s v="INE008A01063"/>
    <x v="49"/>
    <x v="0"/>
    <s v="HDFC A/C 543407"/>
    <n v="110"/>
    <n v="14.340000152587891"/>
    <n v="1577.400016784668"/>
    <x v="0"/>
  </r>
  <r>
    <s v="TRD01373"/>
    <s v="INE004A01078"/>
    <x v="47"/>
    <x v="4"/>
    <s v="Standard Chartered A/C 682134"/>
    <n v="310"/>
    <n v="494.6199951171875"/>
    <n v="153332.19848632813"/>
    <x v="0"/>
  </r>
  <r>
    <s v="TRD01374"/>
    <s v="INE005A0104"/>
    <x v="8"/>
    <x v="3"/>
    <s v="Deutsche Bank A/C 917029"/>
    <n v="100"/>
    <n v="70.910003662109375"/>
    <n v="7091.0003662109375"/>
    <x v="0"/>
  </r>
  <r>
    <s v="TRD01375"/>
    <s v="INE008A01066"/>
    <x v="25"/>
    <x v="5"/>
    <s v="HDFC A/C 897530"/>
    <n v="330"/>
    <n v="420.20999145507813"/>
    <n v="138669.29718017578"/>
    <x v="0"/>
  </r>
  <r>
    <s v="TRD01376"/>
    <s v="INE001A01086"/>
    <x v="24"/>
    <x v="1"/>
    <s v="Citi A/C 714496"/>
    <n v="150"/>
    <n v="352.35000610351563"/>
    <n v="52852.500915527344"/>
    <x v="0"/>
  </r>
  <r>
    <s v="TRD01377"/>
    <s v="INE006A01022"/>
    <x v="47"/>
    <x v="4"/>
    <s v="Standard Chartered A/C 682134"/>
    <n v="240"/>
    <n v="59.950000762939453"/>
    <n v="14388.000183105469"/>
    <x v="0"/>
  </r>
  <r>
    <s v="TRD01378"/>
    <s v="INE009A01018"/>
    <x v="46"/>
    <x v="4"/>
    <s v="Deutsche Bank A/C 428758"/>
    <n v="90"/>
    <n v="368.45001220703125"/>
    <n v="33160.501098632813"/>
    <x v="0"/>
  </r>
  <r>
    <s v="TRD01379"/>
    <s v="INE005A01062"/>
    <x v="16"/>
    <x v="3"/>
    <s v="Deutsche Bank A/C 153521"/>
    <n v="200"/>
    <n v="486.10000610351563"/>
    <n v="97220.001220703125"/>
    <x v="0"/>
  </r>
  <r>
    <s v="TRD01380"/>
    <s v="INE006A01028"/>
    <x v="1"/>
    <x v="1"/>
    <s v="Standard Chartered A/C 331839"/>
    <n v="380"/>
    <n v="253.96000671386719"/>
    <n v="96504.802551269531"/>
    <x v="0"/>
  </r>
  <r>
    <s v="TRD01381"/>
    <s v="INE007A01030"/>
    <x v="29"/>
    <x v="4"/>
    <s v="Deutsche Bank A/C 983712"/>
    <n v="460"/>
    <n v="395.92001342773438"/>
    <n v="182123.20617675781"/>
    <x v="0"/>
  </r>
  <r>
    <s v="TRD01382"/>
    <s v="INE009A01070"/>
    <x v="25"/>
    <x v="5"/>
    <s v="HDFC A/C 897530"/>
    <n v="90"/>
    <n v="268.64999389648438"/>
    <n v="24178.499450683594"/>
    <x v="0"/>
  </r>
  <r>
    <s v="TRD01383"/>
    <s v="INE007A01091"/>
    <x v="44"/>
    <x v="4"/>
    <s v="JPMorgan A/C 704166"/>
    <n v="420"/>
    <n v="111.66999816894531"/>
    <n v="46901.399230957031"/>
    <x v="0"/>
  </r>
  <r>
    <s v="TRD01384"/>
    <s v="INE001A01026"/>
    <x v="39"/>
    <x v="1"/>
    <s v="HSBC A/C 540659"/>
    <n v="430"/>
    <n v="297.29000854492188"/>
    <n v="127834.70367431641"/>
    <x v="0"/>
  </r>
  <r>
    <s v="TRD01385"/>
    <s v="INE003A01042"/>
    <x v="38"/>
    <x v="2"/>
    <s v="HSBC A/C 994063"/>
    <n v="100"/>
    <n v="80.639999389648438"/>
    <n v="8063.9999389648438"/>
    <x v="0"/>
  </r>
  <r>
    <s v="TRD01386"/>
    <s v="INE002A0100"/>
    <x v="21"/>
    <x v="1"/>
    <s v="Deutsche Bank A/C 324710"/>
    <n v="230"/>
    <n v="349.6400146484375"/>
    <n v="80417.203369140625"/>
    <x v="0"/>
  </r>
  <r>
    <s v="TRD01387"/>
    <s v="INE002A01097"/>
    <x v="6"/>
    <x v="0"/>
    <s v="JPMorgan A/C 987170"/>
    <n v="140"/>
    <n v="375.07000732421875"/>
    <n v="52509.801025390625"/>
    <x v="0"/>
  </r>
  <r>
    <s v="TRD01388"/>
    <s v="INE009A01022"/>
    <x v="42"/>
    <x v="0"/>
    <s v="HDFC A/C 638209"/>
    <n v="450"/>
    <n v="60.470001220703125"/>
    <n v="27211.500549316406"/>
    <x v="0"/>
  </r>
  <r>
    <s v="TRD01389"/>
    <s v="INE007A0101"/>
    <x v="15"/>
    <x v="4"/>
    <s v="Barclays A/C 302646"/>
    <n v="310"/>
    <n v="192.24000549316406"/>
    <n v="59594.401702880859"/>
    <x v="0"/>
  </r>
  <r>
    <s v="TRD01390"/>
    <s v="INE002A01048"/>
    <x v="40"/>
    <x v="2"/>
    <s v="HSBC A/C 468615"/>
    <n v="170"/>
    <n v="189.55000305175781"/>
    <n v="32223.500518798828"/>
    <x v="0"/>
  </r>
  <r>
    <s v="TRD01391"/>
    <s v="INE003A01019"/>
    <x v="20"/>
    <x v="0"/>
    <s v="Citi A/C 508769"/>
    <n v="500"/>
    <n v="354.41000366210938"/>
    <n v="177205.00183105469"/>
    <x v="0"/>
  </r>
  <r>
    <s v="TRD01392"/>
    <s v="INE008A01057"/>
    <x v="6"/>
    <x v="0"/>
    <s v="JPMorgan A/C 987170"/>
    <n v="80"/>
    <n v="121.62999725341797"/>
    <n v="9730.3997802734375"/>
    <x v="0"/>
  </r>
  <r>
    <s v="TRD01393"/>
    <s v="INE006A01045"/>
    <x v="25"/>
    <x v="5"/>
    <s v="HDFC A/C 897530"/>
    <n v="230"/>
    <n v="308.83999633789063"/>
    <n v="71033.199157714844"/>
    <x v="0"/>
  </r>
  <r>
    <s v="TRD01394"/>
    <s v="INE003A01055"/>
    <x v="6"/>
    <x v="0"/>
    <s v="JPMorgan A/C 987170"/>
    <n v="30"/>
    <n v="366.48001098632813"/>
    <n v="10994.400329589844"/>
    <x v="0"/>
  </r>
  <r>
    <s v="TRD01395"/>
    <s v="INE006A01097"/>
    <x v="43"/>
    <x v="3"/>
    <s v="JPMorgan A/C 603587"/>
    <n v="130"/>
    <n v="127.80999755859375"/>
    <n v="16615.299682617188"/>
    <x v="0"/>
  </r>
  <r>
    <s v="TRD01396"/>
    <s v="INE001A01071"/>
    <x v="4"/>
    <x v="0"/>
    <s v="HSBC A/C 867781"/>
    <n v="460"/>
    <n v="58.880001068115234"/>
    <n v="27084.800491333008"/>
    <x v="0"/>
  </r>
  <r>
    <s v="TRD01397"/>
    <s v="INE005A01018"/>
    <x v="39"/>
    <x v="1"/>
    <s v="HSBC A/C 540659"/>
    <n v="490"/>
    <n v="508.57998657226563"/>
    <n v="249204.19342041016"/>
    <x v="0"/>
  </r>
  <r>
    <s v="TRD01398"/>
    <s v="INE002A01062"/>
    <x v="31"/>
    <x v="4"/>
    <s v="JPMorgan A/C 860462"/>
    <n v="460"/>
    <n v="458.57998657226563"/>
    <n v="210946.79382324219"/>
    <x v="0"/>
  </r>
  <r>
    <s v="TRD01399"/>
    <s v="INE007A01073"/>
    <x v="50"/>
    <x v="5"/>
    <s v="HDFC A/C 180445"/>
    <n v="180"/>
    <n v="273.41000366210938"/>
    <n v="49213.800659179688"/>
    <x v="0"/>
  </r>
  <r>
    <s v="TRD01400"/>
    <s v="INE005A0106"/>
    <x v="41"/>
    <x v="4"/>
    <s v="Standard Chartered A/C 441247"/>
    <n v="230"/>
    <n v="450.3599853515625"/>
    <n v="103582.79663085938"/>
    <x v="0"/>
  </r>
  <r>
    <s v="TRD01401"/>
    <s v="INE009A01057"/>
    <x v="22"/>
    <x v="4"/>
    <s v="HSBC A/C 785870"/>
    <n v="240"/>
    <n v="369.57000732421875"/>
    <n v="88696.8017578125"/>
    <x v="0"/>
  </r>
  <r>
    <s v="TRD01402"/>
    <s v="INE003A0109"/>
    <x v="3"/>
    <x v="2"/>
    <s v="Deutsche Bank A/C 126543"/>
    <n v="110"/>
    <n v="43.970001220703125"/>
    <n v="4836.7001342773438"/>
    <x v="0"/>
  </r>
  <r>
    <s v="TRD01403"/>
    <s v="INE001A01086"/>
    <x v="38"/>
    <x v="2"/>
    <s v="HSBC A/C 994063"/>
    <n v="290"/>
    <n v="369.32000732421875"/>
    <n v="107102.80212402344"/>
    <x v="0"/>
  </r>
  <r>
    <s v="TRD01404"/>
    <s v="INE004A0101"/>
    <x v="14"/>
    <x v="2"/>
    <s v="HSBC A/C 172861"/>
    <n v="40"/>
    <n v="374.17999267578125"/>
    <n v="14967.19970703125"/>
    <x v="0"/>
  </r>
  <r>
    <s v="TRD01405"/>
    <s v="INE004A0105"/>
    <x v="43"/>
    <x v="3"/>
    <s v="JPMorgan A/C 603587"/>
    <n v="120"/>
    <n v="469.92999267578125"/>
    <n v="56391.59912109375"/>
    <x v="0"/>
  </r>
  <r>
    <s v="TRD01406"/>
    <s v="INE003A01037"/>
    <x v="26"/>
    <x v="0"/>
    <s v="Citi A/C 416082"/>
    <n v="100"/>
    <n v="200.77000427246094"/>
    <n v="20077.000427246094"/>
    <x v="0"/>
  </r>
  <r>
    <s v="TRD01407"/>
    <s v="INE003A01078"/>
    <x v="39"/>
    <x v="1"/>
    <s v="HSBC A/C 540659"/>
    <n v="100"/>
    <n v="493.67999267578125"/>
    <n v="49367.999267578125"/>
    <x v="0"/>
  </r>
  <r>
    <s v="TRD01408"/>
    <s v="INE003A01097"/>
    <x v="40"/>
    <x v="2"/>
    <s v="HSBC A/C 468615"/>
    <n v="10"/>
    <n v="408.48001098632813"/>
    <n v="4084.8001098632813"/>
    <x v="0"/>
  </r>
  <r>
    <s v="TRD01409"/>
    <s v="INE005A0101"/>
    <x v="13"/>
    <x v="4"/>
    <s v="Deutsche Bank A/C 330518"/>
    <n v="260"/>
    <n v="387.80999755859375"/>
    <n v="100830.59936523438"/>
    <x v="0"/>
  </r>
  <r>
    <s v="TRD01410"/>
    <s v="INE006A01086"/>
    <x v="20"/>
    <x v="0"/>
    <s v="Citi A/C 508769"/>
    <n v="25000"/>
    <n v="92.980003356933594"/>
    <n v="2324500.0839233398"/>
    <x v="2"/>
  </r>
  <r>
    <s v="TRD01411"/>
    <s v="INE009A01085"/>
    <x v="25"/>
    <x v="5"/>
    <s v="HDFC A/C 897530"/>
    <n v="340"/>
    <n v="252.33000183105469"/>
    <n v="85792.200622558594"/>
    <x v="0"/>
  </r>
  <r>
    <s v="TRD01412"/>
    <s v="INE004A01087"/>
    <x v="12"/>
    <x v="4"/>
    <s v="Citi A/C 543819"/>
    <n v="10"/>
    <n v="299.1099853515625"/>
    <n v="2991.099853515625"/>
    <x v="0"/>
  </r>
  <r>
    <s v="TRD01413"/>
    <s v="INE003A01065"/>
    <x v="8"/>
    <x v="3"/>
    <s v="Deutsche Bank A/C 917029"/>
    <n v="410"/>
    <n v="325.3599853515625"/>
    <n v="133397.59399414063"/>
    <x v="0"/>
  </r>
  <r>
    <s v="TRD01414"/>
    <s v="INE004A01083"/>
    <x v="39"/>
    <x v="1"/>
    <s v="HSBC A/C 540659"/>
    <n v="470"/>
    <n v="212.17999267578125"/>
    <n v="99724.596557617188"/>
    <x v="0"/>
  </r>
  <r>
    <s v="TRD01415"/>
    <s v="INE001A01030"/>
    <x v="4"/>
    <x v="0"/>
    <s v="HSBC A/C 867781"/>
    <n v="490"/>
    <n v="379.739990234375"/>
    <n v="186072.59521484375"/>
    <x v="0"/>
  </r>
  <r>
    <s v="TRD01416"/>
    <s v="INE003A01059"/>
    <x v="2"/>
    <x v="2"/>
    <s v="Citi A/C 837378"/>
    <n v="300"/>
    <n v="37.270000457763672"/>
    <n v="11181.000137329102"/>
    <x v="0"/>
  </r>
  <r>
    <s v="TRD01417"/>
    <s v="INE002A01048"/>
    <x v="35"/>
    <x v="4"/>
    <s v="HSBC A/C 972195"/>
    <n v="80"/>
    <n v="433.04998779296875"/>
    <n v="34643.9990234375"/>
    <x v="0"/>
  </r>
  <r>
    <s v="TRD01418"/>
    <s v="INE009A01045"/>
    <x v="4"/>
    <x v="0"/>
    <s v="HSBC A/C 867781"/>
    <n v="60"/>
    <n v="104.44999694824219"/>
    <n v="6266.9998168945313"/>
    <x v="0"/>
  </r>
  <r>
    <s v="TRD01419"/>
    <s v="INE007A01016"/>
    <x v="43"/>
    <x v="3"/>
    <s v="JPMorgan A/C 603587"/>
    <n v="300"/>
    <n v="127.87999725341797"/>
    <n v="38363.999176025391"/>
    <x v="0"/>
  </r>
  <r>
    <s v="TRD01420"/>
    <s v="INE006A01098"/>
    <x v="37"/>
    <x v="6"/>
    <s v="MISSING SSI"/>
    <n v="220"/>
    <n v="436.85000610351563"/>
    <n v="96107.001342773438"/>
    <x v="3"/>
  </r>
  <r>
    <s v="TRD01421"/>
    <s v="INE007A01088"/>
    <x v="0"/>
    <x v="0"/>
    <s v="Citi A/C 700450"/>
    <n v="280"/>
    <n v="403.5"/>
    <n v="112980"/>
    <x v="0"/>
  </r>
  <r>
    <s v="TRD01422"/>
    <s v="INE004A01062"/>
    <x v="19"/>
    <x v="2"/>
    <s v="Citi A/C 359789"/>
    <n v="240"/>
    <n v="225.8800048828125"/>
    <n v="54211.201171875"/>
    <x v="0"/>
  </r>
  <r>
    <s v="TRD01423"/>
    <s v="INE008A01018"/>
    <x v="29"/>
    <x v="4"/>
    <s v="Deutsche Bank A/C 983712"/>
    <n v="240"/>
    <n v="243.08000183105469"/>
    <n v="58339.200439453125"/>
    <x v="0"/>
  </r>
  <r>
    <s v="TRD01424"/>
    <s v="INE003A01064"/>
    <x v="3"/>
    <x v="2"/>
    <s v="Deutsche Bank A/C 126543"/>
    <n v="370"/>
    <n v="364.54000854492188"/>
    <n v="134879.80316162109"/>
    <x v="0"/>
  </r>
  <r>
    <s v="TRD01425"/>
    <s v="INE008A01040"/>
    <x v="39"/>
    <x v="1"/>
    <s v="HSBC A/C 540659"/>
    <n v="490"/>
    <n v="320"/>
    <n v="156800"/>
    <x v="0"/>
  </r>
  <r>
    <s v="TRD01426"/>
    <s v="INE007A01056"/>
    <x v="47"/>
    <x v="4"/>
    <s v="Standard Chartered A/C 682134"/>
    <n v="410"/>
    <n v="409.489990234375"/>
    <n v="167890.89599609375"/>
    <x v="0"/>
  </r>
  <r>
    <s v="TRD01427"/>
    <s v="INE005A01055"/>
    <x v="9"/>
    <x v="2"/>
    <s v="Barclays A/C 560891"/>
    <n v="180"/>
    <n v="253.38999938964844"/>
    <n v="45610.199890136719"/>
    <x v="0"/>
  </r>
  <r>
    <s v="TRD01428"/>
    <s v="INE001A01052"/>
    <x v="49"/>
    <x v="0"/>
    <s v="HDFC A/C 543407"/>
    <n v="310"/>
    <n v="42.360000610351563"/>
    <n v="13131.600189208984"/>
    <x v="0"/>
  </r>
  <r>
    <s v="TRD01429"/>
    <s v="INE007A01091"/>
    <x v="9"/>
    <x v="2"/>
    <s v="Barclays A/C 560891"/>
    <n v="60"/>
    <n v="287.3900146484375"/>
    <n v="17243.40087890625"/>
    <x v="0"/>
  </r>
  <r>
    <s v="TRD01430"/>
    <s v="INE009A01091"/>
    <x v="25"/>
    <x v="5"/>
    <s v="HDFC A/C 897530"/>
    <n v="140"/>
    <n v="69.790000915527344"/>
    <n v="9770.6001281738281"/>
    <x v="0"/>
  </r>
  <r>
    <s v="TRD01431"/>
    <s v="INE006A0101"/>
    <x v="42"/>
    <x v="0"/>
    <s v="HDFC A/C 638209"/>
    <n v="500"/>
    <n v="291.16000366210938"/>
    <n v="145580.00183105469"/>
    <x v="0"/>
  </r>
  <r>
    <s v="TRD01432"/>
    <s v="INE009A01040"/>
    <x v="16"/>
    <x v="3"/>
    <s v="Deutsche Bank A/C 153521"/>
    <n v="70"/>
    <n v="423.42001342773438"/>
    <n v="29639.400939941406"/>
    <x v="0"/>
  </r>
  <r>
    <s v="TRD01433"/>
    <s v="INE006A01059"/>
    <x v="40"/>
    <x v="2"/>
    <s v="HSBC A/C 468615"/>
    <n v="500"/>
    <n v="258.82000732421875"/>
    <n v="129410.00366210938"/>
    <x v="0"/>
  </r>
  <r>
    <s v="TRD01434"/>
    <s v="INE004A01084"/>
    <x v="41"/>
    <x v="4"/>
    <s v="Standard Chartered A/C 441247"/>
    <n v="420"/>
    <n v="159.89999389648438"/>
    <n v="67157.997436523438"/>
    <x v="0"/>
  </r>
  <r>
    <s v="TRD01435"/>
    <s v="INE004A01069"/>
    <x v="44"/>
    <x v="4"/>
    <s v="JPMorgan A/C 704166"/>
    <n v="190"/>
    <n v="309.51998901367188"/>
    <n v="58808.797912597656"/>
    <x v="0"/>
  </r>
  <r>
    <s v="TRD01436"/>
    <s v="INE003A01042"/>
    <x v="28"/>
    <x v="2"/>
    <s v="Citi A/C 744145"/>
    <n v="140"/>
    <n v="460.8599853515625"/>
    <n v="64520.39794921875"/>
    <x v="0"/>
  </r>
  <r>
    <s v="TRD01437"/>
    <s v="INE008A01058"/>
    <x v="22"/>
    <x v="4"/>
    <s v="HSBC A/C 785870"/>
    <n v="330"/>
    <n v="187.39999389648438"/>
    <n v="61841.997985839844"/>
    <x v="0"/>
  </r>
  <r>
    <s v="TRD01438"/>
    <s v="INE003A01050"/>
    <x v="32"/>
    <x v="1"/>
    <s v="Standard Chartered A/C 438949"/>
    <n v="290"/>
    <n v="132.94000244140625"/>
    <n v="38552.600708007813"/>
    <x v="0"/>
  </r>
  <r>
    <s v="TRD01439"/>
    <s v="INE002A01077"/>
    <x v="28"/>
    <x v="2"/>
    <s v="Citi A/C 744145"/>
    <n v="280"/>
    <n v="261.60000610351563"/>
    <n v="73248.001708984375"/>
    <x v="0"/>
  </r>
  <r>
    <s v="TRD01440"/>
    <s v="INE002A01074"/>
    <x v="24"/>
    <x v="1"/>
    <s v="Citi A/C 714496"/>
    <n v="50"/>
    <n v="107.79000091552734"/>
    <n v="5389.5000457763672"/>
    <x v="0"/>
  </r>
  <r>
    <s v="TRD01441"/>
    <s v="INE007A0104"/>
    <x v="3"/>
    <x v="2"/>
    <s v="Deutsche Bank A/C 126543"/>
    <n v="60"/>
    <n v="26.25"/>
    <n v="1575"/>
    <x v="0"/>
  </r>
  <r>
    <s v="TRD01442"/>
    <s v="INE001A0105"/>
    <x v="45"/>
    <x v="0"/>
    <s v="HDFC A/C 113752"/>
    <n v="250"/>
    <n v="442.04000854492188"/>
    <n v="110510.00213623047"/>
    <x v="0"/>
  </r>
  <r>
    <s v="TRD01443"/>
    <s v="INE002A01040"/>
    <x v="29"/>
    <x v="4"/>
    <s v="Deutsche Bank A/C 983712"/>
    <n v="290"/>
    <n v="100.51000213623047"/>
    <n v="29147.900619506836"/>
    <x v="0"/>
  </r>
  <r>
    <s v="TRD01444"/>
    <s v="INE001A01054"/>
    <x v="49"/>
    <x v="0"/>
    <s v="HDFC A/C 543407"/>
    <n v="320"/>
    <n v="317.33999633789063"/>
    <n v="101548.798828125"/>
    <x v="0"/>
  </r>
  <r>
    <s v="TRD01445"/>
    <s v="INE004A01013"/>
    <x v="19"/>
    <x v="2"/>
    <s v="Citi A/C 359789"/>
    <n v="210"/>
    <n v="228.50999450683594"/>
    <n v="47987.098846435547"/>
    <x v="0"/>
  </r>
  <r>
    <s v="TRD01446"/>
    <s v="INE008A01062"/>
    <x v="30"/>
    <x v="5"/>
    <s v="JPMorgan A/C 582379"/>
    <n v="320"/>
    <n v="40.330001831054688"/>
    <n v="12905.6005859375"/>
    <x v="0"/>
  </r>
  <r>
    <s v="TRD01447"/>
    <s v="INE006A01074"/>
    <x v="22"/>
    <x v="4"/>
    <s v="HSBC A/C 785870"/>
    <n v="220"/>
    <n v="279.39999389648438"/>
    <n v="61467.998657226563"/>
    <x v="0"/>
  </r>
  <r>
    <s v="TRD01448"/>
    <s v="INE001A01094"/>
    <x v="15"/>
    <x v="4"/>
    <s v="Barclays A/C 302646"/>
    <n v="450"/>
    <n v="42.639999389648438"/>
    <n v="19187.999725341797"/>
    <x v="0"/>
  </r>
  <r>
    <s v="TRD01449"/>
    <s v="INE002A0100"/>
    <x v="0"/>
    <x v="0"/>
    <s v="Citi A/C 700450"/>
    <n v="300"/>
    <n v="247.30000305175781"/>
    <n v="74190.000915527344"/>
    <x v="0"/>
  </r>
  <r>
    <s v="TRD01450"/>
    <s v="INE009A01040"/>
    <x v="30"/>
    <x v="5"/>
    <s v="JPMorgan A/C 582379"/>
    <n v="30"/>
    <n v="380.92999267578125"/>
    <n v="11427.899780273438"/>
    <x v="0"/>
  </r>
  <r>
    <s v="TRD01451"/>
    <s v="INE008A01093"/>
    <x v="48"/>
    <x v="5"/>
    <s v="Citi A/C 703401"/>
    <n v="100"/>
    <n v="251.3699951171875"/>
    <n v="25136.99951171875"/>
    <x v="0"/>
  </r>
  <r>
    <s v="TRD01452"/>
    <s v="INE006A01014"/>
    <x v="1"/>
    <x v="1"/>
    <s v="Standard Chartered A/C 331839"/>
    <n v="480"/>
    <n v="236.82000732421875"/>
    <n v="113673.603515625"/>
    <x v="0"/>
  </r>
  <r>
    <s v="TRD01453"/>
    <s v="INE005A01081"/>
    <x v="3"/>
    <x v="2"/>
    <s v="Deutsche Bank A/C 126543"/>
    <n v="350"/>
    <n v="35.740001678466797"/>
    <n v="12509.000587463379"/>
    <x v="0"/>
  </r>
  <r>
    <s v="TRD01454"/>
    <s v="INE007A01054"/>
    <x v="18"/>
    <x v="2"/>
    <s v="HSBC A/C 604357"/>
    <n v="370"/>
    <n v="416.95999145507813"/>
    <n v="154275.19683837891"/>
    <x v="0"/>
  </r>
  <r>
    <s v="TRD01455"/>
    <s v="INE003A01015"/>
    <x v="27"/>
    <x v="2"/>
    <s v="HDFC A/C 679335"/>
    <n v="430"/>
    <n v="469.55999755859375"/>
    <n v="201910.79895019531"/>
    <x v="0"/>
  </r>
  <r>
    <s v="TRD01456"/>
    <s v="INE009A01026"/>
    <x v="45"/>
    <x v="0"/>
    <s v="HDFC A/C 113752"/>
    <n v="400"/>
    <n v="352.989990234375"/>
    <n v="141195.99609375"/>
    <x v="0"/>
  </r>
  <r>
    <s v="TRD01457"/>
    <s v="INE005A01072"/>
    <x v="22"/>
    <x v="4"/>
    <s v="HSBC A/C 785870"/>
    <n v="360"/>
    <n v="46.959999084472656"/>
    <n v="16905.599670410156"/>
    <x v="0"/>
  </r>
  <r>
    <s v="TRD01458"/>
    <s v="INE004A01018"/>
    <x v="29"/>
    <x v="4"/>
    <s v="Deutsche Bank A/C 983712"/>
    <n v="370"/>
    <n v="101.55000305175781"/>
    <n v="37573.501129150391"/>
    <x v="0"/>
  </r>
  <r>
    <s v="TRD01459"/>
    <s v="INE009A01054"/>
    <x v="3"/>
    <x v="2"/>
    <s v="Deutsche Bank A/C 126543"/>
    <n v="240"/>
    <n v="387.08999633789063"/>
    <n v="92901.59912109375"/>
    <x v="0"/>
  </r>
  <r>
    <s v="TRD01460"/>
    <s v="INE004A01046"/>
    <x v="5"/>
    <x v="3"/>
    <s v="HSBC A/C 562956"/>
    <n v="240"/>
    <n v="344.27999877929688"/>
    <n v="82627.19970703125"/>
    <x v="0"/>
  </r>
  <r>
    <s v="TRD01461"/>
    <s v="INE005A01087"/>
    <x v="46"/>
    <x v="4"/>
    <s v="Deutsche Bank A/C 428758"/>
    <n v="350"/>
    <n v="234.08999633789063"/>
    <n v="81931.498718261719"/>
    <x v="0"/>
  </r>
  <r>
    <s v="TRD01462"/>
    <s v="INE003A01049"/>
    <x v="19"/>
    <x v="2"/>
    <s v="Citi A/C 359789"/>
    <n v="50"/>
    <n v="387.82000732421875"/>
    <n v="19391.000366210938"/>
    <x v="0"/>
  </r>
  <r>
    <s v="TRD01463"/>
    <s v="INE003A01026"/>
    <x v="37"/>
    <x v="6"/>
    <s v="MISSING SSI"/>
    <n v="160"/>
    <n v="52.169998168945313"/>
    <n v="8347.19970703125"/>
    <x v="3"/>
  </r>
  <r>
    <s v="TRD01464"/>
    <s v="INE009A0106"/>
    <x v="2"/>
    <x v="2"/>
    <s v="Citi A/C 837378"/>
    <n v="140"/>
    <n v="13.939999580383301"/>
    <n v="1951.5999412536621"/>
    <x v="0"/>
  </r>
  <r>
    <s v="TRD01465"/>
    <s v="INE003A01076"/>
    <x v="10"/>
    <x v="2"/>
    <s v="Deutsche Bank A/C 917262"/>
    <n v="180"/>
    <n v="345.5"/>
    <n v="62190"/>
    <x v="0"/>
  </r>
  <r>
    <s v="TRD01466"/>
    <s v="INE001A01066"/>
    <x v="11"/>
    <x v="3"/>
    <s v="Standard Chartered A/C 307017"/>
    <n v="80"/>
    <n v="426"/>
    <n v="34080"/>
    <x v="0"/>
  </r>
  <r>
    <s v="TRD01467"/>
    <s v="INE004A01057"/>
    <x v="36"/>
    <x v="0"/>
    <s v="HSBC A/C 864249"/>
    <n v="380"/>
    <n v="361.14999389648438"/>
    <n v="137236.99768066406"/>
    <x v="0"/>
  </r>
  <r>
    <s v="TRD01468"/>
    <s v="INE003A01039"/>
    <x v="22"/>
    <x v="4"/>
    <s v="HSBC A/C 785870"/>
    <n v="150"/>
    <n v="233.22999572753906"/>
    <n v="34984.499359130859"/>
    <x v="0"/>
  </r>
  <r>
    <s v="TRD01469"/>
    <s v="INE005A01061"/>
    <x v="21"/>
    <x v="1"/>
    <s v="Deutsche Bank A/C 324710"/>
    <n v="190"/>
    <n v="351.07998657226563"/>
    <n v="66705.197448730469"/>
    <x v="0"/>
  </r>
  <r>
    <s v="TRD01470"/>
    <s v="INE008A01078"/>
    <x v="35"/>
    <x v="4"/>
    <s v="HSBC A/C 972195"/>
    <n v="320"/>
    <n v="500.08999633789063"/>
    <n v="160028.798828125"/>
    <x v="0"/>
  </r>
  <r>
    <s v="TRD01471"/>
    <s v="INE002A0105"/>
    <x v="46"/>
    <x v="4"/>
    <s v="Deutsche Bank A/C 428758"/>
    <n v="140"/>
    <n v="192.22999572753906"/>
    <n v="26912.199401855469"/>
    <x v="0"/>
  </r>
  <r>
    <s v="TRD01472"/>
    <s v="INE007A01062"/>
    <x v="3"/>
    <x v="2"/>
    <s v="Deutsche Bank A/C 126543"/>
    <n v="210"/>
    <n v="416.02999877929688"/>
    <n v="87366.299743652344"/>
    <x v="0"/>
  </r>
  <r>
    <s v="TRD01473"/>
    <s v="INE002A01029"/>
    <x v="48"/>
    <x v="5"/>
    <s v="Citi A/C 703401"/>
    <n v="390"/>
    <n v="386.55999755859375"/>
    <n v="150758.39904785156"/>
    <x v="0"/>
  </r>
  <r>
    <s v="TRD01474"/>
    <s v="INE007A01093"/>
    <x v="44"/>
    <x v="4"/>
    <s v="JPMorgan A/C 704166"/>
    <n v="40"/>
    <n v="295.489990234375"/>
    <n v="11819.599609375"/>
    <x v="0"/>
  </r>
  <r>
    <s v="TRD01475"/>
    <s v="INE007A0101"/>
    <x v="45"/>
    <x v="0"/>
    <s v="HDFC A/C 113752"/>
    <n v="250"/>
    <n v="61.029998779296875"/>
    <n v="15257.499694824219"/>
    <x v="0"/>
  </r>
  <r>
    <s v="TRD01476"/>
    <s v="INE002A0103"/>
    <x v="14"/>
    <x v="2"/>
    <s v="HSBC A/C 172861"/>
    <n v="160"/>
    <n v="77.949996948242188"/>
    <n v="12471.99951171875"/>
    <x v="0"/>
  </r>
  <r>
    <s v="TRD01477"/>
    <s v="INE003A01011"/>
    <x v="36"/>
    <x v="0"/>
    <s v="HSBC A/C 864249"/>
    <n v="130"/>
    <n v="467.57998657226563"/>
    <n v="60785.398254394531"/>
    <x v="0"/>
  </r>
  <r>
    <s v="TRD01478"/>
    <s v="INE006A01042"/>
    <x v="26"/>
    <x v="0"/>
    <s v="Citi A/C 416082"/>
    <n v="25000"/>
    <n v="50.909999847412109"/>
    <n v="1272749.9961853027"/>
    <x v="2"/>
  </r>
  <r>
    <s v="TRD01479"/>
    <s v="INE006A01020"/>
    <x v="22"/>
    <x v="4"/>
    <s v="HSBC A/C 785870"/>
    <n v="340"/>
    <n v="62.689998626708984"/>
    <n v="21314.599533081055"/>
    <x v="0"/>
  </r>
  <r>
    <s v="TRD01480"/>
    <s v="INE009A01062"/>
    <x v="13"/>
    <x v="4"/>
    <s v="Deutsche Bank A/C 330518"/>
    <n v="340"/>
    <n v="315.8699951171875"/>
    <n v="107395.79833984375"/>
    <x v="0"/>
  </r>
  <r>
    <s v="TRD01481"/>
    <s v="INE005A01054"/>
    <x v="48"/>
    <x v="5"/>
    <s v="Citi A/C 703401"/>
    <n v="440"/>
    <n v="217.91999816894531"/>
    <n v="95884.799194335938"/>
    <x v="0"/>
  </r>
  <r>
    <s v="TRD01482"/>
    <s v="INE002A01031"/>
    <x v="4"/>
    <x v="0"/>
    <s v="HSBC A/C 867781"/>
    <n v="270"/>
    <n v="184.1300048828125"/>
    <n v="49715.101318359375"/>
    <x v="0"/>
  </r>
  <r>
    <s v="TRD01483"/>
    <s v="INE002A01038"/>
    <x v="13"/>
    <x v="4"/>
    <s v="Deutsche Bank A/C 330518"/>
    <n v="340"/>
    <n v="387.58999633789063"/>
    <n v="131780.59875488281"/>
    <x v="0"/>
  </r>
  <r>
    <s v="TRD01484"/>
    <s v="INE009A01087"/>
    <x v="17"/>
    <x v="0"/>
    <s v="Barclays A/C 197229"/>
    <n v="350"/>
    <n v="509.20999145507813"/>
    <n v="178223.49700927734"/>
    <x v="0"/>
  </r>
  <r>
    <s v="TRD01485"/>
    <s v="INE008A0106"/>
    <x v="39"/>
    <x v="1"/>
    <s v="HSBC A/C 540659"/>
    <n v="400"/>
    <n v="487.70999145507813"/>
    <n v="195083.99658203125"/>
    <x v="0"/>
  </r>
  <r>
    <s v="TRD01486"/>
    <s v="INE006A01082"/>
    <x v="31"/>
    <x v="4"/>
    <s v="JPMorgan A/C 860462"/>
    <n v="260"/>
    <n v="269.6300048828125"/>
    <n v="70103.80126953125"/>
    <x v="0"/>
  </r>
  <r>
    <s v="TRD01487"/>
    <s v="INE003A01020"/>
    <x v="36"/>
    <x v="0"/>
    <s v="HSBC A/C 864249"/>
    <n v="110"/>
    <n v="59.299999237060547"/>
    <n v="6522.9999160766602"/>
    <x v="0"/>
  </r>
  <r>
    <s v="TRD01488"/>
    <s v="INE001A01087"/>
    <x v="4"/>
    <x v="0"/>
    <s v="HSBC A/C 867781"/>
    <n v="290"/>
    <n v="68.889999389648438"/>
    <n v="19978.099822998047"/>
    <x v="0"/>
  </r>
  <r>
    <s v="TRD01489"/>
    <s v="INE002A01067"/>
    <x v="49"/>
    <x v="0"/>
    <s v="HDFC A/C 543407"/>
    <n v="70"/>
    <n v="268.3599853515625"/>
    <n v="18785.198974609375"/>
    <x v="0"/>
  </r>
  <r>
    <s v="TRD01490"/>
    <s v="INE003A0104"/>
    <x v="29"/>
    <x v="4"/>
    <s v="Deutsche Bank A/C 983712"/>
    <n v="370"/>
    <n v="135.50999450683594"/>
    <n v="50138.697967529297"/>
    <x v="0"/>
  </r>
  <r>
    <s v="TRD01491"/>
    <s v="INE009A01057"/>
    <x v="2"/>
    <x v="2"/>
    <s v="Citi A/C 837378"/>
    <n v="30"/>
    <n v="405.92999267578125"/>
    <n v="12177.899780273438"/>
    <x v="0"/>
  </r>
  <r>
    <s v="TRD01492"/>
    <s v="INE004A01053"/>
    <x v="20"/>
    <x v="0"/>
    <s v="Citi A/C 508769"/>
    <n v="40"/>
    <n v="323.01998901367188"/>
    <n v="12920.799560546875"/>
    <x v="0"/>
  </r>
  <r>
    <s v="TRD01493"/>
    <s v="INE006A01028"/>
    <x v="11"/>
    <x v="3"/>
    <s v="Standard Chartered A/C 307017"/>
    <n v="330"/>
    <n v="388.010009765625"/>
    <n v="128043.30322265625"/>
    <x v="0"/>
  </r>
  <r>
    <s v="TRD01494"/>
    <s v="INE001A01084"/>
    <x v="19"/>
    <x v="2"/>
    <s v="Citi A/C 359789"/>
    <n v="480"/>
    <n v="109.91999816894531"/>
    <n v="52761.59912109375"/>
    <x v="0"/>
  </r>
  <r>
    <s v="TRD01495"/>
    <s v="INE003A01040"/>
    <x v="2"/>
    <x v="2"/>
    <s v="Citi A/C 837378"/>
    <n v="25000"/>
    <n v="488.04000854492188"/>
    <n v="12201000.213623047"/>
    <x v="2"/>
  </r>
  <r>
    <s v="TRD01496"/>
    <s v="INE005A0101"/>
    <x v="33"/>
    <x v="0"/>
    <s v="Citi A/C 194841"/>
    <n v="210"/>
    <n v="497.1099853515625"/>
    <n v="104393.09692382813"/>
    <x v="0"/>
  </r>
  <r>
    <s v="TRD01497"/>
    <s v="INE002A01022"/>
    <x v="46"/>
    <x v="4"/>
    <s v="Deutsche Bank A/C 428758"/>
    <n v="50"/>
    <n v="88.069999694824219"/>
    <n v="4403.4999847412109"/>
    <x v="0"/>
  </r>
  <r>
    <s v="TRD01498"/>
    <s v="INE003A01018"/>
    <x v="29"/>
    <x v="4"/>
    <s v="Deutsche Bank A/C 983712"/>
    <n v="210"/>
    <n v="497.489990234375"/>
    <n v="104472.89794921875"/>
    <x v="0"/>
  </r>
  <r>
    <s v="TRD01499"/>
    <s v="INE001A01015"/>
    <x v="18"/>
    <x v="2"/>
    <s v="HSBC A/C 604357"/>
    <n v="50"/>
    <n v="376"/>
    <n v="18800"/>
    <x v="0"/>
  </r>
  <r>
    <s v="TRD01500"/>
    <s v="INE008A01085"/>
    <x v="11"/>
    <x v="3"/>
    <s v="Standard Chartered A/C 307017"/>
    <n v="390"/>
    <n v="38.299999237060547"/>
    <n v="14936.999702453613"/>
    <x v="0"/>
  </r>
  <r>
    <s v="TRD01501"/>
    <s v="INE004A01094"/>
    <x v="45"/>
    <x v="0"/>
    <s v="HDFC A/C 113752"/>
    <n v="220"/>
    <n v="213.14999389648438"/>
    <n v="46892.998657226563"/>
    <x v="0"/>
  </r>
  <r>
    <s v="TRD01502"/>
    <s v="INE009A01054"/>
    <x v="16"/>
    <x v="3"/>
    <s v="Deutsche Bank A/C 153521"/>
    <n v="500"/>
    <n v="293.3699951171875"/>
    <n v="146684.99755859375"/>
    <x v="0"/>
  </r>
  <r>
    <s v="TRD01503"/>
    <s v="INE004A01071"/>
    <x v="0"/>
    <x v="0"/>
    <s v="Citi A/C 700450"/>
    <n v="380"/>
    <n v="85.849998474121094"/>
    <n v="32622.999420166016"/>
    <x v="0"/>
  </r>
  <r>
    <s v="TRD01504"/>
    <s v="INE005A0100"/>
    <x v="1"/>
    <x v="1"/>
    <s v="Standard Chartered A/C 331839"/>
    <n v="450"/>
    <n v="61.540000915527344"/>
    <n v="27693.000411987305"/>
    <x v="0"/>
  </r>
  <r>
    <s v="TRD01505"/>
    <s v="INE001A01085"/>
    <x v="46"/>
    <x v="4"/>
    <s v="Deutsche Bank A/C 428758"/>
    <n v="500"/>
    <n v="105.44000244140625"/>
    <n v="52720.001220703125"/>
    <x v="0"/>
  </r>
  <r>
    <s v="TRD01506"/>
    <s v="INE001A01022"/>
    <x v="44"/>
    <x v="4"/>
    <s v="JPMorgan A/C 704166"/>
    <n v="260"/>
    <n v="266.6199951171875"/>
    <n v="69321.19873046875"/>
    <x v="0"/>
  </r>
  <r>
    <s v="TRD01507"/>
    <s v="INE009A01097"/>
    <x v="46"/>
    <x v="4"/>
    <s v="Deutsche Bank A/C 428758"/>
    <n v="170"/>
    <n v="508.23001098632813"/>
    <n v="86399.101867675781"/>
    <x v="0"/>
  </r>
  <r>
    <s v="TRD01508"/>
    <s v="INE002A01046"/>
    <x v="32"/>
    <x v="1"/>
    <s v="Standard Chartered A/C 438949"/>
    <n v="90"/>
    <n v="457.45999145507813"/>
    <n v="41171.399230957031"/>
    <x v="0"/>
  </r>
  <r>
    <s v="TRD01509"/>
    <s v="INE007A01096"/>
    <x v="40"/>
    <x v="2"/>
    <s v="HSBC A/C 468615"/>
    <n v="100"/>
    <n v="155.55999755859375"/>
    <n v="15555.999755859375"/>
    <x v="0"/>
  </r>
  <r>
    <s v="TRD01510"/>
    <s v="INE006A01023"/>
    <x v="4"/>
    <x v="0"/>
    <s v="HSBC A/C 867781"/>
    <n v="210"/>
    <n v="307.8699951171875"/>
    <n v="64652.698974609375"/>
    <x v="0"/>
  </r>
  <r>
    <s v="TRD01511"/>
    <s v="INE003A01095"/>
    <x v="24"/>
    <x v="1"/>
    <s v="Citi A/C 714496"/>
    <n v="140"/>
    <n v="33.759998321533203"/>
    <n v="4726.3997650146484"/>
    <x v="0"/>
  </r>
  <r>
    <s v="TRD01512"/>
    <s v="INE005A01028"/>
    <x v="28"/>
    <x v="2"/>
    <s v="Citi A/C 744145"/>
    <n v="30"/>
    <n v="116.69000244140625"/>
    <n v="3500.7000732421875"/>
    <x v="0"/>
  </r>
  <r>
    <s v="TRD01513"/>
    <s v="INE009A01032"/>
    <x v="9"/>
    <x v="2"/>
    <s v="Barclays A/C 560891"/>
    <n v="230"/>
    <n v="254.14999389648438"/>
    <n v="58454.498596191406"/>
    <x v="0"/>
  </r>
  <r>
    <s v="TRD01514"/>
    <s v="INE001A01062"/>
    <x v="4"/>
    <x v="0"/>
    <s v="HSBC A/C 867781"/>
    <n v="50"/>
    <n v="307.73001098632813"/>
    <n v="15386.500549316406"/>
    <x v="0"/>
  </r>
  <r>
    <s v="TRD01515"/>
    <s v="INE002A01069"/>
    <x v="41"/>
    <x v="4"/>
    <s v="Standard Chartered A/C 441247"/>
    <n v="480"/>
    <n v="53.060001373291016"/>
    <n v="25468.800659179688"/>
    <x v="0"/>
  </r>
  <r>
    <s v="TRD01516"/>
    <s v="INE001A01049"/>
    <x v="26"/>
    <x v="0"/>
    <s v="Citi A/C 416082"/>
    <n v="450"/>
    <n v="429.83999633789063"/>
    <n v="193427.99835205078"/>
    <x v="0"/>
  </r>
  <r>
    <s v="TRD01517"/>
    <s v="INE006A01094"/>
    <x v="0"/>
    <x v="0"/>
    <s v="Citi A/C 700450"/>
    <n v="90"/>
    <n v="291.82998657226563"/>
    <n v="26264.698791503906"/>
    <x v="0"/>
  </r>
  <r>
    <s v="TRD01518"/>
    <s v="INE002A01041"/>
    <x v="14"/>
    <x v="2"/>
    <s v="HSBC A/C 172861"/>
    <n v="490"/>
    <n v="156.83999633789063"/>
    <n v="76851.598205566406"/>
    <x v="0"/>
  </r>
  <r>
    <s v="TRD01519"/>
    <s v="INE002A01021"/>
    <x v="7"/>
    <x v="3"/>
    <s v="JPMorgan A/C 391364"/>
    <n v="410"/>
    <n v="456.76998901367188"/>
    <n v="187275.69549560547"/>
    <x v="0"/>
  </r>
  <r>
    <s v="TRD01520"/>
    <s v="INE006A01013"/>
    <x v="8"/>
    <x v="3"/>
    <s v="Deutsche Bank A/C 917029"/>
    <n v="70"/>
    <n v="287.55999755859375"/>
    <n v="20129.199829101563"/>
    <x v="0"/>
  </r>
  <r>
    <s v="TRD01521"/>
    <s v="INE002A01087"/>
    <x v="14"/>
    <x v="2"/>
    <s v="HSBC A/C 172861"/>
    <n v="380"/>
    <n v="159.21000671386719"/>
    <n v="60499.802551269531"/>
    <x v="0"/>
  </r>
  <r>
    <s v="TRD01522"/>
    <s v="INE005A01063"/>
    <x v="6"/>
    <x v="0"/>
    <s v="JPMorgan A/C 987170"/>
    <n v="210"/>
    <n v="245.82000732421875"/>
    <n v="51622.201538085938"/>
    <x v="0"/>
  </r>
  <r>
    <s v="TRD01523"/>
    <s v="INE001A01055"/>
    <x v="37"/>
    <x v="6"/>
    <s v="MISSING SSI"/>
    <n v="360"/>
    <n v="117.84999847412109"/>
    <n v="42425.999450683594"/>
    <x v="3"/>
  </r>
  <r>
    <s v="TRD01524"/>
    <s v="INE003A01067"/>
    <x v="26"/>
    <x v="0"/>
    <s v="Citi A/C 416082"/>
    <n v="420"/>
    <n v="84.529998779296875"/>
    <n v="35502.599487304688"/>
    <x v="0"/>
  </r>
  <r>
    <s v="TRD01525"/>
    <s v="INE002A01043"/>
    <x v="48"/>
    <x v="5"/>
    <s v="Citi A/C 703401"/>
    <n v="440"/>
    <n v="313.29000854492188"/>
    <n v="137847.60375976563"/>
    <x v="0"/>
  </r>
  <r>
    <s v="TRD01526"/>
    <s v="INE005A01081"/>
    <x v="25"/>
    <x v="5"/>
    <s v="HDFC A/C 897530"/>
    <n v="130"/>
    <n v="444.04000854492188"/>
    <n v="57725.201110839844"/>
    <x v="0"/>
  </r>
  <r>
    <s v="TRD01527"/>
    <s v="INE009A01035"/>
    <x v="3"/>
    <x v="2"/>
    <s v="Deutsche Bank A/C 126543"/>
    <n v="300"/>
    <n v="311.98001098632813"/>
    <n v="93594.003295898438"/>
    <x v="0"/>
  </r>
  <r>
    <s v="TRD01528"/>
    <s v="INE009A0105"/>
    <x v="41"/>
    <x v="4"/>
    <s v="Standard Chartered A/C 441247"/>
    <n v="110"/>
    <n v="197.6300048828125"/>
    <n v="21739.300537109375"/>
    <x v="0"/>
  </r>
  <r>
    <s v="TRD01529"/>
    <s v="INE004A01097"/>
    <x v="17"/>
    <x v="0"/>
    <s v="Barclays A/C 197229"/>
    <n v="300"/>
    <n v="76.80999755859375"/>
    <n v="23042.999267578125"/>
    <x v="0"/>
  </r>
  <r>
    <s v="TRD01530"/>
    <s v="INE008A01069"/>
    <x v="25"/>
    <x v="5"/>
    <s v="HDFC A/C 897530"/>
    <n v="490"/>
    <n v="370.67999267578125"/>
    <n v="181633.19641113281"/>
    <x v="0"/>
  </r>
  <r>
    <s v="TRD01531"/>
    <s v="INE004A01077"/>
    <x v="8"/>
    <x v="3"/>
    <s v="Deutsche Bank A/C 917029"/>
    <n v="390"/>
    <n v="195.67999267578125"/>
    <n v="76315.197143554688"/>
    <x v="0"/>
  </r>
  <r>
    <s v="TRD01532"/>
    <s v="INE007A01033"/>
    <x v="31"/>
    <x v="4"/>
    <s v="JPMorgan A/C 860462"/>
    <n v="70"/>
    <n v="113.58999633789063"/>
    <n v="7951.2997436523438"/>
    <x v="0"/>
  </r>
  <r>
    <s v="TRD01533"/>
    <s v="INE001A01046"/>
    <x v="8"/>
    <x v="3"/>
    <s v="Deutsche Bank A/C 917029"/>
    <n v="180"/>
    <n v="381.48001098632813"/>
    <n v="68666.401977539063"/>
    <x v="0"/>
  </r>
  <r>
    <s v="TRD01534"/>
    <s v="INE003A01080"/>
    <x v="43"/>
    <x v="3"/>
    <s v="JPMorgan A/C 603587"/>
    <n v="250"/>
    <n v="201.74000549316406"/>
    <n v="50435.001373291016"/>
    <x v="0"/>
  </r>
  <r>
    <s v="TRD01535"/>
    <s v="INE007A0100"/>
    <x v="27"/>
    <x v="2"/>
    <s v="HDFC A/C 679335"/>
    <n v="390"/>
    <n v="472.08999633789063"/>
    <n v="184115.09857177734"/>
    <x v="0"/>
  </r>
  <r>
    <s v="TRD01536"/>
    <s v="INE004A01019"/>
    <x v="18"/>
    <x v="2"/>
    <s v="HSBC A/C 604357"/>
    <n v="70"/>
    <n v="35.529998779296875"/>
    <n v="2487.0999145507813"/>
    <x v="0"/>
  </r>
  <r>
    <s v="TRD01537"/>
    <s v="INE009A01056"/>
    <x v="49"/>
    <x v="0"/>
    <s v="HDFC A/C 543407"/>
    <n v="360"/>
    <n v="430.39999389648438"/>
    <n v="154943.99780273438"/>
    <x v="0"/>
  </r>
  <r>
    <s v="TRD01538"/>
    <s v="INE005A01081"/>
    <x v="19"/>
    <x v="2"/>
    <s v="Citi A/C 359789"/>
    <n v="190"/>
    <n v="140.33999633789063"/>
    <n v="26664.599304199219"/>
    <x v="0"/>
  </r>
  <r>
    <s v="TRD01539"/>
    <s v="INE006A01064"/>
    <x v="10"/>
    <x v="2"/>
    <s v="Deutsche Bank A/C 917262"/>
    <n v="70"/>
    <n v="344.30999755859375"/>
    <n v="24101.699829101563"/>
    <x v="0"/>
  </r>
  <r>
    <s v="TRD01540"/>
    <s v="INE008A01027"/>
    <x v="40"/>
    <x v="2"/>
    <s v="HSBC A/C 468615"/>
    <n v="380"/>
    <n v="166.58000183105469"/>
    <n v="63300.400695800781"/>
    <x v="0"/>
  </r>
  <r>
    <s v="TRD01541"/>
    <s v="INE008A01092"/>
    <x v="32"/>
    <x v="1"/>
    <s v="Standard Chartered A/C 438949"/>
    <n v="100"/>
    <n v="426.70999145507813"/>
    <n v="42670.999145507813"/>
    <x v="0"/>
  </r>
  <r>
    <s v="TRD01542"/>
    <s v="INE002A01038"/>
    <x v="34"/>
    <x v="5"/>
    <s v="JPMorgan A/C 488546"/>
    <n v="60"/>
    <n v="389.6199951171875"/>
    <n v="23377.19970703125"/>
    <x v="0"/>
  </r>
  <r>
    <s v="TRD01543"/>
    <s v="INE009A01038"/>
    <x v="1"/>
    <x v="1"/>
    <s v="Standard Chartered A/C 331839"/>
    <n v="190"/>
    <n v="15.489999771118164"/>
    <n v="2943.0999565124512"/>
    <x v="0"/>
  </r>
  <r>
    <s v="TRD01544"/>
    <s v="INE006A01023"/>
    <x v="44"/>
    <x v="4"/>
    <s v="JPMorgan A/C 704166"/>
    <n v="260"/>
    <n v="209.86000061035156"/>
    <n v="54563.600158691406"/>
    <x v="0"/>
  </r>
  <r>
    <s v="TRD01545"/>
    <s v="INE005A01021"/>
    <x v="22"/>
    <x v="4"/>
    <s v="HSBC A/C 785870"/>
    <n v="160"/>
    <n v="73.540000915527344"/>
    <n v="11766.400146484375"/>
    <x v="0"/>
  </r>
  <r>
    <s v="TRD01546"/>
    <s v="INE003A01015"/>
    <x v="42"/>
    <x v="0"/>
    <s v="HDFC A/C 638209"/>
    <n v="140"/>
    <n v="152.67999267578125"/>
    <n v="21375.198974609375"/>
    <x v="0"/>
  </r>
  <r>
    <s v="TRD01547"/>
    <s v="INE004A01087"/>
    <x v="38"/>
    <x v="2"/>
    <s v="HSBC A/C 994063"/>
    <n v="10"/>
    <n v="188.74000549316406"/>
    <n v="1887.4000549316406"/>
    <x v="0"/>
  </r>
  <r>
    <s v="TRD01548"/>
    <s v="INE007A01072"/>
    <x v="35"/>
    <x v="4"/>
    <s v="HSBC A/C 972195"/>
    <n v="470"/>
    <n v="368.489990234375"/>
    <n v="173190.29541015625"/>
    <x v="0"/>
  </r>
  <r>
    <s v="TRD01549"/>
    <s v="INE007A0107"/>
    <x v="44"/>
    <x v="4"/>
    <s v="JPMorgan A/C 704166"/>
    <n v="320"/>
    <n v="74"/>
    <n v="23680"/>
    <x v="0"/>
  </r>
  <r>
    <s v="TRD01550"/>
    <s v="INE005A01078"/>
    <x v="48"/>
    <x v="5"/>
    <s v="Citi A/C 703401"/>
    <n v="180"/>
    <n v="132.66999816894531"/>
    <n v="23880.599670410156"/>
    <x v="0"/>
  </r>
  <r>
    <s v="TRD01551"/>
    <s v="INE007A01076"/>
    <x v="20"/>
    <x v="0"/>
    <s v="Citi A/C 508769"/>
    <n v="310"/>
    <n v="67.199996948242188"/>
    <n v="20831.999053955078"/>
    <x v="0"/>
  </r>
  <r>
    <s v="TRD01552"/>
    <s v="INE008A01041"/>
    <x v="12"/>
    <x v="4"/>
    <s v="Citi A/C 543819"/>
    <n v="290"/>
    <n v="345.6099853515625"/>
    <n v="100226.89575195313"/>
    <x v="0"/>
  </r>
  <r>
    <s v="TRD01553"/>
    <s v="INE003A01016"/>
    <x v="19"/>
    <x v="2"/>
    <s v="Citi A/C 359789"/>
    <n v="330"/>
    <n v="131.22999572753906"/>
    <n v="43305.898590087891"/>
    <x v="0"/>
  </r>
  <r>
    <s v="TRD01554"/>
    <s v="INE006A01094"/>
    <x v="1"/>
    <x v="1"/>
    <s v="Standard Chartered A/C 331839"/>
    <n v="460"/>
    <n v="32.700000762939453"/>
    <n v="15042.000350952148"/>
    <x v="0"/>
  </r>
  <r>
    <s v="TRD01555"/>
    <s v="INE009A01071"/>
    <x v="34"/>
    <x v="5"/>
    <s v="JPMorgan A/C 488546"/>
    <n v="350"/>
    <n v="353.98001098632813"/>
    <n v="123893.00384521484"/>
    <x v="0"/>
  </r>
  <r>
    <s v="TRD01556"/>
    <s v="INE006A01095"/>
    <x v="14"/>
    <x v="2"/>
    <s v="HSBC A/C 172861"/>
    <n v="480"/>
    <n v="344.32998657226563"/>
    <n v="165278.3935546875"/>
    <x v="0"/>
  </r>
  <r>
    <s v="TRD01557"/>
    <s v="INE009A01014"/>
    <x v="22"/>
    <x v="4"/>
    <s v="HSBC A/C 785870"/>
    <n v="460"/>
    <n v="448.33999633789063"/>
    <n v="206236.39831542969"/>
    <x v="0"/>
  </r>
  <r>
    <s v="TRD01558"/>
    <s v="INE005A01028"/>
    <x v="21"/>
    <x v="1"/>
    <s v="Deutsche Bank A/C 324710"/>
    <n v="250"/>
    <n v="55.900001525878906"/>
    <n v="13975.000381469727"/>
    <x v="0"/>
  </r>
  <r>
    <s v="TRD01559"/>
    <s v="INE006A01039"/>
    <x v="16"/>
    <x v="3"/>
    <s v="Deutsche Bank A/C 153521"/>
    <n v="390"/>
    <n v="252.19999694824219"/>
    <n v="98357.998809814453"/>
    <x v="0"/>
  </r>
  <r>
    <s v="TRD01560"/>
    <s v="INE002A0101"/>
    <x v="11"/>
    <x v="3"/>
    <s v="Standard Chartered A/C 307017"/>
    <n v="300"/>
    <n v="67.779998779296875"/>
    <n v="20333.999633789063"/>
    <x v="0"/>
  </r>
  <r>
    <s v="TRD01561"/>
    <s v="INE005A01067"/>
    <x v="24"/>
    <x v="1"/>
    <s v="Citi A/C 714496"/>
    <n v="480"/>
    <n v="228.46000671386719"/>
    <n v="109660.80322265625"/>
    <x v="0"/>
  </r>
  <r>
    <s v="TRD01562"/>
    <s v="INE008A01045"/>
    <x v="48"/>
    <x v="5"/>
    <s v="Citi A/C 703401"/>
    <n v="290"/>
    <n v="405.3900146484375"/>
    <n v="117563.10424804688"/>
    <x v="0"/>
  </r>
  <r>
    <s v="TRD01563"/>
    <s v="INE005A01043"/>
    <x v="7"/>
    <x v="3"/>
    <s v="JPMorgan A/C 391364"/>
    <n v="200"/>
    <n v="465.010009765625"/>
    <n v="93002.001953125"/>
    <x v="0"/>
  </r>
  <r>
    <s v="TRD01564"/>
    <s v="INE009A01021"/>
    <x v="36"/>
    <x v="0"/>
    <s v="HSBC A/C 864249"/>
    <n v="20"/>
    <n v="219.10000610351563"/>
    <n v="4382.0001220703125"/>
    <x v="0"/>
  </r>
  <r>
    <s v="TRD01565"/>
    <s v="INE007A01040"/>
    <x v="34"/>
    <x v="5"/>
    <s v="JPMorgan A/C 488546"/>
    <n v="150"/>
    <n v="174.72999572753906"/>
    <n v="26209.499359130859"/>
    <x v="0"/>
  </r>
  <r>
    <s v="TRD01566"/>
    <s v="INE004A01012"/>
    <x v="1"/>
    <x v="1"/>
    <s v="Standard Chartered A/C 331839"/>
    <n v="370"/>
    <n v="284.29998779296875"/>
    <n v="105190.99548339844"/>
    <x v="0"/>
  </r>
  <r>
    <s v="TRD01567"/>
    <s v="INE005A01051"/>
    <x v="39"/>
    <x v="1"/>
    <s v="HSBC A/C 540659"/>
    <n v="50"/>
    <n v="195.50999450683594"/>
    <n v="9775.4997253417969"/>
    <x v="0"/>
  </r>
  <r>
    <s v="TRD01568"/>
    <s v="INE009A01024"/>
    <x v="29"/>
    <x v="4"/>
    <s v="Deutsche Bank A/C 983712"/>
    <n v="400"/>
    <n v="501.3900146484375"/>
    <n v="200556.005859375"/>
    <x v="0"/>
  </r>
  <r>
    <s v="TRD01569"/>
    <s v="INE005A01097"/>
    <x v="21"/>
    <x v="1"/>
    <s v="Deutsche Bank A/C 324710"/>
    <n v="240"/>
    <n v="490.25"/>
    <n v="117660"/>
    <x v="0"/>
  </r>
  <r>
    <s v="TRD01570"/>
    <s v="INE009A01092"/>
    <x v="27"/>
    <x v="2"/>
    <s v="HDFC A/C 679335"/>
    <n v="250"/>
    <n v="395.75"/>
    <n v="98937.5"/>
    <x v="0"/>
  </r>
  <r>
    <s v="TRD01571"/>
    <s v="INE004A01027"/>
    <x v="1"/>
    <x v="1"/>
    <s v="Standard Chartered A/C 331839"/>
    <n v="200"/>
    <n v="146.83999633789063"/>
    <n v="29367.999267578125"/>
    <x v="0"/>
  </r>
  <r>
    <s v="TRD01572"/>
    <s v="INE008A01074"/>
    <x v="12"/>
    <x v="4"/>
    <s v="Citi A/C 543819"/>
    <n v="210"/>
    <n v="117.79000091552734"/>
    <n v="24735.900192260742"/>
    <x v="0"/>
  </r>
  <r>
    <s v="TRD01573"/>
    <s v="INE004A0108"/>
    <x v="50"/>
    <x v="5"/>
    <s v="HDFC A/C 180445"/>
    <n v="20"/>
    <n v="378.17001342773438"/>
    <n v="7563.4002685546875"/>
    <x v="0"/>
  </r>
  <r>
    <s v="TRD01574"/>
    <s v="INE003A01053"/>
    <x v="47"/>
    <x v="4"/>
    <s v="Standard Chartered A/C 682134"/>
    <n v="190"/>
    <n v="442.8800048828125"/>
    <n v="84147.200927734375"/>
    <x v="0"/>
  </r>
  <r>
    <s v="TRD01575"/>
    <s v="INE009A01037"/>
    <x v="38"/>
    <x v="2"/>
    <s v="HSBC A/C 994063"/>
    <n v="410"/>
    <n v="22.120000839233398"/>
    <n v="9069.2003440856934"/>
    <x v="0"/>
  </r>
  <r>
    <s v="TRD01576"/>
    <s v="INE004A01038"/>
    <x v="11"/>
    <x v="3"/>
    <s v="Standard Chartered A/C 307017"/>
    <n v="220"/>
    <n v="271.42001342773438"/>
    <n v="59712.402954101563"/>
    <x v="0"/>
  </r>
  <r>
    <s v="TRD01577"/>
    <s v="INE004A01035"/>
    <x v="41"/>
    <x v="4"/>
    <s v="Standard Chartered A/C 441247"/>
    <n v="240"/>
    <n v="41.590000152587891"/>
    <n v="9981.6000366210938"/>
    <x v="0"/>
  </r>
  <r>
    <s v="TRD01578"/>
    <s v="INE003A01060"/>
    <x v="48"/>
    <x v="5"/>
    <s v="Citi A/C 703401"/>
    <n v="460"/>
    <n v="128.80000305175781"/>
    <n v="59248.001403808594"/>
    <x v="0"/>
  </r>
  <r>
    <s v="TRD01579"/>
    <s v="INE008A01047"/>
    <x v="5"/>
    <x v="3"/>
    <s v="HSBC A/C 562956"/>
    <n v="460"/>
    <n v="24.479999542236328"/>
    <n v="11260.799789428711"/>
    <x v="0"/>
  </r>
  <r>
    <s v="TRD01580"/>
    <s v="INE005A01079"/>
    <x v="49"/>
    <x v="0"/>
    <s v="HDFC A/C 543407"/>
    <n v="190"/>
    <n v="165.39999389648438"/>
    <n v="31425.998840332031"/>
    <x v="0"/>
  </r>
  <r>
    <s v="TRD01581"/>
    <s v="INE003A01044"/>
    <x v="23"/>
    <x v="2"/>
    <s v="Standard Chartered A/C 277005"/>
    <n v="180"/>
    <n v="183.66000366210938"/>
    <n v="33058.800659179688"/>
    <x v="0"/>
  </r>
  <r>
    <s v="TRD01582"/>
    <s v="INE007A01079"/>
    <x v="36"/>
    <x v="0"/>
    <s v="HSBC A/C 864249"/>
    <n v="320"/>
    <n v="156.6300048828125"/>
    <n v="50121.6015625"/>
    <x v="0"/>
  </r>
  <r>
    <s v="TRD01583"/>
    <s v="INE009A01023"/>
    <x v="32"/>
    <x v="1"/>
    <s v="Standard Chartered A/C 438949"/>
    <n v="110"/>
    <n v="357.02999877929688"/>
    <n v="39273.299865722656"/>
    <x v="0"/>
  </r>
  <r>
    <s v="TRD01584"/>
    <s v="INE008A01066"/>
    <x v="39"/>
    <x v="1"/>
    <s v="HSBC A/C 540659"/>
    <n v="390"/>
    <n v="502.8699951171875"/>
    <n v="196119.29809570313"/>
    <x v="0"/>
  </r>
  <r>
    <s v="TRD01585"/>
    <s v="INE006A0103"/>
    <x v="16"/>
    <x v="3"/>
    <s v="Deutsche Bank A/C 153521"/>
    <n v="100"/>
    <n v="507.48001098632813"/>
    <n v="50748.001098632813"/>
    <x v="0"/>
  </r>
  <r>
    <s v="TRD01586"/>
    <s v="INE003A01074"/>
    <x v="20"/>
    <x v="0"/>
    <s v="Citi A/C 508769"/>
    <n v="50"/>
    <n v="229.50999450683594"/>
    <n v="11475.499725341797"/>
    <x v="0"/>
  </r>
  <r>
    <s v="TRD01587"/>
    <s v="INE001A01029"/>
    <x v="46"/>
    <x v="4"/>
    <s v="Deutsche Bank A/C 428758"/>
    <n v="120"/>
    <n v="222.91000366210938"/>
    <n v="26749.200439453125"/>
    <x v="0"/>
  </r>
  <r>
    <s v="TRD01588"/>
    <s v="INE003A01062"/>
    <x v="11"/>
    <x v="3"/>
    <s v="Standard Chartered A/C 307017"/>
    <n v="80"/>
    <n v="486.95001220703125"/>
    <n v="38956.0009765625"/>
    <x v="0"/>
  </r>
  <r>
    <s v="TRD01589"/>
    <s v="INE004A01074"/>
    <x v="35"/>
    <x v="4"/>
    <s v="HSBC A/C 972195"/>
    <n v="270"/>
    <n v="216.19999694824219"/>
    <n v="58373.999176025391"/>
    <x v="0"/>
  </r>
  <r>
    <s v="TRD01590"/>
    <s v="INE007A01014"/>
    <x v="28"/>
    <x v="2"/>
    <s v="Citi A/C 744145"/>
    <n v="400"/>
    <n v="50.560001373291016"/>
    <n v="20224.000549316406"/>
    <x v="0"/>
  </r>
  <r>
    <s v="TRD01591"/>
    <s v="INE009A01033"/>
    <x v="29"/>
    <x v="4"/>
    <s v="Deutsche Bank A/C 983712"/>
    <n v="260"/>
    <n v="325.239990234375"/>
    <n v="84562.3974609375"/>
    <x v="0"/>
  </r>
  <r>
    <s v="TRD01592"/>
    <s v="INE005A01035"/>
    <x v="12"/>
    <x v="4"/>
    <s v="Citi A/C 543819"/>
    <n v="30"/>
    <n v="320.75"/>
    <n v="9622.5"/>
    <x v="0"/>
  </r>
  <r>
    <s v="TRD01593"/>
    <s v="INE003A01025"/>
    <x v="9"/>
    <x v="2"/>
    <s v="Barclays A/C 560891"/>
    <n v="450"/>
    <n v="12.930000305175781"/>
    <n v="5818.5001373291016"/>
    <x v="0"/>
  </r>
  <r>
    <s v="TRD01594"/>
    <s v="INE009A01060"/>
    <x v="22"/>
    <x v="4"/>
    <s v="HSBC A/C 785870"/>
    <n v="140"/>
    <n v="322.91000366210938"/>
    <n v="45207.400512695313"/>
    <x v="0"/>
  </r>
  <r>
    <s v="TRD01595"/>
    <s v="INE004A01097"/>
    <x v="50"/>
    <x v="5"/>
    <s v="HDFC A/C 180445"/>
    <n v="300"/>
    <n v="367.14999389648438"/>
    <n v="110144.99816894531"/>
    <x v="0"/>
  </r>
  <r>
    <s v="TRD01596"/>
    <s v="INE004A01048"/>
    <x v="11"/>
    <x v="3"/>
    <s v="Standard Chartered A/C 307017"/>
    <n v="500"/>
    <n v="207.41000366210938"/>
    <n v="103705.00183105469"/>
    <x v="0"/>
  </r>
  <r>
    <s v="TRD01597"/>
    <s v="INE002A01022"/>
    <x v="31"/>
    <x v="4"/>
    <s v="JPMorgan A/C 860462"/>
    <n v="25000"/>
    <n v="412.26998901367188"/>
    <n v="10306749.725341797"/>
    <x v="2"/>
  </r>
  <r>
    <s v="TRD01598"/>
    <s v="INE002A01060"/>
    <x v="47"/>
    <x v="4"/>
    <s v="Standard Chartered A/C 682134"/>
    <n v="40"/>
    <n v="37.849998474121094"/>
    <n v="1513.9999389648438"/>
    <x v="0"/>
  </r>
  <r>
    <s v="TRD01599"/>
    <s v="INE005A0106"/>
    <x v="48"/>
    <x v="5"/>
    <s v="Citi A/C 703401"/>
    <n v="450"/>
    <n v="500.3900146484375"/>
    <n v="225175.50659179688"/>
    <x v="0"/>
  </r>
  <r>
    <s v="TRD01600"/>
    <s v="INE001A01060"/>
    <x v="39"/>
    <x v="1"/>
    <s v="HSBC A/C 540659"/>
    <n v="160"/>
    <n v="268.8800048828125"/>
    <n v="43020.80078125"/>
    <x v="0"/>
  </r>
  <r>
    <s v="TRD01601"/>
    <s v="INE007A01069"/>
    <x v="27"/>
    <x v="2"/>
    <s v="HDFC A/C 679335"/>
    <n v="220"/>
    <n v="413.8599853515625"/>
    <n v="91049.19677734375"/>
    <x v="0"/>
  </r>
  <r>
    <s v="TRD01602"/>
    <s v="INE004A01059"/>
    <x v="33"/>
    <x v="0"/>
    <s v="Citi A/C 194841"/>
    <n v="80"/>
    <n v="357.47000122070313"/>
    <n v="28597.60009765625"/>
    <x v="0"/>
  </r>
  <r>
    <s v="TRD01603"/>
    <s v="INE001A01089"/>
    <x v="49"/>
    <x v="0"/>
    <s v="HDFC A/C 543407"/>
    <n v="310"/>
    <n v="123.38999938964844"/>
    <n v="38250.899810791016"/>
    <x v="0"/>
  </r>
  <r>
    <s v="TRD01604"/>
    <s v="INE002A0103"/>
    <x v="1"/>
    <x v="1"/>
    <s v="Standard Chartered A/C 331839"/>
    <n v="380"/>
    <n v="86.849998474121094"/>
    <n v="33002.999420166016"/>
    <x v="0"/>
  </r>
  <r>
    <s v="TRD01605"/>
    <s v="INE008A01074"/>
    <x v="29"/>
    <x v="4"/>
    <s v="Deutsche Bank A/C 983712"/>
    <n v="370"/>
    <n v="224.66000366210938"/>
    <n v="83124.201354980469"/>
    <x v="0"/>
  </r>
  <r>
    <s v="TRD01606"/>
    <s v="INE009A01064"/>
    <x v="49"/>
    <x v="0"/>
    <s v="HDFC A/C 543407"/>
    <n v="260"/>
    <n v="365.20001220703125"/>
    <n v="94952.003173828125"/>
    <x v="0"/>
  </r>
  <r>
    <s v="TRD01607"/>
    <s v="INE007A01061"/>
    <x v="0"/>
    <x v="0"/>
    <s v="Citi A/C 700450"/>
    <n v="150"/>
    <n v="438.39999389648438"/>
    <n v="65759.999084472656"/>
    <x v="0"/>
  </r>
  <r>
    <s v="TRD01608"/>
    <s v="INE003A01040"/>
    <x v="13"/>
    <x v="4"/>
    <s v="Deutsche Bank A/C 330518"/>
    <n v="30"/>
    <n v="225.74000549316406"/>
    <n v="6772.2001647949219"/>
    <x v="0"/>
  </r>
  <r>
    <s v="TRD01609"/>
    <s v="INE004A0108"/>
    <x v="48"/>
    <x v="5"/>
    <s v="Citi A/C 703401"/>
    <n v="30"/>
    <n v="110.29000091552734"/>
    <n v="3308.7000274658203"/>
    <x v="0"/>
  </r>
  <r>
    <s v="TRD01610"/>
    <s v="INE003A01054"/>
    <x v="39"/>
    <x v="1"/>
    <s v="HSBC A/C 540659"/>
    <n v="160"/>
    <n v="326.67001342773438"/>
    <n v="52267.2021484375"/>
    <x v="0"/>
  </r>
  <r>
    <s v="TRD01611"/>
    <s v="INE009A0100"/>
    <x v="50"/>
    <x v="5"/>
    <s v="HDFC A/C 180445"/>
    <n v="40"/>
    <n v="211.05000305175781"/>
    <n v="8442.0001220703125"/>
    <x v="0"/>
  </r>
  <r>
    <s v="TRD01612"/>
    <s v="INE009A01052"/>
    <x v="49"/>
    <x v="0"/>
    <s v="HDFC A/C 543407"/>
    <n v="200"/>
    <n v="451.17999267578125"/>
    <n v="90235.99853515625"/>
    <x v="0"/>
  </r>
  <r>
    <s v="TRD01613"/>
    <s v="INE007A01047"/>
    <x v="34"/>
    <x v="5"/>
    <s v="JPMorgan A/C 488546"/>
    <n v="300"/>
    <n v="336.3800048828125"/>
    <n v="100914.00146484375"/>
    <x v="0"/>
  </r>
  <r>
    <s v="TRD01614"/>
    <s v="INE008A0107"/>
    <x v="38"/>
    <x v="2"/>
    <s v="HSBC A/C 994063"/>
    <n v="360"/>
    <n v="507.489990234375"/>
    <n v="182696.396484375"/>
    <x v="0"/>
  </r>
  <r>
    <s v="TRD01615"/>
    <s v="INE001A01083"/>
    <x v="0"/>
    <x v="0"/>
    <s v="Citi A/C 700450"/>
    <n v="70"/>
    <n v="206.97000122070313"/>
    <n v="14487.900085449219"/>
    <x v="0"/>
  </r>
  <r>
    <s v="TRD01616"/>
    <s v="INE005A01015"/>
    <x v="35"/>
    <x v="4"/>
    <s v="HSBC A/C 972195"/>
    <n v="460"/>
    <n v="28.799999237060547"/>
    <n v="13247.999649047852"/>
    <x v="0"/>
  </r>
  <r>
    <s v="TRD01617"/>
    <s v="INE001A01070"/>
    <x v="11"/>
    <x v="3"/>
    <s v="Standard Chartered A/C 307017"/>
    <n v="230"/>
    <n v="168.53999328613281"/>
    <n v="38764.198455810547"/>
    <x v="0"/>
  </r>
  <r>
    <s v="TRD01618"/>
    <s v="INE001A0101"/>
    <x v="8"/>
    <x v="3"/>
    <s v="Deutsche Bank A/C 917029"/>
    <n v="450"/>
    <n v="173.30000305175781"/>
    <n v="77985.001373291016"/>
    <x v="0"/>
  </r>
  <r>
    <s v="TRD01619"/>
    <s v="INE006A01090"/>
    <x v="35"/>
    <x v="4"/>
    <s v="HSBC A/C 972195"/>
    <n v="300"/>
    <n v="191.77999877929688"/>
    <n v="57533.999633789063"/>
    <x v="0"/>
  </r>
  <r>
    <s v="TRD01620"/>
    <s v="INE004A0109"/>
    <x v="1"/>
    <x v="1"/>
    <s v="Standard Chartered A/C 331839"/>
    <n v="390"/>
    <n v="224.21000671386719"/>
    <n v="87441.902618408203"/>
    <x v="0"/>
  </r>
  <r>
    <s v="TRD01621"/>
    <s v="INE001A01055"/>
    <x v="33"/>
    <x v="0"/>
    <s v="Citi A/C 194841"/>
    <n v="420"/>
    <n v="372.39999389648438"/>
    <n v="156407.99743652344"/>
    <x v="0"/>
  </r>
  <r>
    <s v="TRD01622"/>
    <s v="INE002A01013"/>
    <x v="30"/>
    <x v="5"/>
    <s v="JPMorgan A/C 582379"/>
    <n v="490"/>
    <n v="89.730003356933594"/>
    <n v="43967.701644897461"/>
    <x v="0"/>
  </r>
  <r>
    <s v="TRD01623"/>
    <s v="INE008A01098"/>
    <x v="49"/>
    <x v="0"/>
    <s v="HDFC A/C 543407"/>
    <n v="330"/>
    <n v="431.1099853515625"/>
    <n v="142266.29516601563"/>
    <x v="0"/>
  </r>
  <r>
    <s v="TRD01624"/>
    <s v="INE001A01010"/>
    <x v="30"/>
    <x v="5"/>
    <s v="JPMorgan A/C 582379"/>
    <n v="70"/>
    <n v="303.04998779296875"/>
    <n v="21213.499145507813"/>
    <x v="0"/>
  </r>
  <r>
    <s v="TRD01625"/>
    <s v="INE009A01080"/>
    <x v="12"/>
    <x v="4"/>
    <s v="Citi A/C 543819"/>
    <n v="430"/>
    <n v="213.60000610351563"/>
    <n v="91848.002624511719"/>
    <x v="0"/>
  </r>
  <r>
    <s v="TRD01626"/>
    <s v="INE008A01023"/>
    <x v="1"/>
    <x v="1"/>
    <s v="Standard Chartered A/C 331839"/>
    <n v="70"/>
    <n v="22.379999160766602"/>
    <n v="1566.5999412536621"/>
    <x v="0"/>
  </r>
  <r>
    <s v="TRD01627"/>
    <s v="INE003A01085"/>
    <x v="16"/>
    <x v="3"/>
    <s v="Deutsche Bank A/C 153521"/>
    <n v="230"/>
    <n v="190.58000183105469"/>
    <n v="43833.400421142578"/>
    <x v="0"/>
  </r>
  <r>
    <s v="TRD01628"/>
    <s v="INE008A01097"/>
    <x v="25"/>
    <x v="5"/>
    <s v="HDFC A/C 897530"/>
    <n v="70"/>
    <n v="30.930000305175781"/>
    <n v="2165.1000213623047"/>
    <x v="0"/>
  </r>
  <r>
    <s v="TRD01629"/>
    <s v="INE002A01024"/>
    <x v="35"/>
    <x v="4"/>
    <s v="HSBC A/C 972195"/>
    <n v="360"/>
    <n v="457.75"/>
    <n v="164790"/>
    <x v="0"/>
  </r>
  <r>
    <s v="TRD01630"/>
    <s v="INE003A0108"/>
    <x v="17"/>
    <x v="0"/>
    <s v="Barclays A/C 197229"/>
    <n v="260"/>
    <n v="236.89999389648438"/>
    <n v="61593.998413085938"/>
    <x v="0"/>
  </r>
  <r>
    <s v="TRD01631"/>
    <s v="INE002A01030"/>
    <x v="11"/>
    <x v="3"/>
    <s v="Standard Chartered A/C 307017"/>
    <n v="70"/>
    <n v="235.80999755859375"/>
    <n v="16506.699829101563"/>
    <x v="0"/>
  </r>
  <r>
    <s v="TRD01632"/>
    <s v="INE001A01050"/>
    <x v="26"/>
    <x v="0"/>
    <s v="Citi A/C 416082"/>
    <n v="470"/>
    <n v="173.49000549316406"/>
    <n v="81540.302581787109"/>
    <x v="0"/>
  </r>
  <r>
    <s v="TRD01633"/>
    <s v="INE002A01063"/>
    <x v="45"/>
    <x v="0"/>
    <s v="HDFC A/C 113752"/>
    <n v="270"/>
    <n v="370.48001098632813"/>
    <n v="100029.60296630859"/>
    <x v="0"/>
  </r>
  <r>
    <s v="TRD01634"/>
    <s v="INE009A01046"/>
    <x v="9"/>
    <x v="2"/>
    <s v="Barclays A/C 560891"/>
    <n v="150"/>
    <n v="498.89999389648438"/>
    <n v="74834.999084472656"/>
    <x v="0"/>
  </r>
  <r>
    <s v="TRD01635"/>
    <s v="INE001A01010"/>
    <x v="0"/>
    <x v="0"/>
    <s v="Citi A/C 700450"/>
    <n v="440"/>
    <n v="332.44000244140625"/>
    <n v="146273.60107421875"/>
    <x v="0"/>
  </r>
  <r>
    <s v="TRD01636"/>
    <s v="INE003A01044"/>
    <x v="6"/>
    <x v="0"/>
    <s v="JPMorgan A/C 987170"/>
    <n v="360"/>
    <n v="496.33999633789063"/>
    <n v="178682.39868164063"/>
    <x v="0"/>
  </r>
  <r>
    <s v="TRD01637"/>
    <s v="INE003A01077"/>
    <x v="33"/>
    <x v="0"/>
    <s v="Citi A/C 194841"/>
    <n v="240"/>
    <n v="217.41000366210938"/>
    <n v="52178.40087890625"/>
    <x v="0"/>
  </r>
  <r>
    <s v="TRD01638"/>
    <s v="INE004A01017"/>
    <x v="40"/>
    <x v="2"/>
    <s v="HSBC A/C 468615"/>
    <n v="300"/>
    <n v="74.010002136230469"/>
    <n v="22203.000640869141"/>
    <x v="0"/>
  </r>
  <r>
    <s v="TRD01639"/>
    <s v="INE004A0103"/>
    <x v="42"/>
    <x v="0"/>
    <s v="HDFC A/C 638209"/>
    <n v="410"/>
    <n v="246.08000183105469"/>
    <n v="100892.80075073242"/>
    <x v="0"/>
  </r>
  <r>
    <s v="TRD01640"/>
    <s v="INE008A01060"/>
    <x v="7"/>
    <x v="3"/>
    <s v="JPMorgan A/C 391364"/>
    <n v="300"/>
    <n v="265.1199951171875"/>
    <n v="79535.99853515625"/>
    <x v="0"/>
  </r>
  <r>
    <s v="TRD01641"/>
    <s v="INE001A01045"/>
    <x v="47"/>
    <x v="4"/>
    <s v="Standard Chartered A/C 682134"/>
    <n v="350"/>
    <n v="264.17001342773438"/>
    <n v="92459.504699707031"/>
    <x v="0"/>
  </r>
  <r>
    <s v="TRD01642"/>
    <s v="INE007A01096"/>
    <x v="15"/>
    <x v="4"/>
    <s v="Barclays A/C 302646"/>
    <n v="310"/>
    <n v="227.86000061035156"/>
    <n v="70636.600189208984"/>
    <x v="0"/>
  </r>
  <r>
    <s v="TRD01643"/>
    <s v="INE004A01087"/>
    <x v="7"/>
    <x v="3"/>
    <s v="JPMorgan A/C 391364"/>
    <n v="60"/>
    <n v="242.3699951171875"/>
    <n v="14542.19970703125"/>
    <x v="0"/>
  </r>
  <r>
    <s v="TRD01644"/>
    <s v="INE002A01073"/>
    <x v="3"/>
    <x v="2"/>
    <s v="Deutsche Bank A/C 126543"/>
    <n v="390"/>
    <n v="245.44000244140625"/>
    <n v="95721.600952148438"/>
    <x v="0"/>
  </r>
  <r>
    <s v="TRD01645"/>
    <s v="INE008A01042"/>
    <x v="0"/>
    <x v="0"/>
    <s v="Citi A/C 700450"/>
    <n v="180"/>
    <n v="276.3900146484375"/>
    <n v="49750.20263671875"/>
    <x v="0"/>
  </r>
  <r>
    <s v="TRD01646"/>
    <s v="INE006A01064"/>
    <x v="26"/>
    <x v="0"/>
    <s v="Citi A/C 416082"/>
    <n v="240"/>
    <n v="226.07000732421875"/>
    <n v="54256.8017578125"/>
    <x v="0"/>
  </r>
  <r>
    <s v="TRD01647"/>
    <s v="INE007A01043"/>
    <x v="47"/>
    <x v="4"/>
    <s v="Standard Chartered A/C 682134"/>
    <n v="470"/>
    <n v="86.919998168945313"/>
    <n v="40852.399139404297"/>
    <x v="0"/>
  </r>
  <r>
    <s v="TRD01648"/>
    <s v="INE006A01064"/>
    <x v="15"/>
    <x v="4"/>
    <s v="Barclays A/C 302646"/>
    <n v="190"/>
    <n v="202.94000244140625"/>
    <n v="38558.600463867188"/>
    <x v="0"/>
  </r>
  <r>
    <s v="TRD01649"/>
    <s v="INE009A01049"/>
    <x v="23"/>
    <x v="2"/>
    <s v="Standard Chartered A/C 277005"/>
    <n v="320"/>
    <n v="19.680000305175781"/>
    <n v="6297.60009765625"/>
    <x v="0"/>
  </r>
  <r>
    <s v="TRD01650"/>
    <s v="INE003A01097"/>
    <x v="43"/>
    <x v="3"/>
    <s v="JPMorgan A/C 603587"/>
    <n v="180"/>
    <n v="334.260009765625"/>
    <n v="60166.8017578125"/>
    <x v="0"/>
  </r>
  <r>
    <s v="TRD01651"/>
    <s v="INE005A01046"/>
    <x v="50"/>
    <x v="5"/>
    <s v="HDFC A/C 180445"/>
    <n v="220"/>
    <n v="45.369998931884766"/>
    <n v="9981.3997650146484"/>
    <x v="0"/>
  </r>
  <r>
    <s v="TRD01652"/>
    <s v="INE007A01011"/>
    <x v="33"/>
    <x v="0"/>
    <s v="Citi A/C 194841"/>
    <n v="280"/>
    <n v="403.239990234375"/>
    <n v="112907.197265625"/>
    <x v="0"/>
  </r>
  <r>
    <s v="TRD01653"/>
    <s v="INE008A01043"/>
    <x v="34"/>
    <x v="5"/>
    <s v="JPMorgan A/C 488546"/>
    <n v="320"/>
    <n v="259.67999267578125"/>
    <n v="83097.59765625"/>
    <x v="0"/>
  </r>
  <r>
    <s v="TRD01654"/>
    <s v="INE003A01075"/>
    <x v="22"/>
    <x v="4"/>
    <s v="HSBC A/C 785870"/>
    <n v="200"/>
    <n v="318.07000732421875"/>
    <n v="63614.00146484375"/>
    <x v="0"/>
  </r>
  <r>
    <s v="TRD01655"/>
    <s v="INE004A01074"/>
    <x v="11"/>
    <x v="3"/>
    <s v="Standard Chartered A/C 307017"/>
    <n v="380"/>
    <n v="383.32998657226563"/>
    <n v="145665.39489746094"/>
    <x v="0"/>
  </r>
  <r>
    <s v="TRD01656"/>
    <s v="INE007A01089"/>
    <x v="31"/>
    <x v="4"/>
    <s v="JPMorgan A/C 860462"/>
    <n v="250"/>
    <n v="111.94999694824219"/>
    <n v="27987.499237060547"/>
    <x v="0"/>
  </r>
  <r>
    <s v="TRD01657"/>
    <s v="INE009A0102"/>
    <x v="6"/>
    <x v="0"/>
    <s v="JPMorgan A/C 987170"/>
    <n v="290"/>
    <n v="262.010009765625"/>
    <n v="75982.90283203125"/>
    <x v="0"/>
  </r>
  <r>
    <s v="TRD01658"/>
    <s v="INE009A01075"/>
    <x v="28"/>
    <x v="2"/>
    <s v="Citi A/C 744145"/>
    <n v="380"/>
    <n v="443.10000610351563"/>
    <n v="168378.00231933594"/>
    <x v="0"/>
  </r>
  <r>
    <s v="TRD01659"/>
    <s v="INE006A0108"/>
    <x v="38"/>
    <x v="2"/>
    <s v="HSBC A/C 994063"/>
    <n v="40"/>
    <n v="366.42999267578125"/>
    <n v="14657.19970703125"/>
    <x v="0"/>
  </r>
  <r>
    <s v="TRD01660"/>
    <s v="INE002A01080"/>
    <x v="31"/>
    <x v="4"/>
    <s v="JPMorgan A/C 860462"/>
    <n v="160"/>
    <n v="94.720001220703125"/>
    <n v="15155.2001953125"/>
    <x v="0"/>
  </r>
  <r>
    <s v="TRD01661"/>
    <s v="INE006A0104"/>
    <x v="5"/>
    <x v="3"/>
    <s v="HSBC A/C 562956"/>
    <n v="280"/>
    <n v="292.29000854492188"/>
    <n v="81841.202392578125"/>
    <x v="0"/>
  </r>
  <r>
    <s v="TRD01662"/>
    <s v="INE007A01075"/>
    <x v="17"/>
    <x v="0"/>
    <s v="Barclays A/C 197229"/>
    <n v="300"/>
    <n v="475"/>
    <n v="142500"/>
    <x v="0"/>
  </r>
  <r>
    <s v="TRD01663"/>
    <s v="INE006A01024"/>
    <x v="12"/>
    <x v="4"/>
    <s v="Citi A/C 543819"/>
    <n v="270"/>
    <n v="260.29998779296875"/>
    <n v="70280.996704101563"/>
    <x v="0"/>
  </r>
  <r>
    <s v="TRD01664"/>
    <s v="INE003A01059"/>
    <x v="33"/>
    <x v="0"/>
    <s v="Citi A/C 194841"/>
    <n v="110"/>
    <n v="117.16000366210938"/>
    <n v="12887.600402832031"/>
    <x v="0"/>
  </r>
  <r>
    <s v="TRD01665"/>
    <s v="INE004A01028"/>
    <x v="23"/>
    <x v="2"/>
    <s v="Standard Chartered A/C 277005"/>
    <n v="380"/>
    <n v="116.15000152587891"/>
    <n v="44137.000579833984"/>
    <x v="0"/>
  </r>
  <r>
    <s v="TRD01666"/>
    <s v="INE009A01054"/>
    <x v="23"/>
    <x v="2"/>
    <s v="Standard Chartered A/C 277005"/>
    <n v="40"/>
    <n v="179.38999938964844"/>
    <n v="7175.5999755859375"/>
    <x v="0"/>
  </r>
  <r>
    <s v="TRD01667"/>
    <s v="INE009A0100"/>
    <x v="7"/>
    <x v="3"/>
    <s v="JPMorgan A/C 391364"/>
    <n v="140"/>
    <n v="330.55999755859375"/>
    <n v="46278.399658203125"/>
    <x v="0"/>
  </r>
  <r>
    <s v="TRD01668"/>
    <s v="INE007A0107"/>
    <x v="38"/>
    <x v="2"/>
    <s v="HSBC A/C 994063"/>
    <n v="160"/>
    <n v="444.89999389648438"/>
    <n v="71183.9990234375"/>
    <x v="0"/>
  </r>
  <r>
    <s v="TRD01669"/>
    <s v="INE005A01050"/>
    <x v="31"/>
    <x v="4"/>
    <s v="JPMorgan A/C 860462"/>
    <n v="180"/>
    <n v="499.22000122070313"/>
    <n v="89859.600219726563"/>
    <x v="0"/>
  </r>
  <r>
    <s v="TRD01670"/>
    <s v="INE001A01089"/>
    <x v="13"/>
    <x v="4"/>
    <s v="Deutsche Bank A/C 330518"/>
    <n v="170"/>
    <n v="321.8800048828125"/>
    <n v="54719.600830078125"/>
    <x v="0"/>
  </r>
  <r>
    <s v="TRD01671"/>
    <s v="INE008A01015"/>
    <x v="4"/>
    <x v="0"/>
    <s v="HSBC A/C 867781"/>
    <n v="250"/>
    <n v="342.82998657226563"/>
    <n v="85707.496643066406"/>
    <x v="0"/>
  </r>
  <r>
    <s v="TRD01672"/>
    <s v="INE006A0100"/>
    <x v="34"/>
    <x v="5"/>
    <s v="JPMorgan A/C 488546"/>
    <n v="-50"/>
    <n v="147.3800048828125"/>
    <n v="-7369.000244140625"/>
    <x v="1"/>
  </r>
  <r>
    <s v="TRD01673"/>
    <s v="INE008A01066"/>
    <x v="1"/>
    <x v="1"/>
    <s v="Standard Chartered A/C 331839"/>
    <n v="410"/>
    <n v="17.799999237060547"/>
    <n v="7297.9996871948242"/>
    <x v="0"/>
  </r>
  <r>
    <s v="TRD01674"/>
    <s v="INE005A01039"/>
    <x v="33"/>
    <x v="0"/>
    <s v="Citi A/C 194841"/>
    <n v="100"/>
    <n v="188.97000122070313"/>
    <n v="18897.000122070313"/>
    <x v="0"/>
  </r>
  <r>
    <s v="TRD01675"/>
    <s v="INE005A01031"/>
    <x v="43"/>
    <x v="3"/>
    <s v="JPMorgan A/C 603587"/>
    <n v="300"/>
    <n v="198.25999450683594"/>
    <n v="59477.998352050781"/>
    <x v="0"/>
  </r>
  <r>
    <s v="TRD01676"/>
    <s v="INE003A01010"/>
    <x v="28"/>
    <x v="2"/>
    <s v="Citi A/C 744145"/>
    <n v="70"/>
    <n v="122.08000183105469"/>
    <n v="8545.6001281738281"/>
    <x v="0"/>
  </r>
  <r>
    <s v="TRD01677"/>
    <s v="INE007A01013"/>
    <x v="31"/>
    <x v="4"/>
    <s v="JPMorgan A/C 860462"/>
    <n v="50"/>
    <n v="325.89999389648438"/>
    <n v="16294.999694824219"/>
    <x v="0"/>
  </r>
  <r>
    <s v="TRD01678"/>
    <s v="INE003A01098"/>
    <x v="34"/>
    <x v="5"/>
    <s v="JPMorgan A/C 488546"/>
    <n v="180"/>
    <n v="214.27000427246094"/>
    <n v="38568.600769042969"/>
    <x v="0"/>
  </r>
  <r>
    <s v="TRD01679"/>
    <s v="INE008A01093"/>
    <x v="38"/>
    <x v="2"/>
    <s v="HSBC A/C 994063"/>
    <n v="470"/>
    <n v="480.79998779296875"/>
    <n v="225975.99426269531"/>
    <x v="0"/>
  </r>
  <r>
    <s v="TRD01680"/>
    <s v="INE009A01048"/>
    <x v="44"/>
    <x v="4"/>
    <s v="JPMorgan A/C 704166"/>
    <n v="270"/>
    <n v="358.1300048828125"/>
    <n v="96695.101318359375"/>
    <x v="0"/>
  </r>
  <r>
    <s v="TRD01681"/>
    <s v="INE005A01080"/>
    <x v="11"/>
    <x v="3"/>
    <s v="Standard Chartered A/C 307017"/>
    <n v="490"/>
    <n v="368.01998901367188"/>
    <n v="180329.79461669922"/>
    <x v="0"/>
  </r>
  <r>
    <s v="TRD01682"/>
    <s v="INE009A01029"/>
    <x v="28"/>
    <x v="2"/>
    <s v="Citi A/C 744145"/>
    <n v="25000"/>
    <n v="354.48001098632813"/>
    <n v="8862000.2746582031"/>
    <x v="2"/>
  </r>
  <r>
    <s v="TRD01683"/>
    <s v="INE002A01043"/>
    <x v="6"/>
    <x v="0"/>
    <s v="JPMorgan A/C 987170"/>
    <n v="180"/>
    <n v="164.67999267578125"/>
    <n v="29642.398681640625"/>
    <x v="0"/>
  </r>
  <r>
    <s v="TRD01684"/>
    <s v="INE006A01039"/>
    <x v="21"/>
    <x v="1"/>
    <s v="Deutsche Bank A/C 324710"/>
    <n v="25000"/>
    <n v="278.82000732421875"/>
    <n v="6970500.1831054688"/>
    <x v="2"/>
  </r>
  <r>
    <s v="TRD01685"/>
    <s v="INE001A01096"/>
    <x v="21"/>
    <x v="1"/>
    <s v="Deutsche Bank A/C 324710"/>
    <n v="450"/>
    <n v="295.8599853515625"/>
    <n v="133136.99340820313"/>
    <x v="0"/>
  </r>
  <r>
    <s v="TRD01686"/>
    <s v="INE003A01054"/>
    <x v="24"/>
    <x v="1"/>
    <s v="Citi A/C 714496"/>
    <n v="30"/>
    <n v="486.39999389648438"/>
    <n v="14591.999816894531"/>
    <x v="0"/>
  </r>
  <r>
    <s v="TRD01687"/>
    <s v="INE002A01077"/>
    <x v="50"/>
    <x v="5"/>
    <s v="HDFC A/C 180445"/>
    <n v="250"/>
    <n v="73.339996337890625"/>
    <n v="18334.999084472656"/>
    <x v="0"/>
  </r>
  <r>
    <s v="TRD01688"/>
    <s v="INE006A01067"/>
    <x v="37"/>
    <x v="6"/>
    <s v="MISSING SSI"/>
    <n v="460"/>
    <n v="379.25"/>
    <n v="174455"/>
    <x v="3"/>
  </r>
  <r>
    <s v="TRD01689"/>
    <s v="INE009A01064"/>
    <x v="32"/>
    <x v="1"/>
    <s v="Standard Chartered A/C 438949"/>
    <n v="480"/>
    <n v="189.69000244140625"/>
    <n v="91051.201171875"/>
    <x v="0"/>
  </r>
  <r>
    <s v="TRD01690"/>
    <s v="INE004A01010"/>
    <x v="5"/>
    <x v="3"/>
    <s v="HSBC A/C 562956"/>
    <n v="250"/>
    <n v="215.39999389648438"/>
    <n v="53849.998474121094"/>
    <x v="0"/>
  </r>
  <r>
    <s v="TRD01691"/>
    <s v="INE006A01059"/>
    <x v="23"/>
    <x v="2"/>
    <s v="Standard Chartered A/C 277005"/>
    <n v="20"/>
    <n v="496.67001342773438"/>
    <n v="9933.4002685546875"/>
    <x v="0"/>
  </r>
  <r>
    <s v="TRD01692"/>
    <s v="INE001A01083"/>
    <x v="26"/>
    <x v="0"/>
    <s v="Citi A/C 416082"/>
    <n v="420"/>
    <n v="331.60000610351563"/>
    <n v="139272.00256347656"/>
    <x v="0"/>
  </r>
  <r>
    <s v="TRD01693"/>
    <s v="INE002A01020"/>
    <x v="50"/>
    <x v="5"/>
    <s v="HDFC A/C 180445"/>
    <n v="280"/>
    <n v="26.090000152587891"/>
    <n v="7305.2000427246094"/>
    <x v="0"/>
  </r>
  <r>
    <s v="TRD01694"/>
    <s v="INE008A01019"/>
    <x v="1"/>
    <x v="1"/>
    <s v="Standard Chartered A/C 331839"/>
    <n v="330"/>
    <n v="143.8800048828125"/>
    <n v="47480.401611328125"/>
    <x v="0"/>
  </r>
  <r>
    <s v="TRD01695"/>
    <s v="INE002A01096"/>
    <x v="17"/>
    <x v="0"/>
    <s v="Barclays A/C 197229"/>
    <n v="450"/>
    <n v="256.48001098632813"/>
    <n v="115416.00494384766"/>
    <x v="0"/>
  </r>
  <r>
    <s v="TRD01696"/>
    <s v="INE001A01079"/>
    <x v="20"/>
    <x v="0"/>
    <s v="Citi A/C 508769"/>
    <n v="460"/>
    <n v="193.24000549316406"/>
    <n v="88890.402526855469"/>
    <x v="0"/>
  </r>
  <r>
    <s v="TRD01697"/>
    <s v="INE002A01062"/>
    <x v="41"/>
    <x v="4"/>
    <s v="Standard Chartered A/C 441247"/>
    <n v="320"/>
    <n v="291.32998657226563"/>
    <n v="93225.595703125"/>
    <x v="0"/>
  </r>
  <r>
    <s v="TRD01698"/>
    <s v="INE001A01050"/>
    <x v="47"/>
    <x v="4"/>
    <s v="Standard Chartered A/C 682134"/>
    <n v="420"/>
    <n v="145.72000122070313"/>
    <n v="61202.400512695313"/>
    <x v="0"/>
  </r>
  <r>
    <s v="TRD01699"/>
    <s v="INE004A01016"/>
    <x v="32"/>
    <x v="1"/>
    <s v="Standard Chartered A/C 438949"/>
    <n v="310"/>
    <n v="359.17999267578125"/>
    <n v="111345.79772949219"/>
    <x v="0"/>
  </r>
  <r>
    <s v="TRD01700"/>
    <s v="INE004A01043"/>
    <x v="40"/>
    <x v="2"/>
    <s v="HSBC A/C 468615"/>
    <n v="460"/>
    <n v="292.32000732421875"/>
    <n v="134467.20336914063"/>
    <x v="0"/>
  </r>
  <r>
    <s v="TRD01701"/>
    <s v="INE001A01081"/>
    <x v="42"/>
    <x v="0"/>
    <s v="HDFC A/C 638209"/>
    <n v="480"/>
    <n v="313.52999877929688"/>
    <n v="150494.3994140625"/>
    <x v="0"/>
  </r>
  <r>
    <s v="TRD01702"/>
    <s v="INE009A01093"/>
    <x v="12"/>
    <x v="4"/>
    <s v="Citi A/C 543819"/>
    <n v="420"/>
    <n v="49.049999237060547"/>
    <n v="20600.99967956543"/>
    <x v="0"/>
  </r>
  <r>
    <s v="TRD01703"/>
    <s v="INE006A0108"/>
    <x v="19"/>
    <x v="2"/>
    <s v="Citi A/C 359789"/>
    <n v="490"/>
    <n v="132.91000366210938"/>
    <n v="65125.901794433594"/>
    <x v="0"/>
  </r>
  <r>
    <s v="TRD01704"/>
    <s v="INE008A01064"/>
    <x v="13"/>
    <x v="4"/>
    <s v="Deutsche Bank A/C 330518"/>
    <n v="310"/>
    <n v="456.94000244140625"/>
    <n v="141651.40075683594"/>
    <x v="0"/>
  </r>
  <r>
    <s v="TRD01705"/>
    <s v="INE007A01068"/>
    <x v="33"/>
    <x v="0"/>
    <s v="Citi A/C 194841"/>
    <n v="150"/>
    <n v="420.80999755859375"/>
    <n v="63121.499633789063"/>
    <x v="0"/>
  </r>
  <r>
    <s v="TRD01706"/>
    <s v="INE005A01040"/>
    <x v="12"/>
    <x v="4"/>
    <s v="Citi A/C 543819"/>
    <n v="220"/>
    <n v="182"/>
    <n v="40040"/>
    <x v="0"/>
  </r>
  <r>
    <s v="TRD01707"/>
    <s v="INE006A01063"/>
    <x v="47"/>
    <x v="4"/>
    <s v="Standard Chartered A/C 682134"/>
    <n v="380"/>
    <n v="405.77999877929688"/>
    <n v="154196.39953613281"/>
    <x v="0"/>
  </r>
  <r>
    <s v="TRD01708"/>
    <s v="INE005A01034"/>
    <x v="15"/>
    <x v="4"/>
    <s v="Barclays A/C 302646"/>
    <n v="400"/>
    <n v="15.239999771118164"/>
    <n v="6095.9999084472656"/>
    <x v="0"/>
  </r>
  <r>
    <s v="TRD01709"/>
    <s v="INE004A01015"/>
    <x v="34"/>
    <x v="5"/>
    <s v="JPMorgan A/C 488546"/>
    <n v="230"/>
    <n v="441.29998779296875"/>
    <n v="101498.99719238281"/>
    <x v="0"/>
  </r>
  <r>
    <s v="TRD01710"/>
    <s v="INE008A01080"/>
    <x v="45"/>
    <x v="0"/>
    <s v="HDFC A/C 113752"/>
    <n v="210"/>
    <n v="372.67999267578125"/>
    <n v="78262.798461914063"/>
    <x v="0"/>
  </r>
  <r>
    <s v="TRD01711"/>
    <s v="INE005A01072"/>
    <x v="0"/>
    <x v="0"/>
    <s v="Citi A/C 700450"/>
    <n v="370"/>
    <n v="505.92001342773438"/>
    <n v="187190.40496826172"/>
    <x v="0"/>
  </r>
  <r>
    <s v="TRD01712"/>
    <s v="INE006A01042"/>
    <x v="37"/>
    <x v="6"/>
    <s v="MISSING SSI"/>
    <n v="340"/>
    <n v="138.21000671386719"/>
    <n v="46991.402282714844"/>
    <x v="3"/>
  </r>
  <r>
    <s v="TRD01713"/>
    <s v="INE006A01082"/>
    <x v="20"/>
    <x v="0"/>
    <s v="Citi A/C 508769"/>
    <n v="460"/>
    <n v="105.23000335693359"/>
    <n v="48405.801544189453"/>
    <x v="0"/>
  </r>
  <r>
    <s v="TRD01714"/>
    <s v="INE004A0103"/>
    <x v="11"/>
    <x v="3"/>
    <s v="Standard Chartered A/C 307017"/>
    <n v="340"/>
    <n v="284.989990234375"/>
    <n v="96896.5966796875"/>
    <x v="0"/>
  </r>
  <r>
    <s v="TRD01715"/>
    <s v="INE008A01034"/>
    <x v="43"/>
    <x v="3"/>
    <s v="JPMorgan A/C 603587"/>
    <n v="340"/>
    <n v="351.57000732421875"/>
    <n v="119533.80249023438"/>
    <x v="0"/>
  </r>
  <r>
    <s v="TRD01716"/>
    <s v="INE005A01089"/>
    <x v="2"/>
    <x v="2"/>
    <s v="Citi A/C 837378"/>
    <n v="20"/>
    <n v="393.1099853515625"/>
    <n v="7862.19970703125"/>
    <x v="0"/>
  </r>
  <r>
    <s v="TRD01717"/>
    <s v="INE003A01028"/>
    <x v="46"/>
    <x v="4"/>
    <s v="Deutsche Bank A/C 428758"/>
    <n v="380"/>
    <n v="161.78999328613281"/>
    <n v="61480.197448730469"/>
    <x v="0"/>
  </r>
  <r>
    <s v="TRD01718"/>
    <s v="INE001A0104"/>
    <x v="7"/>
    <x v="3"/>
    <s v="JPMorgan A/C 391364"/>
    <n v="110"/>
    <n v="323.8900146484375"/>
    <n v="35627.901611328125"/>
    <x v="0"/>
  </r>
  <r>
    <s v="TRD01719"/>
    <s v="INE005A01015"/>
    <x v="40"/>
    <x v="2"/>
    <s v="HSBC A/C 468615"/>
    <n v="350"/>
    <n v="209.71000671386719"/>
    <n v="73398.502349853516"/>
    <x v="0"/>
  </r>
  <r>
    <s v="TRD01720"/>
    <s v="INE009A01058"/>
    <x v="27"/>
    <x v="2"/>
    <s v="HDFC A/C 679335"/>
    <n v="440"/>
    <n v="63.659999847412109"/>
    <n v="28010.399932861328"/>
    <x v="0"/>
  </r>
  <r>
    <s v="TRD01721"/>
    <s v="INE006A01071"/>
    <x v="20"/>
    <x v="0"/>
    <s v="Citi A/C 508769"/>
    <n v="160"/>
    <n v="294.16000366210938"/>
    <n v="47065.6005859375"/>
    <x v="0"/>
  </r>
  <r>
    <s v="TRD01722"/>
    <s v="INE005A01090"/>
    <x v="28"/>
    <x v="2"/>
    <s v="Citi A/C 744145"/>
    <n v="470"/>
    <n v="223.75"/>
    <n v="105162.5"/>
    <x v="0"/>
  </r>
  <r>
    <s v="TRD01723"/>
    <s v="INE002A01096"/>
    <x v="33"/>
    <x v="0"/>
    <s v="Citi A/C 194841"/>
    <n v="320"/>
    <n v="338.97000122070313"/>
    <n v="108470.400390625"/>
    <x v="0"/>
  </r>
  <r>
    <s v="TRD01724"/>
    <s v="INE001A01064"/>
    <x v="6"/>
    <x v="0"/>
    <s v="JPMorgan A/C 987170"/>
    <n v="300"/>
    <n v="40.479999542236328"/>
    <n v="12143.999862670898"/>
    <x v="0"/>
  </r>
  <r>
    <s v="TRD01725"/>
    <s v="INE005A01016"/>
    <x v="26"/>
    <x v="0"/>
    <s v="Citi A/C 416082"/>
    <n v="480"/>
    <n v="392.97000122070313"/>
    <n v="188625.6005859375"/>
    <x v="0"/>
  </r>
  <r>
    <s v="TRD01726"/>
    <s v="INE004A01067"/>
    <x v="27"/>
    <x v="2"/>
    <s v="HDFC A/C 679335"/>
    <n v="130"/>
    <n v="375.19000244140625"/>
    <n v="48774.700317382813"/>
    <x v="0"/>
  </r>
  <r>
    <s v="TRD01727"/>
    <s v="INE005A01080"/>
    <x v="49"/>
    <x v="0"/>
    <s v="HDFC A/C 543407"/>
    <n v="430"/>
    <n v="129.97000122070313"/>
    <n v="55887.100524902344"/>
    <x v="0"/>
  </r>
  <r>
    <s v="TRD01728"/>
    <s v="INE005A01012"/>
    <x v="15"/>
    <x v="4"/>
    <s v="Barclays A/C 302646"/>
    <n v="300"/>
    <n v="214.19999694824219"/>
    <n v="64259.999084472656"/>
    <x v="0"/>
  </r>
  <r>
    <s v="TRD01729"/>
    <s v="INE004A01065"/>
    <x v="4"/>
    <x v="0"/>
    <s v="HSBC A/C 867781"/>
    <n v="70"/>
    <n v="348.82000732421875"/>
    <n v="24417.400512695313"/>
    <x v="0"/>
  </r>
  <r>
    <s v="TRD01730"/>
    <s v="INE004A01036"/>
    <x v="33"/>
    <x v="0"/>
    <s v="Citi A/C 194841"/>
    <n v="280"/>
    <n v="168.85000610351563"/>
    <n v="47278.001708984375"/>
    <x v="0"/>
  </r>
  <r>
    <s v="TRD01731"/>
    <s v="INE003A01070"/>
    <x v="40"/>
    <x v="2"/>
    <s v="HSBC A/C 468615"/>
    <n v="410"/>
    <n v="473.33999633789063"/>
    <n v="194069.39849853516"/>
    <x v="0"/>
  </r>
  <r>
    <s v="TRD01732"/>
    <s v="INE008A0104"/>
    <x v="42"/>
    <x v="0"/>
    <s v="HDFC A/C 638209"/>
    <n v="150"/>
    <n v="475.45001220703125"/>
    <n v="71317.501831054688"/>
    <x v="0"/>
  </r>
  <r>
    <s v="TRD01733"/>
    <s v="INE009A01022"/>
    <x v="12"/>
    <x v="4"/>
    <s v="Citi A/C 543819"/>
    <n v="110"/>
    <n v="52.360000610351563"/>
    <n v="5759.6000671386719"/>
    <x v="0"/>
  </r>
  <r>
    <s v="TRD01734"/>
    <s v="INE002A0102"/>
    <x v="12"/>
    <x v="4"/>
    <s v="Citi A/C 543819"/>
    <n v="120"/>
    <n v="495.33999633789063"/>
    <n v="59440.799560546875"/>
    <x v="0"/>
  </r>
  <r>
    <s v="TRD01735"/>
    <s v="INE002A01069"/>
    <x v="38"/>
    <x v="2"/>
    <s v="HSBC A/C 994063"/>
    <n v="450"/>
    <n v="259.70999145507813"/>
    <n v="116869.49615478516"/>
    <x v="0"/>
  </r>
  <r>
    <s v="TRD01736"/>
    <s v="INE007A01043"/>
    <x v="21"/>
    <x v="1"/>
    <s v="Deutsche Bank A/C 324710"/>
    <n v="40"/>
    <n v="214.85000610351563"/>
    <n v="8594.000244140625"/>
    <x v="0"/>
  </r>
  <r>
    <s v="TRD01737"/>
    <s v="INE009A01088"/>
    <x v="18"/>
    <x v="2"/>
    <s v="HSBC A/C 604357"/>
    <n v="320"/>
    <n v="394.20001220703125"/>
    <n v="126144.00390625"/>
    <x v="0"/>
  </r>
  <r>
    <s v="TRD01738"/>
    <s v="INE004A01066"/>
    <x v="1"/>
    <x v="1"/>
    <s v="Standard Chartered A/C 331839"/>
    <n v="370"/>
    <n v="245.28999328613281"/>
    <n v="90757.297515869141"/>
    <x v="0"/>
  </r>
  <r>
    <s v="TRD01739"/>
    <s v="INE007A01080"/>
    <x v="36"/>
    <x v="0"/>
    <s v="HSBC A/C 864249"/>
    <n v="250"/>
    <n v="379.69000244140625"/>
    <n v="94922.500610351563"/>
    <x v="0"/>
  </r>
  <r>
    <s v="TRD01740"/>
    <s v="INE008A01033"/>
    <x v="7"/>
    <x v="3"/>
    <s v="JPMorgan A/C 391364"/>
    <n v="190"/>
    <n v="323.01998901367188"/>
    <n v="61373.797912597656"/>
    <x v="0"/>
  </r>
  <r>
    <s v="TRD01741"/>
    <s v="INE001A01069"/>
    <x v="16"/>
    <x v="3"/>
    <s v="Deutsche Bank A/C 153521"/>
    <n v="390"/>
    <n v="264.98001098632813"/>
    <n v="103342.20428466797"/>
    <x v="0"/>
  </r>
  <r>
    <s v="TRD01742"/>
    <s v="INE007A01032"/>
    <x v="9"/>
    <x v="2"/>
    <s v="Barclays A/C 560891"/>
    <n v="220"/>
    <n v="309.33999633789063"/>
    <n v="68054.799194335938"/>
    <x v="0"/>
  </r>
  <r>
    <s v="TRD01743"/>
    <s v="INE007A0107"/>
    <x v="18"/>
    <x v="2"/>
    <s v="HSBC A/C 604357"/>
    <n v="10"/>
    <n v="223.91000366210938"/>
    <n v="2239.1000366210938"/>
    <x v="0"/>
  </r>
  <r>
    <s v="TRD01744"/>
    <s v="INE009A01076"/>
    <x v="23"/>
    <x v="2"/>
    <s v="Standard Chartered A/C 277005"/>
    <n v="290"/>
    <n v="190.58999633789063"/>
    <n v="55271.098937988281"/>
    <x v="0"/>
  </r>
  <r>
    <s v="TRD01745"/>
    <s v="INE007A01067"/>
    <x v="26"/>
    <x v="0"/>
    <s v="Citi A/C 416082"/>
    <n v="30"/>
    <n v="55.310001373291016"/>
    <n v="1659.3000411987305"/>
    <x v="0"/>
  </r>
  <r>
    <s v="TRD01746"/>
    <s v="INE007A0104"/>
    <x v="6"/>
    <x v="0"/>
    <s v="JPMorgan A/C 987170"/>
    <n v="380"/>
    <n v="78.089996337890625"/>
    <n v="29674.198608398438"/>
    <x v="0"/>
  </r>
  <r>
    <s v="TRD01747"/>
    <s v="INE006A01052"/>
    <x v="35"/>
    <x v="4"/>
    <s v="HSBC A/C 972195"/>
    <n v="450"/>
    <n v="183"/>
    <n v="82350"/>
    <x v="0"/>
  </r>
  <r>
    <s v="TRD01748"/>
    <s v="INE005A01076"/>
    <x v="2"/>
    <x v="2"/>
    <s v="Citi A/C 837378"/>
    <n v="50"/>
    <n v="208.17999267578125"/>
    <n v="10408.999633789063"/>
    <x v="0"/>
  </r>
  <r>
    <s v="TRD01749"/>
    <s v="INE008A01085"/>
    <x v="21"/>
    <x v="1"/>
    <s v="Deutsche Bank A/C 324710"/>
    <n v="440"/>
    <n v="155.82000732421875"/>
    <n v="68560.80322265625"/>
    <x v="0"/>
  </r>
  <r>
    <s v="TRD01750"/>
    <s v="INE001A01083"/>
    <x v="13"/>
    <x v="4"/>
    <s v="Deutsche Bank A/C 330518"/>
    <n v="40"/>
    <n v="442.17999267578125"/>
    <n v="17687.19970703125"/>
    <x v="0"/>
  </r>
  <r>
    <s v="TRD01751"/>
    <s v="INE003A01019"/>
    <x v="13"/>
    <x v="4"/>
    <s v="Deutsche Bank A/C 330518"/>
    <n v="260"/>
    <n v="147.58999633789063"/>
    <n v="38373.399047851563"/>
    <x v="0"/>
  </r>
  <r>
    <s v="TRD01752"/>
    <s v="INE004A01037"/>
    <x v="21"/>
    <x v="1"/>
    <s v="Deutsche Bank A/C 324710"/>
    <n v="180"/>
    <n v="266.42001342773438"/>
    <n v="47955.602416992188"/>
    <x v="0"/>
  </r>
  <r>
    <s v="TRD01753"/>
    <s v="INE009A01027"/>
    <x v="6"/>
    <x v="0"/>
    <s v="JPMorgan A/C 987170"/>
    <n v="320"/>
    <n v="457.1400146484375"/>
    <n v="146284.8046875"/>
    <x v="0"/>
  </r>
  <r>
    <s v="TRD01754"/>
    <s v="INE005A01074"/>
    <x v="39"/>
    <x v="1"/>
    <s v="HSBC A/C 540659"/>
    <n v="420"/>
    <n v="292.23001098632813"/>
    <n v="122736.60461425781"/>
    <x v="0"/>
  </r>
  <r>
    <s v="TRD01755"/>
    <s v="INE003A01010"/>
    <x v="30"/>
    <x v="5"/>
    <s v="JPMorgan A/C 582379"/>
    <n v="150"/>
    <n v="508.29000854492188"/>
    <n v="76243.501281738281"/>
    <x v="0"/>
  </r>
  <r>
    <s v="TRD01756"/>
    <s v="INE001A01059"/>
    <x v="7"/>
    <x v="3"/>
    <s v="JPMorgan A/C 391364"/>
    <n v="370"/>
    <n v="255.94000244140625"/>
    <n v="94697.800903320313"/>
    <x v="0"/>
  </r>
  <r>
    <s v="TRD01757"/>
    <s v="INE007A01094"/>
    <x v="20"/>
    <x v="0"/>
    <s v="Citi A/C 508769"/>
    <n v="390"/>
    <n v="349.8800048828125"/>
    <n v="136453.20190429688"/>
    <x v="0"/>
  </r>
  <r>
    <s v="TRD01758"/>
    <s v="INE007A01080"/>
    <x v="17"/>
    <x v="0"/>
    <s v="Barclays A/C 197229"/>
    <n v="220"/>
    <n v="18.870000839233398"/>
    <n v="4151.4001846313477"/>
    <x v="0"/>
  </r>
  <r>
    <s v="TRD01759"/>
    <s v="INE002A01029"/>
    <x v="25"/>
    <x v="5"/>
    <s v="HDFC A/C 897530"/>
    <n v="310"/>
    <n v="155.74000549316406"/>
    <n v="48279.401702880859"/>
    <x v="0"/>
  </r>
  <r>
    <s v="TRD01760"/>
    <s v="INE003A01049"/>
    <x v="47"/>
    <x v="4"/>
    <s v="Standard Chartered A/C 682134"/>
    <n v="320"/>
    <n v="67.360000610351563"/>
    <n v="21555.2001953125"/>
    <x v="0"/>
  </r>
  <r>
    <s v="TRD01761"/>
    <s v="INE007A01091"/>
    <x v="30"/>
    <x v="5"/>
    <s v="JPMorgan A/C 582379"/>
    <n v="330"/>
    <n v="224.69000244140625"/>
    <n v="74147.700805664063"/>
    <x v="0"/>
  </r>
  <r>
    <s v="TRD01762"/>
    <s v="INE002A0104"/>
    <x v="40"/>
    <x v="2"/>
    <s v="HSBC A/C 468615"/>
    <n v="130"/>
    <n v="12.729999542236328"/>
    <n v="1654.8999404907227"/>
    <x v="0"/>
  </r>
  <r>
    <s v="TRD01763"/>
    <s v="INE008A01079"/>
    <x v="26"/>
    <x v="0"/>
    <s v="Citi A/C 416082"/>
    <n v="460"/>
    <n v="480.54998779296875"/>
    <n v="221052.99438476563"/>
    <x v="0"/>
  </r>
  <r>
    <s v="TRD01764"/>
    <s v="INE007A0108"/>
    <x v="30"/>
    <x v="5"/>
    <s v="JPMorgan A/C 582379"/>
    <n v="250"/>
    <n v="91.300003051757813"/>
    <n v="22825.000762939453"/>
    <x v="0"/>
  </r>
  <r>
    <s v="TRD01765"/>
    <s v="INE008A01021"/>
    <x v="29"/>
    <x v="4"/>
    <s v="Deutsche Bank A/C 983712"/>
    <n v="360"/>
    <n v="472.17001342773438"/>
    <n v="169981.20483398438"/>
    <x v="0"/>
  </r>
  <r>
    <s v="TRD01766"/>
    <s v="INE007A01048"/>
    <x v="18"/>
    <x v="2"/>
    <s v="HSBC A/C 604357"/>
    <n v="370"/>
    <n v="164.41000366210938"/>
    <n v="60831.701354980469"/>
    <x v="0"/>
  </r>
  <r>
    <s v="TRD01767"/>
    <s v="INE007A01064"/>
    <x v="34"/>
    <x v="5"/>
    <s v="JPMorgan A/C 488546"/>
    <n v="300"/>
    <n v="373.3599853515625"/>
    <n v="112007.99560546875"/>
    <x v="0"/>
  </r>
  <r>
    <s v="TRD01768"/>
    <s v="INE001A01038"/>
    <x v="7"/>
    <x v="3"/>
    <s v="JPMorgan A/C 391364"/>
    <n v="350"/>
    <n v="218.38999938964844"/>
    <n v="76436.499786376953"/>
    <x v="0"/>
  </r>
  <r>
    <s v="TRD01769"/>
    <s v="INE005A01085"/>
    <x v="22"/>
    <x v="4"/>
    <s v="HSBC A/C 785870"/>
    <n v="170"/>
    <n v="482.95999145507813"/>
    <n v="82103.198547363281"/>
    <x v="0"/>
  </r>
  <r>
    <s v="TRD01770"/>
    <s v="INE009A01016"/>
    <x v="21"/>
    <x v="1"/>
    <s v="Deutsche Bank A/C 324710"/>
    <n v="130"/>
    <n v="364.55999755859375"/>
    <n v="47392.799682617188"/>
    <x v="0"/>
  </r>
  <r>
    <s v="TRD01771"/>
    <s v="INE005A01085"/>
    <x v="0"/>
    <x v="0"/>
    <s v="Citi A/C 700450"/>
    <n v="20"/>
    <n v="224.78999328613281"/>
    <n v="4495.7998657226563"/>
    <x v="0"/>
  </r>
  <r>
    <s v="TRD01772"/>
    <s v="INE008A01045"/>
    <x v="28"/>
    <x v="2"/>
    <s v="Citi A/C 744145"/>
    <n v="320"/>
    <n v="339.260009765625"/>
    <n v="108563.203125"/>
    <x v="0"/>
  </r>
  <r>
    <s v="TRD01773"/>
    <s v="INE005A01089"/>
    <x v="18"/>
    <x v="2"/>
    <s v="HSBC A/C 604357"/>
    <n v="480"/>
    <n v="147.67999267578125"/>
    <n v="70886.396484375"/>
    <x v="0"/>
  </r>
  <r>
    <s v="TRD01774"/>
    <s v="INE004A01012"/>
    <x v="19"/>
    <x v="2"/>
    <s v="Citi A/C 359789"/>
    <n v="130"/>
    <n v="503.79998779296875"/>
    <n v="65493.998413085938"/>
    <x v="0"/>
  </r>
  <r>
    <s v="TRD01775"/>
    <s v="INE001A01047"/>
    <x v="32"/>
    <x v="1"/>
    <s v="Standard Chartered A/C 438949"/>
    <n v="330"/>
    <n v="425.45999145507813"/>
    <n v="140401.79718017578"/>
    <x v="0"/>
  </r>
  <r>
    <s v="TRD01776"/>
    <s v="INE007A01030"/>
    <x v="27"/>
    <x v="2"/>
    <s v="HDFC A/C 679335"/>
    <n v="380"/>
    <n v="344.51998901367188"/>
    <n v="130917.59582519531"/>
    <x v="0"/>
  </r>
  <r>
    <s v="TRD01777"/>
    <s v="INE004A01035"/>
    <x v="31"/>
    <x v="4"/>
    <s v="JPMorgan A/C 860462"/>
    <n v="480"/>
    <n v="356.95001220703125"/>
    <n v="171336.005859375"/>
    <x v="0"/>
  </r>
  <r>
    <s v="TRD01778"/>
    <s v="INE009A01037"/>
    <x v="9"/>
    <x v="2"/>
    <s v="Barclays A/C 560891"/>
    <n v="50"/>
    <n v="472.75"/>
    <n v="23637.5"/>
    <x v="0"/>
  </r>
  <r>
    <s v="TRD01779"/>
    <s v="INE008A01053"/>
    <x v="4"/>
    <x v="0"/>
    <s v="HSBC A/C 867781"/>
    <n v="440"/>
    <n v="365.989990234375"/>
    <n v="161035.595703125"/>
    <x v="0"/>
  </r>
  <r>
    <s v="TRD01780"/>
    <s v="INE005A01096"/>
    <x v="15"/>
    <x v="4"/>
    <s v="Barclays A/C 302646"/>
    <n v="220"/>
    <n v="124.80999755859375"/>
    <n v="27458.199462890625"/>
    <x v="0"/>
  </r>
  <r>
    <s v="TRD01781"/>
    <s v="INE008A01026"/>
    <x v="30"/>
    <x v="5"/>
    <s v="JPMorgan A/C 582379"/>
    <n v="25000"/>
    <n v="381.70999145507813"/>
    <n v="9542749.7863769531"/>
    <x v="2"/>
  </r>
  <r>
    <s v="TRD01782"/>
    <s v="INE009A0104"/>
    <x v="22"/>
    <x v="4"/>
    <s v="HSBC A/C 785870"/>
    <n v="190"/>
    <n v="112.41999816894531"/>
    <n v="21359.799652099609"/>
    <x v="0"/>
  </r>
  <r>
    <s v="TRD01783"/>
    <s v="INE003A01045"/>
    <x v="16"/>
    <x v="3"/>
    <s v="Deutsche Bank A/C 153521"/>
    <n v="120"/>
    <n v="57.630001068115234"/>
    <n v="6915.6001281738281"/>
    <x v="0"/>
  </r>
  <r>
    <s v="TRD01784"/>
    <s v="INE008A01064"/>
    <x v="27"/>
    <x v="2"/>
    <s v="HDFC A/C 679335"/>
    <n v="80"/>
    <n v="52.520000457763672"/>
    <n v="4201.6000366210938"/>
    <x v="0"/>
  </r>
  <r>
    <s v="TRD01785"/>
    <s v="INE002A01062"/>
    <x v="22"/>
    <x v="4"/>
    <s v="HSBC A/C 785870"/>
    <n v="230"/>
    <n v="377.6199951171875"/>
    <n v="86852.598876953125"/>
    <x v="0"/>
  </r>
  <r>
    <s v="TRD01786"/>
    <s v="INE009A01046"/>
    <x v="27"/>
    <x v="2"/>
    <s v="HDFC A/C 679335"/>
    <n v="340"/>
    <n v="508.760009765625"/>
    <n v="172978.4033203125"/>
    <x v="0"/>
  </r>
  <r>
    <s v="TRD01787"/>
    <s v="INE009A01071"/>
    <x v="36"/>
    <x v="0"/>
    <s v="HSBC A/C 864249"/>
    <n v="10"/>
    <n v="367.07998657226563"/>
    <n v="3670.7998657226563"/>
    <x v="0"/>
  </r>
  <r>
    <s v="TRD01788"/>
    <s v="INE001A01096"/>
    <x v="2"/>
    <x v="2"/>
    <s v="Citi A/C 837378"/>
    <n v="460"/>
    <n v="69.040000915527344"/>
    <n v="31758.400421142578"/>
    <x v="0"/>
  </r>
  <r>
    <s v="TRD01789"/>
    <s v="INE002A01030"/>
    <x v="3"/>
    <x v="2"/>
    <s v="Deutsche Bank A/C 126543"/>
    <n v="240"/>
    <n v="176.38999938964844"/>
    <n v="42333.599853515625"/>
    <x v="0"/>
  </r>
  <r>
    <s v="TRD01790"/>
    <s v="INE003A01084"/>
    <x v="29"/>
    <x v="4"/>
    <s v="Deutsche Bank A/C 983712"/>
    <n v="20"/>
    <n v="446.239990234375"/>
    <n v="8924.7998046875"/>
    <x v="0"/>
  </r>
  <r>
    <s v="TRD01791"/>
    <s v="INE005A01022"/>
    <x v="29"/>
    <x v="4"/>
    <s v="Deutsche Bank A/C 983712"/>
    <n v="310"/>
    <n v="80.949996948242188"/>
    <n v="25094.499053955078"/>
    <x v="0"/>
  </r>
  <r>
    <s v="TRD01792"/>
    <s v="INE001A0107"/>
    <x v="39"/>
    <x v="1"/>
    <s v="HSBC A/C 540659"/>
    <n v="240"/>
    <n v="478.25"/>
    <n v="114780"/>
    <x v="0"/>
  </r>
  <r>
    <s v="TRD01793"/>
    <s v="INE001A01055"/>
    <x v="49"/>
    <x v="0"/>
    <s v="HDFC A/C 543407"/>
    <n v="280"/>
    <n v="481.14999389648438"/>
    <n v="134721.99829101563"/>
    <x v="0"/>
  </r>
  <r>
    <s v="TRD01794"/>
    <s v="INE008A01083"/>
    <x v="39"/>
    <x v="1"/>
    <s v="HSBC A/C 540659"/>
    <n v="480"/>
    <n v="127.97000122070313"/>
    <n v="61425.6005859375"/>
    <x v="0"/>
  </r>
  <r>
    <s v="TRD01795"/>
    <s v="INE009A01062"/>
    <x v="21"/>
    <x v="1"/>
    <s v="Deutsche Bank A/C 324710"/>
    <n v="290"/>
    <n v="402.3699951171875"/>
    <n v="116687.29858398438"/>
    <x v="0"/>
  </r>
  <r>
    <s v="TRD01796"/>
    <s v="INE006A01060"/>
    <x v="1"/>
    <x v="1"/>
    <s v="Standard Chartered A/C 331839"/>
    <n v="210"/>
    <n v="483.29000854492188"/>
    <n v="101490.90179443359"/>
    <x v="0"/>
  </r>
  <r>
    <s v="TRD01797"/>
    <s v="INE006A0102"/>
    <x v="40"/>
    <x v="2"/>
    <s v="HSBC A/C 468615"/>
    <n v="120"/>
    <n v="495.010009765625"/>
    <n v="59401.201171875"/>
    <x v="0"/>
  </r>
  <r>
    <s v="TRD01798"/>
    <s v="INE005A0109"/>
    <x v="6"/>
    <x v="0"/>
    <s v="JPMorgan A/C 987170"/>
    <n v="10"/>
    <n v="257.10000610351563"/>
    <n v="2571.0000610351563"/>
    <x v="0"/>
  </r>
  <r>
    <s v="TRD01799"/>
    <s v="INE008A01057"/>
    <x v="29"/>
    <x v="4"/>
    <s v="Deutsche Bank A/C 983712"/>
    <n v="200"/>
    <n v="34.450000762939453"/>
    <n v="6890.0001525878906"/>
    <x v="0"/>
  </r>
  <r>
    <s v="TRD01800"/>
    <s v="INE006A01024"/>
    <x v="4"/>
    <x v="0"/>
    <s v="HSBC A/C 867781"/>
    <n v="120"/>
    <n v="287.27999877929688"/>
    <n v="34473.599853515625"/>
    <x v="0"/>
  </r>
  <r>
    <s v="TRD01801"/>
    <s v="INE006A01037"/>
    <x v="39"/>
    <x v="1"/>
    <s v="HSBC A/C 540659"/>
    <n v="40"/>
    <n v="421.10000610351563"/>
    <n v="16844.000244140625"/>
    <x v="0"/>
  </r>
  <r>
    <s v="TRD01802"/>
    <s v="INE008A01026"/>
    <x v="13"/>
    <x v="4"/>
    <s v="Deutsche Bank A/C 330518"/>
    <n v="360"/>
    <n v="36.729999542236328"/>
    <n v="13222.799835205078"/>
    <x v="0"/>
  </r>
  <r>
    <s v="TRD01803"/>
    <s v="INE002A01073"/>
    <x v="31"/>
    <x v="4"/>
    <s v="JPMorgan A/C 860462"/>
    <n v="310"/>
    <n v="180.33000183105469"/>
    <n v="55902.300567626953"/>
    <x v="0"/>
  </r>
  <r>
    <s v="TRD01804"/>
    <s v="INE008A01062"/>
    <x v="19"/>
    <x v="2"/>
    <s v="Citi A/C 359789"/>
    <n v="230"/>
    <n v="93.349998474121094"/>
    <n v="21470.499649047852"/>
    <x v="0"/>
  </r>
  <r>
    <s v="TRD01805"/>
    <s v="INE009A01026"/>
    <x v="13"/>
    <x v="4"/>
    <s v="Deutsche Bank A/C 330518"/>
    <n v="300"/>
    <n v="462.54998779296875"/>
    <n v="138764.99633789063"/>
    <x v="0"/>
  </r>
  <r>
    <s v="TRD01806"/>
    <s v="INE007A0102"/>
    <x v="31"/>
    <x v="4"/>
    <s v="JPMorgan A/C 860462"/>
    <n v="310"/>
    <n v="170.00999450683594"/>
    <n v="52703.098297119141"/>
    <x v="0"/>
  </r>
  <r>
    <s v="TRD01807"/>
    <s v="INE006A01076"/>
    <x v="11"/>
    <x v="3"/>
    <s v="Standard Chartered A/C 307017"/>
    <n v="400"/>
    <n v="43.130001068115234"/>
    <n v="17252.000427246094"/>
    <x v="0"/>
  </r>
  <r>
    <s v="TRD01808"/>
    <s v="INE009A01040"/>
    <x v="20"/>
    <x v="0"/>
    <s v="Citi A/C 508769"/>
    <n v="320"/>
    <n v="104.61000061035156"/>
    <n v="33475.2001953125"/>
    <x v="0"/>
  </r>
  <r>
    <s v="TRD01809"/>
    <s v="INE002A01034"/>
    <x v="48"/>
    <x v="5"/>
    <s v="Citi A/C 703401"/>
    <n v="150"/>
    <n v="322.47000122070313"/>
    <n v="48370.500183105469"/>
    <x v="0"/>
  </r>
  <r>
    <s v="TRD01810"/>
    <s v="INE001A0100"/>
    <x v="43"/>
    <x v="3"/>
    <s v="JPMorgan A/C 603587"/>
    <n v="110"/>
    <n v="360.04998779296875"/>
    <n v="39605.498657226563"/>
    <x v="0"/>
  </r>
  <r>
    <s v="TRD01811"/>
    <s v="INE009A01031"/>
    <x v="31"/>
    <x v="4"/>
    <s v="JPMorgan A/C 860462"/>
    <n v="220"/>
    <n v="325.97000122070313"/>
    <n v="71713.400268554688"/>
    <x v="0"/>
  </r>
  <r>
    <s v="TRD01812"/>
    <s v="INE008A01025"/>
    <x v="34"/>
    <x v="5"/>
    <s v="JPMorgan A/C 488546"/>
    <n v="140"/>
    <n v="24.200000762939453"/>
    <n v="3388.0001068115234"/>
    <x v="0"/>
  </r>
  <r>
    <s v="TRD01813"/>
    <s v="INE003A01027"/>
    <x v="38"/>
    <x v="2"/>
    <s v="HSBC A/C 994063"/>
    <n v="380"/>
    <n v="204.00999450683594"/>
    <n v="77523.797912597656"/>
    <x v="0"/>
  </r>
  <r>
    <s v="TRD01814"/>
    <s v="INE004A01086"/>
    <x v="44"/>
    <x v="4"/>
    <s v="JPMorgan A/C 704166"/>
    <n v="30"/>
    <n v="309.97000122070313"/>
    <n v="9299.1000366210938"/>
    <x v="0"/>
  </r>
  <r>
    <s v="TRD01815"/>
    <s v="INE009A0104"/>
    <x v="17"/>
    <x v="0"/>
    <s v="Barclays A/C 197229"/>
    <n v="40"/>
    <n v="231.97999572753906"/>
    <n v="9279.1998291015625"/>
    <x v="0"/>
  </r>
  <r>
    <s v="TRD01816"/>
    <s v="INE002A01080"/>
    <x v="25"/>
    <x v="5"/>
    <s v="HDFC A/C 897530"/>
    <n v="480"/>
    <n v="55.240001678466797"/>
    <n v="26515.200805664063"/>
    <x v="0"/>
  </r>
  <r>
    <s v="TRD01817"/>
    <s v="INE009A01070"/>
    <x v="22"/>
    <x v="4"/>
    <s v="HSBC A/C 785870"/>
    <n v="240"/>
    <n v="310.27999877929688"/>
    <n v="74467.19970703125"/>
    <x v="0"/>
  </r>
  <r>
    <s v="TRD01818"/>
    <s v="INE006A01028"/>
    <x v="15"/>
    <x v="4"/>
    <s v="Barclays A/C 302646"/>
    <n v="330"/>
    <n v="222.91000366210938"/>
    <n v="73560.301208496094"/>
    <x v="0"/>
  </r>
  <r>
    <s v="TRD01819"/>
    <s v="INE005A01060"/>
    <x v="1"/>
    <x v="1"/>
    <s v="Standard Chartered A/C 331839"/>
    <n v="130"/>
    <n v="464.29000854492188"/>
    <n v="60357.701110839844"/>
    <x v="0"/>
  </r>
  <r>
    <s v="TRD01820"/>
    <s v="INE008A01074"/>
    <x v="11"/>
    <x v="3"/>
    <s v="Standard Chartered A/C 307017"/>
    <n v="80"/>
    <n v="400.8599853515625"/>
    <n v="32068.798828125"/>
    <x v="0"/>
  </r>
  <r>
    <s v="TRD01821"/>
    <s v="INE009A01031"/>
    <x v="9"/>
    <x v="2"/>
    <s v="Barclays A/C 560891"/>
    <n v="490"/>
    <n v="344.39999389648438"/>
    <n v="168755.99700927734"/>
    <x v="0"/>
  </r>
  <r>
    <s v="TRD01822"/>
    <s v="INE006A01090"/>
    <x v="21"/>
    <x v="1"/>
    <s v="Deutsche Bank A/C 324710"/>
    <n v="300"/>
    <n v="301.989990234375"/>
    <n v="90596.9970703125"/>
    <x v="0"/>
  </r>
  <r>
    <s v="TRD01823"/>
    <s v="INE002A01065"/>
    <x v="14"/>
    <x v="2"/>
    <s v="HSBC A/C 172861"/>
    <n v="250"/>
    <n v="226.00999450683594"/>
    <n v="56502.498626708984"/>
    <x v="0"/>
  </r>
  <r>
    <s v="TRD01824"/>
    <s v="INE005A01071"/>
    <x v="7"/>
    <x v="3"/>
    <s v="JPMorgan A/C 391364"/>
    <n v="210"/>
    <n v="264.17999267578125"/>
    <n v="55477.798461914063"/>
    <x v="0"/>
  </r>
  <r>
    <s v="TRD01825"/>
    <s v="INE002A01072"/>
    <x v="3"/>
    <x v="2"/>
    <s v="Deutsche Bank A/C 126543"/>
    <n v="420"/>
    <n v="509.510009765625"/>
    <n v="213994.2041015625"/>
    <x v="0"/>
  </r>
  <r>
    <s v="TRD01826"/>
    <s v="INE001A01038"/>
    <x v="20"/>
    <x v="0"/>
    <s v="Citi A/C 508769"/>
    <n v="180"/>
    <n v="250.32000732421875"/>
    <n v="45057.601318359375"/>
    <x v="0"/>
  </r>
  <r>
    <s v="TRD01827"/>
    <s v="INE009A01085"/>
    <x v="33"/>
    <x v="0"/>
    <s v="Citi A/C 194841"/>
    <n v="160"/>
    <n v="220.27999877929688"/>
    <n v="35244.7998046875"/>
    <x v="0"/>
  </r>
  <r>
    <s v="TRD01828"/>
    <s v="INE001A01036"/>
    <x v="10"/>
    <x v="2"/>
    <s v="Deutsche Bank A/C 917262"/>
    <n v="150"/>
    <n v="348.32000732421875"/>
    <n v="52248.001098632813"/>
    <x v="0"/>
  </r>
  <r>
    <s v="TRD01829"/>
    <s v="INE003A01062"/>
    <x v="4"/>
    <x v="0"/>
    <s v="HSBC A/C 867781"/>
    <n v="270"/>
    <n v="508.72000122070313"/>
    <n v="137354.40032958984"/>
    <x v="0"/>
  </r>
  <r>
    <s v="TRD01830"/>
    <s v="INE007A01037"/>
    <x v="11"/>
    <x v="3"/>
    <s v="Standard Chartered A/C 307017"/>
    <n v="240"/>
    <n v="271.04998779296875"/>
    <n v="65051.9970703125"/>
    <x v="0"/>
  </r>
  <r>
    <s v="TRD01831"/>
    <s v="INE006A01085"/>
    <x v="13"/>
    <x v="4"/>
    <s v="Deutsche Bank A/C 330518"/>
    <n v="140"/>
    <n v="150.21000671386719"/>
    <n v="21029.400939941406"/>
    <x v="0"/>
  </r>
  <r>
    <s v="TRD01832"/>
    <s v="INE003A01035"/>
    <x v="40"/>
    <x v="2"/>
    <s v="HSBC A/C 468615"/>
    <n v="160"/>
    <n v="356.41000366210938"/>
    <n v="57025.6005859375"/>
    <x v="0"/>
  </r>
  <r>
    <s v="TRD01833"/>
    <s v="INE001A01064"/>
    <x v="14"/>
    <x v="2"/>
    <s v="HSBC A/C 172861"/>
    <n v="320"/>
    <n v="45.159999847412109"/>
    <n v="14451.199951171875"/>
    <x v="0"/>
  </r>
  <r>
    <s v="TRD01834"/>
    <s v="INE004A01052"/>
    <x v="7"/>
    <x v="3"/>
    <s v="JPMorgan A/C 391364"/>
    <n v="250"/>
    <n v="67.290000915527344"/>
    <n v="16822.500228881836"/>
    <x v="0"/>
  </r>
  <r>
    <s v="TRD01835"/>
    <s v="INE008A01032"/>
    <x v="10"/>
    <x v="2"/>
    <s v="Deutsche Bank A/C 917262"/>
    <n v="450"/>
    <n v="218.94000244140625"/>
    <n v="98523.001098632813"/>
    <x v="0"/>
  </r>
  <r>
    <s v="TRD01836"/>
    <s v="INE009A01034"/>
    <x v="1"/>
    <x v="1"/>
    <s v="Standard Chartered A/C 331839"/>
    <n v="500"/>
    <n v="491.57998657226563"/>
    <n v="245789.99328613281"/>
    <x v="0"/>
  </r>
  <r>
    <s v="TRD01837"/>
    <s v="INE003A01045"/>
    <x v="12"/>
    <x v="4"/>
    <s v="Citi A/C 543819"/>
    <n v="330"/>
    <n v="321.95999145507813"/>
    <n v="106246.79718017578"/>
    <x v="0"/>
  </r>
  <r>
    <s v="TRD01838"/>
    <s v="INE009A01051"/>
    <x v="46"/>
    <x v="4"/>
    <s v="Deutsche Bank A/C 428758"/>
    <n v="480"/>
    <n v="342.17001342773438"/>
    <n v="164241.6064453125"/>
    <x v="0"/>
  </r>
  <r>
    <s v="TRD01839"/>
    <s v="INE004A01089"/>
    <x v="29"/>
    <x v="4"/>
    <s v="Deutsche Bank A/C 983712"/>
    <n v="350"/>
    <n v="129.58999633789063"/>
    <n v="45356.498718261719"/>
    <x v="0"/>
  </r>
  <r>
    <s v="TRD01840"/>
    <s v="INE007A01098"/>
    <x v="33"/>
    <x v="0"/>
    <s v="Citi A/C 194841"/>
    <n v="430"/>
    <n v="456.95001220703125"/>
    <n v="196488.50524902344"/>
    <x v="0"/>
  </r>
  <r>
    <s v="TRD01841"/>
    <s v="INE009A01071"/>
    <x v="22"/>
    <x v="4"/>
    <s v="HSBC A/C 785870"/>
    <n v="60"/>
    <n v="42.240001678466797"/>
    <n v="2534.4001007080078"/>
    <x v="0"/>
  </r>
  <r>
    <s v="TRD01842"/>
    <s v="INE001A01098"/>
    <x v="15"/>
    <x v="4"/>
    <s v="Barclays A/C 302646"/>
    <n v="190"/>
    <n v="298.80999755859375"/>
    <n v="56773.899536132813"/>
    <x v="0"/>
  </r>
  <r>
    <s v="TRD01843"/>
    <s v="INE002A01024"/>
    <x v="38"/>
    <x v="2"/>
    <s v="HSBC A/C 994063"/>
    <n v="120"/>
    <n v="85.290000915527344"/>
    <n v="10234.800109863281"/>
    <x v="0"/>
  </r>
  <r>
    <s v="TRD01844"/>
    <s v="INE005A01094"/>
    <x v="23"/>
    <x v="2"/>
    <s v="Standard Chartered A/C 277005"/>
    <n v="230"/>
    <n v="455.6400146484375"/>
    <n v="104797.20336914063"/>
    <x v="0"/>
  </r>
  <r>
    <s v="TRD01845"/>
    <s v="INE005A0107"/>
    <x v="49"/>
    <x v="0"/>
    <s v="HDFC A/C 543407"/>
    <n v="290"/>
    <n v="409.1300048828125"/>
    <n v="118647.70141601563"/>
    <x v="0"/>
  </r>
  <r>
    <s v="TRD01846"/>
    <s v="INE005A01059"/>
    <x v="47"/>
    <x v="4"/>
    <s v="Standard Chartered A/C 682134"/>
    <n v="150"/>
    <n v="140.33000183105469"/>
    <n v="21049.500274658203"/>
    <x v="0"/>
  </r>
  <r>
    <s v="TRD01847"/>
    <s v="INE008A0102"/>
    <x v="9"/>
    <x v="2"/>
    <s v="Barclays A/C 560891"/>
    <n v="500"/>
    <n v="289.14999389648438"/>
    <n v="144574.99694824219"/>
    <x v="0"/>
  </r>
  <r>
    <s v="TRD01848"/>
    <s v="INE002A01086"/>
    <x v="33"/>
    <x v="0"/>
    <s v="Citi A/C 194841"/>
    <n v="160"/>
    <n v="190.77999877929688"/>
    <n v="30524.7998046875"/>
    <x v="0"/>
  </r>
  <r>
    <s v="TRD01849"/>
    <s v="INE009A01018"/>
    <x v="31"/>
    <x v="4"/>
    <s v="JPMorgan A/C 860462"/>
    <n v="280"/>
    <n v="125.73999786376953"/>
    <n v="35207.199401855469"/>
    <x v="0"/>
  </r>
  <r>
    <s v="TRD01850"/>
    <s v="INE001A0100"/>
    <x v="13"/>
    <x v="4"/>
    <s v="Deutsche Bank A/C 330518"/>
    <n v="120"/>
    <n v="69.870002746582031"/>
    <n v="8384.4003295898438"/>
    <x v="0"/>
  </r>
  <r>
    <s v="TRD01851"/>
    <s v="INE002A01087"/>
    <x v="13"/>
    <x v="4"/>
    <s v="Deutsche Bank A/C 330518"/>
    <n v="280"/>
    <n v="444.30999755859375"/>
    <n v="124406.79931640625"/>
    <x v="0"/>
  </r>
  <r>
    <s v="TRD01852"/>
    <s v="INE003A01042"/>
    <x v="17"/>
    <x v="0"/>
    <s v="Barclays A/C 197229"/>
    <n v="490"/>
    <n v="365.5"/>
    <n v="179095"/>
    <x v="0"/>
  </r>
  <r>
    <s v="TRD01853"/>
    <s v="INE001A01070"/>
    <x v="6"/>
    <x v="0"/>
    <s v="JPMorgan A/C 987170"/>
    <n v="290"/>
    <n v="395.22000122070313"/>
    <n v="114613.80035400391"/>
    <x v="0"/>
  </r>
  <r>
    <s v="TRD01854"/>
    <s v="INE006A01084"/>
    <x v="30"/>
    <x v="5"/>
    <s v="JPMorgan A/C 582379"/>
    <n v="360"/>
    <n v="290.54998779296875"/>
    <n v="104597.99560546875"/>
    <x v="0"/>
  </r>
  <r>
    <s v="TRD01855"/>
    <s v="INE001A01048"/>
    <x v="12"/>
    <x v="4"/>
    <s v="Citi A/C 543819"/>
    <n v="220"/>
    <n v="253.8800048828125"/>
    <n v="55853.60107421875"/>
    <x v="0"/>
  </r>
  <r>
    <s v="TRD01856"/>
    <s v="INE006A01024"/>
    <x v="30"/>
    <x v="5"/>
    <s v="JPMorgan A/C 582379"/>
    <n v="470"/>
    <n v="182.91999816894531"/>
    <n v="85972.399139404297"/>
    <x v="0"/>
  </r>
  <r>
    <s v="TRD01857"/>
    <s v="INE005A01029"/>
    <x v="43"/>
    <x v="3"/>
    <s v="JPMorgan A/C 603587"/>
    <n v="90"/>
    <n v="420.67999267578125"/>
    <n v="37861.199340820313"/>
    <x v="0"/>
  </r>
  <r>
    <s v="TRD01858"/>
    <s v="INE009A01080"/>
    <x v="6"/>
    <x v="0"/>
    <s v="JPMorgan A/C 987170"/>
    <n v="160"/>
    <n v="505.489990234375"/>
    <n v="80878.3984375"/>
    <x v="0"/>
  </r>
  <r>
    <s v="TRD01859"/>
    <s v="INE003A01048"/>
    <x v="4"/>
    <x v="0"/>
    <s v="HSBC A/C 867781"/>
    <n v="80"/>
    <n v="421"/>
    <n v="33680"/>
    <x v="0"/>
  </r>
  <r>
    <s v="TRD01860"/>
    <s v="INE002A0101"/>
    <x v="2"/>
    <x v="2"/>
    <s v="Citi A/C 837378"/>
    <n v="380"/>
    <n v="346.16000366210938"/>
    <n v="131540.80139160156"/>
    <x v="0"/>
  </r>
  <r>
    <s v="TRD01861"/>
    <s v="INE001A01061"/>
    <x v="38"/>
    <x v="2"/>
    <s v="HSBC A/C 994063"/>
    <n v="450"/>
    <n v="405.239990234375"/>
    <n v="182357.99560546875"/>
    <x v="0"/>
  </r>
  <r>
    <s v="TRD01862"/>
    <s v="INE006A01053"/>
    <x v="25"/>
    <x v="5"/>
    <s v="HDFC A/C 897530"/>
    <n v="260"/>
    <n v="417.82000732421875"/>
    <n v="108633.20190429688"/>
    <x v="0"/>
  </r>
  <r>
    <s v="TRD01863"/>
    <s v="INE005A01053"/>
    <x v="15"/>
    <x v="4"/>
    <s v="Barclays A/C 302646"/>
    <n v="120"/>
    <n v="148.78999328613281"/>
    <n v="17854.799194335938"/>
    <x v="0"/>
  </r>
  <r>
    <s v="TRD01864"/>
    <s v="INE006A01036"/>
    <x v="50"/>
    <x v="5"/>
    <s v="HDFC A/C 180445"/>
    <n v="490"/>
    <n v="58.349998474121094"/>
    <n v="28591.499252319336"/>
    <x v="0"/>
  </r>
  <r>
    <s v="TRD01865"/>
    <s v="INE006A01031"/>
    <x v="48"/>
    <x v="5"/>
    <s v="Citi A/C 703401"/>
    <n v="130"/>
    <n v="52.029998779296875"/>
    <n v="6763.8998413085938"/>
    <x v="0"/>
  </r>
  <r>
    <s v="TRD01866"/>
    <s v="INE007A01068"/>
    <x v="15"/>
    <x v="4"/>
    <s v="Barclays A/C 302646"/>
    <n v="430"/>
    <n v="230.66000366210938"/>
    <n v="99183.801574707031"/>
    <x v="0"/>
  </r>
  <r>
    <s v="TRD01867"/>
    <s v="INE006A01029"/>
    <x v="37"/>
    <x v="6"/>
    <s v="MISSING SSI"/>
    <n v="330"/>
    <n v="129.94999694824219"/>
    <n v="42883.498992919922"/>
    <x v="3"/>
  </r>
  <r>
    <s v="TRD01868"/>
    <s v="INE003A01071"/>
    <x v="8"/>
    <x v="3"/>
    <s v="Deutsche Bank A/C 917029"/>
    <n v="200"/>
    <n v="55.349998474121094"/>
    <n v="11069.999694824219"/>
    <x v="0"/>
  </r>
  <r>
    <s v="TRD01869"/>
    <s v="INE001A01096"/>
    <x v="43"/>
    <x v="3"/>
    <s v="JPMorgan A/C 603587"/>
    <n v="160"/>
    <n v="399"/>
    <n v="63840"/>
    <x v="0"/>
  </r>
  <r>
    <s v="TRD01870"/>
    <s v="INE001A01078"/>
    <x v="43"/>
    <x v="3"/>
    <s v="JPMorgan A/C 603587"/>
    <n v="360"/>
    <n v="450.20999145507813"/>
    <n v="162075.59692382813"/>
    <x v="0"/>
  </r>
  <r>
    <s v="TRD01871"/>
    <s v="INE003A01036"/>
    <x v="2"/>
    <x v="2"/>
    <s v="Citi A/C 837378"/>
    <n v="350"/>
    <n v="349.83999633789063"/>
    <n v="122443.99871826172"/>
    <x v="0"/>
  </r>
  <r>
    <s v="TRD01872"/>
    <s v="INE002A01025"/>
    <x v="46"/>
    <x v="4"/>
    <s v="Deutsche Bank A/C 428758"/>
    <n v="290"/>
    <n v="340.32998657226563"/>
    <n v="98695.696105957031"/>
    <x v="0"/>
  </r>
  <r>
    <s v="TRD01873"/>
    <s v="INE008A01080"/>
    <x v="12"/>
    <x v="4"/>
    <s v="Citi A/C 543819"/>
    <n v="240"/>
    <n v="15.680000305175781"/>
    <n v="3763.2000732421875"/>
    <x v="0"/>
  </r>
  <r>
    <s v="TRD01874"/>
    <s v="INE003A01071"/>
    <x v="44"/>
    <x v="4"/>
    <s v="JPMorgan A/C 704166"/>
    <n v="370"/>
    <n v="71.430000305175781"/>
    <n v="26429.100112915039"/>
    <x v="0"/>
  </r>
  <r>
    <s v="TRD01875"/>
    <s v="INE007A01050"/>
    <x v="1"/>
    <x v="1"/>
    <s v="Standard Chartered A/C 331839"/>
    <n v="260"/>
    <n v="54.709999084472656"/>
    <n v="14224.599761962891"/>
    <x v="0"/>
  </r>
  <r>
    <s v="TRD01876"/>
    <s v="INE004A0102"/>
    <x v="42"/>
    <x v="0"/>
    <s v="HDFC A/C 638209"/>
    <n v="100"/>
    <n v="114.20999908447266"/>
    <n v="11420.999908447266"/>
    <x v="0"/>
  </r>
  <r>
    <s v="TRD01877"/>
    <s v="INE001A01093"/>
    <x v="29"/>
    <x v="4"/>
    <s v="Deutsche Bank A/C 983712"/>
    <n v="490"/>
    <n v="250.14999389648438"/>
    <n v="122573.49700927734"/>
    <x v="0"/>
  </r>
  <r>
    <s v="TRD01878"/>
    <s v="INE009A01027"/>
    <x v="17"/>
    <x v="0"/>
    <s v="Barclays A/C 197229"/>
    <n v="130"/>
    <n v="64.360000610351563"/>
    <n v="8366.8000793457031"/>
    <x v="0"/>
  </r>
  <r>
    <s v="TRD01879"/>
    <s v="INE002A01083"/>
    <x v="33"/>
    <x v="0"/>
    <s v="Citi A/C 194841"/>
    <n v="120"/>
    <n v="10.199999809265137"/>
    <n v="1223.9999771118164"/>
    <x v="0"/>
  </r>
  <r>
    <s v="TRD01880"/>
    <s v="INE004A01080"/>
    <x v="40"/>
    <x v="2"/>
    <s v="HSBC A/C 468615"/>
    <n v="200"/>
    <n v="142.60000610351563"/>
    <n v="28520.001220703125"/>
    <x v="0"/>
  </r>
  <r>
    <s v="TRD01881"/>
    <s v="INE009A01016"/>
    <x v="25"/>
    <x v="5"/>
    <s v="HDFC A/C 897530"/>
    <n v="480"/>
    <n v="368.04998779296875"/>
    <n v="176663.994140625"/>
    <x v="0"/>
  </r>
  <r>
    <s v="TRD01882"/>
    <s v="INE006A01022"/>
    <x v="9"/>
    <x v="2"/>
    <s v="Barclays A/C 560891"/>
    <n v="210"/>
    <n v="194.6199951171875"/>
    <n v="40870.198974609375"/>
    <x v="0"/>
  </r>
  <r>
    <s v="TRD01883"/>
    <s v="INE001A01014"/>
    <x v="7"/>
    <x v="3"/>
    <s v="JPMorgan A/C 391364"/>
    <n v="20"/>
    <n v="481.92001342773438"/>
    <n v="9638.4002685546875"/>
    <x v="0"/>
  </r>
  <r>
    <s v="TRD01884"/>
    <s v="INE006A01037"/>
    <x v="19"/>
    <x v="2"/>
    <s v="Citi A/C 359789"/>
    <n v="170"/>
    <n v="191.1300048828125"/>
    <n v="32492.100830078125"/>
    <x v="0"/>
  </r>
  <r>
    <s v="TRD01885"/>
    <s v="INE009A01024"/>
    <x v="12"/>
    <x v="4"/>
    <s v="Citi A/C 543819"/>
    <n v="300"/>
    <n v="135"/>
    <n v="40500"/>
    <x v="0"/>
  </r>
  <r>
    <s v="TRD01886"/>
    <s v="INE006A01036"/>
    <x v="33"/>
    <x v="0"/>
    <s v="Citi A/C 194841"/>
    <n v="200"/>
    <n v="227.83000183105469"/>
    <n v="45566.000366210938"/>
    <x v="0"/>
  </r>
  <r>
    <s v="TRD01887"/>
    <s v="INE008A01019"/>
    <x v="42"/>
    <x v="0"/>
    <s v="HDFC A/C 638209"/>
    <n v="30"/>
    <n v="235.49000549316406"/>
    <n v="7064.7001647949219"/>
    <x v="0"/>
  </r>
  <r>
    <s v="TRD01888"/>
    <s v="INE003A01052"/>
    <x v="35"/>
    <x v="4"/>
    <s v="HSBC A/C 972195"/>
    <n v="80"/>
    <n v="25.420000076293945"/>
    <n v="2033.6000061035156"/>
    <x v="0"/>
  </r>
  <r>
    <s v="TRD01889"/>
    <s v="INE005A01096"/>
    <x v="35"/>
    <x v="4"/>
    <s v="HSBC A/C 972195"/>
    <n v="30"/>
    <n v="316.6099853515625"/>
    <n v="9498.299560546875"/>
    <x v="0"/>
  </r>
  <r>
    <s v="TRD01890"/>
    <s v="INE004A01046"/>
    <x v="23"/>
    <x v="2"/>
    <s v="Standard Chartered A/C 277005"/>
    <n v="180"/>
    <n v="429.6199951171875"/>
    <n v="77331.59912109375"/>
    <x v="0"/>
  </r>
  <r>
    <s v="TRD01891"/>
    <s v="INE007A01077"/>
    <x v="43"/>
    <x v="3"/>
    <s v="JPMorgan A/C 603587"/>
    <n v="240"/>
    <n v="36.560001373291016"/>
    <n v="8774.4003295898438"/>
    <x v="0"/>
  </r>
  <r>
    <s v="TRD01892"/>
    <s v="INE009A0102"/>
    <x v="4"/>
    <x v="0"/>
    <s v="HSBC A/C 867781"/>
    <n v="20"/>
    <n v="411.1099853515625"/>
    <n v="8222.19970703125"/>
    <x v="0"/>
  </r>
  <r>
    <s v="TRD01893"/>
    <s v="INE009A01011"/>
    <x v="43"/>
    <x v="3"/>
    <s v="JPMorgan A/C 603587"/>
    <n v="230"/>
    <n v="178.52999877929688"/>
    <n v="41061.899719238281"/>
    <x v="0"/>
  </r>
  <r>
    <s v="TRD01894"/>
    <s v="INE004A01031"/>
    <x v="15"/>
    <x v="4"/>
    <s v="Barclays A/C 302646"/>
    <n v="230"/>
    <n v="65.610000610351563"/>
    <n v="15090.300140380859"/>
    <x v="0"/>
  </r>
  <r>
    <s v="TRD01895"/>
    <s v="INE004A01068"/>
    <x v="38"/>
    <x v="2"/>
    <s v="HSBC A/C 994063"/>
    <n v="210"/>
    <n v="150.72999572753906"/>
    <n v="31653.299102783203"/>
    <x v="0"/>
  </r>
  <r>
    <s v="TRD01896"/>
    <s v="INE001A01066"/>
    <x v="32"/>
    <x v="1"/>
    <s v="Standard Chartered A/C 438949"/>
    <n v="60"/>
    <n v="113.81999969482422"/>
    <n v="6829.1999816894531"/>
    <x v="0"/>
  </r>
  <r>
    <s v="TRD01897"/>
    <s v="INE007A01047"/>
    <x v="30"/>
    <x v="5"/>
    <s v="JPMorgan A/C 582379"/>
    <n v="500"/>
    <n v="486.3699951171875"/>
    <n v="243184.99755859375"/>
    <x v="0"/>
  </r>
  <r>
    <s v="TRD01898"/>
    <s v="INE008A01068"/>
    <x v="43"/>
    <x v="3"/>
    <s v="JPMorgan A/C 603587"/>
    <n v="410"/>
    <n v="401.44000244140625"/>
    <n v="164590.40100097656"/>
    <x v="0"/>
  </r>
  <r>
    <s v="TRD01899"/>
    <s v="INE001A01068"/>
    <x v="44"/>
    <x v="4"/>
    <s v="JPMorgan A/C 704166"/>
    <n v="40"/>
    <n v="343.6400146484375"/>
    <n v="13745.6005859375"/>
    <x v="0"/>
  </r>
  <r>
    <s v="TRD01900"/>
    <s v="INE008A01021"/>
    <x v="6"/>
    <x v="0"/>
    <s v="JPMorgan A/C 987170"/>
    <n v="280"/>
    <n v="399.17001342773438"/>
    <n v="111767.60375976563"/>
    <x v="0"/>
  </r>
  <r>
    <s v="TRD01901"/>
    <s v="INE004A01081"/>
    <x v="27"/>
    <x v="2"/>
    <s v="HDFC A/C 679335"/>
    <n v="400"/>
    <n v="505.760009765625"/>
    <n v="202304.00390625"/>
    <x v="0"/>
  </r>
  <r>
    <s v="TRD01902"/>
    <s v="INE004A01036"/>
    <x v="10"/>
    <x v="2"/>
    <s v="Deutsche Bank A/C 917262"/>
    <n v="310"/>
    <n v="202.72000122070313"/>
    <n v="62843.200378417969"/>
    <x v="0"/>
  </r>
  <r>
    <s v="TRD01903"/>
    <s v="INE002A01056"/>
    <x v="9"/>
    <x v="2"/>
    <s v="Barclays A/C 560891"/>
    <n v="290"/>
    <n v="380.91000366210938"/>
    <n v="110463.90106201172"/>
    <x v="0"/>
  </r>
  <r>
    <s v="TRD01904"/>
    <s v="INE008A01046"/>
    <x v="38"/>
    <x v="2"/>
    <s v="HSBC A/C 994063"/>
    <n v="260"/>
    <n v="32.779998779296875"/>
    <n v="8522.7996826171875"/>
    <x v="0"/>
  </r>
  <r>
    <s v="TRD01905"/>
    <s v="INE001A01092"/>
    <x v="44"/>
    <x v="4"/>
    <s v="JPMorgan A/C 704166"/>
    <n v="20"/>
    <n v="502.32000732421875"/>
    <n v="10046.400146484375"/>
    <x v="0"/>
  </r>
  <r>
    <s v="TRD01906"/>
    <s v="INE003A01013"/>
    <x v="23"/>
    <x v="2"/>
    <s v="Standard Chartered A/C 277005"/>
    <n v="10"/>
    <n v="235.07000732421875"/>
    <n v="2350.7000732421875"/>
    <x v="0"/>
  </r>
  <r>
    <s v="TRD01907"/>
    <s v="INE002A01011"/>
    <x v="46"/>
    <x v="4"/>
    <s v="Deutsche Bank A/C 428758"/>
    <n v="50"/>
    <n v="28.170000076293945"/>
    <n v="1408.5000038146973"/>
    <x v="0"/>
  </r>
  <r>
    <s v="TRD01908"/>
    <s v="INE005A01020"/>
    <x v="20"/>
    <x v="0"/>
    <s v="Citi A/C 508769"/>
    <n v="25000"/>
    <n v="84.870002746582031"/>
    <n v="2121750.0686645508"/>
    <x v="2"/>
  </r>
  <r>
    <s v="TRD01909"/>
    <s v="INE005A01040"/>
    <x v="24"/>
    <x v="1"/>
    <s v="Citi A/C 714496"/>
    <n v="400"/>
    <n v="443.85000610351563"/>
    <n v="177540.00244140625"/>
    <x v="0"/>
  </r>
  <r>
    <s v="TRD01910"/>
    <s v="INE005A01090"/>
    <x v="19"/>
    <x v="2"/>
    <s v="Citi A/C 359789"/>
    <n v="160"/>
    <n v="97.580001831054688"/>
    <n v="15612.80029296875"/>
    <x v="0"/>
  </r>
  <r>
    <s v="TRD01911"/>
    <s v="INE005A01037"/>
    <x v="50"/>
    <x v="5"/>
    <s v="HDFC A/C 180445"/>
    <n v="230"/>
    <n v="394.92999267578125"/>
    <n v="90833.898315429688"/>
    <x v="0"/>
  </r>
  <r>
    <s v="TRD01912"/>
    <s v="INE001A0108"/>
    <x v="2"/>
    <x v="2"/>
    <s v="Citi A/C 837378"/>
    <n v="380"/>
    <n v="317.58999633789063"/>
    <n v="120684.19860839844"/>
    <x v="0"/>
  </r>
  <r>
    <s v="TRD01913"/>
    <s v="INE008A01069"/>
    <x v="17"/>
    <x v="0"/>
    <s v="Barclays A/C 197229"/>
    <n v="410"/>
    <n v="230.07000732421875"/>
    <n v="94328.703002929688"/>
    <x v="0"/>
  </r>
  <r>
    <s v="TRD01914"/>
    <s v="INE009A01078"/>
    <x v="31"/>
    <x v="4"/>
    <s v="JPMorgan A/C 860462"/>
    <n v="380"/>
    <n v="129.67999267578125"/>
    <n v="49278.397216796875"/>
    <x v="0"/>
  </r>
  <r>
    <s v="TRD01915"/>
    <s v="INE001A01030"/>
    <x v="33"/>
    <x v="0"/>
    <s v="Citi A/C 194841"/>
    <n v="440"/>
    <n v="396.54000854492188"/>
    <n v="174477.60375976563"/>
    <x v="0"/>
  </r>
  <r>
    <s v="TRD01916"/>
    <s v="INE004A0108"/>
    <x v="29"/>
    <x v="4"/>
    <s v="Deutsche Bank A/C 983712"/>
    <n v="480"/>
    <n v="43.599998474121094"/>
    <n v="20927.999267578125"/>
    <x v="0"/>
  </r>
  <r>
    <s v="TRD01917"/>
    <s v="INE004A01036"/>
    <x v="2"/>
    <x v="2"/>
    <s v="Citi A/C 837378"/>
    <n v="470"/>
    <n v="466.6099853515625"/>
    <n v="219306.69311523438"/>
    <x v="0"/>
  </r>
  <r>
    <s v="TRD01918"/>
    <s v="INE001A01026"/>
    <x v="5"/>
    <x v="3"/>
    <s v="HSBC A/C 562956"/>
    <n v="140"/>
    <n v="194.1300048828125"/>
    <n v="27178.20068359375"/>
    <x v="0"/>
  </r>
  <r>
    <s v="TRD01919"/>
    <s v="INE007A01030"/>
    <x v="17"/>
    <x v="0"/>
    <s v="Barclays A/C 197229"/>
    <n v="270"/>
    <n v="137.53999328613281"/>
    <n v="37135.798187255859"/>
    <x v="0"/>
  </r>
  <r>
    <s v="TRD01920"/>
    <s v="INE005A01088"/>
    <x v="11"/>
    <x v="3"/>
    <s v="Standard Chartered A/C 307017"/>
    <n v="430"/>
    <n v="341.01998901367188"/>
    <n v="146638.59527587891"/>
    <x v="0"/>
  </r>
  <r>
    <s v="TRD01921"/>
    <s v="INE007A01080"/>
    <x v="33"/>
    <x v="0"/>
    <s v="Citi A/C 194841"/>
    <n v="230"/>
    <n v="231.58999633789063"/>
    <n v="53265.699157714844"/>
    <x v="0"/>
  </r>
  <r>
    <s v="TRD01922"/>
    <s v="INE002A01075"/>
    <x v="44"/>
    <x v="4"/>
    <s v="JPMorgan A/C 704166"/>
    <n v="60"/>
    <n v="369.04998779296875"/>
    <n v="22142.999267578125"/>
    <x v="0"/>
  </r>
  <r>
    <s v="TRD01923"/>
    <s v="INE009A01080"/>
    <x v="0"/>
    <x v="0"/>
    <s v="Citi A/C 700450"/>
    <n v="370"/>
    <n v="196.03999328613281"/>
    <n v="72534.797515869141"/>
    <x v="0"/>
  </r>
  <r>
    <s v="TRD01924"/>
    <s v="INE001A01091"/>
    <x v="27"/>
    <x v="2"/>
    <s v="HDFC A/C 679335"/>
    <n v="370"/>
    <n v="287.98001098632813"/>
    <n v="106552.60406494141"/>
    <x v="0"/>
  </r>
  <r>
    <s v="TRD01925"/>
    <s v="INE004A01045"/>
    <x v="8"/>
    <x v="3"/>
    <s v="Deutsche Bank A/C 917029"/>
    <n v="330"/>
    <n v="103.13999938964844"/>
    <n v="34036.199798583984"/>
    <x v="0"/>
  </r>
  <r>
    <s v="TRD01926"/>
    <s v="INE008A01066"/>
    <x v="42"/>
    <x v="0"/>
    <s v="HDFC A/C 638209"/>
    <n v="300"/>
    <n v="232.58000183105469"/>
    <n v="69774.000549316406"/>
    <x v="0"/>
  </r>
  <r>
    <s v="TRD01927"/>
    <s v="INE003A01019"/>
    <x v="20"/>
    <x v="0"/>
    <s v="Citi A/C 508769"/>
    <n v="380"/>
    <n v="150.16999816894531"/>
    <n v="57064.599304199219"/>
    <x v="0"/>
  </r>
  <r>
    <s v="TRD01928"/>
    <s v="INE004A01056"/>
    <x v="20"/>
    <x v="0"/>
    <s v="Citi A/C 508769"/>
    <n v="440"/>
    <n v="462.60000610351563"/>
    <n v="203544.00268554688"/>
    <x v="0"/>
  </r>
  <r>
    <s v="TRD01929"/>
    <s v="INE001A01069"/>
    <x v="26"/>
    <x v="0"/>
    <s v="Citi A/C 416082"/>
    <n v="410"/>
    <n v="159.3800048828125"/>
    <n v="65345.802001953125"/>
    <x v="0"/>
  </r>
  <r>
    <s v="TRD01930"/>
    <s v="INE007A01040"/>
    <x v="2"/>
    <x v="2"/>
    <s v="Citi A/C 837378"/>
    <n v="490"/>
    <n v="362.82000732421875"/>
    <n v="177781.80358886719"/>
    <x v="0"/>
  </r>
  <r>
    <s v="TRD01931"/>
    <s v="INE003A01088"/>
    <x v="5"/>
    <x v="3"/>
    <s v="HSBC A/C 562956"/>
    <n v="440"/>
    <n v="78.050003051757813"/>
    <n v="34342.001342773438"/>
    <x v="0"/>
  </r>
  <r>
    <s v="TRD01932"/>
    <s v="INE002A01024"/>
    <x v="46"/>
    <x v="4"/>
    <s v="Deutsche Bank A/C 428758"/>
    <n v="290"/>
    <n v="443.010009765625"/>
    <n v="128472.90283203125"/>
    <x v="0"/>
  </r>
  <r>
    <s v="TRD01933"/>
    <s v="INE001A01093"/>
    <x v="5"/>
    <x v="3"/>
    <s v="HSBC A/C 562956"/>
    <n v="110"/>
    <n v="478.44000244140625"/>
    <n v="52628.400268554688"/>
    <x v="0"/>
  </r>
  <r>
    <s v="TRD01934"/>
    <s v="INE003A01037"/>
    <x v="12"/>
    <x v="4"/>
    <s v="Citi A/C 543819"/>
    <n v="280"/>
    <n v="337.92001342773438"/>
    <n v="94617.603759765625"/>
    <x v="0"/>
  </r>
  <r>
    <s v="TRD01935"/>
    <s v="INE005A01028"/>
    <x v="15"/>
    <x v="4"/>
    <s v="Barclays A/C 302646"/>
    <n v="190"/>
    <n v="57.810001373291016"/>
    <n v="10983.900260925293"/>
    <x v="0"/>
  </r>
  <r>
    <s v="TRD01936"/>
    <s v="INE008A01034"/>
    <x v="41"/>
    <x v="4"/>
    <s v="Standard Chartered A/C 441247"/>
    <n v="50"/>
    <n v="307.32000732421875"/>
    <n v="15366.000366210938"/>
    <x v="0"/>
  </r>
  <r>
    <s v="TRD01937"/>
    <s v="INE001A01059"/>
    <x v="49"/>
    <x v="0"/>
    <s v="HDFC A/C 543407"/>
    <n v="70"/>
    <n v="138.44000244140625"/>
    <n v="9690.8001708984375"/>
    <x v="0"/>
  </r>
  <r>
    <s v="TRD01938"/>
    <s v="INE001A01096"/>
    <x v="13"/>
    <x v="4"/>
    <s v="Deutsche Bank A/C 330518"/>
    <n v="300"/>
    <n v="235.99000549316406"/>
    <n v="70797.001647949219"/>
    <x v="0"/>
  </r>
  <r>
    <s v="TRD01939"/>
    <s v="INE004A01079"/>
    <x v="9"/>
    <x v="2"/>
    <s v="Barclays A/C 560891"/>
    <n v="280"/>
    <n v="167.58000183105469"/>
    <n v="46922.400512695313"/>
    <x v="0"/>
  </r>
  <r>
    <s v="TRD01940"/>
    <s v="INE001A01029"/>
    <x v="9"/>
    <x v="2"/>
    <s v="Barclays A/C 560891"/>
    <n v="360"/>
    <n v="133.66999816894531"/>
    <n v="48121.199340820313"/>
    <x v="0"/>
  </r>
  <r>
    <s v="TRD01941"/>
    <s v="INE005A0107"/>
    <x v="40"/>
    <x v="2"/>
    <s v="HSBC A/C 468615"/>
    <n v="440"/>
    <n v="217.50999450683594"/>
    <n v="95704.397583007813"/>
    <x v="0"/>
  </r>
  <r>
    <s v="TRD01942"/>
    <s v="INE005A01061"/>
    <x v="41"/>
    <x v="4"/>
    <s v="Standard Chartered A/C 441247"/>
    <n v="190"/>
    <n v="135.14999389648438"/>
    <n v="25678.498840332031"/>
    <x v="0"/>
  </r>
  <r>
    <s v="TRD01943"/>
    <s v="INE005A01082"/>
    <x v="17"/>
    <x v="0"/>
    <s v="Barclays A/C 197229"/>
    <n v="330"/>
    <n v="485.48001098632813"/>
    <n v="160208.40362548828"/>
    <x v="0"/>
  </r>
  <r>
    <s v="TRD01944"/>
    <s v="INE003A01049"/>
    <x v="5"/>
    <x v="3"/>
    <s v="HSBC A/C 562956"/>
    <n v="-50"/>
    <n v="95.790000915527344"/>
    <n v="-4789.5000457763672"/>
    <x v="1"/>
  </r>
  <r>
    <s v="TRD01945"/>
    <s v="INE007A01097"/>
    <x v="8"/>
    <x v="3"/>
    <s v="Deutsche Bank A/C 917029"/>
    <n v="10"/>
    <n v="383.57000732421875"/>
    <n v="3835.7000732421875"/>
    <x v="0"/>
  </r>
  <r>
    <s v="TRD01946"/>
    <s v="INE007A01056"/>
    <x v="19"/>
    <x v="2"/>
    <s v="Citi A/C 359789"/>
    <n v="350"/>
    <n v="207.24000549316406"/>
    <n v="72534.001922607422"/>
    <x v="0"/>
  </r>
  <r>
    <s v="TRD01947"/>
    <s v="INE002A01020"/>
    <x v="25"/>
    <x v="5"/>
    <s v="HDFC A/C 897530"/>
    <n v="170"/>
    <n v="359.04000854492188"/>
    <n v="61036.801452636719"/>
    <x v="0"/>
  </r>
  <r>
    <s v="TRD01948"/>
    <s v="INE009A01015"/>
    <x v="44"/>
    <x v="4"/>
    <s v="JPMorgan A/C 704166"/>
    <n v="120"/>
    <n v="201.52000427246094"/>
    <n v="24182.400512695313"/>
    <x v="0"/>
  </r>
  <r>
    <s v="TRD01949"/>
    <s v="INE004A01094"/>
    <x v="31"/>
    <x v="4"/>
    <s v="JPMorgan A/C 860462"/>
    <n v="30"/>
    <n v="417.54998779296875"/>
    <n v="12526.499633789063"/>
    <x v="0"/>
  </r>
  <r>
    <s v="TRD01950"/>
    <s v="INE008A01086"/>
    <x v="2"/>
    <x v="2"/>
    <s v="Citi A/C 837378"/>
    <n v="250"/>
    <n v="260.29998779296875"/>
    <n v="65074.996948242188"/>
    <x v="0"/>
  </r>
  <r>
    <s v="TRD01951"/>
    <s v="INE003A01047"/>
    <x v="31"/>
    <x v="4"/>
    <s v="JPMorgan A/C 860462"/>
    <n v="330"/>
    <n v="303.239990234375"/>
    <n v="100069.19677734375"/>
    <x v="0"/>
  </r>
  <r>
    <s v="TRD01952"/>
    <s v="INE008A0109"/>
    <x v="35"/>
    <x v="4"/>
    <s v="HSBC A/C 972195"/>
    <n v="310"/>
    <n v="190.19000244140625"/>
    <n v="58958.900756835938"/>
    <x v="0"/>
  </r>
  <r>
    <s v="TRD01953"/>
    <s v="INE001A01030"/>
    <x v="29"/>
    <x v="4"/>
    <s v="Deutsche Bank A/C 983712"/>
    <n v="450"/>
    <n v="385.25"/>
    <n v="173362.5"/>
    <x v="0"/>
  </r>
  <r>
    <s v="TRD01954"/>
    <s v="INE007A01047"/>
    <x v="39"/>
    <x v="1"/>
    <s v="HSBC A/C 540659"/>
    <n v="490"/>
    <n v="422.85000610351563"/>
    <n v="207196.50299072266"/>
    <x v="0"/>
  </r>
  <r>
    <s v="TRD01955"/>
    <s v="INE001A01021"/>
    <x v="41"/>
    <x v="4"/>
    <s v="Standard Chartered A/C 441247"/>
    <n v="390"/>
    <n v="157.72000122070313"/>
    <n v="61510.800476074219"/>
    <x v="0"/>
  </r>
  <r>
    <s v="TRD01956"/>
    <s v="INE005A01090"/>
    <x v="15"/>
    <x v="4"/>
    <s v="Barclays A/C 302646"/>
    <n v="100"/>
    <n v="14.920000076293945"/>
    <n v="1492.0000076293945"/>
    <x v="0"/>
  </r>
  <r>
    <s v="TRD01957"/>
    <s v="INE009A01022"/>
    <x v="35"/>
    <x v="4"/>
    <s v="HSBC A/C 972195"/>
    <n v="280"/>
    <n v="239.80000305175781"/>
    <n v="67144.000854492188"/>
    <x v="0"/>
  </r>
  <r>
    <s v="TRD01958"/>
    <s v="INE005A01054"/>
    <x v="8"/>
    <x v="3"/>
    <s v="Deutsche Bank A/C 917029"/>
    <n v="80"/>
    <n v="148.02999877929688"/>
    <n v="11842.39990234375"/>
    <x v="0"/>
  </r>
  <r>
    <s v="TRD01959"/>
    <s v="INE006A01058"/>
    <x v="13"/>
    <x v="4"/>
    <s v="Deutsche Bank A/C 330518"/>
    <n v="370"/>
    <n v="375.6099853515625"/>
    <n v="138975.69458007813"/>
    <x v="0"/>
  </r>
  <r>
    <s v="TRD01960"/>
    <s v="INE002A01077"/>
    <x v="46"/>
    <x v="4"/>
    <s v="Deutsche Bank A/C 428758"/>
    <n v="500"/>
    <n v="128.83000183105469"/>
    <n v="64415.000915527344"/>
    <x v="0"/>
  </r>
  <r>
    <s v="TRD01961"/>
    <s v="INE003A01083"/>
    <x v="0"/>
    <x v="0"/>
    <s v="Citi A/C 700450"/>
    <n v="40"/>
    <n v="434.29998779296875"/>
    <n v="17371.99951171875"/>
    <x v="0"/>
  </r>
  <r>
    <s v="TRD01962"/>
    <s v="INE004A01024"/>
    <x v="19"/>
    <x v="2"/>
    <s v="Citi A/C 359789"/>
    <n v="50"/>
    <n v="388.95999145507813"/>
    <n v="19447.999572753906"/>
    <x v="0"/>
  </r>
  <r>
    <s v="TRD01963"/>
    <s v="INE004A01073"/>
    <x v="23"/>
    <x v="2"/>
    <s v="Standard Chartered A/C 277005"/>
    <n v="290"/>
    <n v="410.01998901367188"/>
    <n v="118905.79681396484"/>
    <x v="0"/>
  </r>
  <r>
    <s v="TRD01964"/>
    <s v="INE003A01083"/>
    <x v="9"/>
    <x v="2"/>
    <s v="Barclays A/C 560891"/>
    <n v="30"/>
    <n v="485.04998779296875"/>
    <n v="14551.499633789063"/>
    <x v="0"/>
  </r>
  <r>
    <s v="TRD01965"/>
    <s v="INE005A01031"/>
    <x v="40"/>
    <x v="2"/>
    <s v="HSBC A/C 468615"/>
    <n v="250"/>
    <n v="421.89999389648438"/>
    <n v="105474.99847412109"/>
    <x v="0"/>
  </r>
  <r>
    <s v="TRD01966"/>
    <s v="INE008A01070"/>
    <x v="50"/>
    <x v="5"/>
    <s v="HDFC A/C 180445"/>
    <n v="400"/>
    <n v="98.75"/>
    <n v="39500"/>
    <x v="0"/>
  </r>
  <r>
    <s v="TRD01967"/>
    <s v="INE006A01082"/>
    <x v="18"/>
    <x v="2"/>
    <s v="HSBC A/C 604357"/>
    <n v="160"/>
    <n v="214.08999633789063"/>
    <n v="34254.3994140625"/>
    <x v="0"/>
  </r>
  <r>
    <s v="TRD01968"/>
    <s v="INE009A01025"/>
    <x v="10"/>
    <x v="2"/>
    <s v="Deutsche Bank A/C 917262"/>
    <n v="210"/>
    <n v="36.709999084472656"/>
    <n v="7709.0998077392578"/>
    <x v="0"/>
  </r>
  <r>
    <s v="TRD01969"/>
    <s v="INE007A01080"/>
    <x v="12"/>
    <x v="4"/>
    <s v="Citi A/C 543819"/>
    <n v="410"/>
    <n v="155.72000122070313"/>
    <n v="63845.200500488281"/>
    <x v="0"/>
  </r>
  <r>
    <s v="TRD01970"/>
    <s v="INE001A01011"/>
    <x v="43"/>
    <x v="3"/>
    <s v="JPMorgan A/C 603587"/>
    <n v="150"/>
    <n v="230.55000305175781"/>
    <n v="34582.500457763672"/>
    <x v="0"/>
  </r>
  <r>
    <s v="TRD01971"/>
    <s v="INE005A0102"/>
    <x v="16"/>
    <x v="3"/>
    <s v="Deutsche Bank A/C 153521"/>
    <n v="500"/>
    <n v="240.92999267578125"/>
    <n v="120464.99633789063"/>
    <x v="0"/>
  </r>
  <r>
    <s v="TRD01972"/>
    <s v="INE005A01018"/>
    <x v="39"/>
    <x v="1"/>
    <s v="HSBC A/C 540659"/>
    <n v="40"/>
    <n v="236.91999816894531"/>
    <n v="9476.7999267578125"/>
    <x v="0"/>
  </r>
  <r>
    <s v="TRD01973"/>
    <s v="INE004A01048"/>
    <x v="11"/>
    <x v="3"/>
    <s v="Standard Chartered A/C 307017"/>
    <n v="50"/>
    <n v="88.879997253417969"/>
    <n v="4443.9998626708984"/>
    <x v="0"/>
  </r>
  <r>
    <s v="TRD01974"/>
    <s v="INE004A01059"/>
    <x v="31"/>
    <x v="4"/>
    <s v="JPMorgan A/C 860462"/>
    <n v="310"/>
    <n v="237.47000122070313"/>
    <n v="73615.700378417969"/>
    <x v="0"/>
  </r>
  <r>
    <s v="TRD01975"/>
    <s v="INE004A01046"/>
    <x v="42"/>
    <x v="0"/>
    <s v="HDFC A/C 638209"/>
    <n v="320"/>
    <n v="443.67999267578125"/>
    <n v="141977.59765625"/>
    <x v="0"/>
  </r>
  <r>
    <s v="TRD01976"/>
    <s v="INE003A01076"/>
    <x v="2"/>
    <x v="2"/>
    <s v="Citi A/C 837378"/>
    <n v="40"/>
    <n v="38.819999694824219"/>
    <n v="1552.7999877929688"/>
    <x v="0"/>
  </r>
  <r>
    <s v="TRD01977"/>
    <s v="INE006A01048"/>
    <x v="41"/>
    <x v="4"/>
    <s v="Standard Chartered A/C 441247"/>
    <n v="180"/>
    <n v="174.5"/>
    <n v="31410"/>
    <x v="0"/>
  </r>
  <r>
    <s v="TRD01978"/>
    <s v="INE001A01033"/>
    <x v="5"/>
    <x v="3"/>
    <s v="HSBC A/C 562956"/>
    <n v="410"/>
    <n v="72.629997253417969"/>
    <n v="29778.298873901367"/>
    <x v="0"/>
  </r>
  <r>
    <s v="TRD01979"/>
    <s v="INE006A01031"/>
    <x v="42"/>
    <x v="0"/>
    <s v="HDFC A/C 638209"/>
    <n v="140"/>
    <n v="275.45999145507813"/>
    <n v="38564.398803710938"/>
    <x v="0"/>
  </r>
  <r>
    <s v="TRD01980"/>
    <s v="INE006A01018"/>
    <x v="12"/>
    <x v="4"/>
    <s v="Citi A/C 543819"/>
    <n v="240"/>
    <n v="395.52999877929688"/>
    <n v="94927.19970703125"/>
    <x v="0"/>
  </r>
  <r>
    <s v="TRD01981"/>
    <s v="INE008A01096"/>
    <x v="31"/>
    <x v="4"/>
    <s v="JPMorgan A/C 860462"/>
    <n v="320"/>
    <n v="365.70999145507813"/>
    <n v="117027.197265625"/>
    <x v="0"/>
  </r>
  <r>
    <s v="TRD01982"/>
    <s v="INE003A01046"/>
    <x v="26"/>
    <x v="0"/>
    <s v="Citi A/C 416082"/>
    <n v="460"/>
    <n v="189.16999816894531"/>
    <n v="87018.199157714844"/>
    <x v="0"/>
  </r>
  <r>
    <s v="TRD01983"/>
    <s v="INE003A01072"/>
    <x v="47"/>
    <x v="4"/>
    <s v="Standard Chartered A/C 682134"/>
    <n v="470"/>
    <n v="189.38999938964844"/>
    <n v="89013.299713134766"/>
    <x v="0"/>
  </r>
  <r>
    <s v="TRD01984"/>
    <s v="INE006A01057"/>
    <x v="12"/>
    <x v="4"/>
    <s v="Citi A/C 543819"/>
    <n v="140"/>
    <n v="260.17999267578125"/>
    <n v="36425.198974609375"/>
    <x v="0"/>
  </r>
  <r>
    <s v="TRD01985"/>
    <s v="INE002A01010"/>
    <x v="44"/>
    <x v="4"/>
    <s v="JPMorgan A/C 704166"/>
    <n v="480"/>
    <n v="115.63999938964844"/>
    <n v="55507.19970703125"/>
    <x v="0"/>
  </r>
  <r>
    <s v="TRD01986"/>
    <s v="INE004A01015"/>
    <x v="8"/>
    <x v="3"/>
    <s v="Deutsche Bank A/C 917029"/>
    <n v="470"/>
    <n v="40.200000762939453"/>
    <n v="18894.000358581543"/>
    <x v="0"/>
  </r>
  <r>
    <s v="TRD01987"/>
    <s v="INE009A01085"/>
    <x v="18"/>
    <x v="2"/>
    <s v="HSBC A/C 604357"/>
    <n v="340"/>
    <n v="138.60000610351563"/>
    <n v="47124.002075195313"/>
    <x v="0"/>
  </r>
  <r>
    <s v="TRD01988"/>
    <s v="INE006A01010"/>
    <x v="31"/>
    <x v="4"/>
    <s v="JPMorgan A/C 860462"/>
    <n v="270"/>
    <n v="85.879997253417969"/>
    <n v="23187.599258422852"/>
    <x v="0"/>
  </r>
  <r>
    <s v="TRD01989"/>
    <s v="INE001A0103"/>
    <x v="17"/>
    <x v="0"/>
    <s v="Barclays A/C 197229"/>
    <n v="180"/>
    <n v="377.41000366210938"/>
    <n v="67933.800659179688"/>
    <x v="0"/>
  </r>
  <r>
    <s v="TRD01990"/>
    <s v="INE007A01055"/>
    <x v="33"/>
    <x v="0"/>
    <s v="Citi A/C 194841"/>
    <n v="460"/>
    <n v="78.860000610351563"/>
    <n v="36275.600280761719"/>
    <x v="0"/>
  </r>
  <r>
    <s v="TRD01991"/>
    <s v="INE006A01086"/>
    <x v="14"/>
    <x v="2"/>
    <s v="HSBC A/C 172861"/>
    <n v="250"/>
    <n v="76.209999084472656"/>
    <n v="19052.499771118164"/>
    <x v="0"/>
  </r>
  <r>
    <s v="TRD01992"/>
    <s v="INE001A01091"/>
    <x v="48"/>
    <x v="5"/>
    <s v="Citi A/C 703401"/>
    <n v="130"/>
    <n v="325.76998901367188"/>
    <n v="42350.098571777344"/>
    <x v="0"/>
  </r>
  <r>
    <s v="TRD01993"/>
    <s v="INE007A01090"/>
    <x v="12"/>
    <x v="4"/>
    <s v="Citi A/C 543819"/>
    <n v="430"/>
    <n v="104.13999938964844"/>
    <n v="44780.199737548828"/>
    <x v="0"/>
  </r>
  <r>
    <s v="TRD01994"/>
    <s v="INE005A01082"/>
    <x v="25"/>
    <x v="5"/>
    <s v="HDFC A/C 897530"/>
    <n v="450"/>
    <n v="258.260009765625"/>
    <n v="116217.00439453125"/>
    <x v="0"/>
  </r>
  <r>
    <s v="TRD01995"/>
    <s v="INE007A01091"/>
    <x v="5"/>
    <x v="3"/>
    <s v="HSBC A/C 562956"/>
    <n v="220"/>
    <n v="455.35000610351563"/>
    <n v="100177.00134277344"/>
    <x v="0"/>
  </r>
  <r>
    <s v="TRD01996"/>
    <s v="INE001A01018"/>
    <x v="13"/>
    <x v="4"/>
    <s v="Deutsche Bank A/C 330518"/>
    <n v="240"/>
    <n v="432.97000122070313"/>
    <n v="103912.80029296875"/>
    <x v="0"/>
  </r>
  <r>
    <s v="TRD01997"/>
    <s v="INE004A01090"/>
    <x v="48"/>
    <x v="5"/>
    <s v="Citi A/C 703401"/>
    <n v="250"/>
    <n v="248.97000122070313"/>
    <n v="62242.500305175781"/>
    <x v="0"/>
  </r>
  <r>
    <s v="TRD01998"/>
    <s v="INE009A01013"/>
    <x v="19"/>
    <x v="2"/>
    <s v="Citi A/C 359789"/>
    <n v="440"/>
    <n v="31.530000686645508"/>
    <n v="13873.200302124023"/>
    <x v="0"/>
  </r>
  <r>
    <s v="TRD01999"/>
    <s v="INE006A01015"/>
    <x v="12"/>
    <x v="4"/>
    <s v="Citi A/C 543819"/>
    <n v="260"/>
    <n v="229.13999938964844"/>
    <n v="59576.399841308594"/>
    <x v="0"/>
  </r>
  <r>
    <s v="TRD02000"/>
    <s v="INE009A0105"/>
    <x v="10"/>
    <x v="2"/>
    <s v="Deutsche Bank A/C 917262"/>
    <n v="120"/>
    <n v="360.60000610351563"/>
    <n v="43272.000732421875"/>
    <x v="0"/>
  </r>
  <r>
    <m/>
    <m/>
    <x v="51"/>
    <x v="7"/>
    <m/>
    <m/>
    <m/>
    <m/>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FA2D415-C767-4BA3-9686-346822F459D4}" name="PivotTable1"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B7" firstHeaderRow="1" firstDataRow="1" firstDataCol="1"/>
  <pivotFields count="9">
    <pivotField dataField="1" showAll="0"/>
    <pivotField showAll="0"/>
    <pivotField showAll="0">
      <items count="53">
        <item x="35"/>
        <item x="33"/>
        <item x="15"/>
        <item x="18"/>
        <item x="3"/>
        <item x="31"/>
        <item x="50"/>
        <item x="49"/>
        <item x="6"/>
        <item x="14"/>
        <item x="19"/>
        <item x="16"/>
        <item x="46"/>
        <item x="47"/>
        <item x="28"/>
        <item x="36"/>
        <item x="30"/>
        <item x="9"/>
        <item x="32"/>
        <item x="42"/>
        <item x="10"/>
        <item x="8"/>
        <item x="39"/>
        <item x="0"/>
        <item x="17"/>
        <item x="5"/>
        <item x="29"/>
        <item x="40"/>
        <item x="48"/>
        <item x="27"/>
        <item x="13"/>
        <item x="45"/>
        <item x="22"/>
        <item x="25"/>
        <item x="24"/>
        <item x="23"/>
        <item x="44"/>
        <item x="12"/>
        <item x="34"/>
        <item x="4"/>
        <item x="20"/>
        <item x="38"/>
        <item x="26"/>
        <item x="7"/>
        <item x="41"/>
        <item x="21"/>
        <item x="43"/>
        <item x="1"/>
        <item x="2"/>
        <item x="11"/>
        <item x="37"/>
        <item x="51"/>
        <item t="default"/>
      </items>
    </pivotField>
    <pivotField showAll="0">
      <items count="9">
        <item x="1"/>
        <item x="5"/>
        <item x="4"/>
        <item x="2"/>
        <item x="3"/>
        <item x="0"/>
        <item x="6"/>
        <item x="7"/>
        <item t="default"/>
      </items>
    </pivotField>
    <pivotField showAll="0"/>
    <pivotField showAll="0"/>
    <pivotField showAll="0"/>
    <pivotField showAll="0"/>
    <pivotField axis="axisRow" showAll="0">
      <items count="6">
        <item x="2"/>
        <item x="1"/>
        <item x="3"/>
        <item x="0"/>
        <item x="4"/>
        <item t="default"/>
      </items>
    </pivotField>
  </pivotFields>
  <rowFields count="1">
    <field x="8"/>
  </rowFields>
  <rowItems count="6">
    <i>
      <x/>
    </i>
    <i>
      <x v="1"/>
    </i>
    <i>
      <x v="2"/>
    </i>
    <i>
      <x v="3"/>
    </i>
    <i>
      <x v="4"/>
    </i>
    <i t="grand">
      <x/>
    </i>
  </rowItems>
  <colItems count="1">
    <i/>
  </colItems>
  <dataFields count="1">
    <dataField name="Count of Trade ID" fld="0" subtotal="count"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4C09C63-39B2-4651-89BA-BEB812609944}" name="PivotTable2"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D1:E10" firstHeaderRow="1" firstDataRow="1" firstDataCol="1"/>
  <pivotFields count="9">
    <pivotField showAll="0"/>
    <pivotField showAll="0"/>
    <pivotField showAll="0">
      <items count="53">
        <item x="35"/>
        <item x="33"/>
        <item x="15"/>
        <item x="18"/>
        <item x="3"/>
        <item x="31"/>
        <item x="50"/>
        <item x="49"/>
        <item x="6"/>
        <item x="14"/>
        <item x="19"/>
        <item x="16"/>
        <item x="46"/>
        <item x="47"/>
        <item x="28"/>
        <item x="36"/>
        <item x="30"/>
        <item x="9"/>
        <item x="32"/>
        <item x="42"/>
        <item x="10"/>
        <item x="8"/>
        <item x="39"/>
        <item x="0"/>
        <item x="17"/>
        <item x="5"/>
        <item x="29"/>
        <item x="40"/>
        <item x="48"/>
        <item x="27"/>
        <item x="13"/>
        <item x="45"/>
        <item x="22"/>
        <item x="25"/>
        <item x="24"/>
        <item x="23"/>
        <item x="44"/>
        <item x="12"/>
        <item x="34"/>
        <item x="4"/>
        <item x="20"/>
        <item x="38"/>
        <item x="26"/>
        <item x="7"/>
        <item x="41"/>
        <item x="21"/>
        <item x="43"/>
        <item x="1"/>
        <item x="2"/>
        <item x="11"/>
        <item x="37"/>
        <item x="51"/>
        <item t="default"/>
      </items>
    </pivotField>
    <pivotField axis="axisRow" showAll="0">
      <items count="9">
        <item x="1"/>
        <item x="5"/>
        <item x="4"/>
        <item x="2"/>
        <item x="3"/>
        <item x="0"/>
        <item x="6"/>
        <item x="7"/>
        <item t="default"/>
      </items>
    </pivotField>
    <pivotField showAll="0"/>
    <pivotField showAll="0"/>
    <pivotField showAll="0"/>
    <pivotField dataField="1" showAll="0"/>
    <pivotField showAll="0">
      <items count="6">
        <item x="2"/>
        <item x="1"/>
        <item x="3"/>
        <item x="0"/>
        <item x="4"/>
        <item t="default"/>
      </items>
    </pivotField>
  </pivotFields>
  <rowFields count="1">
    <field x="3"/>
  </rowFields>
  <rowItems count="9">
    <i>
      <x/>
    </i>
    <i>
      <x v="1"/>
    </i>
    <i>
      <x v="2"/>
    </i>
    <i>
      <x v="3"/>
    </i>
    <i>
      <x v="4"/>
    </i>
    <i>
      <x v="5"/>
    </i>
    <i>
      <x v="6"/>
    </i>
    <i>
      <x v="7"/>
    </i>
    <i t="grand">
      <x/>
    </i>
  </rowItems>
  <colItems count="1">
    <i/>
  </colItems>
  <dataFields count="1">
    <dataField name="Sum of Gross Value" fld="7" baseField="3" baseItem="0" numFmtId="164"/>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lient_Name" xr10:uid="{3A27F751-9387-45D3-8E3A-F78472ED3E00}" sourceName="Client Name">
  <pivotTables>
    <pivotTable tabId="4" name="PivotTable1"/>
    <pivotTable tabId="4" name="PivotTable2"/>
  </pivotTables>
  <data>
    <tabular pivotCacheId="1373017082">
      <items count="52">
        <i x="35" s="1"/>
        <i x="33" s="1"/>
        <i x="15" s="1"/>
        <i x="18" s="1"/>
        <i x="3" s="1"/>
        <i x="31" s="1"/>
        <i x="50" s="1"/>
        <i x="49" s="1"/>
        <i x="6" s="1"/>
        <i x="14" s="1"/>
        <i x="19" s="1"/>
        <i x="16" s="1"/>
        <i x="46" s="1"/>
        <i x="47" s="1"/>
        <i x="28" s="1"/>
        <i x="36" s="1"/>
        <i x="30" s="1"/>
        <i x="9" s="1"/>
        <i x="32" s="1"/>
        <i x="42" s="1"/>
        <i x="10" s="1"/>
        <i x="8" s="1"/>
        <i x="39" s="1"/>
        <i x="0" s="1"/>
        <i x="17" s="1"/>
        <i x="5" s="1"/>
        <i x="29" s="1"/>
        <i x="40" s="1"/>
        <i x="48" s="1"/>
        <i x="27" s="1"/>
        <i x="13" s="1"/>
        <i x="45" s="1"/>
        <i x="22" s="1"/>
        <i x="25" s="1"/>
        <i x="24" s="1"/>
        <i x="23" s="1"/>
        <i x="44" s="1"/>
        <i x="12" s="1"/>
        <i x="34" s="1"/>
        <i x="4" s="1"/>
        <i x="20" s="1"/>
        <i x="38" s="1"/>
        <i x="26" s="1"/>
        <i x="7" s="1"/>
        <i x="41" s="1"/>
        <i x="21" s="1"/>
        <i x="43" s="1"/>
        <i x="1" s="1"/>
        <i x="2" s="1"/>
        <i x="11" s="1"/>
        <i x="37" s="1"/>
        <i x="51"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rrency" xr10:uid="{49A0044E-A9CF-457E-A4BD-199AE4180CCD}" sourceName="Currency">
  <pivotTables>
    <pivotTable tabId="4" name="PivotTable1"/>
    <pivotTable tabId="4" name="PivotTable2"/>
  </pivotTables>
  <data>
    <tabular pivotCacheId="1373017082">
      <items count="8">
        <i x="1" s="1"/>
        <i x="5" s="1"/>
        <i x="4" s="1"/>
        <i x="2" s="1"/>
        <i x="3" s="1"/>
        <i x="0" s="1"/>
        <i x="6" s="1"/>
        <i x="7"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alidation_Status" xr10:uid="{76DF5CEE-87B3-4722-B46F-7AE8758CD211}" sourceName="Validation Status">
  <pivotTables>
    <pivotTable tabId="4" name="PivotTable1"/>
    <pivotTable tabId="4" name="PivotTable2"/>
  </pivotTables>
  <data>
    <tabular pivotCacheId="1373017082">
      <items count="5">
        <i x="2" s="1"/>
        <i x="1" s="1"/>
        <i x="3" s="1"/>
        <i x="0" s="1"/>
        <i x="4"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lient Name" xr10:uid="{2DF69235-FE55-4AAE-92A1-2962EC088472}" cache="Slicer_Client_Name" caption="Client Name" rowHeight="247650"/>
  <slicer name="Currency" xr10:uid="{D931A948-43EE-4686-AA27-EEF2A45FF88C}" cache="Slicer_Currency" caption="Currency" rowHeight="247650"/>
  <slicer name="Validation Status" xr10:uid="{52304979-7609-48D9-90B9-08ACC6649308}" cache="Slicer_Validation_Status" caption="Validation Status"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4.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E356DD-7642-47F0-9CC4-B8CC101F234F}">
  <sheetPr codeName="Sheet1"/>
  <dimension ref="A1:E2001"/>
  <sheetViews>
    <sheetView workbookViewId="0">
      <selection activeCell="D3" sqref="D3"/>
    </sheetView>
  </sheetViews>
  <sheetFormatPr defaultRowHeight="14.4" x14ac:dyDescent="0.3"/>
  <cols>
    <col min="1" max="1" width="9.21875" bestFit="1" customWidth="1"/>
    <col min="2" max="2" width="12.88671875" bestFit="1" customWidth="1"/>
    <col min="3" max="3" width="10.6640625" bestFit="1" customWidth="1"/>
    <col min="4" max="4" width="6" bestFit="1" customWidth="1"/>
    <col min="5" max="5" width="12" bestFit="1" customWidth="1"/>
  </cols>
  <sheetData>
    <row r="1" spans="1:5" x14ac:dyDescent="0.3">
      <c r="A1" s="1" t="s">
        <v>0</v>
      </c>
      <c r="B1" s="1" t="s">
        <v>1</v>
      </c>
      <c r="C1" s="1" t="s">
        <v>9</v>
      </c>
      <c r="D1" s="1" t="s">
        <v>71</v>
      </c>
      <c r="E1" s="1" t="s">
        <v>6</v>
      </c>
    </row>
    <row r="2" spans="1:5" x14ac:dyDescent="0.3">
      <c r="A2" t="s">
        <v>72</v>
      </c>
      <c r="B2" t="s">
        <v>109</v>
      </c>
      <c r="C2" t="s">
        <v>66</v>
      </c>
      <c r="D2">
        <v>480</v>
      </c>
      <c r="E2">
        <v>314.57998657226563</v>
      </c>
    </row>
    <row r="3" spans="1:5" x14ac:dyDescent="0.3">
      <c r="A3" t="s">
        <v>74</v>
      </c>
      <c r="B3" t="s">
        <v>2032</v>
      </c>
      <c r="C3" t="s">
        <v>45</v>
      </c>
      <c r="D3">
        <v>260</v>
      </c>
      <c r="E3">
        <v>266.20999145507813</v>
      </c>
    </row>
    <row r="4" spans="1:5" x14ac:dyDescent="0.3">
      <c r="A4" t="s">
        <v>76</v>
      </c>
      <c r="B4" t="s">
        <v>189</v>
      </c>
      <c r="C4" t="s">
        <v>54</v>
      </c>
      <c r="D4">
        <v>300</v>
      </c>
      <c r="E4">
        <v>169.60000610351563</v>
      </c>
    </row>
    <row r="5" spans="1:5" x14ac:dyDescent="0.3">
      <c r="A5" t="s">
        <v>78</v>
      </c>
      <c r="B5" t="s">
        <v>2624</v>
      </c>
      <c r="C5" t="s">
        <v>15</v>
      </c>
      <c r="D5">
        <v>490</v>
      </c>
      <c r="E5">
        <v>128.5</v>
      </c>
    </row>
    <row r="6" spans="1:5" x14ac:dyDescent="0.3">
      <c r="A6" t="s">
        <v>80</v>
      </c>
      <c r="B6" t="s">
        <v>468</v>
      </c>
      <c r="C6" t="s">
        <v>44</v>
      </c>
      <c r="D6">
        <v>160</v>
      </c>
      <c r="E6">
        <v>410.75</v>
      </c>
    </row>
    <row r="7" spans="1:5" x14ac:dyDescent="0.3">
      <c r="A7" t="s">
        <v>82</v>
      </c>
      <c r="B7" t="s">
        <v>1892</v>
      </c>
      <c r="C7" t="s">
        <v>39</v>
      </c>
      <c r="D7">
        <v>340</v>
      </c>
      <c r="E7">
        <v>198.22999572753906</v>
      </c>
    </row>
    <row r="8" spans="1:5" x14ac:dyDescent="0.3">
      <c r="A8" t="s">
        <v>84</v>
      </c>
      <c r="B8" t="s">
        <v>415</v>
      </c>
      <c r="C8" t="s">
        <v>25</v>
      </c>
      <c r="D8">
        <v>480</v>
      </c>
      <c r="E8">
        <v>336.8800048828125</v>
      </c>
    </row>
    <row r="9" spans="1:5" x14ac:dyDescent="0.3">
      <c r="A9" t="s">
        <v>86</v>
      </c>
      <c r="B9" t="s">
        <v>275</v>
      </c>
      <c r="C9" t="s">
        <v>68</v>
      </c>
      <c r="D9">
        <v>250</v>
      </c>
      <c r="E9">
        <v>86.709999084472656</v>
      </c>
    </row>
    <row r="10" spans="1:5" x14ac:dyDescent="0.3">
      <c r="A10" t="s">
        <v>88</v>
      </c>
      <c r="B10" t="s">
        <v>1183</v>
      </c>
      <c r="C10" t="s">
        <v>59</v>
      </c>
      <c r="D10">
        <v>270</v>
      </c>
      <c r="E10">
        <v>371.79998779296875</v>
      </c>
    </row>
    <row r="11" spans="1:5" x14ac:dyDescent="0.3">
      <c r="A11" t="s">
        <v>90</v>
      </c>
      <c r="B11" t="s">
        <v>796</v>
      </c>
      <c r="C11" t="s">
        <v>38</v>
      </c>
      <c r="D11">
        <v>330</v>
      </c>
      <c r="E11">
        <v>30.280000686645508</v>
      </c>
    </row>
    <row r="12" spans="1:5" x14ac:dyDescent="0.3">
      <c r="A12" t="s">
        <v>92</v>
      </c>
      <c r="B12" t="s">
        <v>2349</v>
      </c>
      <c r="C12" t="s">
        <v>45</v>
      </c>
      <c r="D12">
        <v>180</v>
      </c>
      <c r="E12">
        <v>64.339996337890625</v>
      </c>
    </row>
    <row r="13" spans="1:5" x14ac:dyDescent="0.3">
      <c r="A13" t="s">
        <v>94</v>
      </c>
      <c r="B13" t="s">
        <v>198</v>
      </c>
      <c r="C13" t="s">
        <v>49</v>
      </c>
      <c r="D13">
        <v>270</v>
      </c>
      <c r="E13">
        <v>390.260009765625</v>
      </c>
    </row>
    <row r="14" spans="1:5" x14ac:dyDescent="0.3">
      <c r="A14" t="s">
        <v>96</v>
      </c>
      <c r="B14" t="s">
        <v>1551</v>
      </c>
      <c r="C14" t="s">
        <v>70</v>
      </c>
      <c r="D14">
        <v>-50</v>
      </c>
      <c r="E14">
        <v>477.41000366210938</v>
      </c>
    </row>
    <row r="15" spans="1:5" x14ac:dyDescent="0.3">
      <c r="A15" t="s">
        <v>98</v>
      </c>
      <c r="B15" t="s">
        <v>2596</v>
      </c>
      <c r="C15" t="s">
        <v>37</v>
      </c>
      <c r="D15">
        <v>490</v>
      </c>
      <c r="E15">
        <v>374.94000244140625</v>
      </c>
    </row>
    <row r="16" spans="1:5" x14ac:dyDescent="0.3">
      <c r="A16" t="s">
        <v>100</v>
      </c>
      <c r="B16" t="s">
        <v>577</v>
      </c>
      <c r="C16" t="s">
        <v>32</v>
      </c>
      <c r="D16">
        <v>420</v>
      </c>
      <c r="E16">
        <v>162.41000366210938</v>
      </c>
    </row>
    <row r="17" spans="1:5" x14ac:dyDescent="0.3">
      <c r="A17" t="s">
        <v>102</v>
      </c>
      <c r="B17" t="s">
        <v>1390</v>
      </c>
      <c r="C17" t="s">
        <v>68</v>
      </c>
      <c r="D17">
        <v>30</v>
      </c>
      <c r="E17">
        <v>347.8599853515625</v>
      </c>
    </row>
    <row r="18" spans="1:5" x14ac:dyDescent="0.3">
      <c r="A18" t="s">
        <v>104</v>
      </c>
      <c r="B18" t="s">
        <v>1408</v>
      </c>
      <c r="C18" t="s">
        <v>53</v>
      </c>
      <c r="D18">
        <v>450</v>
      </c>
      <c r="E18">
        <v>290.92001342773438</v>
      </c>
    </row>
    <row r="19" spans="1:5" x14ac:dyDescent="0.3">
      <c r="A19" t="s">
        <v>106</v>
      </c>
      <c r="B19" t="s">
        <v>1028</v>
      </c>
      <c r="C19" t="s">
        <v>52</v>
      </c>
      <c r="D19">
        <v>450</v>
      </c>
      <c r="E19">
        <v>452.76998901367188</v>
      </c>
    </row>
    <row r="20" spans="1:5" x14ac:dyDescent="0.3">
      <c r="A20" t="s">
        <v>108</v>
      </c>
      <c r="B20" t="s">
        <v>1047</v>
      </c>
      <c r="C20" t="s">
        <v>52</v>
      </c>
      <c r="D20">
        <v>170</v>
      </c>
      <c r="E20">
        <v>146.14999389648438</v>
      </c>
    </row>
    <row r="21" spans="1:5" x14ac:dyDescent="0.3">
      <c r="A21" t="s">
        <v>110</v>
      </c>
      <c r="B21" t="s">
        <v>2867</v>
      </c>
      <c r="C21" t="s">
        <v>32</v>
      </c>
      <c r="D21">
        <v>390</v>
      </c>
      <c r="E21">
        <v>285.3699951171875</v>
      </c>
    </row>
    <row r="22" spans="1:5" x14ac:dyDescent="0.3">
      <c r="A22" t="s">
        <v>112</v>
      </c>
      <c r="B22" t="s">
        <v>1415</v>
      </c>
      <c r="C22" t="s">
        <v>58</v>
      </c>
      <c r="D22">
        <v>270</v>
      </c>
      <c r="E22">
        <v>136.30000305175781</v>
      </c>
    </row>
    <row r="23" spans="1:5" x14ac:dyDescent="0.3">
      <c r="A23" t="s">
        <v>114</v>
      </c>
      <c r="B23" t="s">
        <v>1379</v>
      </c>
      <c r="C23" t="s">
        <v>15</v>
      </c>
      <c r="D23">
        <v>100</v>
      </c>
      <c r="E23">
        <v>66.360000610351563</v>
      </c>
    </row>
    <row r="24" spans="1:5" x14ac:dyDescent="0.3">
      <c r="A24" t="s">
        <v>116</v>
      </c>
      <c r="B24" t="s">
        <v>293</v>
      </c>
      <c r="C24" t="s">
        <v>59</v>
      </c>
      <c r="D24">
        <v>70</v>
      </c>
      <c r="E24">
        <v>294.57000732421875</v>
      </c>
    </row>
    <row r="25" spans="1:5" x14ac:dyDescent="0.3">
      <c r="A25" t="s">
        <v>117</v>
      </c>
      <c r="B25" t="s">
        <v>2868</v>
      </c>
      <c r="C25" t="s">
        <v>33</v>
      </c>
      <c r="D25">
        <v>480</v>
      </c>
      <c r="E25">
        <v>141.46000671386719</v>
      </c>
    </row>
    <row r="26" spans="1:5" x14ac:dyDescent="0.3">
      <c r="A26" t="s">
        <v>118</v>
      </c>
      <c r="B26" t="s">
        <v>1691</v>
      </c>
      <c r="C26" t="s">
        <v>54</v>
      </c>
      <c r="D26">
        <v>30</v>
      </c>
      <c r="E26">
        <v>279.16000366210938</v>
      </c>
    </row>
    <row r="27" spans="1:5" x14ac:dyDescent="0.3">
      <c r="A27" t="s">
        <v>120</v>
      </c>
      <c r="B27" t="s">
        <v>767</v>
      </c>
      <c r="C27" t="s">
        <v>55</v>
      </c>
      <c r="D27">
        <v>30</v>
      </c>
      <c r="E27">
        <v>481.35000610351563</v>
      </c>
    </row>
    <row r="28" spans="1:5" x14ac:dyDescent="0.3">
      <c r="A28" t="s">
        <v>122</v>
      </c>
      <c r="B28" t="s">
        <v>2105</v>
      </c>
      <c r="C28" t="s">
        <v>56</v>
      </c>
      <c r="D28">
        <v>210</v>
      </c>
      <c r="E28">
        <v>373.27999877929688</v>
      </c>
    </row>
    <row r="29" spans="1:5" x14ac:dyDescent="0.3">
      <c r="A29" t="s">
        <v>125</v>
      </c>
      <c r="B29" t="s">
        <v>1212</v>
      </c>
      <c r="C29" t="s">
        <v>13</v>
      </c>
      <c r="D29">
        <v>390</v>
      </c>
      <c r="E29">
        <v>181.75</v>
      </c>
    </row>
    <row r="30" spans="1:5" x14ac:dyDescent="0.3">
      <c r="A30" t="s">
        <v>127</v>
      </c>
      <c r="B30" t="s">
        <v>2349</v>
      </c>
      <c r="C30" t="s">
        <v>39</v>
      </c>
      <c r="D30">
        <v>310</v>
      </c>
      <c r="E30">
        <v>485.1300048828125</v>
      </c>
    </row>
    <row r="31" spans="1:5" x14ac:dyDescent="0.3">
      <c r="A31" t="s">
        <v>129</v>
      </c>
      <c r="B31" t="s">
        <v>2869</v>
      </c>
      <c r="C31" t="s">
        <v>45</v>
      </c>
      <c r="D31">
        <v>310</v>
      </c>
      <c r="E31">
        <v>463.35000610351563</v>
      </c>
    </row>
    <row r="32" spans="1:5" x14ac:dyDescent="0.3">
      <c r="A32" t="s">
        <v>131</v>
      </c>
      <c r="B32" t="s">
        <v>1153</v>
      </c>
      <c r="C32" t="s">
        <v>45</v>
      </c>
      <c r="D32">
        <v>150</v>
      </c>
      <c r="E32">
        <v>147.91000366210938</v>
      </c>
    </row>
    <row r="33" spans="1:5" x14ac:dyDescent="0.3">
      <c r="A33" t="s">
        <v>132</v>
      </c>
      <c r="B33" t="s">
        <v>143</v>
      </c>
      <c r="C33" t="s">
        <v>44</v>
      </c>
      <c r="D33">
        <v>190</v>
      </c>
      <c r="E33">
        <v>171.8699951171875</v>
      </c>
    </row>
    <row r="34" spans="1:5" x14ac:dyDescent="0.3">
      <c r="A34" t="s">
        <v>134</v>
      </c>
      <c r="B34" t="s">
        <v>1157</v>
      </c>
      <c r="C34" t="s">
        <v>13</v>
      </c>
      <c r="D34">
        <v>180</v>
      </c>
      <c r="E34">
        <v>19.840000152587891</v>
      </c>
    </row>
    <row r="35" spans="1:5" x14ac:dyDescent="0.3">
      <c r="A35" t="s">
        <v>136</v>
      </c>
      <c r="B35" t="s">
        <v>1225</v>
      </c>
      <c r="C35" t="s">
        <v>52</v>
      </c>
      <c r="D35">
        <v>30</v>
      </c>
      <c r="E35">
        <v>278</v>
      </c>
    </row>
    <row r="36" spans="1:5" x14ac:dyDescent="0.3">
      <c r="A36" t="s">
        <v>138</v>
      </c>
      <c r="B36" t="s">
        <v>665</v>
      </c>
      <c r="C36" t="s">
        <v>28</v>
      </c>
      <c r="D36">
        <v>480</v>
      </c>
      <c r="E36">
        <v>384.10000610351563</v>
      </c>
    </row>
    <row r="37" spans="1:5" x14ac:dyDescent="0.3">
      <c r="A37" t="s">
        <v>140</v>
      </c>
      <c r="B37" t="s">
        <v>701</v>
      </c>
      <c r="C37" t="s">
        <v>58</v>
      </c>
      <c r="D37">
        <v>460</v>
      </c>
      <c r="E37">
        <v>377.44000244140625</v>
      </c>
    </row>
    <row r="38" spans="1:5" x14ac:dyDescent="0.3">
      <c r="A38" t="s">
        <v>142</v>
      </c>
      <c r="B38" t="s">
        <v>824</v>
      </c>
      <c r="C38" t="s">
        <v>47</v>
      </c>
      <c r="D38">
        <v>240</v>
      </c>
      <c r="E38">
        <v>148.89999389648438</v>
      </c>
    </row>
    <row r="39" spans="1:5" x14ac:dyDescent="0.3">
      <c r="A39" t="s">
        <v>144</v>
      </c>
      <c r="B39" t="s">
        <v>2870</v>
      </c>
      <c r="C39" t="s">
        <v>10</v>
      </c>
      <c r="D39">
        <v>250</v>
      </c>
      <c r="E39">
        <v>190.91000366210938</v>
      </c>
    </row>
    <row r="40" spans="1:5" x14ac:dyDescent="0.3">
      <c r="A40" t="s">
        <v>146</v>
      </c>
      <c r="B40" t="s">
        <v>496</v>
      </c>
      <c r="C40" t="s">
        <v>63</v>
      </c>
      <c r="D40">
        <v>25000</v>
      </c>
      <c r="E40">
        <v>284.57000732421875</v>
      </c>
    </row>
    <row r="41" spans="1:5" x14ac:dyDescent="0.3">
      <c r="A41" t="s">
        <v>148</v>
      </c>
      <c r="B41" t="s">
        <v>93</v>
      </c>
      <c r="C41" t="s">
        <v>32</v>
      </c>
      <c r="D41">
        <v>340</v>
      </c>
      <c r="E41">
        <v>279.82000732421875</v>
      </c>
    </row>
    <row r="42" spans="1:5" x14ac:dyDescent="0.3">
      <c r="A42" t="s">
        <v>150</v>
      </c>
      <c r="B42" t="s">
        <v>1561</v>
      </c>
      <c r="C42" t="s">
        <v>60</v>
      </c>
      <c r="D42">
        <v>280</v>
      </c>
      <c r="E42">
        <v>54.430000305175781</v>
      </c>
    </row>
    <row r="43" spans="1:5" x14ac:dyDescent="0.3">
      <c r="A43" t="s">
        <v>152</v>
      </c>
      <c r="B43" t="s">
        <v>861</v>
      </c>
      <c r="C43" t="s">
        <v>37</v>
      </c>
      <c r="D43">
        <v>440</v>
      </c>
      <c r="E43">
        <v>58.849998474121094</v>
      </c>
    </row>
    <row r="44" spans="1:5" x14ac:dyDescent="0.3">
      <c r="A44" t="s">
        <v>154</v>
      </c>
      <c r="B44" t="s">
        <v>2871</v>
      </c>
      <c r="C44" t="s">
        <v>10</v>
      </c>
      <c r="D44">
        <v>440</v>
      </c>
      <c r="E44">
        <v>126.33000183105469</v>
      </c>
    </row>
    <row r="45" spans="1:5" x14ac:dyDescent="0.3">
      <c r="A45" t="s">
        <v>156</v>
      </c>
      <c r="B45" t="s">
        <v>1443</v>
      </c>
      <c r="C45" t="s">
        <v>53</v>
      </c>
      <c r="D45">
        <v>220</v>
      </c>
      <c r="E45">
        <v>222.92999267578125</v>
      </c>
    </row>
    <row r="46" spans="1:5" x14ac:dyDescent="0.3">
      <c r="A46" t="s">
        <v>157</v>
      </c>
      <c r="B46" t="s">
        <v>1995</v>
      </c>
      <c r="C46" t="s">
        <v>62</v>
      </c>
      <c r="D46">
        <v>230</v>
      </c>
      <c r="E46">
        <v>197.52999877929688</v>
      </c>
    </row>
    <row r="47" spans="1:5" x14ac:dyDescent="0.3">
      <c r="A47" t="s">
        <v>159</v>
      </c>
      <c r="B47" t="s">
        <v>174</v>
      </c>
      <c r="C47" t="s">
        <v>15</v>
      </c>
      <c r="D47">
        <v>250</v>
      </c>
      <c r="E47">
        <v>31.809999465942383</v>
      </c>
    </row>
    <row r="48" spans="1:5" x14ac:dyDescent="0.3">
      <c r="A48" t="s">
        <v>161</v>
      </c>
      <c r="B48" t="s">
        <v>1970</v>
      </c>
      <c r="C48" t="s">
        <v>37</v>
      </c>
      <c r="D48">
        <v>50</v>
      </c>
      <c r="E48">
        <v>90.290000915527344</v>
      </c>
    </row>
    <row r="49" spans="1:5" x14ac:dyDescent="0.3">
      <c r="A49" t="s">
        <v>163</v>
      </c>
      <c r="B49" t="s">
        <v>2872</v>
      </c>
      <c r="C49" t="s">
        <v>62</v>
      </c>
      <c r="D49">
        <v>230</v>
      </c>
      <c r="E49">
        <v>370.260009765625</v>
      </c>
    </row>
    <row r="50" spans="1:5" x14ac:dyDescent="0.3">
      <c r="A50" t="s">
        <v>164</v>
      </c>
      <c r="B50" t="s">
        <v>2105</v>
      </c>
      <c r="C50" t="s">
        <v>69</v>
      </c>
      <c r="D50">
        <v>420</v>
      </c>
      <c r="E50">
        <v>251.8699951171875</v>
      </c>
    </row>
    <row r="51" spans="1:5" x14ac:dyDescent="0.3">
      <c r="A51" t="s">
        <v>166</v>
      </c>
      <c r="B51" t="s">
        <v>155</v>
      </c>
      <c r="C51" t="s">
        <v>37</v>
      </c>
      <c r="D51">
        <v>10</v>
      </c>
      <c r="E51">
        <v>248.05999755859375</v>
      </c>
    </row>
    <row r="52" spans="1:5" x14ac:dyDescent="0.3">
      <c r="A52" t="s">
        <v>167</v>
      </c>
      <c r="B52" t="s">
        <v>242</v>
      </c>
      <c r="C52" t="s">
        <v>21</v>
      </c>
      <c r="D52">
        <v>470</v>
      </c>
      <c r="E52">
        <v>254.55999755859375</v>
      </c>
    </row>
    <row r="53" spans="1:5" x14ac:dyDescent="0.3">
      <c r="A53" t="s">
        <v>169</v>
      </c>
      <c r="B53" t="s">
        <v>170</v>
      </c>
      <c r="C53" t="s">
        <v>41</v>
      </c>
      <c r="D53">
        <v>30</v>
      </c>
      <c r="E53">
        <v>299.95001220703125</v>
      </c>
    </row>
    <row r="54" spans="1:5" x14ac:dyDescent="0.3">
      <c r="A54" t="s">
        <v>171</v>
      </c>
      <c r="B54" t="s">
        <v>2421</v>
      </c>
      <c r="C54" t="s">
        <v>62</v>
      </c>
      <c r="D54">
        <v>480</v>
      </c>
      <c r="E54">
        <v>295.60000610351563</v>
      </c>
    </row>
    <row r="55" spans="1:5" x14ac:dyDescent="0.3">
      <c r="A55" t="s">
        <v>173</v>
      </c>
      <c r="B55" t="s">
        <v>559</v>
      </c>
      <c r="C55" t="s">
        <v>69</v>
      </c>
      <c r="D55">
        <v>380</v>
      </c>
      <c r="E55">
        <v>285.70999145507813</v>
      </c>
    </row>
    <row r="56" spans="1:5" x14ac:dyDescent="0.3">
      <c r="A56" t="s">
        <v>175</v>
      </c>
      <c r="B56" t="s">
        <v>2873</v>
      </c>
      <c r="C56" t="s">
        <v>12</v>
      </c>
      <c r="D56">
        <v>340</v>
      </c>
      <c r="E56">
        <v>197.27000427246094</v>
      </c>
    </row>
    <row r="57" spans="1:5" x14ac:dyDescent="0.3">
      <c r="A57" t="s">
        <v>177</v>
      </c>
      <c r="B57" t="s">
        <v>2150</v>
      </c>
      <c r="C57" t="s">
        <v>21</v>
      </c>
      <c r="D57">
        <v>260</v>
      </c>
      <c r="E57">
        <v>90.110000610351563</v>
      </c>
    </row>
    <row r="58" spans="1:5" x14ac:dyDescent="0.3">
      <c r="A58" t="s">
        <v>179</v>
      </c>
      <c r="B58" t="s">
        <v>959</v>
      </c>
      <c r="C58" t="s">
        <v>16</v>
      </c>
      <c r="D58">
        <v>60</v>
      </c>
      <c r="E58">
        <v>406.83999633789063</v>
      </c>
    </row>
    <row r="59" spans="1:5" x14ac:dyDescent="0.3">
      <c r="A59" t="s">
        <v>181</v>
      </c>
      <c r="B59" t="s">
        <v>2874</v>
      </c>
      <c r="C59" t="s">
        <v>43</v>
      </c>
      <c r="D59">
        <v>490</v>
      </c>
      <c r="E59">
        <v>222.89999389648438</v>
      </c>
    </row>
    <row r="60" spans="1:5" x14ac:dyDescent="0.3">
      <c r="A60" t="s">
        <v>183</v>
      </c>
      <c r="B60" t="s">
        <v>203</v>
      </c>
      <c r="C60" t="s">
        <v>51</v>
      </c>
      <c r="D60">
        <v>300</v>
      </c>
      <c r="E60">
        <v>496.55999755859375</v>
      </c>
    </row>
    <row r="61" spans="1:5" x14ac:dyDescent="0.3">
      <c r="A61" t="s">
        <v>184</v>
      </c>
      <c r="B61" t="s">
        <v>2001</v>
      </c>
      <c r="C61" t="s">
        <v>54</v>
      </c>
      <c r="D61">
        <v>40</v>
      </c>
      <c r="E61">
        <v>318.8599853515625</v>
      </c>
    </row>
    <row r="62" spans="1:5" x14ac:dyDescent="0.3">
      <c r="A62" t="s">
        <v>186</v>
      </c>
      <c r="B62" t="s">
        <v>256</v>
      </c>
      <c r="C62" t="s">
        <v>39</v>
      </c>
      <c r="D62">
        <v>310</v>
      </c>
      <c r="E62">
        <v>163.69999694824219</v>
      </c>
    </row>
    <row r="63" spans="1:5" x14ac:dyDescent="0.3">
      <c r="A63" t="s">
        <v>188</v>
      </c>
      <c r="B63" t="s">
        <v>676</v>
      </c>
      <c r="C63" t="s">
        <v>51</v>
      </c>
      <c r="D63">
        <v>480</v>
      </c>
      <c r="E63">
        <v>137.75999450683594</v>
      </c>
    </row>
    <row r="64" spans="1:5" x14ac:dyDescent="0.3">
      <c r="A64" t="s">
        <v>190</v>
      </c>
      <c r="B64" t="s">
        <v>2875</v>
      </c>
      <c r="C64" t="s">
        <v>47</v>
      </c>
      <c r="D64">
        <v>490</v>
      </c>
      <c r="E64">
        <v>230.52999877929688</v>
      </c>
    </row>
    <row r="65" spans="1:5" x14ac:dyDescent="0.3">
      <c r="A65" t="s">
        <v>192</v>
      </c>
      <c r="B65" t="s">
        <v>741</v>
      </c>
      <c r="C65" t="s">
        <v>47</v>
      </c>
      <c r="D65">
        <v>30</v>
      </c>
      <c r="E65">
        <v>64.339996337890625</v>
      </c>
    </row>
    <row r="66" spans="1:5" x14ac:dyDescent="0.3">
      <c r="A66" t="s">
        <v>194</v>
      </c>
      <c r="B66" t="s">
        <v>1270</v>
      </c>
      <c r="C66" t="s">
        <v>40</v>
      </c>
      <c r="D66">
        <v>350</v>
      </c>
      <c r="E66">
        <v>144.32000732421875</v>
      </c>
    </row>
    <row r="67" spans="1:5" x14ac:dyDescent="0.3">
      <c r="A67" t="s">
        <v>196</v>
      </c>
      <c r="B67" t="s">
        <v>872</v>
      </c>
      <c r="C67" t="s">
        <v>70</v>
      </c>
      <c r="D67">
        <v>500</v>
      </c>
      <c r="E67">
        <v>108.40000152587891</v>
      </c>
    </row>
    <row r="68" spans="1:5" x14ac:dyDescent="0.3">
      <c r="A68" t="s">
        <v>197</v>
      </c>
      <c r="B68" t="s">
        <v>2876</v>
      </c>
      <c r="C68" t="s">
        <v>47</v>
      </c>
      <c r="D68">
        <v>40</v>
      </c>
      <c r="E68">
        <v>477.32998657226563</v>
      </c>
    </row>
    <row r="69" spans="1:5" x14ac:dyDescent="0.3">
      <c r="A69" t="s">
        <v>199</v>
      </c>
      <c r="B69" t="s">
        <v>2707</v>
      </c>
      <c r="C69" t="s">
        <v>47</v>
      </c>
      <c r="D69">
        <v>350</v>
      </c>
      <c r="E69">
        <v>404.67001342773438</v>
      </c>
    </row>
    <row r="70" spans="1:5" x14ac:dyDescent="0.3">
      <c r="A70" t="s">
        <v>200</v>
      </c>
      <c r="B70" t="s">
        <v>579</v>
      </c>
      <c r="C70" t="s">
        <v>62</v>
      </c>
      <c r="D70">
        <v>330</v>
      </c>
      <c r="E70">
        <v>426.82000732421875</v>
      </c>
    </row>
    <row r="71" spans="1:5" x14ac:dyDescent="0.3">
      <c r="A71" t="s">
        <v>202</v>
      </c>
      <c r="B71" t="s">
        <v>587</v>
      </c>
      <c r="C71" t="s">
        <v>29</v>
      </c>
      <c r="D71">
        <v>180</v>
      </c>
      <c r="E71">
        <v>212.94999694824219</v>
      </c>
    </row>
    <row r="72" spans="1:5" x14ac:dyDescent="0.3">
      <c r="A72" t="s">
        <v>204</v>
      </c>
      <c r="B72" t="s">
        <v>1521</v>
      </c>
      <c r="C72" t="s">
        <v>31</v>
      </c>
      <c r="D72">
        <v>110</v>
      </c>
      <c r="E72">
        <v>315.05999755859375</v>
      </c>
    </row>
    <row r="73" spans="1:5" x14ac:dyDescent="0.3">
      <c r="A73" t="s">
        <v>205</v>
      </c>
      <c r="B73" t="s">
        <v>1246</v>
      </c>
      <c r="C73" t="s">
        <v>32</v>
      </c>
      <c r="D73">
        <v>170</v>
      </c>
      <c r="E73">
        <v>417.98001098632813</v>
      </c>
    </row>
    <row r="74" spans="1:5" x14ac:dyDescent="0.3">
      <c r="A74" t="s">
        <v>207</v>
      </c>
      <c r="B74" t="s">
        <v>396</v>
      </c>
      <c r="C74" t="s">
        <v>124</v>
      </c>
      <c r="D74">
        <v>90</v>
      </c>
      <c r="E74">
        <v>405.32998657226563</v>
      </c>
    </row>
    <row r="75" spans="1:5" x14ac:dyDescent="0.3">
      <c r="A75" t="s">
        <v>209</v>
      </c>
      <c r="B75" t="s">
        <v>1372</v>
      </c>
      <c r="C75" t="s">
        <v>28</v>
      </c>
      <c r="D75">
        <v>390</v>
      </c>
      <c r="E75">
        <v>164.91999816894531</v>
      </c>
    </row>
    <row r="76" spans="1:5" x14ac:dyDescent="0.3">
      <c r="A76" t="s">
        <v>210</v>
      </c>
      <c r="B76" t="s">
        <v>2491</v>
      </c>
      <c r="C76" t="s">
        <v>69</v>
      </c>
      <c r="D76">
        <v>440</v>
      </c>
      <c r="E76">
        <v>341</v>
      </c>
    </row>
    <row r="77" spans="1:5" x14ac:dyDescent="0.3">
      <c r="A77" t="s">
        <v>212</v>
      </c>
      <c r="B77" t="s">
        <v>1030</v>
      </c>
      <c r="C77" t="s">
        <v>29</v>
      </c>
      <c r="D77">
        <v>410</v>
      </c>
      <c r="E77">
        <v>111.52999877929688</v>
      </c>
    </row>
    <row r="78" spans="1:5" x14ac:dyDescent="0.3">
      <c r="A78" t="s">
        <v>214</v>
      </c>
      <c r="B78" t="s">
        <v>2328</v>
      </c>
      <c r="C78" t="s">
        <v>66</v>
      </c>
      <c r="D78">
        <v>330</v>
      </c>
      <c r="E78">
        <v>193.57000732421875</v>
      </c>
    </row>
    <row r="79" spans="1:5" x14ac:dyDescent="0.3">
      <c r="A79" t="s">
        <v>215</v>
      </c>
      <c r="B79" t="s">
        <v>701</v>
      </c>
      <c r="C79" t="s">
        <v>16</v>
      </c>
      <c r="D79">
        <v>260</v>
      </c>
      <c r="E79">
        <v>93.209999084472656</v>
      </c>
    </row>
    <row r="80" spans="1:5" x14ac:dyDescent="0.3">
      <c r="A80" t="s">
        <v>217</v>
      </c>
      <c r="B80" t="s">
        <v>211</v>
      </c>
      <c r="C80" t="s">
        <v>59</v>
      </c>
      <c r="D80">
        <v>120</v>
      </c>
      <c r="E80">
        <v>355.6199951171875</v>
      </c>
    </row>
    <row r="81" spans="1:5" x14ac:dyDescent="0.3">
      <c r="A81" t="s">
        <v>219</v>
      </c>
      <c r="B81" t="s">
        <v>429</v>
      </c>
      <c r="C81" t="s">
        <v>32</v>
      </c>
      <c r="D81">
        <v>380</v>
      </c>
      <c r="E81">
        <v>315.02999877929688</v>
      </c>
    </row>
    <row r="82" spans="1:5" x14ac:dyDescent="0.3">
      <c r="A82" t="s">
        <v>221</v>
      </c>
      <c r="B82" t="s">
        <v>2877</v>
      </c>
      <c r="C82" t="s">
        <v>60</v>
      </c>
      <c r="D82">
        <v>320</v>
      </c>
      <c r="E82">
        <v>344.72000122070313</v>
      </c>
    </row>
    <row r="83" spans="1:5" x14ac:dyDescent="0.3">
      <c r="A83" t="s">
        <v>223</v>
      </c>
      <c r="B83" t="s">
        <v>93</v>
      </c>
      <c r="C83" t="s">
        <v>57</v>
      </c>
      <c r="D83">
        <v>310</v>
      </c>
      <c r="E83">
        <v>107.05999755859375</v>
      </c>
    </row>
    <row r="84" spans="1:5" x14ac:dyDescent="0.3">
      <c r="A84" t="s">
        <v>225</v>
      </c>
      <c r="B84" t="s">
        <v>1484</v>
      </c>
      <c r="C84" t="s">
        <v>40</v>
      </c>
      <c r="D84">
        <v>40</v>
      </c>
      <c r="E84">
        <v>303.45999145507813</v>
      </c>
    </row>
    <row r="85" spans="1:5" x14ac:dyDescent="0.3">
      <c r="A85" t="s">
        <v>226</v>
      </c>
      <c r="B85" t="s">
        <v>584</v>
      </c>
      <c r="C85" t="s">
        <v>44</v>
      </c>
      <c r="D85">
        <v>250</v>
      </c>
      <c r="E85">
        <v>424.39999389648438</v>
      </c>
    </row>
    <row r="86" spans="1:5" x14ac:dyDescent="0.3">
      <c r="A86" t="s">
        <v>227</v>
      </c>
      <c r="B86" t="s">
        <v>526</v>
      </c>
      <c r="C86" t="s">
        <v>39</v>
      </c>
      <c r="D86">
        <v>20</v>
      </c>
      <c r="E86">
        <v>499.42001342773438</v>
      </c>
    </row>
    <row r="87" spans="1:5" x14ac:dyDescent="0.3">
      <c r="A87" t="s">
        <v>229</v>
      </c>
      <c r="B87" t="s">
        <v>1448</v>
      </c>
      <c r="C87" t="s">
        <v>68</v>
      </c>
      <c r="D87">
        <v>490</v>
      </c>
      <c r="E87">
        <v>347.1199951171875</v>
      </c>
    </row>
    <row r="88" spans="1:5" x14ac:dyDescent="0.3">
      <c r="A88" t="s">
        <v>231</v>
      </c>
      <c r="B88" t="s">
        <v>203</v>
      </c>
      <c r="C88" t="s">
        <v>57</v>
      </c>
      <c r="D88">
        <v>140</v>
      </c>
      <c r="E88">
        <v>325.16000366210938</v>
      </c>
    </row>
    <row r="89" spans="1:5" x14ac:dyDescent="0.3">
      <c r="A89" t="s">
        <v>233</v>
      </c>
      <c r="B89" t="s">
        <v>2876</v>
      </c>
      <c r="C89" t="s">
        <v>55</v>
      </c>
      <c r="D89">
        <v>480</v>
      </c>
      <c r="E89">
        <v>80.290000915527344</v>
      </c>
    </row>
    <row r="90" spans="1:5" x14ac:dyDescent="0.3">
      <c r="A90" t="s">
        <v>235</v>
      </c>
      <c r="B90" t="s">
        <v>427</v>
      </c>
      <c r="C90" t="s">
        <v>49</v>
      </c>
      <c r="D90">
        <v>380</v>
      </c>
      <c r="E90">
        <v>298.27999877929688</v>
      </c>
    </row>
    <row r="91" spans="1:5" x14ac:dyDescent="0.3">
      <c r="A91" t="s">
        <v>237</v>
      </c>
      <c r="B91" t="s">
        <v>332</v>
      </c>
      <c r="C91" t="s">
        <v>45</v>
      </c>
      <c r="D91">
        <v>260</v>
      </c>
      <c r="E91">
        <v>453.989990234375</v>
      </c>
    </row>
    <row r="92" spans="1:5" x14ac:dyDescent="0.3">
      <c r="A92" t="s">
        <v>239</v>
      </c>
      <c r="B92" t="s">
        <v>1534</v>
      </c>
      <c r="C92" t="s">
        <v>41</v>
      </c>
      <c r="D92">
        <v>370</v>
      </c>
      <c r="E92">
        <v>61.340000152587891</v>
      </c>
    </row>
    <row r="93" spans="1:5" x14ac:dyDescent="0.3">
      <c r="A93" t="s">
        <v>241</v>
      </c>
      <c r="B93" t="s">
        <v>315</v>
      </c>
      <c r="C93" t="s">
        <v>51</v>
      </c>
      <c r="D93">
        <v>20</v>
      </c>
      <c r="E93">
        <v>423.30999755859375</v>
      </c>
    </row>
    <row r="94" spans="1:5" x14ac:dyDescent="0.3">
      <c r="A94" t="s">
        <v>243</v>
      </c>
      <c r="B94" t="s">
        <v>2870</v>
      </c>
      <c r="C94" t="s">
        <v>15</v>
      </c>
      <c r="D94">
        <v>350</v>
      </c>
      <c r="E94">
        <v>381.92999267578125</v>
      </c>
    </row>
    <row r="95" spans="1:5" x14ac:dyDescent="0.3">
      <c r="A95" t="s">
        <v>245</v>
      </c>
      <c r="B95" t="s">
        <v>338</v>
      </c>
      <c r="C95" t="s">
        <v>29</v>
      </c>
      <c r="D95">
        <v>70</v>
      </c>
      <c r="E95">
        <v>68.30999755859375</v>
      </c>
    </row>
    <row r="96" spans="1:5" x14ac:dyDescent="0.3">
      <c r="A96" t="s">
        <v>246</v>
      </c>
      <c r="B96" t="s">
        <v>1545</v>
      </c>
      <c r="C96" t="s">
        <v>38</v>
      </c>
      <c r="D96">
        <v>200</v>
      </c>
      <c r="E96">
        <v>152.6199951171875</v>
      </c>
    </row>
    <row r="97" spans="1:5" x14ac:dyDescent="0.3">
      <c r="A97" t="s">
        <v>248</v>
      </c>
      <c r="B97" t="s">
        <v>2753</v>
      </c>
      <c r="C97" t="s">
        <v>13</v>
      </c>
      <c r="D97">
        <v>330</v>
      </c>
      <c r="E97">
        <v>94.080001831054688</v>
      </c>
    </row>
    <row r="98" spans="1:5" x14ac:dyDescent="0.3">
      <c r="A98" t="s">
        <v>250</v>
      </c>
      <c r="B98" t="s">
        <v>408</v>
      </c>
      <c r="C98" t="s">
        <v>53</v>
      </c>
      <c r="D98">
        <v>390</v>
      </c>
      <c r="E98">
        <v>390.989990234375</v>
      </c>
    </row>
    <row r="99" spans="1:5" x14ac:dyDescent="0.3">
      <c r="A99" t="s">
        <v>251</v>
      </c>
      <c r="B99" t="s">
        <v>1010</v>
      </c>
      <c r="C99" t="s">
        <v>65</v>
      </c>
      <c r="D99">
        <v>370</v>
      </c>
      <c r="E99">
        <v>330.70001220703125</v>
      </c>
    </row>
    <row r="100" spans="1:5" x14ac:dyDescent="0.3">
      <c r="A100" t="s">
        <v>253</v>
      </c>
      <c r="B100" t="s">
        <v>829</v>
      </c>
      <c r="C100" t="s">
        <v>33</v>
      </c>
      <c r="D100">
        <v>60</v>
      </c>
      <c r="E100">
        <v>239.6300048828125</v>
      </c>
    </row>
    <row r="101" spans="1:5" x14ac:dyDescent="0.3">
      <c r="A101" t="s">
        <v>255</v>
      </c>
      <c r="B101" t="s">
        <v>220</v>
      </c>
      <c r="C101" t="s">
        <v>61</v>
      </c>
      <c r="D101">
        <v>360</v>
      </c>
      <c r="E101">
        <v>233.24000549316406</v>
      </c>
    </row>
    <row r="102" spans="1:5" x14ac:dyDescent="0.3">
      <c r="A102" t="s">
        <v>257</v>
      </c>
      <c r="B102" t="s">
        <v>771</v>
      </c>
      <c r="C102" t="s">
        <v>17</v>
      </c>
      <c r="D102">
        <v>450</v>
      </c>
      <c r="E102">
        <v>466.10000610351563</v>
      </c>
    </row>
    <row r="103" spans="1:5" x14ac:dyDescent="0.3">
      <c r="A103" t="s">
        <v>259</v>
      </c>
      <c r="B103" t="s">
        <v>453</v>
      </c>
      <c r="C103" t="s">
        <v>25</v>
      </c>
      <c r="D103">
        <v>110</v>
      </c>
      <c r="E103">
        <v>381.79000854492188</v>
      </c>
    </row>
    <row r="104" spans="1:5" x14ac:dyDescent="0.3">
      <c r="A104" t="s">
        <v>261</v>
      </c>
      <c r="B104" t="s">
        <v>97</v>
      </c>
      <c r="C104" t="s">
        <v>10</v>
      </c>
      <c r="D104">
        <v>430</v>
      </c>
      <c r="E104">
        <v>462.98001098632813</v>
      </c>
    </row>
    <row r="105" spans="1:5" x14ac:dyDescent="0.3">
      <c r="A105" t="s">
        <v>262</v>
      </c>
      <c r="B105" t="s">
        <v>584</v>
      </c>
      <c r="C105" t="s">
        <v>54</v>
      </c>
      <c r="D105">
        <v>60</v>
      </c>
      <c r="E105">
        <v>481.41000366210938</v>
      </c>
    </row>
    <row r="106" spans="1:5" x14ac:dyDescent="0.3">
      <c r="A106" t="s">
        <v>264</v>
      </c>
      <c r="B106" t="s">
        <v>544</v>
      </c>
      <c r="C106" t="s">
        <v>28</v>
      </c>
      <c r="D106">
        <v>490</v>
      </c>
      <c r="E106">
        <v>247.8699951171875</v>
      </c>
    </row>
    <row r="107" spans="1:5" x14ac:dyDescent="0.3">
      <c r="A107" t="s">
        <v>266</v>
      </c>
      <c r="B107" t="s">
        <v>2105</v>
      </c>
      <c r="C107" t="s">
        <v>12</v>
      </c>
      <c r="D107">
        <v>260</v>
      </c>
      <c r="E107">
        <v>362.20001220703125</v>
      </c>
    </row>
    <row r="108" spans="1:5" x14ac:dyDescent="0.3">
      <c r="A108" t="s">
        <v>268</v>
      </c>
      <c r="B108" t="s">
        <v>1177</v>
      </c>
      <c r="C108" t="s">
        <v>29</v>
      </c>
      <c r="D108">
        <v>240</v>
      </c>
      <c r="E108">
        <v>463.32000732421875</v>
      </c>
    </row>
    <row r="109" spans="1:5" x14ac:dyDescent="0.3">
      <c r="A109" t="s">
        <v>269</v>
      </c>
      <c r="B109" t="s">
        <v>1450</v>
      </c>
      <c r="C109" t="s">
        <v>38</v>
      </c>
      <c r="D109">
        <v>390</v>
      </c>
      <c r="E109">
        <v>479.22000122070313</v>
      </c>
    </row>
    <row r="110" spans="1:5" x14ac:dyDescent="0.3">
      <c r="A110" t="s">
        <v>271</v>
      </c>
      <c r="B110" t="s">
        <v>1853</v>
      </c>
      <c r="C110" t="s">
        <v>60</v>
      </c>
      <c r="D110">
        <v>440</v>
      </c>
      <c r="E110">
        <v>376.92999267578125</v>
      </c>
    </row>
    <row r="111" spans="1:5" x14ac:dyDescent="0.3">
      <c r="A111" t="s">
        <v>272</v>
      </c>
      <c r="B111" t="s">
        <v>1684</v>
      </c>
      <c r="C111" t="s">
        <v>124</v>
      </c>
      <c r="D111">
        <v>280</v>
      </c>
      <c r="E111">
        <v>257.07000732421875</v>
      </c>
    </row>
    <row r="112" spans="1:5" x14ac:dyDescent="0.3">
      <c r="A112" t="s">
        <v>274</v>
      </c>
      <c r="B112" t="s">
        <v>279</v>
      </c>
      <c r="C112" t="s">
        <v>62</v>
      </c>
      <c r="D112">
        <v>390</v>
      </c>
      <c r="E112">
        <v>464.51998901367188</v>
      </c>
    </row>
    <row r="113" spans="1:5" x14ac:dyDescent="0.3">
      <c r="A113" t="s">
        <v>276</v>
      </c>
      <c r="B113" t="s">
        <v>1183</v>
      </c>
      <c r="C113" t="s">
        <v>59</v>
      </c>
      <c r="D113">
        <v>150</v>
      </c>
      <c r="E113">
        <v>293.80999755859375</v>
      </c>
    </row>
    <row r="114" spans="1:5" x14ac:dyDescent="0.3">
      <c r="A114" t="s">
        <v>278</v>
      </c>
      <c r="B114" t="s">
        <v>328</v>
      </c>
      <c r="C114" t="s">
        <v>58</v>
      </c>
      <c r="D114">
        <v>440</v>
      </c>
      <c r="E114">
        <v>287.16000366210938</v>
      </c>
    </row>
    <row r="115" spans="1:5" x14ac:dyDescent="0.3">
      <c r="A115" t="s">
        <v>280</v>
      </c>
      <c r="B115" t="s">
        <v>392</v>
      </c>
      <c r="C115" t="s">
        <v>52</v>
      </c>
      <c r="D115">
        <v>160</v>
      </c>
      <c r="E115">
        <v>57.139999389648438</v>
      </c>
    </row>
    <row r="116" spans="1:5" x14ac:dyDescent="0.3">
      <c r="A116" t="s">
        <v>282</v>
      </c>
      <c r="B116" t="s">
        <v>2331</v>
      </c>
      <c r="C116" t="s">
        <v>52</v>
      </c>
      <c r="D116">
        <v>400</v>
      </c>
      <c r="E116">
        <v>36.590000152587891</v>
      </c>
    </row>
    <row r="117" spans="1:5" x14ac:dyDescent="0.3">
      <c r="A117" t="s">
        <v>284</v>
      </c>
      <c r="B117" t="s">
        <v>1851</v>
      </c>
      <c r="C117" t="s">
        <v>65</v>
      </c>
      <c r="D117">
        <v>260</v>
      </c>
      <c r="E117">
        <v>228.69999694824219</v>
      </c>
    </row>
    <row r="118" spans="1:5" x14ac:dyDescent="0.3">
      <c r="A118" t="s">
        <v>286</v>
      </c>
      <c r="B118" t="s">
        <v>2877</v>
      </c>
      <c r="C118" t="s">
        <v>66</v>
      </c>
      <c r="D118">
        <v>30</v>
      </c>
      <c r="E118">
        <v>456.95001220703125</v>
      </c>
    </row>
    <row r="119" spans="1:5" x14ac:dyDescent="0.3">
      <c r="A119" t="s">
        <v>288</v>
      </c>
      <c r="B119" t="s">
        <v>829</v>
      </c>
      <c r="C119" t="s">
        <v>16</v>
      </c>
      <c r="D119">
        <v>500</v>
      </c>
      <c r="E119">
        <v>115.13999938964844</v>
      </c>
    </row>
    <row r="120" spans="1:5" x14ac:dyDescent="0.3">
      <c r="A120" t="s">
        <v>290</v>
      </c>
      <c r="B120" t="s">
        <v>931</v>
      </c>
      <c r="C120" t="s">
        <v>28</v>
      </c>
      <c r="D120">
        <v>190</v>
      </c>
      <c r="E120">
        <v>417.3800048828125</v>
      </c>
    </row>
    <row r="121" spans="1:5" x14ac:dyDescent="0.3">
      <c r="A121" t="s">
        <v>292</v>
      </c>
      <c r="B121" t="s">
        <v>809</v>
      </c>
      <c r="C121" t="s">
        <v>12</v>
      </c>
      <c r="D121">
        <v>80</v>
      </c>
      <c r="E121">
        <v>148.08999633789063</v>
      </c>
    </row>
    <row r="122" spans="1:5" x14ac:dyDescent="0.3">
      <c r="A122" t="s">
        <v>294</v>
      </c>
      <c r="B122" t="s">
        <v>236</v>
      </c>
      <c r="C122" t="s">
        <v>46</v>
      </c>
      <c r="D122">
        <v>390</v>
      </c>
      <c r="E122">
        <v>412.01998901367188</v>
      </c>
    </row>
    <row r="123" spans="1:5" x14ac:dyDescent="0.3">
      <c r="A123" t="s">
        <v>296</v>
      </c>
      <c r="B123" t="s">
        <v>174</v>
      </c>
      <c r="C123" t="s">
        <v>58</v>
      </c>
      <c r="D123">
        <v>310</v>
      </c>
      <c r="E123">
        <v>384.20001220703125</v>
      </c>
    </row>
    <row r="124" spans="1:5" x14ac:dyDescent="0.3">
      <c r="A124" t="s">
        <v>298</v>
      </c>
      <c r="B124" t="s">
        <v>2878</v>
      </c>
      <c r="C124" t="s">
        <v>10</v>
      </c>
      <c r="D124">
        <v>260</v>
      </c>
      <c r="E124">
        <v>60.009998321533203</v>
      </c>
    </row>
    <row r="125" spans="1:5" x14ac:dyDescent="0.3">
      <c r="A125" t="s">
        <v>299</v>
      </c>
      <c r="B125" t="s">
        <v>1499</v>
      </c>
      <c r="C125" t="s">
        <v>47</v>
      </c>
      <c r="D125">
        <v>130</v>
      </c>
      <c r="E125">
        <v>505.1099853515625</v>
      </c>
    </row>
    <row r="126" spans="1:5" x14ac:dyDescent="0.3">
      <c r="A126" t="s">
        <v>301</v>
      </c>
      <c r="B126" t="s">
        <v>1377</v>
      </c>
      <c r="C126" t="s">
        <v>15</v>
      </c>
      <c r="D126">
        <v>40</v>
      </c>
      <c r="E126">
        <v>105.48999786376953</v>
      </c>
    </row>
    <row r="127" spans="1:5" x14ac:dyDescent="0.3">
      <c r="A127" t="s">
        <v>303</v>
      </c>
      <c r="B127" t="s">
        <v>972</v>
      </c>
      <c r="C127" t="s">
        <v>13</v>
      </c>
      <c r="D127">
        <v>100</v>
      </c>
      <c r="E127">
        <v>317.45001220703125</v>
      </c>
    </row>
    <row r="128" spans="1:5" x14ac:dyDescent="0.3">
      <c r="A128" t="s">
        <v>305</v>
      </c>
      <c r="B128" t="s">
        <v>1497</v>
      </c>
      <c r="C128" t="s">
        <v>38</v>
      </c>
      <c r="D128">
        <v>130</v>
      </c>
      <c r="E128">
        <v>417.60000610351563</v>
      </c>
    </row>
    <row r="129" spans="1:5" x14ac:dyDescent="0.3">
      <c r="A129" t="s">
        <v>307</v>
      </c>
      <c r="B129" t="s">
        <v>1993</v>
      </c>
      <c r="C129" t="s">
        <v>68</v>
      </c>
      <c r="D129">
        <v>420</v>
      </c>
      <c r="E129">
        <v>252.8699951171875</v>
      </c>
    </row>
    <row r="130" spans="1:5" x14ac:dyDescent="0.3">
      <c r="A130" t="s">
        <v>309</v>
      </c>
      <c r="B130" t="s">
        <v>1332</v>
      </c>
      <c r="C130" t="s">
        <v>124</v>
      </c>
      <c r="D130">
        <v>410</v>
      </c>
      <c r="E130">
        <v>17.760000228881836</v>
      </c>
    </row>
    <row r="131" spans="1:5" x14ac:dyDescent="0.3">
      <c r="A131" t="s">
        <v>310</v>
      </c>
      <c r="B131" t="s">
        <v>238</v>
      </c>
      <c r="C131" t="s">
        <v>21</v>
      </c>
      <c r="D131">
        <v>80</v>
      </c>
      <c r="E131">
        <v>406.98001098632813</v>
      </c>
    </row>
    <row r="132" spans="1:5" x14ac:dyDescent="0.3">
      <c r="A132" t="s">
        <v>312</v>
      </c>
      <c r="B132" t="s">
        <v>1970</v>
      </c>
      <c r="C132" t="s">
        <v>42</v>
      </c>
      <c r="D132">
        <v>25000</v>
      </c>
      <c r="E132">
        <v>98.269996643066406</v>
      </c>
    </row>
    <row r="133" spans="1:5" x14ac:dyDescent="0.3">
      <c r="A133" t="s">
        <v>314</v>
      </c>
      <c r="B133" t="s">
        <v>690</v>
      </c>
      <c r="C133" t="s">
        <v>61</v>
      </c>
      <c r="D133">
        <v>370</v>
      </c>
      <c r="E133">
        <v>143.22999572753906</v>
      </c>
    </row>
    <row r="134" spans="1:5" x14ac:dyDescent="0.3">
      <c r="A134" t="s">
        <v>316</v>
      </c>
      <c r="B134" t="s">
        <v>363</v>
      </c>
      <c r="C134" t="s">
        <v>69</v>
      </c>
      <c r="D134">
        <v>70</v>
      </c>
      <c r="E134">
        <v>154.44999694824219</v>
      </c>
    </row>
    <row r="135" spans="1:5" x14ac:dyDescent="0.3">
      <c r="A135" t="s">
        <v>318</v>
      </c>
      <c r="B135" t="s">
        <v>438</v>
      </c>
      <c r="C135" t="s">
        <v>43</v>
      </c>
      <c r="D135">
        <v>380</v>
      </c>
      <c r="E135">
        <v>78.449996948242188</v>
      </c>
    </row>
    <row r="136" spans="1:5" x14ac:dyDescent="0.3">
      <c r="A136" t="s">
        <v>320</v>
      </c>
      <c r="B136" t="s">
        <v>302</v>
      </c>
      <c r="C136" t="s">
        <v>54</v>
      </c>
      <c r="D136">
        <v>480</v>
      </c>
      <c r="E136">
        <v>119.58999633789063</v>
      </c>
    </row>
    <row r="137" spans="1:5" x14ac:dyDescent="0.3">
      <c r="A137" t="s">
        <v>322</v>
      </c>
      <c r="B137" t="s">
        <v>450</v>
      </c>
      <c r="C137" t="s">
        <v>53</v>
      </c>
      <c r="D137">
        <v>210</v>
      </c>
      <c r="E137">
        <v>490.010009765625</v>
      </c>
    </row>
    <row r="138" spans="1:5" x14ac:dyDescent="0.3">
      <c r="A138" t="s">
        <v>324</v>
      </c>
      <c r="B138" t="s">
        <v>375</v>
      </c>
      <c r="C138" t="s">
        <v>60</v>
      </c>
      <c r="D138">
        <v>330</v>
      </c>
      <c r="E138">
        <v>159.71000671386719</v>
      </c>
    </row>
    <row r="139" spans="1:5" x14ac:dyDescent="0.3">
      <c r="A139" t="s">
        <v>326</v>
      </c>
      <c r="B139" t="s">
        <v>893</v>
      </c>
      <c r="C139" t="s">
        <v>28</v>
      </c>
      <c r="D139">
        <v>270</v>
      </c>
      <c r="E139">
        <v>106.44999694824219</v>
      </c>
    </row>
    <row r="140" spans="1:5" x14ac:dyDescent="0.3">
      <c r="A140" t="s">
        <v>327</v>
      </c>
      <c r="B140" t="s">
        <v>1177</v>
      </c>
      <c r="C140" t="s">
        <v>36</v>
      </c>
      <c r="D140">
        <v>360</v>
      </c>
      <c r="E140">
        <v>65.830001831054688</v>
      </c>
    </row>
    <row r="141" spans="1:5" x14ac:dyDescent="0.3">
      <c r="A141" t="s">
        <v>329</v>
      </c>
      <c r="B141" t="s">
        <v>107</v>
      </c>
      <c r="C141" t="s">
        <v>34</v>
      </c>
      <c r="D141">
        <v>110</v>
      </c>
      <c r="E141">
        <v>281.260009765625</v>
      </c>
    </row>
    <row r="142" spans="1:5" x14ac:dyDescent="0.3">
      <c r="A142" t="s">
        <v>331</v>
      </c>
      <c r="B142" t="s">
        <v>537</v>
      </c>
      <c r="C142" t="s">
        <v>51</v>
      </c>
      <c r="D142">
        <v>440</v>
      </c>
      <c r="E142">
        <v>253.96000671386719</v>
      </c>
    </row>
    <row r="143" spans="1:5" x14ac:dyDescent="0.3">
      <c r="A143" t="s">
        <v>333</v>
      </c>
      <c r="B143" t="s">
        <v>149</v>
      </c>
      <c r="C143" t="s">
        <v>37</v>
      </c>
      <c r="D143">
        <v>410</v>
      </c>
      <c r="E143">
        <v>492.95999145507813</v>
      </c>
    </row>
    <row r="144" spans="1:5" x14ac:dyDescent="0.3">
      <c r="A144" t="s">
        <v>335</v>
      </c>
      <c r="B144" t="s">
        <v>2650</v>
      </c>
      <c r="C144" t="s">
        <v>16</v>
      </c>
      <c r="D144">
        <v>40</v>
      </c>
      <c r="E144">
        <v>265.1199951171875</v>
      </c>
    </row>
    <row r="145" spans="1:5" x14ac:dyDescent="0.3">
      <c r="A145" t="s">
        <v>337</v>
      </c>
      <c r="B145" t="s">
        <v>2012</v>
      </c>
      <c r="C145" t="s">
        <v>70</v>
      </c>
      <c r="D145">
        <v>470</v>
      </c>
      <c r="E145">
        <v>345.07998657226563</v>
      </c>
    </row>
    <row r="146" spans="1:5" x14ac:dyDescent="0.3">
      <c r="A146" t="s">
        <v>339</v>
      </c>
      <c r="B146" t="s">
        <v>1164</v>
      </c>
      <c r="C146" t="s">
        <v>47</v>
      </c>
      <c r="D146">
        <v>280</v>
      </c>
      <c r="E146">
        <v>265.32000732421875</v>
      </c>
    </row>
    <row r="147" spans="1:5" x14ac:dyDescent="0.3">
      <c r="A147" t="s">
        <v>341</v>
      </c>
      <c r="B147" t="s">
        <v>839</v>
      </c>
      <c r="C147" t="s">
        <v>16</v>
      </c>
      <c r="D147">
        <v>200</v>
      </c>
      <c r="E147">
        <v>66.129997253417969</v>
      </c>
    </row>
    <row r="148" spans="1:5" x14ac:dyDescent="0.3">
      <c r="A148" t="s">
        <v>342</v>
      </c>
      <c r="B148" t="s">
        <v>1521</v>
      </c>
      <c r="C148" t="s">
        <v>15</v>
      </c>
      <c r="D148">
        <v>390</v>
      </c>
      <c r="E148">
        <v>45.590000152587891</v>
      </c>
    </row>
    <row r="149" spans="1:5" x14ac:dyDescent="0.3">
      <c r="A149" t="s">
        <v>344</v>
      </c>
      <c r="B149" t="s">
        <v>1438</v>
      </c>
      <c r="C149" t="s">
        <v>61</v>
      </c>
      <c r="D149">
        <v>160</v>
      </c>
      <c r="E149">
        <v>509.6099853515625</v>
      </c>
    </row>
    <row r="150" spans="1:5" x14ac:dyDescent="0.3">
      <c r="A150" t="s">
        <v>346</v>
      </c>
      <c r="B150" t="s">
        <v>2879</v>
      </c>
      <c r="C150" t="s">
        <v>64</v>
      </c>
      <c r="D150">
        <v>240</v>
      </c>
      <c r="E150">
        <v>21.930000305175781</v>
      </c>
    </row>
    <row r="151" spans="1:5" x14ac:dyDescent="0.3">
      <c r="A151" t="s">
        <v>347</v>
      </c>
      <c r="B151" t="s">
        <v>2880</v>
      </c>
      <c r="C151" t="s">
        <v>46</v>
      </c>
      <c r="D151">
        <v>30</v>
      </c>
      <c r="E151">
        <v>154.05999755859375</v>
      </c>
    </row>
    <row r="152" spans="1:5" x14ac:dyDescent="0.3">
      <c r="A152" t="s">
        <v>349</v>
      </c>
      <c r="B152" t="s">
        <v>982</v>
      </c>
      <c r="C152" t="s">
        <v>41</v>
      </c>
      <c r="D152">
        <v>25000</v>
      </c>
      <c r="E152">
        <v>323.57000732421875</v>
      </c>
    </row>
    <row r="153" spans="1:5" x14ac:dyDescent="0.3">
      <c r="A153" t="s">
        <v>351</v>
      </c>
      <c r="B153" t="s">
        <v>174</v>
      </c>
      <c r="C153" t="s">
        <v>66</v>
      </c>
      <c r="D153">
        <v>140</v>
      </c>
      <c r="E153">
        <v>95.639999389648438</v>
      </c>
    </row>
    <row r="154" spans="1:5" x14ac:dyDescent="0.3">
      <c r="A154" t="s">
        <v>353</v>
      </c>
      <c r="B154" t="s">
        <v>524</v>
      </c>
      <c r="C154" t="s">
        <v>31</v>
      </c>
      <c r="D154">
        <v>490</v>
      </c>
      <c r="E154">
        <v>232.80000305175781</v>
      </c>
    </row>
    <row r="155" spans="1:5" x14ac:dyDescent="0.3">
      <c r="A155" t="s">
        <v>355</v>
      </c>
      <c r="B155" t="s">
        <v>616</v>
      </c>
      <c r="C155" t="s">
        <v>63</v>
      </c>
      <c r="D155">
        <v>290</v>
      </c>
      <c r="E155">
        <v>284.1300048828125</v>
      </c>
    </row>
    <row r="156" spans="1:5" x14ac:dyDescent="0.3">
      <c r="A156" t="s">
        <v>357</v>
      </c>
      <c r="B156" t="s">
        <v>803</v>
      </c>
      <c r="C156" t="s">
        <v>124</v>
      </c>
      <c r="D156">
        <v>390</v>
      </c>
      <c r="E156">
        <v>476.22000122070313</v>
      </c>
    </row>
    <row r="157" spans="1:5" x14ac:dyDescent="0.3">
      <c r="A157" t="s">
        <v>358</v>
      </c>
      <c r="B157" t="s">
        <v>2881</v>
      </c>
      <c r="C157" t="s">
        <v>70</v>
      </c>
      <c r="D157">
        <v>80</v>
      </c>
      <c r="E157">
        <v>405.17001342773438</v>
      </c>
    </row>
    <row r="158" spans="1:5" x14ac:dyDescent="0.3">
      <c r="A158" t="s">
        <v>360</v>
      </c>
      <c r="B158" t="s">
        <v>1973</v>
      </c>
      <c r="C158" t="s">
        <v>69</v>
      </c>
      <c r="D158">
        <v>230</v>
      </c>
      <c r="E158">
        <v>154.80999755859375</v>
      </c>
    </row>
    <row r="159" spans="1:5" x14ac:dyDescent="0.3">
      <c r="A159" t="s">
        <v>362</v>
      </c>
      <c r="B159" t="s">
        <v>762</v>
      </c>
      <c r="C159" t="s">
        <v>25</v>
      </c>
      <c r="D159">
        <v>390</v>
      </c>
      <c r="E159">
        <v>240.02999877929688</v>
      </c>
    </row>
    <row r="160" spans="1:5" x14ac:dyDescent="0.3">
      <c r="A160" t="s">
        <v>364</v>
      </c>
      <c r="B160" t="s">
        <v>206</v>
      </c>
      <c r="C160" t="s">
        <v>17</v>
      </c>
      <c r="D160">
        <v>270</v>
      </c>
      <c r="E160">
        <v>371.02999877929688</v>
      </c>
    </row>
    <row r="161" spans="1:5" x14ac:dyDescent="0.3">
      <c r="A161" t="s">
        <v>366</v>
      </c>
      <c r="B161" t="s">
        <v>238</v>
      </c>
      <c r="C161" t="s">
        <v>59</v>
      </c>
      <c r="D161">
        <v>380</v>
      </c>
      <c r="E161">
        <v>203.33000183105469</v>
      </c>
    </row>
    <row r="162" spans="1:5" x14ac:dyDescent="0.3">
      <c r="A162" t="s">
        <v>368</v>
      </c>
      <c r="B162" t="s">
        <v>562</v>
      </c>
      <c r="C162" t="s">
        <v>34</v>
      </c>
      <c r="D162">
        <v>360</v>
      </c>
      <c r="E162">
        <v>87.769996643066406</v>
      </c>
    </row>
    <row r="163" spans="1:5" x14ac:dyDescent="0.3">
      <c r="A163" t="s">
        <v>369</v>
      </c>
      <c r="B163" t="s">
        <v>564</v>
      </c>
      <c r="C163" t="s">
        <v>54</v>
      </c>
      <c r="D163">
        <v>200</v>
      </c>
      <c r="E163">
        <v>320.48001098632813</v>
      </c>
    </row>
    <row r="164" spans="1:5" x14ac:dyDescent="0.3">
      <c r="A164" t="s">
        <v>371</v>
      </c>
      <c r="B164" t="s">
        <v>831</v>
      </c>
      <c r="C164" t="s">
        <v>57</v>
      </c>
      <c r="D164">
        <v>480</v>
      </c>
      <c r="E164">
        <v>392.91000366210938</v>
      </c>
    </row>
    <row r="165" spans="1:5" x14ac:dyDescent="0.3">
      <c r="A165" t="s">
        <v>373</v>
      </c>
      <c r="B165" t="s">
        <v>481</v>
      </c>
      <c r="C165" t="s">
        <v>18</v>
      </c>
      <c r="D165">
        <v>130</v>
      </c>
      <c r="E165">
        <v>241.85000610351563</v>
      </c>
    </row>
    <row r="166" spans="1:5" x14ac:dyDescent="0.3">
      <c r="A166" t="s">
        <v>374</v>
      </c>
      <c r="B166" t="s">
        <v>2388</v>
      </c>
      <c r="C166" t="s">
        <v>53</v>
      </c>
      <c r="D166">
        <v>210</v>
      </c>
      <c r="E166">
        <v>499.3599853515625</v>
      </c>
    </row>
    <row r="167" spans="1:5" x14ac:dyDescent="0.3">
      <c r="A167" t="s">
        <v>376</v>
      </c>
      <c r="B167" t="s">
        <v>1364</v>
      </c>
      <c r="C167" t="s">
        <v>53</v>
      </c>
      <c r="D167">
        <v>100</v>
      </c>
      <c r="E167">
        <v>242.83999633789063</v>
      </c>
    </row>
    <row r="168" spans="1:5" x14ac:dyDescent="0.3">
      <c r="A168" t="s">
        <v>378</v>
      </c>
      <c r="B168" t="s">
        <v>111</v>
      </c>
      <c r="C168" t="s">
        <v>56</v>
      </c>
      <c r="D168">
        <v>280</v>
      </c>
      <c r="E168">
        <v>245</v>
      </c>
    </row>
    <row r="169" spans="1:5" x14ac:dyDescent="0.3">
      <c r="A169" t="s">
        <v>380</v>
      </c>
      <c r="B169" t="s">
        <v>460</v>
      </c>
      <c r="C169" t="s">
        <v>70</v>
      </c>
      <c r="D169">
        <v>120</v>
      </c>
      <c r="E169">
        <v>223.85000610351563</v>
      </c>
    </row>
    <row r="170" spans="1:5" x14ac:dyDescent="0.3">
      <c r="A170" t="s">
        <v>381</v>
      </c>
      <c r="B170" t="s">
        <v>149</v>
      </c>
      <c r="C170" t="s">
        <v>60</v>
      </c>
      <c r="D170">
        <v>40</v>
      </c>
      <c r="E170">
        <v>92.720001220703125</v>
      </c>
    </row>
    <row r="171" spans="1:5" x14ac:dyDescent="0.3">
      <c r="A171" t="s">
        <v>383</v>
      </c>
      <c r="B171" t="s">
        <v>1139</v>
      </c>
      <c r="C171" t="s">
        <v>17</v>
      </c>
      <c r="D171">
        <v>350</v>
      </c>
      <c r="E171">
        <v>210.25999450683594</v>
      </c>
    </row>
    <row r="172" spans="1:5" x14ac:dyDescent="0.3">
      <c r="A172" t="s">
        <v>385</v>
      </c>
      <c r="B172" t="s">
        <v>1469</v>
      </c>
      <c r="C172" t="s">
        <v>10</v>
      </c>
      <c r="D172">
        <v>460</v>
      </c>
      <c r="E172">
        <v>130.41000366210938</v>
      </c>
    </row>
    <row r="173" spans="1:5" x14ac:dyDescent="0.3">
      <c r="A173" t="s">
        <v>386</v>
      </c>
      <c r="B173" t="s">
        <v>107</v>
      </c>
      <c r="C173" t="s">
        <v>29</v>
      </c>
      <c r="D173">
        <v>90</v>
      </c>
      <c r="E173">
        <v>352.45999145507813</v>
      </c>
    </row>
    <row r="174" spans="1:5" x14ac:dyDescent="0.3">
      <c r="A174" t="s">
        <v>388</v>
      </c>
      <c r="B174" t="s">
        <v>350</v>
      </c>
      <c r="C174" t="s">
        <v>56</v>
      </c>
      <c r="D174">
        <v>120</v>
      </c>
      <c r="E174">
        <v>70.970001220703125</v>
      </c>
    </row>
    <row r="175" spans="1:5" x14ac:dyDescent="0.3">
      <c r="A175" t="s">
        <v>390</v>
      </c>
      <c r="B175" t="s">
        <v>1318</v>
      </c>
      <c r="C175" t="s">
        <v>66</v>
      </c>
      <c r="D175">
        <v>240</v>
      </c>
      <c r="E175">
        <v>425.83999633789063</v>
      </c>
    </row>
    <row r="176" spans="1:5" x14ac:dyDescent="0.3">
      <c r="A176" t="s">
        <v>391</v>
      </c>
      <c r="B176" t="s">
        <v>422</v>
      </c>
      <c r="C176" t="s">
        <v>44</v>
      </c>
      <c r="D176">
        <v>260</v>
      </c>
      <c r="E176">
        <v>252.27000427246094</v>
      </c>
    </row>
    <row r="177" spans="1:5" x14ac:dyDescent="0.3">
      <c r="A177" t="s">
        <v>393</v>
      </c>
      <c r="B177" t="s">
        <v>158</v>
      </c>
      <c r="C177" t="s">
        <v>61</v>
      </c>
      <c r="D177">
        <v>330</v>
      </c>
      <c r="E177">
        <v>330.79000854492188</v>
      </c>
    </row>
    <row r="178" spans="1:5" x14ac:dyDescent="0.3">
      <c r="A178" t="s">
        <v>395</v>
      </c>
      <c r="B178" t="s">
        <v>481</v>
      </c>
      <c r="C178" t="s">
        <v>31</v>
      </c>
      <c r="D178">
        <v>210</v>
      </c>
      <c r="E178">
        <v>137.22000122070313</v>
      </c>
    </row>
    <row r="179" spans="1:5" x14ac:dyDescent="0.3">
      <c r="A179" t="s">
        <v>397</v>
      </c>
      <c r="B179" t="s">
        <v>1008</v>
      </c>
      <c r="C179" t="s">
        <v>68</v>
      </c>
      <c r="D179">
        <v>10</v>
      </c>
      <c r="E179">
        <v>92.709999084472656</v>
      </c>
    </row>
    <row r="180" spans="1:5" x14ac:dyDescent="0.3">
      <c r="A180" t="s">
        <v>398</v>
      </c>
      <c r="B180" t="s">
        <v>1448</v>
      </c>
      <c r="C180" t="s">
        <v>17</v>
      </c>
      <c r="D180">
        <v>450</v>
      </c>
      <c r="E180">
        <v>313.70999145507813</v>
      </c>
    </row>
    <row r="181" spans="1:5" x14ac:dyDescent="0.3">
      <c r="A181" t="s">
        <v>400</v>
      </c>
      <c r="B181" t="s">
        <v>1772</v>
      </c>
      <c r="C181" t="s">
        <v>49</v>
      </c>
      <c r="D181">
        <v>90</v>
      </c>
      <c r="E181">
        <v>361.989990234375</v>
      </c>
    </row>
    <row r="182" spans="1:5" x14ac:dyDescent="0.3">
      <c r="A182" t="s">
        <v>402</v>
      </c>
      <c r="B182" t="s">
        <v>1701</v>
      </c>
      <c r="C182" t="s">
        <v>38</v>
      </c>
      <c r="D182">
        <v>80</v>
      </c>
      <c r="E182">
        <v>494.6199951171875</v>
      </c>
    </row>
    <row r="183" spans="1:5" x14ac:dyDescent="0.3">
      <c r="A183" t="s">
        <v>404</v>
      </c>
      <c r="B183" t="s">
        <v>1691</v>
      </c>
      <c r="C183" t="s">
        <v>21</v>
      </c>
      <c r="D183">
        <v>450</v>
      </c>
      <c r="E183">
        <v>414.010009765625</v>
      </c>
    </row>
    <row r="184" spans="1:5" x14ac:dyDescent="0.3">
      <c r="A184" t="s">
        <v>406</v>
      </c>
      <c r="B184" t="s">
        <v>2882</v>
      </c>
      <c r="C184" t="s">
        <v>57</v>
      </c>
      <c r="D184">
        <v>310</v>
      </c>
      <c r="E184">
        <v>17.850000381469727</v>
      </c>
    </row>
    <row r="185" spans="1:5" x14ac:dyDescent="0.3">
      <c r="A185" t="s">
        <v>407</v>
      </c>
      <c r="B185" t="s">
        <v>1254</v>
      </c>
      <c r="C185" t="s">
        <v>42</v>
      </c>
      <c r="D185">
        <v>130</v>
      </c>
      <c r="E185">
        <v>149.16000366210938</v>
      </c>
    </row>
    <row r="186" spans="1:5" x14ac:dyDescent="0.3">
      <c r="A186" t="s">
        <v>409</v>
      </c>
      <c r="B186" t="s">
        <v>999</v>
      </c>
      <c r="C186" t="s">
        <v>69</v>
      </c>
      <c r="D186">
        <v>490</v>
      </c>
      <c r="E186">
        <v>346.27999877929688</v>
      </c>
    </row>
    <row r="187" spans="1:5" x14ac:dyDescent="0.3">
      <c r="A187" t="s">
        <v>410</v>
      </c>
      <c r="B187" t="s">
        <v>2883</v>
      </c>
      <c r="C187" t="s">
        <v>42</v>
      </c>
      <c r="D187">
        <v>300</v>
      </c>
      <c r="E187">
        <v>92.839996337890625</v>
      </c>
    </row>
    <row r="188" spans="1:5" x14ac:dyDescent="0.3">
      <c r="A188" t="s">
        <v>412</v>
      </c>
      <c r="B188" t="s">
        <v>1654</v>
      </c>
      <c r="C188" t="s">
        <v>31</v>
      </c>
      <c r="D188">
        <v>90</v>
      </c>
      <c r="E188">
        <v>67.80999755859375</v>
      </c>
    </row>
    <row r="189" spans="1:5" x14ac:dyDescent="0.3">
      <c r="A189" t="s">
        <v>414</v>
      </c>
      <c r="B189" t="s">
        <v>1895</v>
      </c>
      <c r="C189" t="s">
        <v>38</v>
      </c>
      <c r="D189">
        <v>240</v>
      </c>
      <c r="E189">
        <v>395.44000244140625</v>
      </c>
    </row>
    <row r="190" spans="1:5" x14ac:dyDescent="0.3">
      <c r="A190" t="s">
        <v>416</v>
      </c>
      <c r="B190" t="s">
        <v>2215</v>
      </c>
      <c r="C190" t="s">
        <v>68</v>
      </c>
      <c r="D190">
        <v>210</v>
      </c>
      <c r="E190">
        <v>395.32998657226563</v>
      </c>
    </row>
    <row r="191" spans="1:5" x14ac:dyDescent="0.3">
      <c r="A191" t="s">
        <v>417</v>
      </c>
      <c r="B191" t="s">
        <v>2882</v>
      </c>
      <c r="C191" t="s">
        <v>124</v>
      </c>
      <c r="D191">
        <v>270</v>
      </c>
      <c r="E191">
        <v>349.489990234375</v>
      </c>
    </row>
    <row r="192" spans="1:5" x14ac:dyDescent="0.3">
      <c r="A192" t="s">
        <v>418</v>
      </c>
      <c r="B192" t="s">
        <v>2884</v>
      </c>
      <c r="C192" t="s">
        <v>51</v>
      </c>
      <c r="D192">
        <v>110</v>
      </c>
      <c r="E192">
        <v>72.099998474121094</v>
      </c>
    </row>
    <row r="193" spans="1:5" x14ac:dyDescent="0.3">
      <c r="A193" t="s">
        <v>420</v>
      </c>
      <c r="B193" t="s">
        <v>491</v>
      </c>
      <c r="C193" t="s">
        <v>25</v>
      </c>
      <c r="D193">
        <v>230</v>
      </c>
      <c r="E193">
        <v>165.10000610351563</v>
      </c>
    </row>
    <row r="194" spans="1:5" x14ac:dyDescent="0.3">
      <c r="A194" t="s">
        <v>421</v>
      </c>
      <c r="B194" t="s">
        <v>735</v>
      </c>
      <c r="C194" t="s">
        <v>36</v>
      </c>
      <c r="D194">
        <v>240</v>
      </c>
      <c r="E194">
        <v>11.569999694824219</v>
      </c>
    </row>
    <row r="195" spans="1:5" x14ac:dyDescent="0.3">
      <c r="A195" t="s">
        <v>423</v>
      </c>
      <c r="B195" t="s">
        <v>1047</v>
      </c>
      <c r="C195" t="s">
        <v>18</v>
      </c>
      <c r="D195">
        <v>160</v>
      </c>
      <c r="E195">
        <v>346.1099853515625</v>
      </c>
    </row>
    <row r="196" spans="1:5" x14ac:dyDescent="0.3">
      <c r="A196" t="s">
        <v>424</v>
      </c>
      <c r="B196" t="s">
        <v>308</v>
      </c>
      <c r="C196" t="s">
        <v>46</v>
      </c>
      <c r="D196">
        <v>120</v>
      </c>
      <c r="E196">
        <v>504.89999389648438</v>
      </c>
    </row>
    <row r="197" spans="1:5" x14ac:dyDescent="0.3">
      <c r="A197" t="s">
        <v>426</v>
      </c>
      <c r="B197" t="s">
        <v>2006</v>
      </c>
      <c r="C197" t="s">
        <v>13</v>
      </c>
      <c r="D197">
        <v>140</v>
      </c>
      <c r="E197">
        <v>175.69999694824219</v>
      </c>
    </row>
    <row r="198" spans="1:5" x14ac:dyDescent="0.3">
      <c r="A198" t="s">
        <v>428</v>
      </c>
      <c r="B198" t="s">
        <v>95</v>
      </c>
      <c r="C198" t="s">
        <v>13</v>
      </c>
      <c r="D198">
        <v>370</v>
      </c>
      <c r="E198">
        <v>147.80999755859375</v>
      </c>
    </row>
    <row r="199" spans="1:5" x14ac:dyDescent="0.3">
      <c r="A199" t="s">
        <v>430</v>
      </c>
      <c r="B199" t="s">
        <v>834</v>
      </c>
      <c r="C199" t="s">
        <v>40</v>
      </c>
      <c r="D199">
        <v>350</v>
      </c>
      <c r="E199">
        <v>62.090000152587891</v>
      </c>
    </row>
    <row r="200" spans="1:5" x14ac:dyDescent="0.3">
      <c r="A200" t="s">
        <v>432</v>
      </c>
      <c r="B200" t="s">
        <v>128</v>
      </c>
      <c r="C200" t="s">
        <v>10</v>
      </c>
      <c r="D200">
        <v>260</v>
      </c>
      <c r="E200">
        <v>160.97999572753906</v>
      </c>
    </row>
    <row r="201" spans="1:5" x14ac:dyDescent="0.3">
      <c r="A201" t="s">
        <v>433</v>
      </c>
      <c r="B201" t="s">
        <v>2884</v>
      </c>
      <c r="C201" t="s">
        <v>13</v>
      </c>
      <c r="D201">
        <v>140</v>
      </c>
      <c r="E201">
        <v>38.470001220703125</v>
      </c>
    </row>
    <row r="202" spans="1:5" x14ac:dyDescent="0.3">
      <c r="A202" t="s">
        <v>435</v>
      </c>
      <c r="B202" t="s">
        <v>2868</v>
      </c>
      <c r="C202" t="s">
        <v>60</v>
      </c>
      <c r="D202">
        <v>170</v>
      </c>
      <c r="E202">
        <v>390.1300048828125</v>
      </c>
    </row>
    <row r="203" spans="1:5" x14ac:dyDescent="0.3">
      <c r="A203" t="s">
        <v>437</v>
      </c>
      <c r="B203" t="s">
        <v>240</v>
      </c>
      <c r="C203" t="s">
        <v>66</v>
      </c>
      <c r="D203">
        <v>430</v>
      </c>
      <c r="E203">
        <v>263.05999755859375</v>
      </c>
    </row>
    <row r="204" spans="1:5" x14ac:dyDescent="0.3">
      <c r="A204" t="s">
        <v>439</v>
      </c>
      <c r="B204" t="s">
        <v>2735</v>
      </c>
      <c r="C204" t="s">
        <v>13</v>
      </c>
      <c r="D204">
        <v>110</v>
      </c>
      <c r="E204">
        <v>305.95001220703125</v>
      </c>
    </row>
    <row r="205" spans="1:5" x14ac:dyDescent="0.3">
      <c r="A205" t="s">
        <v>441</v>
      </c>
      <c r="B205" t="s">
        <v>2109</v>
      </c>
      <c r="C205" t="s">
        <v>31</v>
      </c>
      <c r="D205">
        <v>300</v>
      </c>
      <c r="E205">
        <v>19.040000915527344</v>
      </c>
    </row>
    <row r="206" spans="1:5" x14ac:dyDescent="0.3">
      <c r="A206" t="s">
        <v>443</v>
      </c>
      <c r="B206" t="s">
        <v>2226</v>
      </c>
      <c r="C206" t="s">
        <v>52</v>
      </c>
      <c r="D206">
        <v>220</v>
      </c>
      <c r="E206">
        <v>504.14999389648438</v>
      </c>
    </row>
    <row r="207" spans="1:5" x14ac:dyDescent="0.3">
      <c r="A207" t="s">
        <v>445</v>
      </c>
      <c r="B207" t="s">
        <v>1069</v>
      </c>
      <c r="C207" t="s">
        <v>51</v>
      </c>
      <c r="D207">
        <v>460</v>
      </c>
      <c r="E207">
        <v>214.6300048828125</v>
      </c>
    </row>
    <row r="208" spans="1:5" x14ac:dyDescent="0.3">
      <c r="A208" t="s">
        <v>447</v>
      </c>
      <c r="B208" t="s">
        <v>130</v>
      </c>
      <c r="C208" t="s">
        <v>54</v>
      </c>
      <c r="D208">
        <v>250</v>
      </c>
      <c r="E208">
        <v>205.42999267578125</v>
      </c>
    </row>
    <row r="209" spans="1:5" x14ac:dyDescent="0.3">
      <c r="A209" t="s">
        <v>449</v>
      </c>
      <c r="B209" t="s">
        <v>275</v>
      </c>
      <c r="C209" t="s">
        <v>56</v>
      </c>
      <c r="D209">
        <v>220</v>
      </c>
      <c r="E209">
        <v>383.02999877929688</v>
      </c>
    </row>
    <row r="210" spans="1:5" x14ac:dyDescent="0.3">
      <c r="A210" t="s">
        <v>451</v>
      </c>
      <c r="B210" t="s">
        <v>508</v>
      </c>
      <c r="C210" t="s">
        <v>47</v>
      </c>
      <c r="D210">
        <v>100</v>
      </c>
      <c r="E210">
        <v>255.5</v>
      </c>
    </row>
    <row r="211" spans="1:5" x14ac:dyDescent="0.3">
      <c r="A211" t="s">
        <v>452</v>
      </c>
      <c r="B211" t="s">
        <v>701</v>
      </c>
      <c r="C211" t="s">
        <v>47</v>
      </c>
      <c r="D211">
        <v>20</v>
      </c>
      <c r="E211">
        <v>182.44999694824219</v>
      </c>
    </row>
    <row r="212" spans="1:5" x14ac:dyDescent="0.3">
      <c r="A212" t="s">
        <v>454</v>
      </c>
      <c r="B212" t="s">
        <v>2430</v>
      </c>
      <c r="C212" t="s">
        <v>67</v>
      </c>
      <c r="D212">
        <v>260</v>
      </c>
      <c r="E212">
        <v>125.05999755859375</v>
      </c>
    </row>
    <row r="213" spans="1:5" x14ac:dyDescent="0.3">
      <c r="A213" t="s">
        <v>455</v>
      </c>
      <c r="B213" t="s">
        <v>216</v>
      </c>
      <c r="C213" t="s">
        <v>39</v>
      </c>
      <c r="D213">
        <v>460</v>
      </c>
      <c r="E213">
        <v>396.07000732421875</v>
      </c>
    </row>
    <row r="214" spans="1:5" x14ac:dyDescent="0.3">
      <c r="A214" t="s">
        <v>456</v>
      </c>
      <c r="B214" t="s">
        <v>549</v>
      </c>
      <c r="C214" t="s">
        <v>53</v>
      </c>
      <c r="D214">
        <v>380</v>
      </c>
      <c r="E214">
        <v>409.79998779296875</v>
      </c>
    </row>
    <row r="215" spans="1:5" x14ac:dyDescent="0.3">
      <c r="A215" t="s">
        <v>457</v>
      </c>
      <c r="B215" t="s">
        <v>1309</v>
      </c>
      <c r="C215" t="s">
        <v>60</v>
      </c>
      <c r="D215">
        <v>210</v>
      </c>
      <c r="E215">
        <v>432.1199951171875</v>
      </c>
    </row>
    <row r="216" spans="1:5" x14ac:dyDescent="0.3">
      <c r="A216" t="s">
        <v>459</v>
      </c>
      <c r="B216" t="s">
        <v>2410</v>
      </c>
      <c r="C216" t="s">
        <v>64</v>
      </c>
      <c r="D216">
        <v>220</v>
      </c>
      <c r="E216">
        <v>330.45001220703125</v>
      </c>
    </row>
    <row r="217" spans="1:5" x14ac:dyDescent="0.3">
      <c r="A217" t="s">
        <v>461</v>
      </c>
      <c r="B217" t="s">
        <v>489</v>
      </c>
      <c r="C217" t="s">
        <v>39</v>
      </c>
      <c r="D217">
        <v>100</v>
      </c>
      <c r="E217">
        <v>323.79000854492188</v>
      </c>
    </row>
    <row r="218" spans="1:5" x14ac:dyDescent="0.3">
      <c r="A218" t="s">
        <v>462</v>
      </c>
      <c r="B218" t="s">
        <v>1040</v>
      </c>
      <c r="C218" t="s">
        <v>67</v>
      </c>
      <c r="D218">
        <v>150</v>
      </c>
      <c r="E218">
        <v>232.69000244140625</v>
      </c>
    </row>
    <row r="219" spans="1:5" x14ac:dyDescent="0.3">
      <c r="A219" t="s">
        <v>463</v>
      </c>
      <c r="B219" t="s">
        <v>1030</v>
      </c>
      <c r="C219" t="s">
        <v>33</v>
      </c>
      <c r="D219">
        <v>80</v>
      </c>
      <c r="E219">
        <v>229.27999877929688</v>
      </c>
    </row>
    <row r="220" spans="1:5" x14ac:dyDescent="0.3">
      <c r="A220" t="s">
        <v>464</v>
      </c>
      <c r="B220" t="s">
        <v>741</v>
      </c>
      <c r="C220" t="s">
        <v>42</v>
      </c>
      <c r="D220">
        <v>200</v>
      </c>
      <c r="E220">
        <v>87.230003356933594</v>
      </c>
    </row>
    <row r="221" spans="1:5" x14ac:dyDescent="0.3">
      <c r="A221" t="s">
        <v>465</v>
      </c>
      <c r="B221" t="s">
        <v>721</v>
      </c>
      <c r="C221" t="s">
        <v>58</v>
      </c>
      <c r="D221">
        <v>220</v>
      </c>
      <c r="E221">
        <v>431.79998779296875</v>
      </c>
    </row>
    <row r="222" spans="1:5" x14ac:dyDescent="0.3">
      <c r="A222" t="s">
        <v>467</v>
      </c>
      <c r="B222" t="s">
        <v>1212</v>
      </c>
      <c r="C222" t="s">
        <v>38</v>
      </c>
      <c r="D222">
        <v>490</v>
      </c>
      <c r="E222">
        <v>489.77999877929688</v>
      </c>
    </row>
    <row r="223" spans="1:5" x14ac:dyDescent="0.3">
      <c r="A223" t="s">
        <v>469</v>
      </c>
      <c r="B223" t="s">
        <v>1417</v>
      </c>
      <c r="C223" t="s">
        <v>23</v>
      </c>
      <c r="D223">
        <v>220</v>
      </c>
      <c r="E223">
        <v>339.54998779296875</v>
      </c>
    </row>
    <row r="224" spans="1:5" x14ac:dyDescent="0.3">
      <c r="A224" t="s">
        <v>471</v>
      </c>
      <c r="B224" t="s">
        <v>230</v>
      </c>
      <c r="C224" t="s">
        <v>61</v>
      </c>
      <c r="D224">
        <v>280</v>
      </c>
      <c r="E224">
        <v>161.02999877929688</v>
      </c>
    </row>
    <row r="225" spans="1:5" x14ac:dyDescent="0.3">
      <c r="A225" t="s">
        <v>473</v>
      </c>
      <c r="B225" t="s">
        <v>334</v>
      </c>
      <c r="C225" t="s">
        <v>40</v>
      </c>
      <c r="D225">
        <v>410</v>
      </c>
      <c r="E225">
        <v>485.73001098632813</v>
      </c>
    </row>
    <row r="226" spans="1:5" x14ac:dyDescent="0.3">
      <c r="A226" t="s">
        <v>475</v>
      </c>
      <c r="B226" t="s">
        <v>1753</v>
      </c>
      <c r="C226" t="s">
        <v>17</v>
      </c>
      <c r="D226">
        <v>470</v>
      </c>
      <c r="E226">
        <v>446.70001220703125</v>
      </c>
    </row>
    <row r="227" spans="1:5" x14ac:dyDescent="0.3">
      <c r="A227" t="s">
        <v>476</v>
      </c>
      <c r="B227" t="s">
        <v>858</v>
      </c>
      <c r="C227" t="s">
        <v>41</v>
      </c>
      <c r="D227">
        <v>220</v>
      </c>
      <c r="E227">
        <v>28.549999237060547</v>
      </c>
    </row>
    <row r="228" spans="1:5" x14ac:dyDescent="0.3">
      <c r="A228" t="s">
        <v>478</v>
      </c>
      <c r="B228" t="s">
        <v>818</v>
      </c>
      <c r="C228" t="s">
        <v>66</v>
      </c>
      <c r="D228">
        <v>50</v>
      </c>
      <c r="E228">
        <v>317.47000122070313</v>
      </c>
    </row>
    <row r="229" spans="1:5" x14ac:dyDescent="0.3">
      <c r="A229" t="s">
        <v>480</v>
      </c>
      <c r="B229" t="s">
        <v>1706</v>
      </c>
      <c r="C229" t="s">
        <v>43</v>
      </c>
      <c r="D229">
        <v>230</v>
      </c>
      <c r="E229">
        <v>251.21000671386719</v>
      </c>
    </row>
    <row r="230" spans="1:5" x14ac:dyDescent="0.3">
      <c r="A230" t="s">
        <v>482</v>
      </c>
      <c r="B230" t="s">
        <v>1110</v>
      </c>
      <c r="C230" t="s">
        <v>16</v>
      </c>
      <c r="D230">
        <v>160</v>
      </c>
      <c r="E230">
        <v>369.07000732421875</v>
      </c>
    </row>
    <row r="231" spans="1:5" x14ac:dyDescent="0.3">
      <c r="A231" t="s">
        <v>484</v>
      </c>
      <c r="B231" t="s">
        <v>1343</v>
      </c>
      <c r="C231" t="s">
        <v>16</v>
      </c>
      <c r="D231">
        <v>140</v>
      </c>
      <c r="E231">
        <v>61.909999847412109</v>
      </c>
    </row>
    <row r="232" spans="1:5" x14ac:dyDescent="0.3">
      <c r="A232" t="s">
        <v>486</v>
      </c>
      <c r="B232" t="s">
        <v>1602</v>
      </c>
      <c r="C232" t="s">
        <v>60</v>
      </c>
      <c r="D232">
        <v>70</v>
      </c>
      <c r="E232">
        <v>322.17999267578125</v>
      </c>
    </row>
    <row r="233" spans="1:5" x14ac:dyDescent="0.3">
      <c r="A233" t="s">
        <v>487</v>
      </c>
      <c r="B233" t="s">
        <v>2885</v>
      </c>
      <c r="C233" t="s">
        <v>70</v>
      </c>
      <c r="D233">
        <v>270</v>
      </c>
      <c r="E233">
        <v>493.8599853515625</v>
      </c>
    </row>
    <row r="234" spans="1:5" x14ac:dyDescent="0.3">
      <c r="A234" t="s">
        <v>488</v>
      </c>
      <c r="B234" t="s">
        <v>408</v>
      </c>
      <c r="C234" t="s">
        <v>38</v>
      </c>
      <c r="D234">
        <v>160</v>
      </c>
      <c r="E234">
        <v>22.520000457763672</v>
      </c>
    </row>
    <row r="235" spans="1:5" x14ac:dyDescent="0.3">
      <c r="A235" t="s">
        <v>490</v>
      </c>
      <c r="B235" t="s">
        <v>2886</v>
      </c>
      <c r="C235" t="s">
        <v>21</v>
      </c>
      <c r="D235">
        <v>60</v>
      </c>
      <c r="E235">
        <v>205.25999450683594</v>
      </c>
    </row>
    <row r="236" spans="1:5" x14ac:dyDescent="0.3">
      <c r="A236" t="s">
        <v>492</v>
      </c>
      <c r="B236" t="s">
        <v>591</v>
      </c>
      <c r="C236" t="s">
        <v>43</v>
      </c>
      <c r="D236">
        <v>430</v>
      </c>
      <c r="E236">
        <v>440.77999877929688</v>
      </c>
    </row>
    <row r="237" spans="1:5" x14ac:dyDescent="0.3">
      <c r="A237" t="s">
        <v>493</v>
      </c>
      <c r="B237" t="s">
        <v>1484</v>
      </c>
      <c r="C237" t="s">
        <v>67</v>
      </c>
      <c r="D237">
        <v>100</v>
      </c>
      <c r="E237">
        <v>479.32000732421875</v>
      </c>
    </row>
    <row r="238" spans="1:5" x14ac:dyDescent="0.3">
      <c r="A238" t="s">
        <v>495</v>
      </c>
      <c r="B238" t="s">
        <v>1530</v>
      </c>
      <c r="C238" t="s">
        <v>10</v>
      </c>
      <c r="D238">
        <v>30</v>
      </c>
      <c r="E238">
        <v>172.66999816894531</v>
      </c>
    </row>
    <row r="239" spans="1:5" x14ac:dyDescent="0.3">
      <c r="A239" t="s">
        <v>497</v>
      </c>
      <c r="B239" t="s">
        <v>2640</v>
      </c>
      <c r="C239" t="s">
        <v>57</v>
      </c>
      <c r="D239">
        <v>70</v>
      </c>
      <c r="E239">
        <v>224.22000122070313</v>
      </c>
    </row>
    <row r="240" spans="1:5" x14ac:dyDescent="0.3">
      <c r="A240" t="s">
        <v>499</v>
      </c>
      <c r="B240" t="s">
        <v>113</v>
      </c>
      <c r="C240" t="s">
        <v>13</v>
      </c>
      <c r="D240">
        <v>210</v>
      </c>
      <c r="E240">
        <v>438.89999389648438</v>
      </c>
    </row>
    <row r="241" spans="1:5" x14ac:dyDescent="0.3">
      <c r="A241" t="s">
        <v>501</v>
      </c>
      <c r="B241" t="s">
        <v>1012</v>
      </c>
      <c r="C241" t="s">
        <v>36</v>
      </c>
      <c r="D241">
        <v>300</v>
      </c>
      <c r="E241">
        <v>473.19000244140625</v>
      </c>
    </row>
    <row r="242" spans="1:5" x14ac:dyDescent="0.3">
      <c r="A242" t="s">
        <v>502</v>
      </c>
      <c r="B242" t="s">
        <v>295</v>
      </c>
      <c r="C242" t="s">
        <v>70</v>
      </c>
      <c r="D242">
        <v>350</v>
      </c>
      <c r="E242">
        <v>85.160003662109375</v>
      </c>
    </row>
    <row r="243" spans="1:5" x14ac:dyDescent="0.3">
      <c r="A243" t="s">
        <v>504</v>
      </c>
      <c r="B243" t="s">
        <v>1553</v>
      </c>
      <c r="C243" t="s">
        <v>59</v>
      </c>
      <c r="D243">
        <v>240</v>
      </c>
      <c r="E243">
        <v>384.42001342773438</v>
      </c>
    </row>
    <row r="244" spans="1:5" x14ac:dyDescent="0.3">
      <c r="A244" t="s">
        <v>506</v>
      </c>
      <c r="B244" t="s">
        <v>450</v>
      </c>
      <c r="C244" t="s">
        <v>42</v>
      </c>
      <c r="D244">
        <v>480</v>
      </c>
      <c r="E244">
        <v>82.160003662109375</v>
      </c>
    </row>
    <row r="245" spans="1:5" x14ac:dyDescent="0.3">
      <c r="A245" t="s">
        <v>507</v>
      </c>
      <c r="B245" t="s">
        <v>2668</v>
      </c>
      <c r="C245" t="s">
        <v>31</v>
      </c>
      <c r="D245">
        <v>460</v>
      </c>
      <c r="E245">
        <v>241.11000061035156</v>
      </c>
    </row>
    <row r="246" spans="1:5" x14ac:dyDescent="0.3">
      <c r="A246" t="s">
        <v>509</v>
      </c>
      <c r="B246" t="s">
        <v>1115</v>
      </c>
      <c r="C246" t="s">
        <v>37</v>
      </c>
      <c r="D246">
        <v>210</v>
      </c>
      <c r="E246">
        <v>25.600000381469727</v>
      </c>
    </row>
    <row r="247" spans="1:5" x14ac:dyDescent="0.3">
      <c r="A247" t="s">
        <v>510</v>
      </c>
      <c r="B247" t="s">
        <v>1119</v>
      </c>
      <c r="C247" t="s">
        <v>36</v>
      </c>
      <c r="D247">
        <v>150</v>
      </c>
      <c r="E247">
        <v>451.47000122070313</v>
      </c>
    </row>
    <row r="248" spans="1:5" x14ac:dyDescent="0.3">
      <c r="A248" t="s">
        <v>511</v>
      </c>
      <c r="B248" t="s">
        <v>230</v>
      </c>
      <c r="C248" t="s">
        <v>61</v>
      </c>
      <c r="D248">
        <v>320</v>
      </c>
      <c r="E248">
        <v>136.17999267578125</v>
      </c>
    </row>
    <row r="249" spans="1:5" x14ac:dyDescent="0.3">
      <c r="A249" t="s">
        <v>512</v>
      </c>
      <c r="B249" t="s">
        <v>232</v>
      </c>
      <c r="C249" t="s">
        <v>58</v>
      </c>
      <c r="D249">
        <v>140</v>
      </c>
      <c r="E249">
        <v>48.709999084472656</v>
      </c>
    </row>
    <row r="250" spans="1:5" x14ac:dyDescent="0.3">
      <c r="A250" t="s">
        <v>514</v>
      </c>
      <c r="B250" t="s">
        <v>321</v>
      </c>
      <c r="C250" t="s">
        <v>21</v>
      </c>
      <c r="D250">
        <v>180</v>
      </c>
      <c r="E250">
        <v>259.6099853515625</v>
      </c>
    </row>
    <row r="251" spans="1:5" x14ac:dyDescent="0.3">
      <c r="A251" t="s">
        <v>516</v>
      </c>
      <c r="B251" t="s">
        <v>198</v>
      </c>
      <c r="C251" t="s">
        <v>43</v>
      </c>
      <c r="D251">
        <v>380</v>
      </c>
      <c r="E251">
        <v>191.02000427246094</v>
      </c>
    </row>
    <row r="252" spans="1:5" x14ac:dyDescent="0.3">
      <c r="A252" t="s">
        <v>518</v>
      </c>
      <c r="B252" t="s">
        <v>1403</v>
      </c>
      <c r="C252" t="s">
        <v>16</v>
      </c>
      <c r="D252">
        <v>310</v>
      </c>
      <c r="E252">
        <v>366.60000610351563</v>
      </c>
    </row>
    <row r="253" spans="1:5" x14ac:dyDescent="0.3">
      <c r="A253" t="s">
        <v>520</v>
      </c>
      <c r="B253" t="s">
        <v>2753</v>
      </c>
      <c r="C253" t="s">
        <v>61</v>
      </c>
      <c r="D253">
        <v>430</v>
      </c>
      <c r="E253">
        <v>161.60000610351563</v>
      </c>
    </row>
    <row r="254" spans="1:5" x14ac:dyDescent="0.3">
      <c r="A254" t="s">
        <v>521</v>
      </c>
      <c r="B254" t="s">
        <v>1811</v>
      </c>
      <c r="C254" t="s">
        <v>41</v>
      </c>
      <c r="D254">
        <v>340</v>
      </c>
      <c r="E254">
        <v>52.830001831054688</v>
      </c>
    </row>
    <row r="255" spans="1:5" x14ac:dyDescent="0.3">
      <c r="A255" t="s">
        <v>523</v>
      </c>
      <c r="B255" t="s">
        <v>313</v>
      </c>
      <c r="C255" t="s">
        <v>28</v>
      </c>
      <c r="D255">
        <v>500</v>
      </c>
      <c r="E255">
        <v>368.67001342773438</v>
      </c>
    </row>
    <row r="256" spans="1:5" x14ac:dyDescent="0.3">
      <c r="A256" t="s">
        <v>525</v>
      </c>
      <c r="B256" t="s">
        <v>85</v>
      </c>
      <c r="C256" t="s">
        <v>36</v>
      </c>
      <c r="D256">
        <v>30</v>
      </c>
      <c r="E256">
        <v>39.029998779296875</v>
      </c>
    </row>
    <row r="257" spans="1:5" x14ac:dyDescent="0.3">
      <c r="A257" t="s">
        <v>527</v>
      </c>
      <c r="B257" t="s">
        <v>1141</v>
      </c>
      <c r="C257" t="s">
        <v>42</v>
      </c>
      <c r="D257">
        <v>400</v>
      </c>
      <c r="E257">
        <v>345.42001342773438</v>
      </c>
    </row>
    <row r="258" spans="1:5" x14ac:dyDescent="0.3">
      <c r="A258" t="s">
        <v>529</v>
      </c>
      <c r="B258" t="s">
        <v>1379</v>
      </c>
      <c r="C258" t="s">
        <v>23</v>
      </c>
      <c r="D258">
        <v>260</v>
      </c>
      <c r="E258">
        <v>170.88999938964844</v>
      </c>
    </row>
    <row r="259" spans="1:5" x14ac:dyDescent="0.3">
      <c r="A259" t="s">
        <v>531</v>
      </c>
      <c r="B259" t="s">
        <v>2887</v>
      </c>
      <c r="C259" t="s">
        <v>47</v>
      </c>
      <c r="D259">
        <v>90</v>
      </c>
      <c r="E259">
        <v>250.05000305175781</v>
      </c>
    </row>
    <row r="260" spans="1:5" x14ac:dyDescent="0.3">
      <c r="A260" t="s">
        <v>533</v>
      </c>
      <c r="B260" t="s">
        <v>1260</v>
      </c>
      <c r="C260" t="s">
        <v>51</v>
      </c>
      <c r="D260">
        <v>50</v>
      </c>
      <c r="E260">
        <v>419.10000610351563</v>
      </c>
    </row>
    <row r="261" spans="1:5" x14ac:dyDescent="0.3">
      <c r="A261" t="s">
        <v>534</v>
      </c>
      <c r="B261" t="s">
        <v>422</v>
      </c>
      <c r="C261" t="s">
        <v>59</v>
      </c>
      <c r="D261">
        <v>140</v>
      </c>
      <c r="E261">
        <v>365.77999877929688</v>
      </c>
    </row>
    <row r="262" spans="1:5" x14ac:dyDescent="0.3">
      <c r="A262" t="s">
        <v>535</v>
      </c>
      <c r="B262" t="s">
        <v>2458</v>
      </c>
      <c r="C262" t="s">
        <v>42</v>
      </c>
      <c r="D262">
        <v>30</v>
      </c>
      <c r="E262">
        <v>379.3900146484375</v>
      </c>
    </row>
    <row r="263" spans="1:5" x14ac:dyDescent="0.3">
      <c r="A263" t="s">
        <v>536</v>
      </c>
      <c r="B263" t="s">
        <v>2888</v>
      </c>
      <c r="C263" t="s">
        <v>47</v>
      </c>
      <c r="D263">
        <v>240</v>
      </c>
      <c r="E263">
        <v>100.80000305175781</v>
      </c>
    </row>
    <row r="264" spans="1:5" x14ac:dyDescent="0.3">
      <c r="A264" t="s">
        <v>538</v>
      </c>
      <c r="B264" t="s">
        <v>2265</v>
      </c>
      <c r="C264" t="s">
        <v>66</v>
      </c>
      <c r="D264">
        <v>460</v>
      </c>
      <c r="E264">
        <v>272.45001220703125</v>
      </c>
    </row>
    <row r="265" spans="1:5" x14ac:dyDescent="0.3">
      <c r="A265" t="s">
        <v>540</v>
      </c>
      <c r="B265" t="s">
        <v>572</v>
      </c>
      <c r="C265" t="s">
        <v>57</v>
      </c>
      <c r="D265">
        <v>220</v>
      </c>
      <c r="E265">
        <v>488.32000732421875</v>
      </c>
    </row>
    <row r="266" spans="1:5" x14ac:dyDescent="0.3">
      <c r="A266" t="s">
        <v>542</v>
      </c>
      <c r="B266" t="s">
        <v>2643</v>
      </c>
      <c r="C266" t="s">
        <v>32</v>
      </c>
      <c r="D266">
        <v>220</v>
      </c>
      <c r="E266">
        <v>443.97000122070313</v>
      </c>
    </row>
    <row r="267" spans="1:5" x14ac:dyDescent="0.3">
      <c r="A267" t="s">
        <v>543</v>
      </c>
      <c r="B267" t="s">
        <v>2020</v>
      </c>
      <c r="C267" t="s">
        <v>31</v>
      </c>
      <c r="D267">
        <v>20</v>
      </c>
      <c r="E267">
        <v>186.52999877929688</v>
      </c>
    </row>
    <row r="268" spans="1:5" x14ac:dyDescent="0.3">
      <c r="A268" t="s">
        <v>545</v>
      </c>
      <c r="B268" t="s">
        <v>2153</v>
      </c>
      <c r="C268" t="s">
        <v>31</v>
      </c>
      <c r="D268">
        <v>330</v>
      </c>
      <c r="E268">
        <v>364.67999267578125</v>
      </c>
    </row>
    <row r="269" spans="1:5" x14ac:dyDescent="0.3">
      <c r="A269" t="s">
        <v>547</v>
      </c>
      <c r="B269" t="s">
        <v>137</v>
      </c>
      <c r="C269" t="s">
        <v>39</v>
      </c>
      <c r="D269">
        <v>220</v>
      </c>
      <c r="E269">
        <v>478.64999389648438</v>
      </c>
    </row>
    <row r="270" spans="1:5" x14ac:dyDescent="0.3">
      <c r="A270" t="s">
        <v>548</v>
      </c>
      <c r="B270" t="s">
        <v>2169</v>
      </c>
      <c r="C270" t="s">
        <v>56</v>
      </c>
      <c r="D270">
        <v>410</v>
      </c>
      <c r="E270">
        <v>130.25999450683594</v>
      </c>
    </row>
    <row r="271" spans="1:5" x14ac:dyDescent="0.3">
      <c r="A271" t="s">
        <v>550</v>
      </c>
      <c r="B271" t="s">
        <v>2115</v>
      </c>
      <c r="C271" t="s">
        <v>54</v>
      </c>
      <c r="D271">
        <v>10</v>
      </c>
      <c r="E271">
        <v>272.8800048828125</v>
      </c>
    </row>
    <row r="272" spans="1:5" x14ac:dyDescent="0.3">
      <c r="A272" t="s">
        <v>552</v>
      </c>
      <c r="B272" t="s">
        <v>2026</v>
      </c>
      <c r="C272" t="s">
        <v>57</v>
      </c>
      <c r="D272">
        <v>230</v>
      </c>
      <c r="E272">
        <v>461.42999267578125</v>
      </c>
    </row>
    <row r="273" spans="1:5" x14ac:dyDescent="0.3">
      <c r="A273" t="s">
        <v>554</v>
      </c>
      <c r="B273" t="s">
        <v>568</v>
      </c>
      <c r="C273" t="s">
        <v>61</v>
      </c>
      <c r="D273">
        <v>210</v>
      </c>
      <c r="E273">
        <v>102.41000366210938</v>
      </c>
    </row>
    <row r="274" spans="1:5" x14ac:dyDescent="0.3">
      <c r="A274" t="s">
        <v>555</v>
      </c>
      <c r="B274" t="s">
        <v>1701</v>
      </c>
      <c r="C274" t="s">
        <v>57</v>
      </c>
      <c r="D274">
        <v>180</v>
      </c>
      <c r="E274">
        <v>203.8800048828125</v>
      </c>
    </row>
    <row r="275" spans="1:5" x14ac:dyDescent="0.3">
      <c r="A275" t="s">
        <v>556</v>
      </c>
      <c r="B275" t="s">
        <v>676</v>
      </c>
      <c r="C275" t="s">
        <v>62</v>
      </c>
      <c r="D275">
        <v>280</v>
      </c>
      <c r="E275">
        <v>125.44999694824219</v>
      </c>
    </row>
    <row r="276" spans="1:5" x14ac:dyDescent="0.3">
      <c r="A276" t="s">
        <v>557</v>
      </c>
      <c r="B276" t="s">
        <v>1318</v>
      </c>
      <c r="C276" t="s">
        <v>34</v>
      </c>
      <c r="D276">
        <v>260</v>
      </c>
      <c r="E276">
        <v>328.32000732421875</v>
      </c>
    </row>
    <row r="277" spans="1:5" x14ac:dyDescent="0.3">
      <c r="A277" t="s">
        <v>558</v>
      </c>
      <c r="B277" t="s">
        <v>472</v>
      </c>
      <c r="C277" t="s">
        <v>69</v>
      </c>
      <c r="D277">
        <v>280</v>
      </c>
      <c r="E277">
        <v>125.20999908447266</v>
      </c>
    </row>
    <row r="278" spans="1:5" x14ac:dyDescent="0.3">
      <c r="A278" t="s">
        <v>560</v>
      </c>
      <c r="B278" t="s">
        <v>925</v>
      </c>
      <c r="C278" t="s">
        <v>39</v>
      </c>
      <c r="D278">
        <v>110</v>
      </c>
      <c r="E278">
        <v>430.45001220703125</v>
      </c>
    </row>
    <row r="279" spans="1:5" x14ac:dyDescent="0.3">
      <c r="A279" t="s">
        <v>561</v>
      </c>
      <c r="B279" t="s">
        <v>1499</v>
      </c>
      <c r="C279" t="s">
        <v>58</v>
      </c>
      <c r="D279">
        <v>410</v>
      </c>
      <c r="E279">
        <v>509.8900146484375</v>
      </c>
    </row>
    <row r="280" spans="1:5" x14ac:dyDescent="0.3">
      <c r="A280" t="s">
        <v>563</v>
      </c>
      <c r="B280" t="s">
        <v>881</v>
      </c>
      <c r="C280" t="s">
        <v>16</v>
      </c>
      <c r="D280">
        <v>490</v>
      </c>
      <c r="E280">
        <v>230.97999572753906</v>
      </c>
    </row>
    <row r="281" spans="1:5" x14ac:dyDescent="0.3">
      <c r="A281" t="s">
        <v>565</v>
      </c>
      <c r="B281" t="s">
        <v>1633</v>
      </c>
      <c r="C281" t="s">
        <v>67</v>
      </c>
      <c r="D281">
        <v>500</v>
      </c>
      <c r="E281">
        <v>312.69000244140625</v>
      </c>
    </row>
    <row r="282" spans="1:5" x14ac:dyDescent="0.3">
      <c r="A282" t="s">
        <v>566</v>
      </c>
      <c r="B282" t="s">
        <v>392</v>
      </c>
      <c r="C282" t="s">
        <v>58</v>
      </c>
      <c r="D282">
        <v>25000</v>
      </c>
      <c r="E282">
        <v>279.8900146484375</v>
      </c>
    </row>
    <row r="283" spans="1:5" x14ac:dyDescent="0.3">
      <c r="A283" t="s">
        <v>567</v>
      </c>
      <c r="B283" t="s">
        <v>1484</v>
      </c>
      <c r="C283" t="s">
        <v>31</v>
      </c>
      <c r="D283">
        <v>430</v>
      </c>
      <c r="E283">
        <v>498.72000122070313</v>
      </c>
    </row>
    <row r="284" spans="1:5" x14ac:dyDescent="0.3">
      <c r="A284" t="s">
        <v>569</v>
      </c>
      <c r="B284" t="s">
        <v>624</v>
      </c>
      <c r="C284" t="s">
        <v>62</v>
      </c>
      <c r="D284">
        <v>210</v>
      </c>
      <c r="E284">
        <v>490.32000732421875</v>
      </c>
    </row>
    <row r="285" spans="1:5" x14ac:dyDescent="0.3">
      <c r="A285" t="s">
        <v>571</v>
      </c>
      <c r="B285" t="s">
        <v>198</v>
      </c>
      <c r="C285" t="s">
        <v>37</v>
      </c>
      <c r="D285">
        <v>370</v>
      </c>
      <c r="E285">
        <v>462.95001220703125</v>
      </c>
    </row>
    <row r="286" spans="1:5" x14ac:dyDescent="0.3">
      <c r="A286" t="s">
        <v>573</v>
      </c>
      <c r="B286" t="s">
        <v>867</v>
      </c>
      <c r="C286" t="s">
        <v>53</v>
      </c>
      <c r="D286">
        <v>200</v>
      </c>
      <c r="E286">
        <v>257.67001342773438</v>
      </c>
    </row>
    <row r="287" spans="1:5" x14ac:dyDescent="0.3">
      <c r="A287" t="s">
        <v>575</v>
      </c>
      <c r="B287" t="s">
        <v>2099</v>
      </c>
      <c r="C287" t="s">
        <v>67</v>
      </c>
      <c r="D287">
        <v>60</v>
      </c>
      <c r="E287">
        <v>98.349998474121094</v>
      </c>
    </row>
    <row r="288" spans="1:5" x14ac:dyDescent="0.3">
      <c r="A288" t="s">
        <v>576</v>
      </c>
      <c r="B288" t="s">
        <v>990</v>
      </c>
      <c r="C288" t="s">
        <v>42</v>
      </c>
      <c r="D288">
        <v>60</v>
      </c>
      <c r="E288">
        <v>341.70001220703125</v>
      </c>
    </row>
    <row r="289" spans="1:5" x14ac:dyDescent="0.3">
      <c r="A289" t="s">
        <v>578</v>
      </c>
      <c r="B289" t="s">
        <v>1961</v>
      </c>
      <c r="C289" t="s">
        <v>13</v>
      </c>
      <c r="D289">
        <v>380</v>
      </c>
      <c r="E289">
        <v>227.19999694824219</v>
      </c>
    </row>
    <row r="290" spans="1:5" x14ac:dyDescent="0.3">
      <c r="A290" t="s">
        <v>580</v>
      </c>
      <c r="B290" t="s">
        <v>1324</v>
      </c>
      <c r="C290" t="s">
        <v>42</v>
      </c>
      <c r="D290">
        <v>480</v>
      </c>
      <c r="E290">
        <v>127.16999816894531</v>
      </c>
    </row>
    <row r="291" spans="1:5" x14ac:dyDescent="0.3">
      <c r="A291" t="s">
        <v>581</v>
      </c>
      <c r="B291" t="s">
        <v>160</v>
      </c>
      <c r="C291" t="s">
        <v>13</v>
      </c>
      <c r="D291">
        <v>360</v>
      </c>
      <c r="E291">
        <v>296.75</v>
      </c>
    </row>
    <row r="292" spans="1:5" x14ac:dyDescent="0.3">
      <c r="A292" t="s">
        <v>582</v>
      </c>
      <c r="B292" t="s">
        <v>1135</v>
      </c>
      <c r="C292" t="s">
        <v>17</v>
      </c>
      <c r="D292">
        <v>300</v>
      </c>
      <c r="E292">
        <v>123.86000061035156</v>
      </c>
    </row>
    <row r="293" spans="1:5" x14ac:dyDescent="0.3">
      <c r="A293" t="s">
        <v>583</v>
      </c>
      <c r="B293" t="s">
        <v>992</v>
      </c>
      <c r="C293" t="s">
        <v>44</v>
      </c>
      <c r="D293">
        <v>140</v>
      </c>
      <c r="E293">
        <v>379.260009765625</v>
      </c>
    </row>
    <row r="294" spans="1:5" x14ac:dyDescent="0.3">
      <c r="A294" t="s">
        <v>585</v>
      </c>
      <c r="B294" t="s">
        <v>2723</v>
      </c>
      <c r="C294" t="s">
        <v>17</v>
      </c>
      <c r="D294">
        <v>480</v>
      </c>
      <c r="E294">
        <v>466.52999877929688</v>
      </c>
    </row>
    <row r="295" spans="1:5" x14ac:dyDescent="0.3">
      <c r="A295" t="s">
        <v>586</v>
      </c>
      <c r="B295" t="s">
        <v>695</v>
      </c>
      <c r="C295" t="s">
        <v>32</v>
      </c>
      <c r="D295">
        <v>480</v>
      </c>
      <c r="E295">
        <v>172.02000427246094</v>
      </c>
    </row>
    <row r="296" spans="1:5" x14ac:dyDescent="0.3">
      <c r="A296" t="s">
        <v>588</v>
      </c>
      <c r="B296" t="s">
        <v>2889</v>
      </c>
      <c r="C296" t="s">
        <v>39</v>
      </c>
      <c r="D296">
        <v>90</v>
      </c>
      <c r="E296">
        <v>414.92999267578125</v>
      </c>
    </row>
    <row r="297" spans="1:5" x14ac:dyDescent="0.3">
      <c r="A297" t="s">
        <v>589</v>
      </c>
      <c r="B297" t="s">
        <v>904</v>
      </c>
      <c r="C297" t="s">
        <v>40</v>
      </c>
      <c r="D297">
        <v>280</v>
      </c>
      <c r="E297">
        <v>497.26998901367188</v>
      </c>
    </row>
    <row r="298" spans="1:5" x14ac:dyDescent="0.3">
      <c r="A298" t="s">
        <v>590</v>
      </c>
      <c r="B298" t="s">
        <v>899</v>
      </c>
      <c r="C298" t="s">
        <v>28</v>
      </c>
      <c r="D298">
        <v>330</v>
      </c>
      <c r="E298">
        <v>353.85000610351563</v>
      </c>
    </row>
    <row r="299" spans="1:5" x14ac:dyDescent="0.3">
      <c r="A299" t="s">
        <v>592</v>
      </c>
      <c r="B299" t="s">
        <v>776</v>
      </c>
      <c r="C299" t="s">
        <v>32</v>
      </c>
      <c r="D299">
        <v>60</v>
      </c>
      <c r="E299">
        <v>302.29998779296875</v>
      </c>
    </row>
    <row r="300" spans="1:5" x14ac:dyDescent="0.3">
      <c r="A300" t="s">
        <v>593</v>
      </c>
      <c r="B300" t="s">
        <v>1060</v>
      </c>
      <c r="C300" t="s">
        <v>12</v>
      </c>
      <c r="D300">
        <v>50</v>
      </c>
      <c r="E300">
        <v>293.04000854492188</v>
      </c>
    </row>
    <row r="301" spans="1:5" x14ac:dyDescent="0.3">
      <c r="A301" t="s">
        <v>594</v>
      </c>
      <c r="B301" t="s">
        <v>2890</v>
      </c>
      <c r="C301" t="s">
        <v>41</v>
      </c>
      <c r="D301">
        <v>450</v>
      </c>
      <c r="E301">
        <v>159.35000610351563</v>
      </c>
    </row>
    <row r="302" spans="1:5" x14ac:dyDescent="0.3">
      <c r="A302" t="s">
        <v>596</v>
      </c>
      <c r="B302" t="s">
        <v>2891</v>
      </c>
      <c r="C302" t="s">
        <v>44</v>
      </c>
      <c r="D302">
        <v>190</v>
      </c>
      <c r="E302">
        <v>367.27999877929688</v>
      </c>
    </row>
    <row r="303" spans="1:5" x14ac:dyDescent="0.3">
      <c r="A303" t="s">
        <v>598</v>
      </c>
      <c r="B303" t="s">
        <v>2892</v>
      </c>
      <c r="C303" t="s">
        <v>57</v>
      </c>
      <c r="D303">
        <v>230</v>
      </c>
      <c r="E303">
        <v>265.70001220703125</v>
      </c>
    </row>
    <row r="304" spans="1:5" x14ac:dyDescent="0.3">
      <c r="A304" t="s">
        <v>600</v>
      </c>
      <c r="B304" t="s">
        <v>354</v>
      </c>
      <c r="C304" t="s">
        <v>51</v>
      </c>
      <c r="D304">
        <v>330</v>
      </c>
      <c r="E304">
        <v>336.30999755859375</v>
      </c>
    </row>
    <row r="305" spans="1:5" x14ac:dyDescent="0.3">
      <c r="A305" t="s">
        <v>601</v>
      </c>
      <c r="B305" t="s">
        <v>2893</v>
      </c>
      <c r="C305" t="s">
        <v>25</v>
      </c>
      <c r="D305">
        <v>290</v>
      </c>
      <c r="E305">
        <v>443.6199951171875</v>
      </c>
    </row>
    <row r="306" spans="1:5" x14ac:dyDescent="0.3">
      <c r="A306" t="s">
        <v>603</v>
      </c>
      <c r="B306" t="s">
        <v>384</v>
      </c>
      <c r="C306" t="s">
        <v>47</v>
      </c>
      <c r="D306">
        <v>180</v>
      </c>
      <c r="E306">
        <v>84.919998168945313</v>
      </c>
    </row>
    <row r="307" spans="1:5" x14ac:dyDescent="0.3">
      <c r="A307" t="s">
        <v>605</v>
      </c>
      <c r="B307" t="s">
        <v>1340</v>
      </c>
      <c r="C307" t="s">
        <v>28</v>
      </c>
      <c r="D307">
        <v>140</v>
      </c>
      <c r="E307">
        <v>140.36000061035156</v>
      </c>
    </row>
    <row r="308" spans="1:5" x14ac:dyDescent="0.3">
      <c r="A308" t="s">
        <v>606</v>
      </c>
      <c r="B308" t="s">
        <v>870</v>
      </c>
      <c r="C308" t="s">
        <v>61</v>
      </c>
      <c r="D308">
        <v>70</v>
      </c>
      <c r="E308">
        <v>122.87000274658203</v>
      </c>
    </row>
    <row r="309" spans="1:5" x14ac:dyDescent="0.3">
      <c r="A309" t="s">
        <v>607</v>
      </c>
      <c r="B309" t="s">
        <v>1851</v>
      </c>
      <c r="C309" t="s">
        <v>38</v>
      </c>
      <c r="D309">
        <v>430</v>
      </c>
      <c r="E309">
        <v>428.20001220703125</v>
      </c>
    </row>
    <row r="310" spans="1:5" x14ac:dyDescent="0.3">
      <c r="A310" t="s">
        <v>609</v>
      </c>
      <c r="B310" t="s">
        <v>2894</v>
      </c>
      <c r="C310" t="s">
        <v>15</v>
      </c>
      <c r="D310">
        <v>460</v>
      </c>
      <c r="E310">
        <v>84.919998168945313</v>
      </c>
    </row>
    <row r="311" spans="1:5" x14ac:dyDescent="0.3">
      <c r="A311" t="s">
        <v>610</v>
      </c>
      <c r="B311" t="s">
        <v>632</v>
      </c>
      <c r="C311" t="s">
        <v>43</v>
      </c>
      <c r="D311">
        <v>430</v>
      </c>
      <c r="E311">
        <v>504.39999389648438</v>
      </c>
    </row>
    <row r="312" spans="1:5" x14ac:dyDescent="0.3">
      <c r="A312" t="s">
        <v>611</v>
      </c>
      <c r="B312" t="s">
        <v>1340</v>
      </c>
      <c r="C312" t="s">
        <v>32</v>
      </c>
      <c r="D312">
        <v>420</v>
      </c>
      <c r="E312">
        <v>230.83999633789063</v>
      </c>
    </row>
    <row r="313" spans="1:5" x14ac:dyDescent="0.3">
      <c r="A313" t="s">
        <v>612</v>
      </c>
      <c r="B313" t="s">
        <v>703</v>
      </c>
      <c r="C313" t="s">
        <v>52</v>
      </c>
      <c r="D313">
        <v>30</v>
      </c>
      <c r="E313">
        <v>191.22999572753906</v>
      </c>
    </row>
    <row r="314" spans="1:5" x14ac:dyDescent="0.3">
      <c r="A314" t="s">
        <v>614</v>
      </c>
      <c r="B314" t="s">
        <v>442</v>
      </c>
      <c r="C314" t="s">
        <v>55</v>
      </c>
      <c r="D314">
        <v>160</v>
      </c>
      <c r="E314">
        <v>445.3900146484375</v>
      </c>
    </row>
    <row r="315" spans="1:5" x14ac:dyDescent="0.3">
      <c r="A315" t="s">
        <v>615</v>
      </c>
      <c r="B315" t="s">
        <v>701</v>
      </c>
      <c r="C315" t="s">
        <v>19</v>
      </c>
      <c r="D315">
        <v>240</v>
      </c>
      <c r="E315">
        <v>435.95001220703125</v>
      </c>
    </row>
    <row r="316" spans="1:5" x14ac:dyDescent="0.3">
      <c r="A316" t="s">
        <v>617</v>
      </c>
      <c r="B316" t="s">
        <v>974</v>
      </c>
      <c r="C316" t="s">
        <v>56</v>
      </c>
      <c r="D316">
        <v>10</v>
      </c>
      <c r="E316">
        <v>238.33999633789063</v>
      </c>
    </row>
    <row r="317" spans="1:5" x14ac:dyDescent="0.3">
      <c r="A317" t="s">
        <v>618</v>
      </c>
      <c r="B317" t="s">
        <v>2403</v>
      </c>
      <c r="C317" t="s">
        <v>51</v>
      </c>
      <c r="D317">
        <v>210</v>
      </c>
      <c r="E317">
        <v>310.82998657226563</v>
      </c>
    </row>
    <row r="318" spans="1:5" x14ac:dyDescent="0.3">
      <c r="A318" t="s">
        <v>619</v>
      </c>
      <c r="B318" t="s">
        <v>911</v>
      </c>
      <c r="C318" t="s">
        <v>15</v>
      </c>
      <c r="D318">
        <v>420</v>
      </c>
      <c r="E318">
        <v>244.46000671386719</v>
      </c>
    </row>
    <row r="319" spans="1:5" x14ac:dyDescent="0.3">
      <c r="A319" t="s">
        <v>620</v>
      </c>
      <c r="B319" t="s">
        <v>83</v>
      </c>
      <c r="C319" t="s">
        <v>63</v>
      </c>
      <c r="D319">
        <v>25000</v>
      </c>
      <c r="E319">
        <v>216.21000671386719</v>
      </c>
    </row>
    <row r="320" spans="1:5" x14ac:dyDescent="0.3">
      <c r="A320" t="s">
        <v>621</v>
      </c>
      <c r="B320" t="s">
        <v>1260</v>
      </c>
      <c r="C320" t="s">
        <v>49</v>
      </c>
      <c r="D320">
        <v>440</v>
      </c>
      <c r="E320">
        <v>479.5</v>
      </c>
    </row>
    <row r="321" spans="1:5" x14ac:dyDescent="0.3">
      <c r="A321" t="s">
        <v>622</v>
      </c>
      <c r="B321" t="s">
        <v>2881</v>
      </c>
      <c r="C321" t="s">
        <v>23</v>
      </c>
      <c r="D321">
        <v>130</v>
      </c>
      <c r="E321">
        <v>132.89999389648438</v>
      </c>
    </row>
    <row r="322" spans="1:5" x14ac:dyDescent="0.3">
      <c r="A322" t="s">
        <v>623</v>
      </c>
      <c r="B322" t="s">
        <v>206</v>
      </c>
      <c r="C322" t="s">
        <v>13</v>
      </c>
      <c r="D322">
        <v>410</v>
      </c>
      <c r="E322">
        <v>385.6400146484375</v>
      </c>
    </row>
    <row r="323" spans="1:5" x14ac:dyDescent="0.3">
      <c r="A323" t="s">
        <v>625</v>
      </c>
      <c r="B323" t="s">
        <v>425</v>
      </c>
      <c r="C323" t="s">
        <v>15</v>
      </c>
      <c r="D323">
        <v>450</v>
      </c>
      <c r="E323">
        <v>486.01998901367188</v>
      </c>
    </row>
    <row r="324" spans="1:5" x14ac:dyDescent="0.3">
      <c r="A324" t="s">
        <v>627</v>
      </c>
      <c r="B324" t="s">
        <v>1689</v>
      </c>
      <c r="C324" t="s">
        <v>42</v>
      </c>
      <c r="D324">
        <v>25000</v>
      </c>
      <c r="E324">
        <v>500.80999755859375</v>
      </c>
    </row>
    <row r="325" spans="1:5" x14ac:dyDescent="0.3">
      <c r="A325" t="s">
        <v>629</v>
      </c>
      <c r="B325" t="s">
        <v>1697</v>
      </c>
      <c r="C325" t="s">
        <v>54</v>
      </c>
      <c r="D325">
        <v>410</v>
      </c>
      <c r="E325">
        <v>100.98999786376953</v>
      </c>
    </row>
    <row r="326" spans="1:5" x14ac:dyDescent="0.3">
      <c r="A326" t="s">
        <v>631</v>
      </c>
      <c r="B326" t="s">
        <v>1353</v>
      </c>
      <c r="C326" t="s">
        <v>42</v>
      </c>
      <c r="D326">
        <v>110</v>
      </c>
      <c r="E326">
        <v>386.48001098632813</v>
      </c>
    </row>
    <row r="327" spans="1:5" x14ac:dyDescent="0.3">
      <c r="A327" t="s">
        <v>633</v>
      </c>
      <c r="B327" t="s">
        <v>2895</v>
      </c>
      <c r="C327" t="s">
        <v>52</v>
      </c>
      <c r="D327">
        <v>20</v>
      </c>
      <c r="E327">
        <v>305.76998901367188</v>
      </c>
    </row>
    <row r="328" spans="1:5" x14ac:dyDescent="0.3">
      <c r="A328" t="s">
        <v>635</v>
      </c>
      <c r="B328" t="s">
        <v>749</v>
      </c>
      <c r="C328" t="s">
        <v>58</v>
      </c>
      <c r="D328">
        <v>60</v>
      </c>
      <c r="E328">
        <v>377.66000366210938</v>
      </c>
    </row>
    <row r="329" spans="1:5" x14ac:dyDescent="0.3">
      <c r="A329" t="s">
        <v>637</v>
      </c>
      <c r="B329" t="s">
        <v>1329</v>
      </c>
      <c r="C329" t="s">
        <v>66</v>
      </c>
      <c r="D329">
        <v>370</v>
      </c>
      <c r="E329">
        <v>441.25</v>
      </c>
    </row>
    <row r="330" spans="1:5" x14ac:dyDescent="0.3">
      <c r="A330" t="s">
        <v>638</v>
      </c>
      <c r="B330" t="s">
        <v>574</v>
      </c>
      <c r="C330" t="s">
        <v>13</v>
      </c>
      <c r="D330">
        <v>60</v>
      </c>
      <c r="E330">
        <v>405.97000122070313</v>
      </c>
    </row>
    <row r="331" spans="1:5" x14ac:dyDescent="0.3">
      <c r="A331" t="s">
        <v>640</v>
      </c>
      <c r="B331" t="s">
        <v>283</v>
      </c>
      <c r="C331" t="s">
        <v>42</v>
      </c>
      <c r="D331">
        <v>470</v>
      </c>
      <c r="E331">
        <v>501.55999755859375</v>
      </c>
    </row>
    <row r="332" spans="1:5" x14ac:dyDescent="0.3">
      <c r="A332" t="s">
        <v>642</v>
      </c>
      <c r="B332" t="s">
        <v>963</v>
      </c>
      <c r="C332" t="s">
        <v>39</v>
      </c>
      <c r="D332">
        <v>410</v>
      </c>
      <c r="E332">
        <v>28.069999694824219</v>
      </c>
    </row>
    <row r="333" spans="1:5" x14ac:dyDescent="0.3">
      <c r="A333" t="s">
        <v>644</v>
      </c>
      <c r="B333" t="s">
        <v>944</v>
      </c>
      <c r="C333" t="s">
        <v>42</v>
      </c>
      <c r="D333">
        <v>430</v>
      </c>
      <c r="E333">
        <v>105.84999847412109</v>
      </c>
    </row>
    <row r="334" spans="1:5" x14ac:dyDescent="0.3">
      <c r="A334" t="s">
        <v>645</v>
      </c>
      <c r="B334" t="s">
        <v>182</v>
      </c>
      <c r="C334" t="s">
        <v>19</v>
      </c>
      <c r="D334">
        <v>60</v>
      </c>
      <c r="E334">
        <v>425.57998657226563</v>
      </c>
    </row>
    <row r="335" spans="1:5" x14ac:dyDescent="0.3">
      <c r="A335" t="s">
        <v>647</v>
      </c>
      <c r="B335" t="s">
        <v>626</v>
      </c>
      <c r="C335" t="s">
        <v>36</v>
      </c>
      <c r="D335">
        <v>20</v>
      </c>
      <c r="E335">
        <v>498.260009765625</v>
      </c>
    </row>
    <row r="336" spans="1:5" x14ac:dyDescent="0.3">
      <c r="A336" t="s">
        <v>649</v>
      </c>
      <c r="B336" t="s">
        <v>1666</v>
      </c>
      <c r="C336" t="s">
        <v>62</v>
      </c>
      <c r="D336">
        <v>60</v>
      </c>
      <c r="E336">
        <v>405.16000366210938</v>
      </c>
    </row>
    <row r="337" spans="1:5" x14ac:dyDescent="0.3">
      <c r="A337" t="s">
        <v>650</v>
      </c>
      <c r="B337" t="s">
        <v>1823</v>
      </c>
      <c r="C337" t="s">
        <v>59</v>
      </c>
      <c r="D337">
        <v>110</v>
      </c>
      <c r="E337">
        <v>47.919998168945313</v>
      </c>
    </row>
    <row r="338" spans="1:5" x14ac:dyDescent="0.3">
      <c r="A338" t="s">
        <v>651</v>
      </c>
      <c r="B338" t="s">
        <v>1564</v>
      </c>
      <c r="C338" t="s">
        <v>25</v>
      </c>
      <c r="D338">
        <v>110</v>
      </c>
      <c r="E338">
        <v>398.44000244140625</v>
      </c>
    </row>
    <row r="339" spans="1:5" x14ac:dyDescent="0.3">
      <c r="A339" t="s">
        <v>652</v>
      </c>
      <c r="B339" t="s">
        <v>751</v>
      </c>
      <c r="C339" t="s">
        <v>53</v>
      </c>
      <c r="D339">
        <v>200</v>
      </c>
      <c r="E339">
        <v>248.97999572753906</v>
      </c>
    </row>
    <row r="340" spans="1:5" x14ac:dyDescent="0.3">
      <c r="A340" t="s">
        <v>654</v>
      </c>
      <c r="B340" t="s">
        <v>1248</v>
      </c>
      <c r="C340" t="s">
        <v>38</v>
      </c>
      <c r="D340">
        <v>20</v>
      </c>
      <c r="E340">
        <v>462.07000732421875</v>
      </c>
    </row>
    <row r="341" spans="1:5" x14ac:dyDescent="0.3">
      <c r="A341" t="s">
        <v>656</v>
      </c>
      <c r="B341" t="s">
        <v>913</v>
      </c>
      <c r="C341" t="s">
        <v>21</v>
      </c>
      <c r="D341">
        <v>420</v>
      </c>
      <c r="E341">
        <v>220.58000183105469</v>
      </c>
    </row>
    <row r="342" spans="1:5" x14ac:dyDescent="0.3">
      <c r="A342" t="s">
        <v>658</v>
      </c>
      <c r="B342" t="s">
        <v>1593</v>
      </c>
      <c r="C342" t="s">
        <v>52</v>
      </c>
      <c r="D342">
        <v>240</v>
      </c>
      <c r="E342">
        <v>277.67999267578125</v>
      </c>
    </row>
    <row r="343" spans="1:5" x14ac:dyDescent="0.3">
      <c r="A343" t="s">
        <v>660</v>
      </c>
      <c r="B343" t="s">
        <v>746</v>
      </c>
      <c r="C343" t="s">
        <v>59</v>
      </c>
      <c r="D343">
        <v>20</v>
      </c>
      <c r="E343">
        <v>206.85000610351563</v>
      </c>
    </row>
    <row r="344" spans="1:5" x14ac:dyDescent="0.3">
      <c r="A344" t="s">
        <v>662</v>
      </c>
      <c r="B344" t="s">
        <v>97</v>
      </c>
      <c r="C344" t="s">
        <v>44</v>
      </c>
      <c r="D344">
        <v>320</v>
      </c>
      <c r="E344">
        <v>151.91000366210938</v>
      </c>
    </row>
    <row r="345" spans="1:5" x14ac:dyDescent="0.3">
      <c r="A345" t="s">
        <v>664</v>
      </c>
      <c r="B345" t="s">
        <v>2896</v>
      </c>
      <c r="C345" t="s">
        <v>18</v>
      </c>
      <c r="D345">
        <v>380</v>
      </c>
      <c r="E345">
        <v>76.949996948242188</v>
      </c>
    </row>
    <row r="346" spans="1:5" x14ac:dyDescent="0.3">
      <c r="A346" t="s">
        <v>666</v>
      </c>
      <c r="B346" t="s">
        <v>1326</v>
      </c>
      <c r="C346" t="s">
        <v>61</v>
      </c>
      <c r="D346">
        <v>450</v>
      </c>
      <c r="E346">
        <v>16.399999618530273</v>
      </c>
    </row>
    <row r="347" spans="1:5" x14ac:dyDescent="0.3">
      <c r="A347" t="s">
        <v>668</v>
      </c>
      <c r="B347" t="s">
        <v>1403</v>
      </c>
      <c r="C347" t="s">
        <v>19</v>
      </c>
      <c r="D347">
        <v>500</v>
      </c>
      <c r="E347">
        <v>325.010009765625</v>
      </c>
    </row>
    <row r="348" spans="1:5" x14ac:dyDescent="0.3">
      <c r="A348" t="s">
        <v>670</v>
      </c>
      <c r="B348" t="s">
        <v>1326</v>
      </c>
      <c r="C348" t="s">
        <v>49</v>
      </c>
      <c r="D348">
        <v>460</v>
      </c>
      <c r="E348">
        <v>427.80999755859375</v>
      </c>
    </row>
    <row r="349" spans="1:5" x14ac:dyDescent="0.3">
      <c r="A349" t="s">
        <v>671</v>
      </c>
      <c r="B349" t="s">
        <v>568</v>
      </c>
      <c r="C349" t="s">
        <v>10</v>
      </c>
      <c r="D349">
        <v>500</v>
      </c>
      <c r="E349">
        <v>70.160003662109375</v>
      </c>
    </row>
    <row r="350" spans="1:5" x14ac:dyDescent="0.3">
      <c r="A350" t="s">
        <v>672</v>
      </c>
      <c r="B350" t="s">
        <v>918</v>
      </c>
      <c r="C350" t="s">
        <v>19</v>
      </c>
      <c r="D350">
        <v>270</v>
      </c>
      <c r="E350">
        <v>67.75</v>
      </c>
    </row>
    <row r="351" spans="1:5" x14ac:dyDescent="0.3">
      <c r="A351" t="s">
        <v>673</v>
      </c>
      <c r="B351" t="s">
        <v>1608</v>
      </c>
      <c r="C351" t="s">
        <v>21</v>
      </c>
      <c r="D351">
        <v>140</v>
      </c>
      <c r="E351">
        <v>56.560001373291016</v>
      </c>
    </row>
    <row r="352" spans="1:5" x14ac:dyDescent="0.3">
      <c r="A352" t="s">
        <v>674</v>
      </c>
      <c r="B352" t="s">
        <v>2499</v>
      </c>
      <c r="C352" t="s">
        <v>13</v>
      </c>
      <c r="D352">
        <v>460</v>
      </c>
      <c r="E352">
        <v>242.88999938964844</v>
      </c>
    </row>
    <row r="353" spans="1:5" x14ac:dyDescent="0.3">
      <c r="A353" t="s">
        <v>675</v>
      </c>
      <c r="B353" t="s">
        <v>1551</v>
      </c>
      <c r="C353" t="s">
        <v>29</v>
      </c>
      <c r="D353">
        <v>300</v>
      </c>
      <c r="E353">
        <v>153.33999633789063</v>
      </c>
    </row>
    <row r="354" spans="1:5" x14ac:dyDescent="0.3">
      <c r="A354" t="s">
        <v>677</v>
      </c>
      <c r="B354" t="s">
        <v>944</v>
      </c>
      <c r="C354" t="s">
        <v>15</v>
      </c>
      <c r="D354">
        <v>210</v>
      </c>
      <c r="E354">
        <v>384.85000610351563</v>
      </c>
    </row>
    <row r="355" spans="1:5" x14ac:dyDescent="0.3">
      <c r="A355" t="s">
        <v>678</v>
      </c>
      <c r="B355" t="s">
        <v>141</v>
      </c>
      <c r="C355" t="s">
        <v>28</v>
      </c>
      <c r="D355">
        <v>470</v>
      </c>
      <c r="E355">
        <v>354.64999389648438</v>
      </c>
    </row>
    <row r="356" spans="1:5" x14ac:dyDescent="0.3">
      <c r="A356" t="s">
        <v>679</v>
      </c>
      <c r="B356" t="s">
        <v>145</v>
      </c>
      <c r="C356" t="s">
        <v>32</v>
      </c>
      <c r="D356">
        <v>340</v>
      </c>
      <c r="E356">
        <v>50.279998779296875</v>
      </c>
    </row>
    <row r="357" spans="1:5" x14ac:dyDescent="0.3">
      <c r="A357" t="s">
        <v>680</v>
      </c>
      <c r="B357" t="s">
        <v>1530</v>
      </c>
      <c r="C357" t="s">
        <v>29</v>
      </c>
      <c r="D357">
        <v>290</v>
      </c>
      <c r="E357">
        <v>279.6199951171875</v>
      </c>
    </row>
    <row r="358" spans="1:5" x14ac:dyDescent="0.3">
      <c r="A358" t="s">
        <v>682</v>
      </c>
      <c r="B358" t="s">
        <v>1521</v>
      </c>
      <c r="C358" t="s">
        <v>69</v>
      </c>
      <c r="D358">
        <v>280</v>
      </c>
      <c r="E358">
        <v>420.82000732421875</v>
      </c>
    </row>
    <row r="359" spans="1:5" x14ac:dyDescent="0.3">
      <c r="A359" t="s">
        <v>683</v>
      </c>
      <c r="B359" t="s">
        <v>228</v>
      </c>
      <c r="C359" t="s">
        <v>58</v>
      </c>
      <c r="D359">
        <v>500</v>
      </c>
      <c r="E359">
        <v>172.38999938964844</v>
      </c>
    </row>
    <row r="360" spans="1:5" x14ac:dyDescent="0.3">
      <c r="A360" t="s">
        <v>685</v>
      </c>
      <c r="B360" t="s">
        <v>491</v>
      </c>
      <c r="C360" t="s">
        <v>56</v>
      </c>
      <c r="D360">
        <v>110</v>
      </c>
      <c r="E360">
        <v>303.1099853515625</v>
      </c>
    </row>
    <row r="361" spans="1:5" x14ac:dyDescent="0.3">
      <c r="A361" t="s">
        <v>687</v>
      </c>
      <c r="B361" t="s">
        <v>608</v>
      </c>
      <c r="C361" t="s">
        <v>39</v>
      </c>
      <c r="D361">
        <v>490</v>
      </c>
      <c r="E361">
        <v>402.10000610351563</v>
      </c>
    </row>
    <row r="362" spans="1:5" x14ac:dyDescent="0.3">
      <c r="A362" t="s">
        <v>689</v>
      </c>
      <c r="B362" t="s">
        <v>1895</v>
      </c>
      <c r="C362" t="s">
        <v>31</v>
      </c>
      <c r="D362">
        <v>10</v>
      </c>
      <c r="E362">
        <v>128.78999328613281</v>
      </c>
    </row>
    <row r="363" spans="1:5" x14ac:dyDescent="0.3">
      <c r="A363" t="s">
        <v>691</v>
      </c>
      <c r="B363" t="s">
        <v>944</v>
      </c>
      <c r="C363" t="s">
        <v>18</v>
      </c>
      <c r="D363">
        <v>250</v>
      </c>
      <c r="E363">
        <v>462.89999389648438</v>
      </c>
    </row>
    <row r="364" spans="1:5" x14ac:dyDescent="0.3">
      <c r="A364" t="s">
        <v>693</v>
      </c>
      <c r="B364" t="s">
        <v>2876</v>
      </c>
      <c r="C364" t="s">
        <v>56</v>
      </c>
      <c r="D364">
        <v>290</v>
      </c>
      <c r="E364">
        <v>454.5</v>
      </c>
    </row>
    <row r="365" spans="1:5" x14ac:dyDescent="0.3">
      <c r="A365" t="s">
        <v>694</v>
      </c>
      <c r="B365" t="s">
        <v>1246</v>
      </c>
      <c r="C365" t="s">
        <v>18</v>
      </c>
      <c r="D365">
        <v>420</v>
      </c>
      <c r="E365">
        <v>473.92999267578125</v>
      </c>
    </row>
    <row r="366" spans="1:5" x14ac:dyDescent="0.3">
      <c r="A366" t="s">
        <v>696</v>
      </c>
      <c r="B366" t="s">
        <v>442</v>
      </c>
      <c r="C366" t="s">
        <v>36</v>
      </c>
      <c r="D366">
        <v>400</v>
      </c>
      <c r="E366">
        <v>461.8800048828125</v>
      </c>
    </row>
    <row r="367" spans="1:5" x14ac:dyDescent="0.3">
      <c r="A367" t="s">
        <v>697</v>
      </c>
      <c r="B367" t="s">
        <v>994</v>
      </c>
      <c r="C367" t="s">
        <v>60</v>
      </c>
      <c r="D367">
        <v>240</v>
      </c>
      <c r="E367">
        <v>179.32000732421875</v>
      </c>
    </row>
    <row r="368" spans="1:5" x14ac:dyDescent="0.3">
      <c r="A368" t="s">
        <v>699</v>
      </c>
      <c r="B368" t="s">
        <v>387</v>
      </c>
      <c r="C368" t="s">
        <v>57</v>
      </c>
      <c r="D368">
        <v>400</v>
      </c>
      <c r="E368">
        <v>457.57000732421875</v>
      </c>
    </row>
    <row r="369" spans="1:5" x14ac:dyDescent="0.3">
      <c r="A369" t="s">
        <v>700</v>
      </c>
      <c r="B369" t="s">
        <v>370</v>
      </c>
      <c r="C369" t="s">
        <v>61</v>
      </c>
      <c r="D369">
        <v>90</v>
      </c>
      <c r="E369">
        <v>448.22000122070313</v>
      </c>
    </row>
    <row r="370" spans="1:5" x14ac:dyDescent="0.3">
      <c r="A370" t="s">
        <v>702</v>
      </c>
      <c r="B370" t="s">
        <v>1732</v>
      </c>
      <c r="C370" t="s">
        <v>52</v>
      </c>
      <c r="D370">
        <v>480</v>
      </c>
      <c r="E370">
        <v>373.20999145507813</v>
      </c>
    </row>
    <row r="371" spans="1:5" x14ac:dyDescent="0.3">
      <c r="A371" t="s">
        <v>704</v>
      </c>
      <c r="B371" t="s">
        <v>1415</v>
      </c>
      <c r="C371" t="s">
        <v>18</v>
      </c>
      <c r="D371">
        <v>470</v>
      </c>
      <c r="E371">
        <v>274.76998901367188</v>
      </c>
    </row>
    <row r="372" spans="1:5" x14ac:dyDescent="0.3">
      <c r="A372" t="s">
        <v>706</v>
      </c>
      <c r="B372" t="s">
        <v>1248</v>
      </c>
      <c r="C372" t="s">
        <v>18</v>
      </c>
      <c r="D372">
        <v>450</v>
      </c>
      <c r="E372">
        <v>265.45001220703125</v>
      </c>
    </row>
    <row r="373" spans="1:5" x14ac:dyDescent="0.3">
      <c r="A373" t="s">
        <v>708</v>
      </c>
      <c r="B373" t="s">
        <v>258</v>
      </c>
      <c r="C373" t="s">
        <v>65</v>
      </c>
      <c r="D373">
        <v>10</v>
      </c>
      <c r="E373">
        <v>278.1099853515625</v>
      </c>
    </row>
    <row r="374" spans="1:5" x14ac:dyDescent="0.3">
      <c r="A374" t="s">
        <v>709</v>
      </c>
      <c r="B374" t="s">
        <v>522</v>
      </c>
      <c r="C374" t="s">
        <v>44</v>
      </c>
      <c r="D374">
        <v>250</v>
      </c>
      <c r="E374">
        <v>315.92001342773438</v>
      </c>
    </row>
    <row r="375" spans="1:5" x14ac:dyDescent="0.3">
      <c r="A375" t="s">
        <v>710</v>
      </c>
      <c r="B375" t="s">
        <v>375</v>
      </c>
      <c r="C375" t="s">
        <v>45</v>
      </c>
      <c r="D375">
        <v>460</v>
      </c>
      <c r="E375">
        <v>202.3699951171875</v>
      </c>
    </row>
    <row r="376" spans="1:5" x14ac:dyDescent="0.3">
      <c r="A376" t="s">
        <v>712</v>
      </c>
      <c r="B376" t="s">
        <v>2897</v>
      </c>
      <c r="C376" t="s">
        <v>36</v>
      </c>
      <c r="D376">
        <v>-50</v>
      </c>
      <c r="E376">
        <v>277.07000732421875</v>
      </c>
    </row>
    <row r="377" spans="1:5" x14ac:dyDescent="0.3">
      <c r="A377" t="s">
        <v>713</v>
      </c>
      <c r="B377" t="s">
        <v>213</v>
      </c>
      <c r="C377" t="s">
        <v>62</v>
      </c>
      <c r="D377">
        <v>90</v>
      </c>
      <c r="E377">
        <v>233.1199951171875</v>
      </c>
    </row>
    <row r="378" spans="1:5" x14ac:dyDescent="0.3">
      <c r="A378" t="s">
        <v>715</v>
      </c>
      <c r="B378" t="s">
        <v>749</v>
      </c>
      <c r="C378" t="s">
        <v>10</v>
      </c>
      <c r="D378">
        <v>20</v>
      </c>
      <c r="E378">
        <v>373.94000244140625</v>
      </c>
    </row>
    <row r="379" spans="1:5" x14ac:dyDescent="0.3">
      <c r="A379" t="s">
        <v>717</v>
      </c>
      <c r="B379" t="s">
        <v>1740</v>
      </c>
      <c r="C379" t="s">
        <v>68</v>
      </c>
      <c r="D379">
        <v>430</v>
      </c>
      <c r="E379">
        <v>44.479999542236328</v>
      </c>
    </row>
    <row r="380" spans="1:5" x14ac:dyDescent="0.3">
      <c r="A380" t="s">
        <v>718</v>
      </c>
      <c r="B380" t="s">
        <v>786</v>
      </c>
      <c r="C380" t="s">
        <v>45</v>
      </c>
      <c r="D380">
        <v>130</v>
      </c>
      <c r="E380">
        <v>97.550003051757813</v>
      </c>
    </row>
    <row r="381" spans="1:5" x14ac:dyDescent="0.3">
      <c r="A381" t="s">
        <v>719</v>
      </c>
      <c r="B381" t="s">
        <v>2898</v>
      </c>
      <c r="C381" t="s">
        <v>64</v>
      </c>
      <c r="D381">
        <v>320</v>
      </c>
      <c r="E381">
        <v>143.72000122070313</v>
      </c>
    </row>
    <row r="382" spans="1:5" x14ac:dyDescent="0.3">
      <c r="A382" t="s">
        <v>720</v>
      </c>
      <c r="B382" t="s">
        <v>1486</v>
      </c>
      <c r="C382" t="s">
        <v>66</v>
      </c>
      <c r="D382">
        <v>380</v>
      </c>
      <c r="E382">
        <v>301.41000366210938</v>
      </c>
    </row>
    <row r="383" spans="1:5" x14ac:dyDescent="0.3">
      <c r="A383" t="s">
        <v>722</v>
      </c>
      <c r="B383" t="s">
        <v>2898</v>
      </c>
      <c r="C383" t="s">
        <v>62</v>
      </c>
      <c r="D383">
        <v>100</v>
      </c>
      <c r="E383">
        <v>446.83999633789063</v>
      </c>
    </row>
    <row r="384" spans="1:5" x14ac:dyDescent="0.3">
      <c r="A384" t="s">
        <v>723</v>
      </c>
      <c r="B384" t="s">
        <v>109</v>
      </c>
      <c r="C384" t="s">
        <v>49</v>
      </c>
      <c r="D384">
        <v>440</v>
      </c>
      <c r="E384">
        <v>464.04000854492188</v>
      </c>
    </row>
    <row r="385" spans="1:5" x14ac:dyDescent="0.3">
      <c r="A385" t="s">
        <v>725</v>
      </c>
      <c r="B385" t="s">
        <v>228</v>
      </c>
      <c r="C385" t="s">
        <v>37</v>
      </c>
      <c r="D385">
        <v>270</v>
      </c>
      <c r="E385">
        <v>494.8699951171875</v>
      </c>
    </row>
    <row r="386" spans="1:5" x14ac:dyDescent="0.3">
      <c r="A386" t="s">
        <v>726</v>
      </c>
      <c r="B386" t="s">
        <v>389</v>
      </c>
      <c r="C386" t="s">
        <v>23</v>
      </c>
      <c r="D386">
        <v>120</v>
      </c>
      <c r="E386">
        <v>188.96000671386719</v>
      </c>
    </row>
    <row r="387" spans="1:5" x14ac:dyDescent="0.3">
      <c r="A387" t="s">
        <v>727</v>
      </c>
      <c r="B387" t="s">
        <v>1553</v>
      </c>
      <c r="C387" t="s">
        <v>29</v>
      </c>
      <c r="D387">
        <v>440</v>
      </c>
      <c r="E387">
        <v>453.80999755859375</v>
      </c>
    </row>
    <row r="388" spans="1:5" x14ac:dyDescent="0.3">
      <c r="A388" t="s">
        <v>729</v>
      </c>
      <c r="B388" t="s">
        <v>1998</v>
      </c>
      <c r="C388" t="s">
        <v>49</v>
      </c>
      <c r="D388">
        <v>340</v>
      </c>
      <c r="E388">
        <v>204.69000244140625</v>
      </c>
    </row>
    <row r="389" spans="1:5" x14ac:dyDescent="0.3">
      <c r="A389" t="s">
        <v>731</v>
      </c>
      <c r="B389" t="s">
        <v>113</v>
      </c>
      <c r="C389" t="s">
        <v>43</v>
      </c>
      <c r="D389">
        <v>350</v>
      </c>
      <c r="E389">
        <v>114.69000244140625</v>
      </c>
    </row>
    <row r="390" spans="1:5" x14ac:dyDescent="0.3">
      <c r="A390" t="s">
        <v>732</v>
      </c>
      <c r="B390" t="s">
        <v>524</v>
      </c>
      <c r="C390" t="s">
        <v>69</v>
      </c>
      <c r="D390">
        <v>150</v>
      </c>
      <c r="E390">
        <v>364.73001098632813</v>
      </c>
    </row>
    <row r="391" spans="1:5" x14ac:dyDescent="0.3">
      <c r="A391" t="s">
        <v>734</v>
      </c>
      <c r="B391" t="s">
        <v>2421</v>
      </c>
      <c r="C391" t="s">
        <v>37</v>
      </c>
      <c r="D391">
        <v>350</v>
      </c>
      <c r="E391">
        <v>393.51998901367188</v>
      </c>
    </row>
    <row r="392" spans="1:5" x14ac:dyDescent="0.3">
      <c r="A392" t="s">
        <v>736</v>
      </c>
      <c r="B392" t="s">
        <v>453</v>
      </c>
      <c r="C392" t="s">
        <v>56</v>
      </c>
      <c r="D392">
        <v>210</v>
      </c>
      <c r="E392">
        <v>147.60000610351563</v>
      </c>
    </row>
    <row r="393" spans="1:5" x14ac:dyDescent="0.3">
      <c r="A393" t="s">
        <v>738</v>
      </c>
      <c r="B393" t="s">
        <v>375</v>
      </c>
      <c r="C393" t="s">
        <v>37</v>
      </c>
      <c r="D393">
        <v>430</v>
      </c>
      <c r="E393">
        <v>331.32000732421875</v>
      </c>
    </row>
    <row r="394" spans="1:5" x14ac:dyDescent="0.3">
      <c r="A394" t="s">
        <v>740</v>
      </c>
      <c r="B394" t="s">
        <v>2136</v>
      </c>
      <c r="C394" t="s">
        <v>41</v>
      </c>
      <c r="D394">
        <v>340</v>
      </c>
      <c r="E394">
        <v>156.82000732421875</v>
      </c>
    </row>
    <row r="395" spans="1:5" x14ac:dyDescent="0.3">
      <c r="A395" t="s">
        <v>742</v>
      </c>
      <c r="B395" t="s">
        <v>2271</v>
      </c>
      <c r="C395" t="s">
        <v>33</v>
      </c>
      <c r="D395">
        <v>210</v>
      </c>
      <c r="E395">
        <v>94.089996337890625</v>
      </c>
    </row>
    <row r="396" spans="1:5" x14ac:dyDescent="0.3">
      <c r="A396" t="s">
        <v>744</v>
      </c>
      <c r="B396" t="s">
        <v>1924</v>
      </c>
      <c r="C396" t="s">
        <v>16</v>
      </c>
      <c r="D396">
        <v>450</v>
      </c>
      <c r="E396">
        <v>120.91000366210938</v>
      </c>
    </row>
    <row r="397" spans="1:5" x14ac:dyDescent="0.3">
      <c r="A397" t="s">
        <v>745</v>
      </c>
      <c r="B397" t="s">
        <v>1914</v>
      </c>
      <c r="C397" t="s">
        <v>23</v>
      </c>
      <c r="D397">
        <v>420</v>
      </c>
      <c r="E397">
        <v>472.8699951171875</v>
      </c>
    </row>
    <row r="398" spans="1:5" x14ac:dyDescent="0.3">
      <c r="A398" t="s">
        <v>747</v>
      </c>
      <c r="B398" t="s">
        <v>321</v>
      </c>
      <c r="C398" t="s">
        <v>59</v>
      </c>
      <c r="D398">
        <v>100</v>
      </c>
      <c r="E398">
        <v>393.3800048828125</v>
      </c>
    </row>
    <row r="399" spans="1:5" x14ac:dyDescent="0.3">
      <c r="A399" t="s">
        <v>748</v>
      </c>
      <c r="B399" t="s">
        <v>604</v>
      </c>
      <c r="C399" t="s">
        <v>31</v>
      </c>
      <c r="D399">
        <v>410</v>
      </c>
      <c r="E399">
        <v>383.66000366210938</v>
      </c>
    </row>
    <row r="400" spans="1:5" x14ac:dyDescent="0.3">
      <c r="A400" t="s">
        <v>750</v>
      </c>
      <c r="B400" t="s">
        <v>201</v>
      </c>
      <c r="C400" t="s">
        <v>65</v>
      </c>
      <c r="D400">
        <v>450</v>
      </c>
      <c r="E400">
        <v>452.739990234375</v>
      </c>
    </row>
    <row r="401" spans="1:5" x14ac:dyDescent="0.3">
      <c r="A401" t="s">
        <v>752</v>
      </c>
      <c r="B401" t="s">
        <v>1570</v>
      </c>
      <c r="C401" t="s">
        <v>15</v>
      </c>
      <c r="D401">
        <v>190</v>
      </c>
      <c r="E401">
        <v>367.47000122070313</v>
      </c>
    </row>
    <row r="402" spans="1:5" x14ac:dyDescent="0.3">
      <c r="A402" t="s">
        <v>754</v>
      </c>
      <c r="B402" t="s">
        <v>1892</v>
      </c>
      <c r="C402" t="s">
        <v>15</v>
      </c>
      <c r="D402">
        <v>-50</v>
      </c>
      <c r="E402">
        <v>414.07000732421875</v>
      </c>
    </row>
    <row r="403" spans="1:5" x14ac:dyDescent="0.3">
      <c r="A403" t="s">
        <v>756</v>
      </c>
      <c r="B403" t="s">
        <v>2899</v>
      </c>
      <c r="C403" t="s">
        <v>124</v>
      </c>
      <c r="D403">
        <v>200</v>
      </c>
      <c r="E403">
        <v>69.389999389648438</v>
      </c>
    </row>
    <row r="404" spans="1:5" x14ac:dyDescent="0.3">
      <c r="A404" t="s">
        <v>758</v>
      </c>
      <c r="B404" t="s">
        <v>1553</v>
      </c>
      <c r="C404" t="s">
        <v>32</v>
      </c>
      <c r="D404">
        <v>130</v>
      </c>
      <c r="E404">
        <v>480.22000122070313</v>
      </c>
    </row>
    <row r="405" spans="1:5" x14ac:dyDescent="0.3">
      <c r="A405" t="s">
        <v>759</v>
      </c>
      <c r="B405" t="s">
        <v>721</v>
      </c>
      <c r="C405" t="s">
        <v>13</v>
      </c>
      <c r="D405">
        <v>110</v>
      </c>
      <c r="E405">
        <v>203.58999633789063</v>
      </c>
    </row>
    <row r="406" spans="1:5" x14ac:dyDescent="0.3">
      <c r="A406" t="s">
        <v>760</v>
      </c>
      <c r="B406" t="s">
        <v>577</v>
      </c>
      <c r="C406" t="s">
        <v>10</v>
      </c>
      <c r="D406">
        <v>270</v>
      </c>
      <c r="E406">
        <v>52.25</v>
      </c>
    </row>
    <row r="407" spans="1:5" x14ac:dyDescent="0.3">
      <c r="A407" t="s">
        <v>761</v>
      </c>
      <c r="B407" t="s">
        <v>2900</v>
      </c>
      <c r="C407" t="s">
        <v>62</v>
      </c>
      <c r="D407">
        <v>410</v>
      </c>
      <c r="E407">
        <v>440.489990234375</v>
      </c>
    </row>
    <row r="408" spans="1:5" x14ac:dyDescent="0.3">
      <c r="A408" t="s">
        <v>763</v>
      </c>
      <c r="B408" t="s">
        <v>886</v>
      </c>
      <c r="C408" t="s">
        <v>52</v>
      </c>
      <c r="D408">
        <v>180</v>
      </c>
      <c r="E408">
        <v>134.19000244140625</v>
      </c>
    </row>
    <row r="409" spans="1:5" x14ac:dyDescent="0.3">
      <c r="A409" t="s">
        <v>764</v>
      </c>
      <c r="B409" t="s">
        <v>1334</v>
      </c>
      <c r="C409" t="s">
        <v>42</v>
      </c>
      <c r="D409">
        <v>370</v>
      </c>
      <c r="E409">
        <v>500.77999877929688</v>
      </c>
    </row>
    <row r="410" spans="1:5" x14ac:dyDescent="0.3">
      <c r="A410" t="s">
        <v>765</v>
      </c>
      <c r="B410" t="s">
        <v>1403</v>
      </c>
      <c r="C410" t="s">
        <v>65</v>
      </c>
      <c r="D410">
        <v>160</v>
      </c>
      <c r="E410">
        <v>259.260009765625</v>
      </c>
    </row>
    <row r="411" spans="1:5" x14ac:dyDescent="0.3">
      <c r="A411" t="s">
        <v>766</v>
      </c>
      <c r="B411" t="s">
        <v>1803</v>
      </c>
      <c r="C411" t="s">
        <v>36</v>
      </c>
      <c r="D411">
        <v>360</v>
      </c>
      <c r="E411">
        <v>230.16999816894531</v>
      </c>
    </row>
    <row r="412" spans="1:5" x14ac:dyDescent="0.3">
      <c r="A412" t="s">
        <v>768</v>
      </c>
      <c r="B412" t="s">
        <v>929</v>
      </c>
      <c r="C412" t="s">
        <v>60</v>
      </c>
      <c r="D412">
        <v>160</v>
      </c>
      <c r="E412">
        <v>85.650001525878906</v>
      </c>
    </row>
    <row r="413" spans="1:5" x14ac:dyDescent="0.3">
      <c r="A413" t="s">
        <v>770</v>
      </c>
      <c r="B413" t="s">
        <v>2901</v>
      </c>
      <c r="C413" t="s">
        <v>16</v>
      </c>
      <c r="D413">
        <v>400</v>
      </c>
      <c r="E413">
        <v>99.360000610351563</v>
      </c>
    </row>
    <row r="414" spans="1:5" x14ac:dyDescent="0.3">
      <c r="A414" t="s">
        <v>772</v>
      </c>
      <c r="B414" t="s">
        <v>2105</v>
      </c>
      <c r="C414" t="s">
        <v>49</v>
      </c>
      <c r="D414">
        <v>270</v>
      </c>
      <c r="E414">
        <v>396.55999755859375</v>
      </c>
    </row>
    <row r="415" spans="1:5" x14ac:dyDescent="0.3">
      <c r="A415" t="s">
        <v>773</v>
      </c>
      <c r="B415" t="s">
        <v>1545</v>
      </c>
      <c r="C415" t="s">
        <v>47</v>
      </c>
      <c r="D415">
        <v>120</v>
      </c>
      <c r="E415">
        <v>204.05999755859375</v>
      </c>
    </row>
    <row r="416" spans="1:5" x14ac:dyDescent="0.3">
      <c r="A416" t="s">
        <v>775</v>
      </c>
      <c r="B416" t="s">
        <v>839</v>
      </c>
      <c r="C416" t="s">
        <v>60</v>
      </c>
      <c r="D416">
        <v>170</v>
      </c>
      <c r="E416">
        <v>100.20999908447266</v>
      </c>
    </row>
    <row r="417" spans="1:5" x14ac:dyDescent="0.3">
      <c r="A417" t="s">
        <v>777</v>
      </c>
      <c r="B417" t="s">
        <v>2902</v>
      </c>
      <c r="C417" t="s">
        <v>67</v>
      </c>
      <c r="D417">
        <v>290</v>
      </c>
      <c r="E417">
        <v>264.95999145507813</v>
      </c>
    </row>
    <row r="418" spans="1:5" x14ac:dyDescent="0.3">
      <c r="A418" t="s">
        <v>779</v>
      </c>
      <c r="B418" t="s">
        <v>1722</v>
      </c>
      <c r="C418" t="s">
        <v>18</v>
      </c>
      <c r="D418">
        <v>200</v>
      </c>
      <c r="E418">
        <v>229.78999328613281</v>
      </c>
    </row>
    <row r="419" spans="1:5" x14ac:dyDescent="0.3">
      <c r="A419" t="s">
        <v>781</v>
      </c>
      <c r="B419" t="s">
        <v>1060</v>
      </c>
      <c r="C419" t="s">
        <v>45</v>
      </c>
      <c r="D419">
        <v>280</v>
      </c>
      <c r="E419">
        <v>127.76999664306641</v>
      </c>
    </row>
    <row r="420" spans="1:5" x14ac:dyDescent="0.3">
      <c r="A420" t="s">
        <v>783</v>
      </c>
      <c r="B420" t="s">
        <v>1469</v>
      </c>
      <c r="C420" t="s">
        <v>53</v>
      </c>
      <c r="D420">
        <v>280</v>
      </c>
      <c r="E420">
        <v>443.510009765625</v>
      </c>
    </row>
    <row r="421" spans="1:5" x14ac:dyDescent="0.3">
      <c r="A421" t="s">
        <v>785</v>
      </c>
      <c r="B421" t="s">
        <v>730</v>
      </c>
      <c r="C421" t="s">
        <v>10</v>
      </c>
      <c r="D421">
        <v>100</v>
      </c>
      <c r="E421">
        <v>263.20001220703125</v>
      </c>
    </row>
    <row r="422" spans="1:5" x14ac:dyDescent="0.3">
      <c r="A422" t="s">
        <v>787</v>
      </c>
      <c r="B422" t="s">
        <v>907</v>
      </c>
      <c r="C422" t="s">
        <v>47</v>
      </c>
      <c r="D422">
        <v>10</v>
      </c>
      <c r="E422">
        <v>24.569999694824219</v>
      </c>
    </row>
    <row r="423" spans="1:5" x14ac:dyDescent="0.3">
      <c r="A423" t="s">
        <v>788</v>
      </c>
      <c r="B423" t="s">
        <v>1669</v>
      </c>
      <c r="C423" t="s">
        <v>29</v>
      </c>
      <c r="D423">
        <v>400</v>
      </c>
      <c r="E423">
        <v>266.94000244140625</v>
      </c>
    </row>
    <row r="424" spans="1:5" x14ac:dyDescent="0.3">
      <c r="A424" t="s">
        <v>790</v>
      </c>
      <c r="B424" t="s">
        <v>1691</v>
      </c>
      <c r="C424" t="s">
        <v>40</v>
      </c>
      <c r="D424">
        <v>70</v>
      </c>
      <c r="E424">
        <v>381.17001342773438</v>
      </c>
    </row>
    <row r="425" spans="1:5" x14ac:dyDescent="0.3">
      <c r="A425" t="s">
        <v>792</v>
      </c>
      <c r="B425" t="s">
        <v>238</v>
      </c>
      <c r="C425" t="s">
        <v>38</v>
      </c>
      <c r="D425">
        <v>430</v>
      </c>
      <c r="E425">
        <v>359.70001220703125</v>
      </c>
    </row>
    <row r="426" spans="1:5" x14ac:dyDescent="0.3">
      <c r="A426" t="s">
        <v>793</v>
      </c>
      <c r="B426" t="s">
        <v>944</v>
      </c>
      <c r="C426" t="s">
        <v>67</v>
      </c>
      <c r="D426">
        <v>290</v>
      </c>
      <c r="E426">
        <v>46.520000457763672</v>
      </c>
    </row>
    <row r="427" spans="1:5" x14ac:dyDescent="0.3">
      <c r="A427" t="s">
        <v>794</v>
      </c>
      <c r="B427" t="s">
        <v>2723</v>
      </c>
      <c r="C427" t="s">
        <v>60</v>
      </c>
      <c r="D427">
        <v>70</v>
      </c>
      <c r="E427">
        <v>387.19000244140625</v>
      </c>
    </row>
    <row r="428" spans="1:5" x14ac:dyDescent="0.3">
      <c r="A428" t="s">
        <v>795</v>
      </c>
      <c r="B428" t="s">
        <v>1141</v>
      </c>
      <c r="C428" t="s">
        <v>18</v>
      </c>
      <c r="D428">
        <v>110</v>
      </c>
      <c r="E428">
        <v>178.82000732421875</v>
      </c>
    </row>
    <row r="429" spans="1:5" x14ac:dyDescent="0.3">
      <c r="A429" t="s">
        <v>797</v>
      </c>
      <c r="B429" t="s">
        <v>878</v>
      </c>
      <c r="C429" t="s">
        <v>16</v>
      </c>
      <c r="D429">
        <v>340</v>
      </c>
      <c r="E429">
        <v>320.10000610351563</v>
      </c>
    </row>
    <row r="430" spans="1:5" x14ac:dyDescent="0.3">
      <c r="A430" t="s">
        <v>798</v>
      </c>
      <c r="B430" t="s">
        <v>1617</v>
      </c>
      <c r="C430" t="s">
        <v>29</v>
      </c>
      <c r="D430">
        <v>110</v>
      </c>
      <c r="E430">
        <v>61.270000457763672</v>
      </c>
    </row>
    <row r="431" spans="1:5" x14ac:dyDescent="0.3">
      <c r="A431" t="s">
        <v>800</v>
      </c>
      <c r="B431" t="s">
        <v>83</v>
      </c>
      <c r="C431" t="s">
        <v>19</v>
      </c>
      <c r="D431">
        <v>370</v>
      </c>
      <c r="E431">
        <v>254.13999938964844</v>
      </c>
    </row>
    <row r="432" spans="1:5" x14ac:dyDescent="0.3">
      <c r="A432" t="s">
        <v>802</v>
      </c>
      <c r="B432" t="s">
        <v>277</v>
      </c>
      <c r="C432" t="s">
        <v>61</v>
      </c>
      <c r="D432">
        <v>480</v>
      </c>
      <c r="E432">
        <v>102.08000183105469</v>
      </c>
    </row>
    <row r="433" spans="1:5" x14ac:dyDescent="0.3">
      <c r="A433" t="s">
        <v>804</v>
      </c>
      <c r="B433" t="s">
        <v>379</v>
      </c>
      <c r="C433" t="s">
        <v>18</v>
      </c>
      <c r="D433">
        <v>420</v>
      </c>
      <c r="E433">
        <v>410.010009765625</v>
      </c>
    </row>
    <row r="434" spans="1:5" x14ac:dyDescent="0.3">
      <c r="A434" t="s">
        <v>806</v>
      </c>
      <c r="B434" t="s">
        <v>616</v>
      </c>
      <c r="C434" t="s">
        <v>124</v>
      </c>
      <c r="D434">
        <v>90</v>
      </c>
      <c r="E434">
        <v>57.779998779296875</v>
      </c>
    </row>
    <row r="435" spans="1:5" x14ac:dyDescent="0.3">
      <c r="A435" t="s">
        <v>807</v>
      </c>
      <c r="B435" t="s">
        <v>1825</v>
      </c>
      <c r="C435" t="s">
        <v>33</v>
      </c>
      <c r="D435">
        <v>100</v>
      </c>
      <c r="E435">
        <v>379.760009765625</v>
      </c>
    </row>
    <row r="436" spans="1:5" x14ac:dyDescent="0.3">
      <c r="A436" t="s">
        <v>808</v>
      </c>
      <c r="B436" t="s">
        <v>1329</v>
      </c>
      <c r="C436" t="s">
        <v>29</v>
      </c>
      <c r="D436">
        <v>440</v>
      </c>
      <c r="E436">
        <v>272.1099853515625</v>
      </c>
    </row>
    <row r="437" spans="1:5" x14ac:dyDescent="0.3">
      <c r="A437" t="s">
        <v>810</v>
      </c>
      <c r="B437" t="s">
        <v>2294</v>
      </c>
      <c r="C437" t="s">
        <v>39</v>
      </c>
      <c r="D437">
        <v>40</v>
      </c>
      <c r="E437">
        <v>247.77999877929688</v>
      </c>
    </row>
    <row r="438" spans="1:5" x14ac:dyDescent="0.3">
      <c r="A438" t="s">
        <v>812</v>
      </c>
      <c r="B438" t="s">
        <v>2903</v>
      </c>
      <c r="C438" t="s">
        <v>64</v>
      </c>
      <c r="D438">
        <v>350</v>
      </c>
      <c r="E438">
        <v>202.52999877929688</v>
      </c>
    </row>
    <row r="439" spans="1:5" x14ac:dyDescent="0.3">
      <c r="A439" t="s">
        <v>813</v>
      </c>
      <c r="B439" t="s">
        <v>505</v>
      </c>
      <c r="C439" t="s">
        <v>59</v>
      </c>
      <c r="D439">
        <v>110</v>
      </c>
      <c r="E439">
        <v>164.91000366210938</v>
      </c>
    </row>
    <row r="440" spans="1:5" x14ac:dyDescent="0.3">
      <c r="A440" t="s">
        <v>814</v>
      </c>
      <c r="B440" t="s">
        <v>1901</v>
      </c>
      <c r="C440" t="s">
        <v>56</v>
      </c>
      <c r="D440">
        <v>100</v>
      </c>
      <c r="E440">
        <v>46.310001373291016</v>
      </c>
    </row>
    <row r="441" spans="1:5" x14ac:dyDescent="0.3">
      <c r="A441" t="s">
        <v>815</v>
      </c>
      <c r="B441" t="s">
        <v>2004</v>
      </c>
      <c r="C441" t="s">
        <v>34</v>
      </c>
      <c r="D441">
        <v>380</v>
      </c>
      <c r="E441">
        <v>390.91000366210938</v>
      </c>
    </row>
    <row r="442" spans="1:5" x14ac:dyDescent="0.3">
      <c r="A442" t="s">
        <v>817</v>
      </c>
      <c r="B442" t="s">
        <v>1125</v>
      </c>
      <c r="C442" t="s">
        <v>61</v>
      </c>
      <c r="D442">
        <v>60</v>
      </c>
      <c r="E442">
        <v>125.70999908447266</v>
      </c>
    </row>
    <row r="443" spans="1:5" x14ac:dyDescent="0.3">
      <c r="A443" t="s">
        <v>819</v>
      </c>
      <c r="B443" t="s">
        <v>2895</v>
      </c>
      <c r="C443" t="s">
        <v>34</v>
      </c>
      <c r="D443">
        <v>50</v>
      </c>
      <c r="E443">
        <v>310.54000854492188</v>
      </c>
    </row>
    <row r="444" spans="1:5" x14ac:dyDescent="0.3">
      <c r="A444" t="s">
        <v>820</v>
      </c>
      <c r="B444" t="s">
        <v>168</v>
      </c>
      <c r="C444" t="s">
        <v>46</v>
      </c>
      <c r="D444">
        <v>270</v>
      </c>
      <c r="E444">
        <v>388.010009765625</v>
      </c>
    </row>
    <row r="445" spans="1:5" x14ac:dyDescent="0.3">
      <c r="A445" t="s">
        <v>821</v>
      </c>
      <c r="B445" t="s">
        <v>224</v>
      </c>
      <c r="C445" t="s">
        <v>23</v>
      </c>
      <c r="D445">
        <v>450</v>
      </c>
      <c r="E445">
        <v>433.57000732421875</v>
      </c>
    </row>
    <row r="446" spans="1:5" x14ac:dyDescent="0.3">
      <c r="A446" t="s">
        <v>823</v>
      </c>
      <c r="B446" t="s">
        <v>2179</v>
      </c>
      <c r="C446" t="s">
        <v>43</v>
      </c>
      <c r="D446">
        <v>360</v>
      </c>
      <c r="E446">
        <v>405.45999145507813</v>
      </c>
    </row>
    <row r="447" spans="1:5" x14ac:dyDescent="0.3">
      <c r="A447" t="s">
        <v>825</v>
      </c>
      <c r="B447" t="s">
        <v>191</v>
      </c>
      <c r="C447" t="s">
        <v>53</v>
      </c>
      <c r="D447">
        <v>40</v>
      </c>
      <c r="E447">
        <v>394.760009765625</v>
      </c>
    </row>
    <row r="448" spans="1:5" x14ac:dyDescent="0.3">
      <c r="A448" t="s">
        <v>827</v>
      </c>
      <c r="B448" t="s">
        <v>365</v>
      </c>
      <c r="C448" t="s">
        <v>41</v>
      </c>
      <c r="D448">
        <v>100</v>
      </c>
      <c r="E448">
        <v>375.33999633789063</v>
      </c>
    </row>
    <row r="449" spans="1:5" x14ac:dyDescent="0.3">
      <c r="A449" t="s">
        <v>828</v>
      </c>
      <c r="B449" t="s">
        <v>711</v>
      </c>
      <c r="C449" t="s">
        <v>53</v>
      </c>
      <c r="D449">
        <v>410</v>
      </c>
      <c r="E449">
        <v>453.8900146484375</v>
      </c>
    </row>
    <row r="450" spans="1:5" x14ac:dyDescent="0.3">
      <c r="A450" t="s">
        <v>830</v>
      </c>
      <c r="B450" t="s">
        <v>1248</v>
      </c>
      <c r="C450" t="s">
        <v>45</v>
      </c>
      <c r="D450">
        <v>390</v>
      </c>
      <c r="E450">
        <v>119.91000366210938</v>
      </c>
    </row>
    <row r="451" spans="1:5" x14ac:dyDescent="0.3">
      <c r="A451" t="s">
        <v>832</v>
      </c>
      <c r="B451" t="s">
        <v>193</v>
      </c>
      <c r="C451" t="s">
        <v>39</v>
      </c>
      <c r="D451">
        <v>250</v>
      </c>
      <c r="E451">
        <v>495.70999145507813</v>
      </c>
    </row>
    <row r="452" spans="1:5" x14ac:dyDescent="0.3">
      <c r="A452" t="s">
        <v>833</v>
      </c>
      <c r="B452" t="s">
        <v>1635</v>
      </c>
      <c r="C452" t="s">
        <v>15</v>
      </c>
      <c r="D452">
        <v>230</v>
      </c>
      <c r="E452">
        <v>86.430000305175781</v>
      </c>
    </row>
    <row r="453" spans="1:5" x14ac:dyDescent="0.3">
      <c r="A453" t="s">
        <v>835</v>
      </c>
      <c r="B453" t="s">
        <v>1128</v>
      </c>
      <c r="C453" t="s">
        <v>36</v>
      </c>
      <c r="D453">
        <v>390</v>
      </c>
      <c r="E453">
        <v>30</v>
      </c>
    </row>
    <row r="454" spans="1:5" x14ac:dyDescent="0.3">
      <c r="A454" t="s">
        <v>836</v>
      </c>
      <c r="B454" t="s">
        <v>663</v>
      </c>
      <c r="C454" t="s">
        <v>52</v>
      </c>
      <c r="D454">
        <v>290</v>
      </c>
      <c r="E454">
        <v>347.17001342773438</v>
      </c>
    </row>
    <row r="455" spans="1:5" x14ac:dyDescent="0.3">
      <c r="A455" t="s">
        <v>838</v>
      </c>
      <c r="B455" t="s">
        <v>228</v>
      </c>
      <c r="C455" t="s">
        <v>28</v>
      </c>
      <c r="D455">
        <v>290</v>
      </c>
      <c r="E455">
        <v>191.50999450683594</v>
      </c>
    </row>
    <row r="456" spans="1:5" x14ac:dyDescent="0.3">
      <c r="A456" t="s">
        <v>840</v>
      </c>
      <c r="B456" t="s">
        <v>2349</v>
      </c>
      <c r="C456" t="s">
        <v>13</v>
      </c>
      <c r="D456">
        <v>310</v>
      </c>
      <c r="E456">
        <v>99.389999389648438</v>
      </c>
    </row>
    <row r="457" spans="1:5" x14ac:dyDescent="0.3">
      <c r="A457" t="s">
        <v>841</v>
      </c>
      <c r="B457" t="s">
        <v>861</v>
      </c>
      <c r="C457" t="s">
        <v>69</v>
      </c>
      <c r="D457">
        <v>30</v>
      </c>
      <c r="E457">
        <v>240.00999450683594</v>
      </c>
    </row>
    <row r="458" spans="1:5" x14ac:dyDescent="0.3">
      <c r="A458" t="s">
        <v>843</v>
      </c>
      <c r="B458" t="s">
        <v>187</v>
      </c>
      <c r="C458" t="s">
        <v>39</v>
      </c>
      <c r="D458">
        <v>200</v>
      </c>
      <c r="E458">
        <v>165.3699951171875</v>
      </c>
    </row>
    <row r="459" spans="1:5" x14ac:dyDescent="0.3">
      <c r="A459" t="s">
        <v>844</v>
      </c>
      <c r="B459" t="s">
        <v>1232</v>
      </c>
      <c r="C459" t="s">
        <v>60</v>
      </c>
      <c r="D459">
        <v>320</v>
      </c>
      <c r="E459">
        <v>60.279998779296875</v>
      </c>
    </row>
    <row r="460" spans="1:5" x14ac:dyDescent="0.3">
      <c r="A460" t="s">
        <v>845</v>
      </c>
      <c r="B460" t="s">
        <v>1153</v>
      </c>
      <c r="C460" t="s">
        <v>13</v>
      </c>
      <c r="D460">
        <v>460</v>
      </c>
      <c r="E460">
        <v>492.3699951171875</v>
      </c>
    </row>
    <row r="461" spans="1:5" x14ac:dyDescent="0.3">
      <c r="A461" t="s">
        <v>846</v>
      </c>
      <c r="B461" t="s">
        <v>2344</v>
      </c>
      <c r="C461" t="s">
        <v>18</v>
      </c>
      <c r="D461">
        <v>480</v>
      </c>
      <c r="E461">
        <v>162.07000732421875</v>
      </c>
    </row>
    <row r="462" spans="1:5" x14ac:dyDescent="0.3">
      <c r="A462" t="s">
        <v>847</v>
      </c>
      <c r="B462" t="s">
        <v>281</v>
      </c>
      <c r="C462" t="s">
        <v>45</v>
      </c>
      <c r="D462">
        <v>260</v>
      </c>
      <c r="E462">
        <v>152.63999938964844</v>
      </c>
    </row>
    <row r="463" spans="1:5" x14ac:dyDescent="0.3">
      <c r="A463" t="s">
        <v>848</v>
      </c>
      <c r="B463" t="s">
        <v>1629</v>
      </c>
      <c r="C463" t="s">
        <v>57</v>
      </c>
      <c r="D463">
        <v>470</v>
      </c>
      <c r="E463">
        <v>180.14999389648438</v>
      </c>
    </row>
    <row r="464" spans="1:5" x14ac:dyDescent="0.3">
      <c r="A464" t="s">
        <v>850</v>
      </c>
      <c r="B464" t="s">
        <v>133</v>
      </c>
      <c r="C464" t="s">
        <v>56</v>
      </c>
      <c r="D464">
        <v>340</v>
      </c>
      <c r="E464">
        <v>343.47000122070313</v>
      </c>
    </row>
    <row r="465" spans="1:5" x14ac:dyDescent="0.3">
      <c r="A465" t="s">
        <v>852</v>
      </c>
      <c r="B465" t="s">
        <v>1174</v>
      </c>
      <c r="C465" t="s">
        <v>45</v>
      </c>
      <c r="D465">
        <v>370</v>
      </c>
      <c r="E465">
        <v>374.29000854492188</v>
      </c>
    </row>
    <row r="466" spans="1:5" x14ac:dyDescent="0.3">
      <c r="A466" t="s">
        <v>853</v>
      </c>
      <c r="B466" t="s">
        <v>1137</v>
      </c>
      <c r="C466" t="s">
        <v>54</v>
      </c>
      <c r="D466">
        <v>110</v>
      </c>
      <c r="E466">
        <v>387.1099853515625</v>
      </c>
    </row>
    <row r="467" spans="1:5" x14ac:dyDescent="0.3">
      <c r="A467" t="s">
        <v>855</v>
      </c>
      <c r="B467" t="s">
        <v>2388</v>
      </c>
      <c r="C467" t="s">
        <v>56</v>
      </c>
      <c r="D467">
        <v>390</v>
      </c>
      <c r="E467">
        <v>129.24000549316406</v>
      </c>
    </row>
    <row r="468" spans="1:5" x14ac:dyDescent="0.3">
      <c r="A468" t="s">
        <v>857</v>
      </c>
      <c r="B468" t="s">
        <v>801</v>
      </c>
      <c r="C468" t="s">
        <v>57</v>
      </c>
      <c r="D468">
        <v>80</v>
      </c>
      <c r="E468">
        <v>230.82000732421875</v>
      </c>
    </row>
    <row r="469" spans="1:5" x14ac:dyDescent="0.3">
      <c r="A469" t="s">
        <v>859</v>
      </c>
      <c r="B469" t="s">
        <v>549</v>
      </c>
      <c r="C469" t="s">
        <v>60</v>
      </c>
      <c r="D469">
        <v>350</v>
      </c>
      <c r="E469">
        <v>454.79000854492188</v>
      </c>
    </row>
    <row r="470" spans="1:5" x14ac:dyDescent="0.3">
      <c r="A470" t="s">
        <v>860</v>
      </c>
      <c r="B470" t="s">
        <v>1248</v>
      </c>
      <c r="C470" t="s">
        <v>42</v>
      </c>
      <c r="D470">
        <v>400</v>
      </c>
      <c r="E470">
        <v>446.8900146484375</v>
      </c>
    </row>
    <row r="471" spans="1:5" x14ac:dyDescent="0.3">
      <c r="A471" t="s">
        <v>862</v>
      </c>
      <c r="B471" t="s">
        <v>396</v>
      </c>
      <c r="C471" t="s">
        <v>39</v>
      </c>
      <c r="D471">
        <v>210</v>
      </c>
      <c r="E471">
        <v>485.69000244140625</v>
      </c>
    </row>
    <row r="472" spans="1:5" x14ac:dyDescent="0.3">
      <c r="A472" t="s">
        <v>863</v>
      </c>
      <c r="B472" t="s">
        <v>2670</v>
      </c>
      <c r="C472" t="s">
        <v>57</v>
      </c>
      <c r="D472">
        <v>330</v>
      </c>
      <c r="E472">
        <v>232.55999755859375</v>
      </c>
    </row>
    <row r="473" spans="1:5" x14ac:dyDescent="0.3">
      <c r="A473" t="s">
        <v>864</v>
      </c>
      <c r="B473" t="s">
        <v>1853</v>
      </c>
      <c r="C473" t="s">
        <v>47</v>
      </c>
      <c r="D473">
        <v>60</v>
      </c>
      <c r="E473">
        <v>481.70001220703125</v>
      </c>
    </row>
    <row r="474" spans="1:5" x14ac:dyDescent="0.3">
      <c r="A474" t="s">
        <v>865</v>
      </c>
      <c r="B474" t="s">
        <v>113</v>
      </c>
      <c r="C474" t="s">
        <v>49</v>
      </c>
      <c r="D474">
        <v>260</v>
      </c>
      <c r="E474">
        <v>410.1099853515625</v>
      </c>
    </row>
    <row r="475" spans="1:5" x14ac:dyDescent="0.3">
      <c r="A475" t="s">
        <v>866</v>
      </c>
      <c r="B475" t="s">
        <v>2904</v>
      </c>
      <c r="C475" t="s">
        <v>42</v>
      </c>
      <c r="D475">
        <v>90</v>
      </c>
      <c r="E475">
        <v>327.60000610351563</v>
      </c>
    </row>
    <row r="476" spans="1:5" x14ac:dyDescent="0.3">
      <c r="A476" t="s">
        <v>868</v>
      </c>
      <c r="B476" t="s">
        <v>965</v>
      </c>
      <c r="C476" t="s">
        <v>37</v>
      </c>
      <c r="D476">
        <v>220</v>
      </c>
      <c r="E476">
        <v>426.79998779296875</v>
      </c>
    </row>
    <row r="477" spans="1:5" x14ac:dyDescent="0.3">
      <c r="A477" t="s">
        <v>869</v>
      </c>
      <c r="B477" t="s">
        <v>519</v>
      </c>
      <c r="C477" t="s">
        <v>46</v>
      </c>
      <c r="D477">
        <v>130</v>
      </c>
      <c r="E477">
        <v>33.150001525878906</v>
      </c>
    </row>
    <row r="478" spans="1:5" x14ac:dyDescent="0.3">
      <c r="A478" t="s">
        <v>871</v>
      </c>
      <c r="B478" t="s">
        <v>537</v>
      </c>
      <c r="C478" t="s">
        <v>55</v>
      </c>
      <c r="D478">
        <v>340</v>
      </c>
      <c r="E478">
        <v>354.89999389648438</v>
      </c>
    </row>
    <row r="479" spans="1:5" x14ac:dyDescent="0.3">
      <c r="A479" t="s">
        <v>873</v>
      </c>
      <c r="B479" t="s">
        <v>961</v>
      </c>
      <c r="C479" t="s">
        <v>45</v>
      </c>
      <c r="D479">
        <v>140</v>
      </c>
      <c r="E479">
        <v>233.1199951171875</v>
      </c>
    </row>
    <row r="480" spans="1:5" x14ac:dyDescent="0.3">
      <c r="A480" t="s">
        <v>875</v>
      </c>
      <c r="B480" t="s">
        <v>805</v>
      </c>
      <c r="C480" t="s">
        <v>34</v>
      </c>
      <c r="D480">
        <v>390</v>
      </c>
      <c r="E480">
        <v>391.67001342773438</v>
      </c>
    </row>
    <row r="481" spans="1:5" x14ac:dyDescent="0.3">
      <c r="A481" t="s">
        <v>877</v>
      </c>
      <c r="B481" t="s">
        <v>1589</v>
      </c>
      <c r="C481" t="s">
        <v>37</v>
      </c>
      <c r="D481">
        <v>210</v>
      </c>
      <c r="E481">
        <v>187.25999450683594</v>
      </c>
    </row>
    <row r="482" spans="1:5" x14ac:dyDescent="0.3">
      <c r="A482" t="s">
        <v>879</v>
      </c>
      <c r="B482" t="s">
        <v>1934</v>
      </c>
      <c r="C482" t="s">
        <v>39</v>
      </c>
      <c r="D482">
        <v>-50</v>
      </c>
      <c r="E482">
        <v>317.07000732421875</v>
      </c>
    </row>
    <row r="483" spans="1:5" x14ac:dyDescent="0.3">
      <c r="A483" t="s">
        <v>880</v>
      </c>
      <c r="B483" t="s">
        <v>1732</v>
      </c>
      <c r="C483" t="s">
        <v>63</v>
      </c>
      <c r="D483">
        <v>480</v>
      </c>
      <c r="E483">
        <v>346.42999267578125</v>
      </c>
    </row>
    <row r="484" spans="1:5" x14ac:dyDescent="0.3">
      <c r="A484" t="s">
        <v>882</v>
      </c>
      <c r="B484" t="s">
        <v>1811</v>
      </c>
      <c r="C484" t="s">
        <v>29</v>
      </c>
      <c r="D484">
        <v>340</v>
      </c>
      <c r="E484">
        <v>20.329999923706055</v>
      </c>
    </row>
    <row r="485" spans="1:5" x14ac:dyDescent="0.3">
      <c r="A485" t="s">
        <v>883</v>
      </c>
      <c r="B485" t="s">
        <v>643</v>
      </c>
      <c r="C485" t="s">
        <v>37</v>
      </c>
      <c r="D485">
        <v>340</v>
      </c>
      <c r="E485">
        <v>326.30999755859375</v>
      </c>
    </row>
    <row r="486" spans="1:5" x14ac:dyDescent="0.3">
      <c r="A486" t="s">
        <v>884</v>
      </c>
      <c r="B486" t="s">
        <v>1755</v>
      </c>
      <c r="C486" t="s">
        <v>25</v>
      </c>
      <c r="D486">
        <v>450</v>
      </c>
      <c r="E486">
        <v>72.25</v>
      </c>
    </row>
    <row r="487" spans="1:5" x14ac:dyDescent="0.3">
      <c r="A487" t="s">
        <v>885</v>
      </c>
      <c r="B487" t="s">
        <v>162</v>
      </c>
      <c r="C487" t="s">
        <v>52</v>
      </c>
      <c r="D487">
        <v>140</v>
      </c>
      <c r="E487">
        <v>136.30999755859375</v>
      </c>
    </row>
    <row r="488" spans="1:5" x14ac:dyDescent="0.3">
      <c r="A488" t="s">
        <v>887</v>
      </c>
      <c r="B488" t="s">
        <v>228</v>
      </c>
      <c r="C488" t="s">
        <v>66</v>
      </c>
      <c r="D488">
        <v>80</v>
      </c>
      <c r="E488">
        <v>216.97000122070313</v>
      </c>
    </row>
    <row r="489" spans="1:5" x14ac:dyDescent="0.3">
      <c r="A489" t="s">
        <v>888</v>
      </c>
      <c r="B489" t="s">
        <v>2905</v>
      </c>
      <c r="C489" t="s">
        <v>21</v>
      </c>
      <c r="D489">
        <v>450</v>
      </c>
      <c r="E489">
        <v>83.050003051757813</v>
      </c>
    </row>
    <row r="490" spans="1:5" x14ac:dyDescent="0.3">
      <c r="A490" t="s">
        <v>890</v>
      </c>
      <c r="B490" t="s">
        <v>270</v>
      </c>
      <c r="C490" t="s">
        <v>10</v>
      </c>
      <c r="D490">
        <v>110</v>
      </c>
      <c r="E490">
        <v>323.6400146484375</v>
      </c>
    </row>
    <row r="491" spans="1:5" x14ac:dyDescent="0.3">
      <c r="A491" t="s">
        <v>891</v>
      </c>
      <c r="B491" t="s">
        <v>1732</v>
      </c>
      <c r="C491" t="s">
        <v>61</v>
      </c>
      <c r="D491">
        <v>-50</v>
      </c>
      <c r="E491">
        <v>192.02999877929688</v>
      </c>
    </row>
    <row r="492" spans="1:5" x14ac:dyDescent="0.3">
      <c r="A492" t="s">
        <v>892</v>
      </c>
      <c r="B492" t="s">
        <v>503</v>
      </c>
      <c r="C492" t="s">
        <v>25</v>
      </c>
      <c r="D492">
        <v>400</v>
      </c>
      <c r="E492">
        <v>292.14999389648438</v>
      </c>
    </row>
    <row r="493" spans="1:5" x14ac:dyDescent="0.3">
      <c r="A493" t="s">
        <v>894</v>
      </c>
      <c r="B493" t="s">
        <v>372</v>
      </c>
      <c r="C493" t="s">
        <v>37</v>
      </c>
      <c r="D493">
        <v>260</v>
      </c>
      <c r="E493">
        <v>223.99000549316406</v>
      </c>
    </row>
    <row r="494" spans="1:5" x14ac:dyDescent="0.3">
      <c r="A494" t="s">
        <v>895</v>
      </c>
      <c r="B494" t="s">
        <v>982</v>
      </c>
      <c r="C494" t="s">
        <v>15</v>
      </c>
      <c r="D494">
        <v>170</v>
      </c>
      <c r="E494">
        <v>473.17001342773438</v>
      </c>
    </row>
    <row r="495" spans="1:5" x14ac:dyDescent="0.3">
      <c r="A495" t="s">
        <v>896</v>
      </c>
      <c r="B495" t="s">
        <v>356</v>
      </c>
      <c r="C495" t="s">
        <v>10</v>
      </c>
      <c r="D495">
        <v>390</v>
      </c>
      <c r="E495">
        <v>33.080001831054688</v>
      </c>
    </row>
    <row r="496" spans="1:5" x14ac:dyDescent="0.3">
      <c r="A496" t="s">
        <v>897</v>
      </c>
      <c r="B496" t="s">
        <v>705</v>
      </c>
      <c r="C496" t="s">
        <v>16</v>
      </c>
      <c r="D496">
        <v>80</v>
      </c>
      <c r="E496">
        <v>154.94999694824219</v>
      </c>
    </row>
    <row r="497" spans="1:5" x14ac:dyDescent="0.3">
      <c r="A497" t="s">
        <v>898</v>
      </c>
      <c r="B497" t="s">
        <v>837</v>
      </c>
      <c r="C497" t="s">
        <v>10</v>
      </c>
      <c r="D497">
        <v>70</v>
      </c>
      <c r="E497">
        <v>97.80999755859375</v>
      </c>
    </row>
    <row r="498" spans="1:5" x14ac:dyDescent="0.3">
      <c r="A498" t="s">
        <v>900</v>
      </c>
      <c r="B498" t="s">
        <v>1078</v>
      </c>
      <c r="C498" t="s">
        <v>59</v>
      </c>
      <c r="D498">
        <v>110</v>
      </c>
      <c r="E498">
        <v>378.510009765625</v>
      </c>
    </row>
    <row r="499" spans="1:5" x14ac:dyDescent="0.3">
      <c r="A499" t="s">
        <v>901</v>
      </c>
      <c r="B499" t="s">
        <v>1798</v>
      </c>
      <c r="C499" t="s">
        <v>13</v>
      </c>
      <c r="D499">
        <v>100</v>
      </c>
      <c r="E499">
        <v>21.709999084472656</v>
      </c>
    </row>
    <row r="500" spans="1:5" x14ac:dyDescent="0.3">
      <c r="A500" t="s">
        <v>903</v>
      </c>
      <c r="B500" t="s">
        <v>757</v>
      </c>
      <c r="C500" t="s">
        <v>64</v>
      </c>
      <c r="D500">
        <v>370</v>
      </c>
      <c r="E500">
        <v>309.8699951171875</v>
      </c>
    </row>
    <row r="501" spans="1:5" x14ac:dyDescent="0.3">
      <c r="A501" t="s">
        <v>905</v>
      </c>
      <c r="B501" t="s">
        <v>419</v>
      </c>
      <c r="C501" t="s">
        <v>70</v>
      </c>
      <c r="D501">
        <v>410</v>
      </c>
      <c r="E501">
        <v>33.279998779296875</v>
      </c>
    </row>
    <row r="502" spans="1:5" x14ac:dyDescent="0.3">
      <c r="A502" t="s">
        <v>906</v>
      </c>
      <c r="B502" t="s">
        <v>568</v>
      </c>
      <c r="C502" t="s">
        <v>41</v>
      </c>
      <c r="D502">
        <v>110</v>
      </c>
      <c r="E502">
        <v>240.03999328613281</v>
      </c>
    </row>
    <row r="503" spans="1:5" x14ac:dyDescent="0.3">
      <c r="A503" t="s">
        <v>908</v>
      </c>
      <c r="B503" t="s">
        <v>2596</v>
      </c>
      <c r="C503" t="s">
        <v>10</v>
      </c>
      <c r="D503">
        <v>30</v>
      </c>
      <c r="E503">
        <v>486.04998779296875</v>
      </c>
    </row>
    <row r="504" spans="1:5" x14ac:dyDescent="0.3">
      <c r="A504" t="s">
        <v>909</v>
      </c>
      <c r="B504" t="s">
        <v>2906</v>
      </c>
      <c r="C504" t="s">
        <v>57</v>
      </c>
      <c r="D504">
        <v>170</v>
      </c>
      <c r="E504">
        <v>85.029998779296875</v>
      </c>
    </row>
    <row r="505" spans="1:5" x14ac:dyDescent="0.3">
      <c r="A505" t="s">
        <v>910</v>
      </c>
      <c r="B505" t="s">
        <v>93</v>
      </c>
      <c r="C505" t="s">
        <v>41</v>
      </c>
      <c r="D505">
        <v>150</v>
      </c>
      <c r="E505">
        <v>358.51998901367188</v>
      </c>
    </row>
    <row r="506" spans="1:5" x14ac:dyDescent="0.3">
      <c r="A506" t="s">
        <v>912</v>
      </c>
      <c r="B506" t="s">
        <v>803</v>
      </c>
      <c r="C506" t="s">
        <v>31</v>
      </c>
      <c r="D506">
        <v>50</v>
      </c>
      <c r="E506">
        <v>385.8599853515625</v>
      </c>
    </row>
    <row r="507" spans="1:5" x14ac:dyDescent="0.3">
      <c r="A507" t="s">
        <v>914</v>
      </c>
      <c r="B507" t="s">
        <v>684</v>
      </c>
      <c r="C507" t="s">
        <v>10</v>
      </c>
      <c r="D507">
        <v>70</v>
      </c>
      <c r="E507">
        <v>254.22000122070313</v>
      </c>
    </row>
    <row r="508" spans="1:5" x14ac:dyDescent="0.3">
      <c r="A508" t="s">
        <v>916</v>
      </c>
      <c r="B508" t="s">
        <v>2907</v>
      </c>
      <c r="C508" t="s">
        <v>61</v>
      </c>
      <c r="D508">
        <v>350</v>
      </c>
      <c r="E508">
        <v>308.54998779296875</v>
      </c>
    </row>
    <row r="509" spans="1:5" x14ac:dyDescent="0.3">
      <c r="A509" t="s">
        <v>917</v>
      </c>
      <c r="B509" t="s">
        <v>354</v>
      </c>
      <c r="C509" t="s">
        <v>46</v>
      </c>
      <c r="D509">
        <v>200</v>
      </c>
      <c r="E509">
        <v>401.64999389648438</v>
      </c>
    </row>
    <row r="510" spans="1:5" x14ac:dyDescent="0.3">
      <c r="A510" t="s">
        <v>919</v>
      </c>
      <c r="B510" t="s">
        <v>990</v>
      </c>
      <c r="C510" t="s">
        <v>38</v>
      </c>
      <c r="D510">
        <v>-50</v>
      </c>
      <c r="E510">
        <v>288.41000366210938</v>
      </c>
    </row>
    <row r="511" spans="1:5" x14ac:dyDescent="0.3">
      <c r="A511" t="s">
        <v>921</v>
      </c>
      <c r="B511" t="s">
        <v>1381</v>
      </c>
      <c r="C511" t="s">
        <v>58</v>
      </c>
      <c r="D511">
        <v>400</v>
      </c>
      <c r="E511">
        <v>352.8599853515625</v>
      </c>
    </row>
    <row r="512" spans="1:5" x14ac:dyDescent="0.3">
      <c r="A512" t="s">
        <v>922</v>
      </c>
      <c r="B512" t="s">
        <v>2888</v>
      </c>
      <c r="C512" t="s">
        <v>54</v>
      </c>
      <c r="D512">
        <v>460</v>
      </c>
      <c r="E512">
        <v>105.18000030517578</v>
      </c>
    </row>
    <row r="513" spans="1:5" x14ac:dyDescent="0.3">
      <c r="A513" t="s">
        <v>924</v>
      </c>
      <c r="B513" t="s">
        <v>1689</v>
      </c>
      <c r="C513" t="s">
        <v>36</v>
      </c>
      <c r="D513">
        <v>500</v>
      </c>
      <c r="E513">
        <v>310.26998901367188</v>
      </c>
    </row>
    <row r="514" spans="1:5" x14ac:dyDescent="0.3">
      <c r="A514" t="s">
        <v>926</v>
      </c>
      <c r="B514" t="s">
        <v>1564</v>
      </c>
      <c r="C514" t="s">
        <v>55</v>
      </c>
      <c r="D514">
        <v>460</v>
      </c>
      <c r="E514">
        <v>428.32998657226563</v>
      </c>
    </row>
    <row r="515" spans="1:5" x14ac:dyDescent="0.3">
      <c r="A515" t="s">
        <v>928</v>
      </c>
      <c r="B515" t="s">
        <v>1110</v>
      </c>
      <c r="C515" t="s">
        <v>28</v>
      </c>
      <c r="D515">
        <v>120</v>
      </c>
      <c r="E515">
        <v>364.8800048828125</v>
      </c>
    </row>
    <row r="516" spans="1:5" x14ac:dyDescent="0.3">
      <c r="A516" t="s">
        <v>930</v>
      </c>
      <c r="B516" t="s">
        <v>2076</v>
      </c>
      <c r="C516" t="s">
        <v>55</v>
      </c>
      <c r="D516">
        <v>370</v>
      </c>
      <c r="E516">
        <v>220.75</v>
      </c>
    </row>
    <row r="517" spans="1:5" x14ac:dyDescent="0.3">
      <c r="A517" t="s">
        <v>932</v>
      </c>
      <c r="B517" t="s">
        <v>698</v>
      </c>
      <c r="C517" t="s">
        <v>38</v>
      </c>
      <c r="D517">
        <v>420</v>
      </c>
      <c r="E517">
        <v>42.090000152587891</v>
      </c>
    </row>
    <row r="518" spans="1:5" x14ac:dyDescent="0.3">
      <c r="A518" t="s">
        <v>934</v>
      </c>
      <c r="B518" t="s">
        <v>2908</v>
      </c>
      <c r="C518" t="s">
        <v>124</v>
      </c>
      <c r="D518">
        <v>80</v>
      </c>
      <c r="E518">
        <v>138.39999389648438</v>
      </c>
    </row>
    <row r="519" spans="1:5" x14ac:dyDescent="0.3">
      <c r="A519" t="s">
        <v>935</v>
      </c>
      <c r="B519" t="s">
        <v>2693</v>
      </c>
      <c r="C519" t="s">
        <v>60</v>
      </c>
      <c r="D519">
        <v>470</v>
      </c>
      <c r="E519">
        <v>188.60000610351563</v>
      </c>
    </row>
    <row r="520" spans="1:5" x14ac:dyDescent="0.3">
      <c r="A520" t="s">
        <v>937</v>
      </c>
      <c r="B520" t="s">
        <v>2907</v>
      </c>
      <c r="C520" t="s">
        <v>31</v>
      </c>
      <c r="D520">
        <v>470</v>
      </c>
      <c r="E520">
        <v>368.22000122070313</v>
      </c>
    </row>
    <row r="521" spans="1:5" x14ac:dyDescent="0.3">
      <c r="A521" t="s">
        <v>939</v>
      </c>
      <c r="B521" t="s">
        <v>474</v>
      </c>
      <c r="C521" t="s">
        <v>31</v>
      </c>
      <c r="D521">
        <v>110</v>
      </c>
      <c r="E521">
        <v>318.14999389648438</v>
      </c>
    </row>
    <row r="522" spans="1:5" x14ac:dyDescent="0.3">
      <c r="A522" t="s">
        <v>940</v>
      </c>
      <c r="B522" t="s">
        <v>872</v>
      </c>
      <c r="C522" t="s">
        <v>51</v>
      </c>
      <c r="D522">
        <v>60</v>
      </c>
      <c r="E522">
        <v>280.80999755859375</v>
      </c>
    </row>
    <row r="523" spans="1:5" x14ac:dyDescent="0.3">
      <c r="A523" t="s">
        <v>942</v>
      </c>
      <c r="B523" t="s">
        <v>503</v>
      </c>
      <c r="C523" t="s">
        <v>49</v>
      </c>
      <c r="D523">
        <v>370</v>
      </c>
      <c r="E523">
        <v>350.19000244140625</v>
      </c>
    </row>
    <row r="524" spans="1:5" x14ac:dyDescent="0.3">
      <c r="A524" t="s">
        <v>943</v>
      </c>
      <c r="B524" t="s">
        <v>503</v>
      </c>
      <c r="C524" t="s">
        <v>40</v>
      </c>
      <c r="D524">
        <v>230</v>
      </c>
      <c r="E524">
        <v>221.8699951171875</v>
      </c>
    </row>
    <row r="525" spans="1:5" x14ac:dyDescent="0.3">
      <c r="A525" t="s">
        <v>945</v>
      </c>
      <c r="B525" t="s">
        <v>2089</v>
      </c>
      <c r="C525" t="s">
        <v>60</v>
      </c>
      <c r="D525">
        <v>210</v>
      </c>
      <c r="E525">
        <v>442.94000244140625</v>
      </c>
    </row>
    <row r="526" spans="1:5" x14ac:dyDescent="0.3">
      <c r="A526" t="s">
        <v>946</v>
      </c>
      <c r="B526" t="s">
        <v>616</v>
      </c>
      <c r="C526" t="s">
        <v>33</v>
      </c>
      <c r="D526">
        <v>500</v>
      </c>
      <c r="E526">
        <v>162.10000610351563</v>
      </c>
    </row>
    <row r="527" spans="1:5" x14ac:dyDescent="0.3">
      <c r="A527" t="s">
        <v>947</v>
      </c>
      <c r="B527" t="s">
        <v>394</v>
      </c>
      <c r="C527" t="s">
        <v>16</v>
      </c>
      <c r="D527">
        <v>190</v>
      </c>
      <c r="E527">
        <v>379.58999633789063</v>
      </c>
    </row>
    <row r="528" spans="1:5" x14ac:dyDescent="0.3">
      <c r="A528" t="s">
        <v>949</v>
      </c>
      <c r="B528" t="s">
        <v>1010</v>
      </c>
      <c r="C528" t="s">
        <v>21</v>
      </c>
      <c r="D528">
        <v>490</v>
      </c>
      <c r="E528">
        <v>197.22000122070313</v>
      </c>
    </row>
    <row r="529" spans="1:5" x14ac:dyDescent="0.3">
      <c r="A529" t="s">
        <v>951</v>
      </c>
      <c r="B529" t="s">
        <v>363</v>
      </c>
      <c r="C529" t="s">
        <v>10</v>
      </c>
      <c r="D529">
        <v>10</v>
      </c>
      <c r="E529">
        <v>68.349998474121094</v>
      </c>
    </row>
    <row r="530" spans="1:5" x14ac:dyDescent="0.3">
      <c r="A530" t="s">
        <v>953</v>
      </c>
      <c r="B530" t="s">
        <v>1265</v>
      </c>
      <c r="C530" t="s">
        <v>17</v>
      </c>
      <c r="D530">
        <v>480</v>
      </c>
      <c r="E530">
        <v>47.909999847412109</v>
      </c>
    </row>
    <row r="531" spans="1:5" x14ac:dyDescent="0.3">
      <c r="A531" t="s">
        <v>955</v>
      </c>
      <c r="B531" t="s">
        <v>965</v>
      </c>
      <c r="C531" t="s">
        <v>33</v>
      </c>
      <c r="D531">
        <v>500</v>
      </c>
      <c r="E531">
        <v>42.409999847412109</v>
      </c>
    </row>
    <row r="532" spans="1:5" x14ac:dyDescent="0.3">
      <c r="A532" t="s">
        <v>957</v>
      </c>
      <c r="B532" t="s">
        <v>429</v>
      </c>
      <c r="C532" t="s">
        <v>44</v>
      </c>
      <c r="D532">
        <v>330</v>
      </c>
      <c r="E532">
        <v>59.900001525878906</v>
      </c>
    </row>
    <row r="533" spans="1:5" x14ac:dyDescent="0.3">
      <c r="A533" t="s">
        <v>958</v>
      </c>
      <c r="B533" t="s">
        <v>1203</v>
      </c>
      <c r="C533" t="s">
        <v>70</v>
      </c>
      <c r="D533">
        <v>100</v>
      </c>
      <c r="E533">
        <v>459.989990234375</v>
      </c>
    </row>
    <row r="534" spans="1:5" x14ac:dyDescent="0.3">
      <c r="A534" t="s">
        <v>960</v>
      </c>
      <c r="B534" t="s">
        <v>2909</v>
      </c>
      <c r="C534" t="s">
        <v>12</v>
      </c>
      <c r="D534">
        <v>70</v>
      </c>
      <c r="E534">
        <v>203.8699951171875</v>
      </c>
    </row>
    <row r="535" spans="1:5" x14ac:dyDescent="0.3">
      <c r="A535" t="s">
        <v>962</v>
      </c>
      <c r="B535" t="s">
        <v>1196</v>
      </c>
      <c r="C535" t="s">
        <v>33</v>
      </c>
      <c r="D535">
        <v>390</v>
      </c>
      <c r="E535">
        <v>104.27999877929688</v>
      </c>
    </row>
    <row r="536" spans="1:5" x14ac:dyDescent="0.3">
      <c r="A536" t="s">
        <v>964</v>
      </c>
      <c r="B536" t="s">
        <v>2910</v>
      </c>
      <c r="C536" t="s">
        <v>44</v>
      </c>
      <c r="D536">
        <v>330</v>
      </c>
      <c r="E536">
        <v>75.529998779296875</v>
      </c>
    </row>
    <row r="537" spans="1:5" x14ac:dyDescent="0.3">
      <c r="A537" t="s">
        <v>966</v>
      </c>
      <c r="B537" t="s">
        <v>419</v>
      </c>
      <c r="C537" t="s">
        <v>58</v>
      </c>
      <c r="D537">
        <v>60</v>
      </c>
      <c r="E537">
        <v>383.489990234375</v>
      </c>
    </row>
    <row r="538" spans="1:5" x14ac:dyDescent="0.3">
      <c r="A538" t="s">
        <v>967</v>
      </c>
      <c r="B538" t="s">
        <v>1293</v>
      </c>
      <c r="C538" t="s">
        <v>17</v>
      </c>
      <c r="D538">
        <v>370</v>
      </c>
      <c r="E538">
        <v>395.58999633789063</v>
      </c>
    </row>
    <row r="539" spans="1:5" x14ac:dyDescent="0.3">
      <c r="A539" t="s">
        <v>969</v>
      </c>
      <c r="B539" t="s">
        <v>2906</v>
      </c>
      <c r="C539" t="s">
        <v>16</v>
      </c>
      <c r="D539">
        <v>430</v>
      </c>
      <c r="E539">
        <v>330.82000732421875</v>
      </c>
    </row>
    <row r="540" spans="1:5" x14ac:dyDescent="0.3">
      <c r="A540" t="s">
        <v>970</v>
      </c>
      <c r="B540" t="s">
        <v>2596</v>
      </c>
      <c r="C540" t="s">
        <v>23</v>
      </c>
      <c r="D540">
        <v>70</v>
      </c>
      <c r="E540">
        <v>509.739990234375</v>
      </c>
    </row>
    <row r="541" spans="1:5" x14ac:dyDescent="0.3">
      <c r="A541" t="s">
        <v>971</v>
      </c>
      <c r="B541" t="s">
        <v>1384</v>
      </c>
      <c r="C541" t="s">
        <v>34</v>
      </c>
      <c r="D541">
        <v>460</v>
      </c>
      <c r="E541">
        <v>104.48000335693359</v>
      </c>
    </row>
    <row r="542" spans="1:5" x14ac:dyDescent="0.3">
      <c r="A542" t="s">
        <v>973</v>
      </c>
      <c r="B542" t="s">
        <v>2900</v>
      </c>
      <c r="C542" t="s">
        <v>38</v>
      </c>
      <c r="D542">
        <v>440</v>
      </c>
      <c r="E542">
        <v>388.70001220703125</v>
      </c>
    </row>
    <row r="543" spans="1:5" x14ac:dyDescent="0.3">
      <c r="A543" t="s">
        <v>975</v>
      </c>
      <c r="B543" t="s">
        <v>923</v>
      </c>
      <c r="C543" t="s">
        <v>56</v>
      </c>
      <c r="D543">
        <v>210</v>
      </c>
      <c r="E543">
        <v>487.66000366210938</v>
      </c>
    </row>
    <row r="544" spans="1:5" x14ac:dyDescent="0.3">
      <c r="A544" t="s">
        <v>977</v>
      </c>
      <c r="B544" t="s">
        <v>1734</v>
      </c>
      <c r="C544" t="s">
        <v>47</v>
      </c>
      <c r="D544">
        <v>120</v>
      </c>
      <c r="E544">
        <v>128.16000366210938</v>
      </c>
    </row>
    <row r="545" spans="1:5" x14ac:dyDescent="0.3">
      <c r="A545" t="s">
        <v>978</v>
      </c>
      <c r="B545" t="s">
        <v>1790</v>
      </c>
      <c r="C545" t="s">
        <v>57</v>
      </c>
      <c r="D545">
        <v>380</v>
      </c>
      <c r="E545">
        <v>388.57000732421875</v>
      </c>
    </row>
    <row r="546" spans="1:5" x14ac:dyDescent="0.3">
      <c r="A546" t="s">
        <v>980</v>
      </c>
      <c r="B546" t="s">
        <v>2911</v>
      </c>
      <c r="C546" t="s">
        <v>65</v>
      </c>
      <c r="D546">
        <v>360</v>
      </c>
      <c r="E546">
        <v>448.82998657226563</v>
      </c>
    </row>
    <row r="547" spans="1:5" x14ac:dyDescent="0.3">
      <c r="A547" t="s">
        <v>981</v>
      </c>
      <c r="B547" t="s">
        <v>252</v>
      </c>
      <c r="C547" t="s">
        <v>21</v>
      </c>
      <c r="D547">
        <v>290</v>
      </c>
      <c r="E547">
        <v>340.42001342773438</v>
      </c>
    </row>
    <row r="548" spans="1:5" x14ac:dyDescent="0.3">
      <c r="A548" t="s">
        <v>983</v>
      </c>
      <c r="B548" t="s">
        <v>466</v>
      </c>
      <c r="C548" t="s">
        <v>55</v>
      </c>
      <c r="D548">
        <v>60</v>
      </c>
      <c r="E548">
        <v>196.41000366210938</v>
      </c>
    </row>
    <row r="549" spans="1:5" x14ac:dyDescent="0.3">
      <c r="A549" t="s">
        <v>985</v>
      </c>
      <c r="B549" t="s">
        <v>1343</v>
      </c>
      <c r="C549" t="s">
        <v>10</v>
      </c>
      <c r="D549">
        <v>400</v>
      </c>
      <c r="E549">
        <v>501.39999389648438</v>
      </c>
    </row>
    <row r="550" spans="1:5" x14ac:dyDescent="0.3">
      <c r="A550" t="s">
        <v>986</v>
      </c>
      <c r="B550" t="s">
        <v>676</v>
      </c>
      <c r="C550" t="s">
        <v>53</v>
      </c>
      <c r="D550">
        <v>210</v>
      </c>
      <c r="E550">
        <v>341.60000610351563</v>
      </c>
    </row>
    <row r="551" spans="1:5" x14ac:dyDescent="0.3">
      <c r="A551" t="s">
        <v>987</v>
      </c>
      <c r="B551" t="s">
        <v>2115</v>
      </c>
      <c r="C551" t="s">
        <v>45</v>
      </c>
      <c r="D551">
        <v>270</v>
      </c>
      <c r="E551">
        <v>154.72999572753906</v>
      </c>
    </row>
    <row r="552" spans="1:5" x14ac:dyDescent="0.3">
      <c r="A552" t="s">
        <v>988</v>
      </c>
      <c r="B552" t="s">
        <v>2267</v>
      </c>
      <c r="C552" t="s">
        <v>49</v>
      </c>
      <c r="D552">
        <v>25000</v>
      </c>
      <c r="E552">
        <v>470.25</v>
      </c>
    </row>
    <row r="553" spans="1:5" x14ac:dyDescent="0.3">
      <c r="A553" t="s">
        <v>989</v>
      </c>
      <c r="B553" t="s">
        <v>913</v>
      </c>
      <c r="C553" t="s">
        <v>38</v>
      </c>
      <c r="D553">
        <v>20</v>
      </c>
      <c r="E553">
        <v>99.569999694824219</v>
      </c>
    </row>
    <row r="554" spans="1:5" x14ac:dyDescent="0.3">
      <c r="A554" t="s">
        <v>991</v>
      </c>
      <c r="B554" t="s">
        <v>517</v>
      </c>
      <c r="C554" t="s">
        <v>23</v>
      </c>
      <c r="D554">
        <v>220</v>
      </c>
      <c r="E554">
        <v>78.80999755859375</v>
      </c>
    </row>
    <row r="555" spans="1:5" x14ac:dyDescent="0.3">
      <c r="A555" t="s">
        <v>993</v>
      </c>
      <c r="B555" t="s">
        <v>1650</v>
      </c>
      <c r="C555" t="s">
        <v>42</v>
      </c>
      <c r="D555">
        <v>60</v>
      </c>
      <c r="E555">
        <v>209.97999572753906</v>
      </c>
    </row>
    <row r="556" spans="1:5" x14ac:dyDescent="0.3">
      <c r="A556" t="s">
        <v>995</v>
      </c>
      <c r="B556" t="s">
        <v>2624</v>
      </c>
      <c r="C556" t="s">
        <v>23</v>
      </c>
      <c r="D556">
        <v>330</v>
      </c>
      <c r="E556">
        <v>427.8900146484375</v>
      </c>
    </row>
    <row r="557" spans="1:5" x14ac:dyDescent="0.3">
      <c r="A557" t="s">
        <v>996</v>
      </c>
      <c r="B557" t="s">
        <v>824</v>
      </c>
      <c r="C557" t="s">
        <v>60</v>
      </c>
      <c r="D557">
        <v>330</v>
      </c>
      <c r="E557">
        <v>50.159999847412109</v>
      </c>
    </row>
    <row r="558" spans="1:5" x14ac:dyDescent="0.3">
      <c r="A558" t="s">
        <v>997</v>
      </c>
      <c r="B558" t="s">
        <v>1934</v>
      </c>
      <c r="C558" t="s">
        <v>55</v>
      </c>
      <c r="D558">
        <v>160</v>
      </c>
      <c r="E558">
        <v>27.239999771118164</v>
      </c>
    </row>
    <row r="559" spans="1:5" x14ac:dyDescent="0.3">
      <c r="A559" t="s">
        <v>998</v>
      </c>
      <c r="B559" t="s">
        <v>2889</v>
      </c>
      <c r="C559" t="s">
        <v>64</v>
      </c>
      <c r="D559">
        <v>460</v>
      </c>
      <c r="E559">
        <v>192.3699951171875</v>
      </c>
    </row>
    <row r="560" spans="1:5" x14ac:dyDescent="0.3">
      <c r="A560" t="s">
        <v>1000</v>
      </c>
      <c r="B560" t="s">
        <v>665</v>
      </c>
      <c r="C560" t="s">
        <v>36</v>
      </c>
      <c r="D560">
        <v>160</v>
      </c>
      <c r="E560">
        <v>11.619999885559082</v>
      </c>
    </row>
    <row r="561" spans="1:5" x14ac:dyDescent="0.3">
      <c r="A561" t="s">
        <v>1002</v>
      </c>
      <c r="B561" t="s">
        <v>427</v>
      </c>
      <c r="C561" t="s">
        <v>51</v>
      </c>
      <c r="D561">
        <v>230</v>
      </c>
      <c r="E561">
        <v>333.8800048828125</v>
      </c>
    </row>
    <row r="562" spans="1:5" x14ac:dyDescent="0.3">
      <c r="A562" t="s">
        <v>1003</v>
      </c>
      <c r="B562" t="s">
        <v>365</v>
      </c>
      <c r="C562" t="s">
        <v>19</v>
      </c>
      <c r="D562">
        <v>420</v>
      </c>
      <c r="E562">
        <v>140.82000732421875</v>
      </c>
    </row>
    <row r="563" spans="1:5" x14ac:dyDescent="0.3">
      <c r="A563" t="s">
        <v>1005</v>
      </c>
      <c r="B563" t="s">
        <v>2271</v>
      </c>
      <c r="C563" t="s">
        <v>12</v>
      </c>
      <c r="D563">
        <v>20</v>
      </c>
      <c r="E563">
        <v>296.95001220703125</v>
      </c>
    </row>
    <row r="564" spans="1:5" x14ac:dyDescent="0.3">
      <c r="A564" t="s">
        <v>1006</v>
      </c>
      <c r="B564" t="s">
        <v>2256</v>
      </c>
      <c r="C564" t="s">
        <v>33</v>
      </c>
      <c r="D564">
        <v>130</v>
      </c>
      <c r="E564">
        <v>299.58999633789063</v>
      </c>
    </row>
    <row r="565" spans="1:5" x14ac:dyDescent="0.3">
      <c r="A565" t="s">
        <v>1007</v>
      </c>
      <c r="B565" t="s">
        <v>1753</v>
      </c>
      <c r="C565" t="s">
        <v>44</v>
      </c>
      <c r="D565">
        <v>370</v>
      </c>
      <c r="E565">
        <v>28.850000381469727</v>
      </c>
    </row>
    <row r="566" spans="1:5" x14ac:dyDescent="0.3">
      <c r="A566" t="s">
        <v>1009</v>
      </c>
      <c r="B566" t="s">
        <v>172</v>
      </c>
      <c r="C566" t="s">
        <v>29</v>
      </c>
      <c r="D566">
        <v>140</v>
      </c>
      <c r="E566">
        <v>497.69000244140625</v>
      </c>
    </row>
    <row r="567" spans="1:5" x14ac:dyDescent="0.3">
      <c r="A567" t="s">
        <v>1011</v>
      </c>
      <c r="B567" t="s">
        <v>2891</v>
      </c>
      <c r="C567" t="s">
        <v>51</v>
      </c>
      <c r="D567">
        <v>400</v>
      </c>
      <c r="E567">
        <v>101.84999847412109</v>
      </c>
    </row>
    <row r="568" spans="1:5" x14ac:dyDescent="0.3">
      <c r="A568" t="s">
        <v>1013</v>
      </c>
      <c r="B568" t="s">
        <v>1650</v>
      </c>
      <c r="C568" t="s">
        <v>56</v>
      </c>
      <c r="D568">
        <v>390</v>
      </c>
      <c r="E568">
        <v>369.89999389648438</v>
      </c>
    </row>
    <row r="569" spans="1:5" x14ac:dyDescent="0.3">
      <c r="A569" t="s">
        <v>1014</v>
      </c>
      <c r="B569" t="s">
        <v>954</v>
      </c>
      <c r="C569" t="s">
        <v>21</v>
      </c>
      <c r="D569">
        <v>380</v>
      </c>
      <c r="E569">
        <v>213.21000671386719</v>
      </c>
    </row>
    <row r="570" spans="1:5" x14ac:dyDescent="0.3">
      <c r="A570" t="s">
        <v>1015</v>
      </c>
      <c r="B570" t="s">
        <v>375</v>
      </c>
      <c r="C570" t="s">
        <v>52</v>
      </c>
      <c r="D570">
        <v>460</v>
      </c>
      <c r="E570">
        <v>175.97000122070313</v>
      </c>
    </row>
    <row r="571" spans="1:5" x14ac:dyDescent="0.3">
      <c r="A571" t="s">
        <v>1016</v>
      </c>
      <c r="B571" t="s">
        <v>1012</v>
      </c>
      <c r="C571" t="s">
        <v>29</v>
      </c>
      <c r="D571">
        <v>220</v>
      </c>
      <c r="E571">
        <v>185.19000244140625</v>
      </c>
    </row>
    <row r="572" spans="1:5" x14ac:dyDescent="0.3">
      <c r="A572" t="s">
        <v>1017</v>
      </c>
      <c r="B572" t="s">
        <v>103</v>
      </c>
      <c r="C572" t="s">
        <v>25</v>
      </c>
      <c r="D572">
        <v>60</v>
      </c>
      <c r="E572">
        <v>300.67999267578125</v>
      </c>
    </row>
    <row r="573" spans="1:5" x14ac:dyDescent="0.3">
      <c r="A573" t="s">
        <v>1018</v>
      </c>
      <c r="B573" t="s">
        <v>2912</v>
      </c>
      <c r="C573" t="s">
        <v>25</v>
      </c>
      <c r="D573">
        <v>420</v>
      </c>
      <c r="E573">
        <v>465.05999755859375</v>
      </c>
    </row>
    <row r="574" spans="1:5" x14ac:dyDescent="0.3">
      <c r="A574" t="s">
        <v>1020</v>
      </c>
      <c r="B574" t="s">
        <v>1336</v>
      </c>
      <c r="C574" t="s">
        <v>67</v>
      </c>
      <c r="D574">
        <v>20</v>
      </c>
      <c r="E574">
        <v>253.78999328613281</v>
      </c>
    </row>
    <row r="575" spans="1:5" x14ac:dyDescent="0.3">
      <c r="A575" t="s">
        <v>1022</v>
      </c>
      <c r="B575" t="s">
        <v>1499</v>
      </c>
      <c r="C575" t="s">
        <v>51</v>
      </c>
      <c r="D575">
        <v>130</v>
      </c>
      <c r="E575">
        <v>125.09999847412109</v>
      </c>
    </row>
    <row r="576" spans="1:5" x14ac:dyDescent="0.3">
      <c r="A576" t="s">
        <v>1023</v>
      </c>
      <c r="B576" t="s">
        <v>1280</v>
      </c>
      <c r="C576" t="s">
        <v>43</v>
      </c>
      <c r="D576">
        <v>300</v>
      </c>
      <c r="E576">
        <v>170.05999755859375</v>
      </c>
    </row>
    <row r="577" spans="1:5" x14ac:dyDescent="0.3">
      <c r="A577" t="s">
        <v>1025</v>
      </c>
      <c r="B577" t="s">
        <v>1280</v>
      </c>
      <c r="C577" t="s">
        <v>33</v>
      </c>
      <c r="D577">
        <v>120</v>
      </c>
      <c r="E577">
        <v>362.54998779296875</v>
      </c>
    </row>
    <row r="578" spans="1:5" x14ac:dyDescent="0.3">
      <c r="A578" t="s">
        <v>1026</v>
      </c>
      <c r="B578" t="s">
        <v>2301</v>
      </c>
      <c r="C578" t="s">
        <v>62</v>
      </c>
      <c r="D578">
        <v>470</v>
      </c>
      <c r="E578">
        <v>309.260009765625</v>
      </c>
    </row>
    <row r="579" spans="1:5" x14ac:dyDescent="0.3">
      <c r="A579" t="s">
        <v>1027</v>
      </c>
      <c r="B579" t="s">
        <v>2577</v>
      </c>
      <c r="C579" t="s">
        <v>36</v>
      </c>
      <c r="D579">
        <v>270</v>
      </c>
      <c r="E579">
        <v>499.70001220703125</v>
      </c>
    </row>
    <row r="580" spans="1:5" x14ac:dyDescent="0.3">
      <c r="A580" t="s">
        <v>1029</v>
      </c>
      <c r="B580" t="s">
        <v>304</v>
      </c>
      <c r="C580" t="s">
        <v>21</v>
      </c>
      <c r="D580">
        <v>240</v>
      </c>
      <c r="E580">
        <v>56.169998168945313</v>
      </c>
    </row>
    <row r="581" spans="1:5" x14ac:dyDescent="0.3">
      <c r="A581" t="s">
        <v>1031</v>
      </c>
      <c r="B581" t="s">
        <v>2913</v>
      </c>
      <c r="C581" t="s">
        <v>17</v>
      </c>
      <c r="D581">
        <v>110</v>
      </c>
      <c r="E581">
        <v>483.79998779296875</v>
      </c>
    </row>
    <row r="582" spans="1:5" x14ac:dyDescent="0.3">
      <c r="A582" t="s">
        <v>1033</v>
      </c>
      <c r="B582" t="s">
        <v>1066</v>
      </c>
      <c r="C582" t="s">
        <v>70</v>
      </c>
      <c r="D582">
        <v>440</v>
      </c>
      <c r="E582">
        <v>420.52999877929688</v>
      </c>
    </row>
    <row r="583" spans="1:5" x14ac:dyDescent="0.3">
      <c r="A583" t="s">
        <v>1034</v>
      </c>
      <c r="B583" t="s">
        <v>878</v>
      </c>
      <c r="C583" t="s">
        <v>19</v>
      </c>
      <c r="D583">
        <v>280</v>
      </c>
      <c r="E583">
        <v>387.1199951171875</v>
      </c>
    </row>
    <row r="584" spans="1:5" x14ac:dyDescent="0.3">
      <c r="A584" t="s">
        <v>1036</v>
      </c>
      <c r="B584" t="s">
        <v>1139</v>
      </c>
      <c r="C584" t="s">
        <v>68</v>
      </c>
      <c r="D584">
        <v>20</v>
      </c>
      <c r="E584">
        <v>37.119998931884766</v>
      </c>
    </row>
    <row r="585" spans="1:5" x14ac:dyDescent="0.3">
      <c r="A585" t="s">
        <v>1038</v>
      </c>
      <c r="B585" t="s">
        <v>258</v>
      </c>
      <c r="C585" t="s">
        <v>32</v>
      </c>
      <c r="D585">
        <v>50</v>
      </c>
      <c r="E585">
        <v>406.92001342773438</v>
      </c>
    </row>
    <row r="586" spans="1:5" x14ac:dyDescent="0.3">
      <c r="A586" t="s">
        <v>1039</v>
      </c>
      <c r="B586" t="s">
        <v>1809</v>
      </c>
      <c r="C586" t="s">
        <v>12</v>
      </c>
      <c r="D586">
        <v>25000</v>
      </c>
      <c r="E586">
        <v>72.330001831054688</v>
      </c>
    </row>
    <row r="587" spans="1:5" x14ac:dyDescent="0.3">
      <c r="A587" t="s">
        <v>1041</v>
      </c>
      <c r="B587" t="s">
        <v>2629</v>
      </c>
      <c r="C587" t="s">
        <v>46</v>
      </c>
      <c r="D587">
        <v>340</v>
      </c>
      <c r="E587">
        <v>310.510009765625</v>
      </c>
    </row>
    <row r="588" spans="1:5" x14ac:dyDescent="0.3">
      <c r="A588" t="s">
        <v>1042</v>
      </c>
      <c r="B588" t="s">
        <v>1349</v>
      </c>
      <c r="C588" t="s">
        <v>53</v>
      </c>
      <c r="D588">
        <v>400</v>
      </c>
      <c r="E588">
        <v>290.6099853515625</v>
      </c>
    </row>
    <row r="589" spans="1:5" x14ac:dyDescent="0.3">
      <c r="A589" t="s">
        <v>1044</v>
      </c>
      <c r="B589" t="s">
        <v>1032</v>
      </c>
      <c r="C589" t="s">
        <v>10</v>
      </c>
      <c r="D589">
        <v>410</v>
      </c>
      <c r="E589">
        <v>73.419998168945313</v>
      </c>
    </row>
    <row r="590" spans="1:5" x14ac:dyDescent="0.3">
      <c r="A590" t="s">
        <v>1045</v>
      </c>
      <c r="B590" t="s">
        <v>178</v>
      </c>
      <c r="C590" t="s">
        <v>41</v>
      </c>
      <c r="D590">
        <v>150</v>
      </c>
      <c r="E590">
        <v>508.79998779296875</v>
      </c>
    </row>
    <row r="591" spans="1:5" x14ac:dyDescent="0.3">
      <c r="A591" t="s">
        <v>1046</v>
      </c>
      <c r="B591" t="s">
        <v>2581</v>
      </c>
      <c r="C591" t="s">
        <v>54</v>
      </c>
      <c r="D591">
        <v>260</v>
      </c>
      <c r="E591">
        <v>485.64999389648438</v>
      </c>
    </row>
    <row r="592" spans="1:5" x14ac:dyDescent="0.3">
      <c r="A592" t="s">
        <v>1048</v>
      </c>
      <c r="B592" t="s">
        <v>2136</v>
      </c>
      <c r="C592" t="s">
        <v>55</v>
      </c>
      <c r="D592">
        <v>430</v>
      </c>
      <c r="E592">
        <v>181.97000122070313</v>
      </c>
    </row>
    <row r="593" spans="1:5" x14ac:dyDescent="0.3">
      <c r="A593" t="s">
        <v>1050</v>
      </c>
      <c r="B593" t="s">
        <v>907</v>
      </c>
      <c r="C593" t="s">
        <v>33</v>
      </c>
      <c r="D593">
        <v>160</v>
      </c>
      <c r="E593">
        <v>314.79000854492188</v>
      </c>
    </row>
    <row r="594" spans="1:5" x14ac:dyDescent="0.3">
      <c r="A594" t="s">
        <v>1051</v>
      </c>
      <c r="B594" t="s">
        <v>780</v>
      </c>
      <c r="C594" t="s">
        <v>56</v>
      </c>
      <c r="D594">
        <v>40</v>
      </c>
      <c r="E594">
        <v>390.20999145507813</v>
      </c>
    </row>
    <row r="595" spans="1:5" x14ac:dyDescent="0.3">
      <c r="A595" t="s">
        <v>1053</v>
      </c>
      <c r="B595" t="s">
        <v>1349</v>
      </c>
      <c r="C595" t="s">
        <v>65</v>
      </c>
      <c r="D595">
        <v>460</v>
      </c>
      <c r="E595">
        <v>453.39999389648438</v>
      </c>
    </row>
    <row r="596" spans="1:5" x14ac:dyDescent="0.3">
      <c r="A596" t="s">
        <v>1055</v>
      </c>
      <c r="B596" t="s">
        <v>481</v>
      </c>
      <c r="C596" t="s">
        <v>18</v>
      </c>
      <c r="D596">
        <v>410</v>
      </c>
      <c r="E596">
        <v>338.58999633789063</v>
      </c>
    </row>
    <row r="597" spans="1:5" x14ac:dyDescent="0.3">
      <c r="A597" t="s">
        <v>1057</v>
      </c>
      <c r="B597" t="s">
        <v>2913</v>
      </c>
      <c r="C597" t="s">
        <v>51</v>
      </c>
      <c r="D597">
        <v>170</v>
      </c>
      <c r="E597">
        <v>419.05999755859375</v>
      </c>
    </row>
    <row r="598" spans="1:5" x14ac:dyDescent="0.3">
      <c r="A598" t="s">
        <v>1058</v>
      </c>
      <c r="B598" t="s">
        <v>911</v>
      </c>
      <c r="C598" t="s">
        <v>59</v>
      </c>
      <c r="D598">
        <v>25000</v>
      </c>
      <c r="E598">
        <v>107.87999725341797</v>
      </c>
    </row>
    <row r="599" spans="1:5" x14ac:dyDescent="0.3">
      <c r="A599" t="s">
        <v>1059</v>
      </c>
      <c r="B599" t="s">
        <v>350</v>
      </c>
      <c r="C599" t="s">
        <v>32</v>
      </c>
      <c r="D599">
        <v>220</v>
      </c>
      <c r="E599">
        <v>399.58999633789063</v>
      </c>
    </row>
    <row r="600" spans="1:5" x14ac:dyDescent="0.3">
      <c r="A600" t="s">
        <v>1061</v>
      </c>
      <c r="B600" t="s">
        <v>1958</v>
      </c>
      <c r="C600" t="s">
        <v>18</v>
      </c>
      <c r="D600">
        <v>420</v>
      </c>
      <c r="E600">
        <v>302.3900146484375</v>
      </c>
    </row>
    <row r="601" spans="1:5" x14ac:dyDescent="0.3">
      <c r="A601" t="s">
        <v>1062</v>
      </c>
      <c r="B601" t="s">
        <v>1272</v>
      </c>
      <c r="C601" t="s">
        <v>32</v>
      </c>
      <c r="D601">
        <v>150</v>
      </c>
      <c r="E601">
        <v>389.77999877929688</v>
      </c>
    </row>
    <row r="602" spans="1:5" x14ac:dyDescent="0.3">
      <c r="A602" t="s">
        <v>1063</v>
      </c>
      <c r="B602" t="s">
        <v>1135</v>
      </c>
      <c r="C602" t="s">
        <v>53</v>
      </c>
      <c r="D602">
        <v>450</v>
      </c>
      <c r="E602">
        <v>305.52999877929688</v>
      </c>
    </row>
    <row r="603" spans="1:5" x14ac:dyDescent="0.3">
      <c r="A603" t="s">
        <v>1064</v>
      </c>
      <c r="B603" t="s">
        <v>1001</v>
      </c>
      <c r="C603" t="s">
        <v>44</v>
      </c>
      <c r="D603">
        <v>90</v>
      </c>
      <c r="E603">
        <v>13.779999732971191</v>
      </c>
    </row>
    <row r="604" spans="1:5" x14ac:dyDescent="0.3">
      <c r="A604" t="s">
        <v>1065</v>
      </c>
      <c r="B604" t="s">
        <v>308</v>
      </c>
      <c r="C604" t="s">
        <v>15</v>
      </c>
      <c r="D604">
        <v>300</v>
      </c>
      <c r="E604">
        <v>48.939998626708984</v>
      </c>
    </row>
    <row r="605" spans="1:5" x14ac:dyDescent="0.3">
      <c r="A605" t="s">
        <v>1067</v>
      </c>
      <c r="B605" t="s">
        <v>2256</v>
      </c>
      <c r="C605" t="s">
        <v>66</v>
      </c>
      <c r="D605">
        <v>40</v>
      </c>
      <c r="E605">
        <v>265.739990234375</v>
      </c>
    </row>
    <row r="606" spans="1:5" x14ac:dyDescent="0.3">
      <c r="A606" t="s">
        <v>1068</v>
      </c>
      <c r="B606" t="s">
        <v>1753</v>
      </c>
      <c r="C606" t="s">
        <v>43</v>
      </c>
      <c r="D606">
        <v>260</v>
      </c>
      <c r="E606">
        <v>89.239997863769531</v>
      </c>
    </row>
    <row r="607" spans="1:5" x14ac:dyDescent="0.3">
      <c r="A607" t="s">
        <v>1070</v>
      </c>
      <c r="B607" t="s">
        <v>1177</v>
      </c>
      <c r="C607" t="s">
        <v>54</v>
      </c>
      <c r="D607">
        <v>120</v>
      </c>
      <c r="E607">
        <v>264.80999755859375</v>
      </c>
    </row>
    <row r="608" spans="1:5" x14ac:dyDescent="0.3">
      <c r="A608" t="s">
        <v>1071</v>
      </c>
      <c r="B608" t="s">
        <v>904</v>
      </c>
      <c r="C608" t="s">
        <v>23</v>
      </c>
      <c r="D608">
        <v>280</v>
      </c>
      <c r="E608">
        <v>108.09999847412109</v>
      </c>
    </row>
    <row r="609" spans="1:5" x14ac:dyDescent="0.3">
      <c r="A609" t="s">
        <v>1072</v>
      </c>
      <c r="B609" t="s">
        <v>2913</v>
      </c>
      <c r="C609" t="s">
        <v>23</v>
      </c>
      <c r="D609">
        <v>100</v>
      </c>
      <c r="E609">
        <v>255.11000061035156</v>
      </c>
    </row>
    <row r="610" spans="1:5" x14ac:dyDescent="0.3">
      <c r="A610" t="s">
        <v>1073</v>
      </c>
      <c r="B610" t="s">
        <v>1556</v>
      </c>
      <c r="C610" t="s">
        <v>56</v>
      </c>
      <c r="D610">
        <v>420</v>
      </c>
      <c r="E610">
        <v>412.1400146484375</v>
      </c>
    </row>
    <row r="611" spans="1:5" x14ac:dyDescent="0.3">
      <c r="A611" t="s">
        <v>1074</v>
      </c>
      <c r="B611" t="s">
        <v>950</v>
      </c>
      <c r="C611" t="s">
        <v>21</v>
      </c>
      <c r="D611">
        <v>330</v>
      </c>
      <c r="E611">
        <v>105.80000305175781</v>
      </c>
    </row>
    <row r="612" spans="1:5" x14ac:dyDescent="0.3">
      <c r="A612" t="s">
        <v>1075</v>
      </c>
      <c r="B612" t="s">
        <v>789</v>
      </c>
      <c r="C612" t="s">
        <v>64</v>
      </c>
      <c r="D612">
        <v>380</v>
      </c>
      <c r="E612">
        <v>433.010009765625</v>
      </c>
    </row>
    <row r="613" spans="1:5" x14ac:dyDescent="0.3">
      <c r="A613" t="s">
        <v>1076</v>
      </c>
      <c r="B613" t="s">
        <v>1583</v>
      </c>
      <c r="C613" t="s">
        <v>45</v>
      </c>
      <c r="D613">
        <v>340</v>
      </c>
      <c r="E613">
        <v>311.010009765625</v>
      </c>
    </row>
    <row r="614" spans="1:5" x14ac:dyDescent="0.3">
      <c r="A614" t="s">
        <v>1077</v>
      </c>
      <c r="B614" t="s">
        <v>1212</v>
      </c>
      <c r="C614" t="s">
        <v>56</v>
      </c>
      <c r="D614">
        <v>470</v>
      </c>
      <c r="E614">
        <v>227.35000610351563</v>
      </c>
    </row>
    <row r="615" spans="1:5" x14ac:dyDescent="0.3">
      <c r="A615" t="s">
        <v>1079</v>
      </c>
      <c r="B615" t="s">
        <v>2914</v>
      </c>
      <c r="C615" t="s">
        <v>40</v>
      </c>
      <c r="D615">
        <v>240</v>
      </c>
      <c r="E615">
        <v>489.8800048828125</v>
      </c>
    </row>
    <row r="616" spans="1:5" x14ac:dyDescent="0.3">
      <c r="A616" t="s">
        <v>1080</v>
      </c>
      <c r="B616" t="s">
        <v>1508</v>
      </c>
      <c r="C616" t="s">
        <v>46</v>
      </c>
      <c r="D616">
        <v>120</v>
      </c>
      <c r="E616">
        <v>476.79000854492188</v>
      </c>
    </row>
    <row r="617" spans="1:5" x14ac:dyDescent="0.3">
      <c r="A617" t="s">
        <v>1081</v>
      </c>
      <c r="B617" t="s">
        <v>2700</v>
      </c>
      <c r="C617" t="s">
        <v>33</v>
      </c>
      <c r="D617">
        <v>290</v>
      </c>
      <c r="E617">
        <v>386.55999755859375</v>
      </c>
    </row>
    <row r="618" spans="1:5" x14ac:dyDescent="0.3">
      <c r="A618" t="s">
        <v>1082</v>
      </c>
      <c r="B618" t="s">
        <v>247</v>
      </c>
      <c r="C618" t="s">
        <v>66</v>
      </c>
      <c r="D618">
        <v>400</v>
      </c>
      <c r="E618">
        <v>487.989990234375</v>
      </c>
    </row>
    <row r="619" spans="1:5" x14ac:dyDescent="0.3">
      <c r="A619" t="s">
        <v>1083</v>
      </c>
      <c r="B619" t="s">
        <v>1413</v>
      </c>
      <c r="C619" t="s">
        <v>63</v>
      </c>
      <c r="D619">
        <v>360</v>
      </c>
      <c r="E619">
        <v>370.17999267578125</v>
      </c>
    </row>
    <row r="620" spans="1:5" x14ac:dyDescent="0.3">
      <c r="A620" t="s">
        <v>1084</v>
      </c>
      <c r="B620" t="s">
        <v>824</v>
      </c>
      <c r="C620" t="s">
        <v>124</v>
      </c>
      <c r="D620">
        <v>300</v>
      </c>
      <c r="E620">
        <v>14.119999885559082</v>
      </c>
    </row>
    <row r="621" spans="1:5" x14ac:dyDescent="0.3">
      <c r="A621" t="s">
        <v>1085</v>
      </c>
      <c r="B621" t="s">
        <v>336</v>
      </c>
      <c r="C621" t="s">
        <v>32</v>
      </c>
      <c r="D621">
        <v>290</v>
      </c>
      <c r="E621">
        <v>456.22000122070313</v>
      </c>
    </row>
    <row r="622" spans="1:5" x14ac:dyDescent="0.3">
      <c r="A622" t="s">
        <v>1087</v>
      </c>
      <c r="B622" t="s">
        <v>481</v>
      </c>
      <c r="C622" t="s">
        <v>16</v>
      </c>
      <c r="D622">
        <v>260</v>
      </c>
      <c r="E622">
        <v>254.66999816894531</v>
      </c>
    </row>
    <row r="623" spans="1:5" x14ac:dyDescent="0.3">
      <c r="A623" t="s">
        <v>1088</v>
      </c>
      <c r="B623" t="s">
        <v>1315</v>
      </c>
      <c r="C623" t="s">
        <v>23</v>
      </c>
      <c r="D623">
        <v>200</v>
      </c>
      <c r="E623">
        <v>202.69999694824219</v>
      </c>
    </row>
    <row r="624" spans="1:5" x14ac:dyDescent="0.3">
      <c r="A624" t="s">
        <v>1089</v>
      </c>
      <c r="B624" t="s">
        <v>1853</v>
      </c>
      <c r="C624" t="s">
        <v>15</v>
      </c>
      <c r="D624">
        <v>120</v>
      </c>
      <c r="E624">
        <v>70.080001831054688</v>
      </c>
    </row>
    <row r="625" spans="1:5" x14ac:dyDescent="0.3">
      <c r="A625" t="s">
        <v>1090</v>
      </c>
      <c r="B625" t="s">
        <v>2700</v>
      </c>
      <c r="C625" t="s">
        <v>42</v>
      </c>
      <c r="D625">
        <v>250</v>
      </c>
      <c r="E625">
        <v>353.14999389648438</v>
      </c>
    </row>
    <row r="626" spans="1:5" x14ac:dyDescent="0.3">
      <c r="A626" t="s">
        <v>1091</v>
      </c>
      <c r="B626" t="s">
        <v>1583</v>
      </c>
      <c r="C626" t="s">
        <v>58</v>
      </c>
      <c r="D626">
        <v>25000</v>
      </c>
      <c r="E626">
        <v>358.95001220703125</v>
      </c>
    </row>
    <row r="627" spans="1:5" x14ac:dyDescent="0.3">
      <c r="A627" t="s">
        <v>1093</v>
      </c>
      <c r="B627" t="s">
        <v>2491</v>
      </c>
      <c r="C627" t="s">
        <v>34</v>
      </c>
      <c r="D627">
        <v>90</v>
      </c>
      <c r="E627">
        <v>460.94000244140625</v>
      </c>
    </row>
    <row r="628" spans="1:5" x14ac:dyDescent="0.3">
      <c r="A628" t="s">
        <v>1094</v>
      </c>
      <c r="B628" t="s">
        <v>1408</v>
      </c>
      <c r="C628" t="s">
        <v>53</v>
      </c>
      <c r="D628">
        <v>430</v>
      </c>
      <c r="E628">
        <v>81.680000305175781</v>
      </c>
    </row>
    <row r="629" spans="1:5" x14ac:dyDescent="0.3">
      <c r="A629" t="s">
        <v>1095</v>
      </c>
      <c r="B629" t="s">
        <v>1443</v>
      </c>
      <c r="C629" t="s">
        <v>63</v>
      </c>
      <c r="D629">
        <v>320</v>
      </c>
      <c r="E629">
        <v>503.6300048828125</v>
      </c>
    </row>
    <row r="630" spans="1:5" x14ac:dyDescent="0.3">
      <c r="A630" t="s">
        <v>1096</v>
      </c>
      <c r="B630" t="s">
        <v>2867</v>
      </c>
      <c r="C630" t="s">
        <v>52</v>
      </c>
      <c r="D630">
        <v>260</v>
      </c>
      <c r="E630">
        <v>17.079999923706055</v>
      </c>
    </row>
    <row r="631" spans="1:5" x14ac:dyDescent="0.3">
      <c r="A631" t="s">
        <v>1097</v>
      </c>
      <c r="B631" t="s">
        <v>2915</v>
      </c>
      <c r="C631" t="s">
        <v>15</v>
      </c>
      <c r="D631">
        <v>140</v>
      </c>
      <c r="E631">
        <v>170.1199951171875</v>
      </c>
    </row>
    <row r="632" spans="1:5" x14ac:dyDescent="0.3">
      <c r="A632" t="s">
        <v>1098</v>
      </c>
      <c r="B632" t="s">
        <v>1332</v>
      </c>
      <c r="C632" t="s">
        <v>67</v>
      </c>
      <c r="D632">
        <v>30</v>
      </c>
      <c r="E632">
        <v>18.670000076293945</v>
      </c>
    </row>
    <row r="633" spans="1:5" x14ac:dyDescent="0.3">
      <c r="A633" t="s">
        <v>1099</v>
      </c>
      <c r="B633" t="s">
        <v>1324</v>
      </c>
      <c r="C633" t="s">
        <v>31</v>
      </c>
      <c r="D633">
        <v>410</v>
      </c>
      <c r="E633">
        <v>376.44000244140625</v>
      </c>
    </row>
    <row r="634" spans="1:5" x14ac:dyDescent="0.3">
      <c r="A634" t="s">
        <v>1100</v>
      </c>
      <c r="B634" t="s">
        <v>2916</v>
      </c>
      <c r="C634" t="s">
        <v>66</v>
      </c>
      <c r="D634">
        <v>430</v>
      </c>
      <c r="E634">
        <v>64.970001220703125</v>
      </c>
    </row>
    <row r="635" spans="1:5" x14ac:dyDescent="0.3">
      <c r="A635" t="s">
        <v>1101</v>
      </c>
      <c r="B635" t="s">
        <v>2906</v>
      </c>
      <c r="C635" t="s">
        <v>69</v>
      </c>
      <c r="D635">
        <v>130</v>
      </c>
      <c r="E635">
        <v>163.60000610351563</v>
      </c>
    </row>
    <row r="636" spans="1:5" x14ac:dyDescent="0.3">
      <c r="A636" t="s">
        <v>1102</v>
      </c>
      <c r="B636" t="s">
        <v>786</v>
      </c>
      <c r="C636" t="s">
        <v>29</v>
      </c>
      <c r="D636">
        <v>240</v>
      </c>
      <c r="E636">
        <v>259.5</v>
      </c>
    </row>
    <row r="637" spans="1:5" x14ac:dyDescent="0.3">
      <c r="A637" t="s">
        <v>1104</v>
      </c>
      <c r="B637" t="s">
        <v>2071</v>
      </c>
      <c r="C637" t="s">
        <v>66</v>
      </c>
      <c r="D637">
        <v>400</v>
      </c>
      <c r="E637">
        <v>197.6199951171875</v>
      </c>
    </row>
    <row r="638" spans="1:5" x14ac:dyDescent="0.3">
      <c r="A638" t="s">
        <v>1105</v>
      </c>
      <c r="B638" t="s">
        <v>135</v>
      </c>
      <c r="C638" t="s">
        <v>62</v>
      </c>
      <c r="D638">
        <v>400</v>
      </c>
      <c r="E638">
        <v>330.760009765625</v>
      </c>
    </row>
    <row r="639" spans="1:5" x14ac:dyDescent="0.3">
      <c r="A639" t="s">
        <v>1106</v>
      </c>
      <c r="B639" t="s">
        <v>151</v>
      </c>
      <c r="C639" t="s">
        <v>19</v>
      </c>
      <c r="D639">
        <v>460</v>
      </c>
      <c r="E639">
        <v>269.510009765625</v>
      </c>
    </row>
    <row r="640" spans="1:5" x14ac:dyDescent="0.3">
      <c r="A640" t="s">
        <v>1107</v>
      </c>
      <c r="B640" t="s">
        <v>85</v>
      </c>
      <c r="C640" t="s">
        <v>60</v>
      </c>
      <c r="D640">
        <v>450</v>
      </c>
      <c r="E640">
        <v>132.27999877929688</v>
      </c>
    </row>
    <row r="641" spans="1:5" x14ac:dyDescent="0.3">
      <c r="A641" t="s">
        <v>1109</v>
      </c>
      <c r="B641" t="s">
        <v>856</v>
      </c>
      <c r="C641" t="s">
        <v>67</v>
      </c>
      <c r="D641">
        <v>170</v>
      </c>
      <c r="E641">
        <v>295.29000854492188</v>
      </c>
    </row>
    <row r="642" spans="1:5" x14ac:dyDescent="0.3">
      <c r="A642" t="s">
        <v>1111</v>
      </c>
      <c r="B642" t="s">
        <v>803</v>
      </c>
      <c r="C642" t="s">
        <v>45</v>
      </c>
      <c r="D642">
        <v>70</v>
      </c>
      <c r="E642">
        <v>142.57000732421875</v>
      </c>
    </row>
    <row r="643" spans="1:5" x14ac:dyDescent="0.3">
      <c r="A643" t="s">
        <v>1113</v>
      </c>
      <c r="B643" t="s">
        <v>1429</v>
      </c>
      <c r="C643" t="s">
        <v>60</v>
      </c>
      <c r="D643">
        <v>20</v>
      </c>
      <c r="E643">
        <v>315.97000122070313</v>
      </c>
    </row>
    <row r="644" spans="1:5" x14ac:dyDescent="0.3">
      <c r="A644" t="s">
        <v>1114</v>
      </c>
      <c r="B644" t="s">
        <v>1955</v>
      </c>
      <c r="C644" t="s">
        <v>56</v>
      </c>
      <c r="D644">
        <v>50</v>
      </c>
      <c r="E644">
        <v>465.14999389648438</v>
      </c>
    </row>
    <row r="645" spans="1:5" x14ac:dyDescent="0.3">
      <c r="A645" t="s">
        <v>1116</v>
      </c>
      <c r="B645" t="s">
        <v>126</v>
      </c>
      <c r="C645" t="s">
        <v>43</v>
      </c>
      <c r="D645">
        <v>110</v>
      </c>
      <c r="E645">
        <v>497.57000732421875</v>
      </c>
    </row>
    <row r="646" spans="1:5" x14ac:dyDescent="0.3">
      <c r="A646" t="s">
        <v>1118</v>
      </c>
      <c r="B646" t="s">
        <v>325</v>
      </c>
      <c r="C646" t="s">
        <v>23</v>
      </c>
      <c r="D646">
        <v>320</v>
      </c>
      <c r="E646">
        <v>328.52999877929688</v>
      </c>
    </row>
    <row r="647" spans="1:5" x14ac:dyDescent="0.3">
      <c r="A647" t="s">
        <v>1120</v>
      </c>
      <c r="B647" t="s">
        <v>289</v>
      </c>
      <c r="C647" t="s">
        <v>13</v>
      </c>
      <c r="D647">
        <v>200</v>
      </c>
      <c r="E647">
        <v>131.11000061035156</v>
      </c>
    </row>
    <row r="648" spans="1:5" x14ac:dyDescent="0.3">
      <c r="A648" t="s">
        <v>1121</v>
      </c>
      <c r="B648" t="s">
        <v>350</v>
      </c>
      <c r="C648" t="s">
        <v>18</v>
      </c>
      <c r="D648">
        <v>430</v>
      </c>
      <c r="E648">
        <v>86.220001220703125</v>
      </c>
    </row>
    <row r="649" spans="1:5" x14ac:dyDescent="0.3">
      <c r="A649" t="s">
        <v>1122</v>
      </c>
      <c r="B649" t="s">
        <v>2917</v>
      </c>
      <c r="C649" t="s">
        <v>58</v>
      </c>
      <c r="D649">
        <v>120</v>
      </c>
      <c r="E649">
        <v>132.58999633789063</v>
      </c>
    </row>
    <row r="650" spans="1:5" x14ac:dyDescent="0.3">
      <c r="A650" t="s">
        <v>1123</v>
      </c>
      <c r="B650" t="s">
        <v>872</v>
      </c>
      <c r="C650" t="s">
        <v>68</v>
      </c>
      <c r="D650">
        <v>50</v>
      </c>
      <c r="E650">
        <v>216.75</v>
      </c>
    </row>
    <row r="651" spans="1:5" x14ac:dyDescent="0.3">
      <c r="A651" t="s">
        <v>1124</v>
      </c>
      <c r="B651" t="s">
        <v>2410</v>
      </c>
      <c r="C651" t="s">
        <v>16</v>
      </c>
      <c r="D651">
        <v>380</v>
      </c>
      <c r="E651">
        <v>43.049999237060547</v>
      </c>
    </row>
    <row r="652" spans="1:5" x14ac:dyDescent="0.3">
      <c r="A652" t="s">
        <v>1126</v>
      </c>
      <c r="B652" t="s">
        <v>178</v>
      </c>
      <c r="C652" t="s">
        <v>29</v>
      </c>
      <c r="D652">
        <v>470</v>
      </c>
      <c r="E652">
        <v>323.6300048828125</v>
      </c>
    </row>
    <row r="653" spans="1:5" x14ac:dyDescent="0.3">
      <c r="A653" t="s">
        <v>1127</v>
      </c>
      <c r="B653" t="s">
        <v>115</v>
      </c>
      <c r="C653" t="s">
        <v>62</v>
      </c>
      <c r="D653">
        <v>80</v>
      </c>
      <c r="E653">
        <v>28.479999542236328</v>
      </c>
    </row>
    <row r="654" spans="1:5" x14ac:dyDescent="0.3">
      <c r="A654" t="s">
        <v>1129</v>
      </c>
      <c r="B654" t="s">
        <v>2020</v>
      </c>
      <c r="C654" t="s">
        <v>69</v>
      </c>
      <c r="D654">
        <v>-50</v>
      </c>
      <c r="E654">
        <v>443.739990234375</v>
      </c>
    </row>
    <row r="655" spans="1:5" x14ac:dyDescent="0.3">
      <c r="A655" t="s">
        <v>1130</v>
      </c>
      <c r="B655" t="s">
        <v>394</v>
      </c>
      <c r="C655" t="s">
        <v>31</v>
      </c>
      <c r="D655">
        <v>490</v>
      </c>
      <c r="E655">
        <v>445.67999267578125</v>
      </c>
    </row>
    <row r="656" spans="1:5" x14ac:dyDescent="0.3">
      <c r="A656" t="s">
        <v>1131</v>
      </c>
      <c r="B656" t="s">
        <v>1719</v>
      </c>
      <c r="C656" t="s">
        <v>58</v>
      </c>
      <c r="D656">
        <v>10</v>
      </c>
      <c r="E656">
        <v>272.95001220703125</v>
      </c>
    </row>
    <row r="657" spans="1:5" x14ac:dyDescent="0.3">
      <c r="A657" t="s">
        <v>1133</v>
      </c>
      <c r="B657" t="s">
        <v>2883</v>
      </c>
      <c r="C657" t="s">
        <v>31</v>
      </c>
      <c r="D657">
        <v>160</v>
      </c>
      <c r="E657">
        <v>370.1199951171875</v>
      </c>
    </row>
    <row r="658" spans="1:5" x14ac:dyDescent="0.3">
      <c r="A658" t="s">
        <v>1134</v>
      </c>
      <c r="B658" t="s">
        <v>1174</v>
      </c>
      <c r="C658" t="s">
        <v>61</v>
      </c>
      <c r="D658">
        <v>400</v>
      </c>
      <c r="E658">
        <v>127.08999633789063</v>
      </c>
    </row>
    <row r="659" spans="1:5" x14ac:dyDescent="0.3">
      <c r="A659" t="s">
        <v>1136</v>
      </c>
      <c r="B659" t="s">
        <v>698</v>
      </c>
      <c r="C659" t="s">
        <v>46</v>
      </c>
      <c r="D659">
        <v>270</v>
      </c>
      <c r="E659">
        <v>129.07000732421875</v>
      </c>
    </row>
    <row r="660" spans="1:5" x14ac:dyDescent="0.3">
      <c r="A660" t="s">
        <v>1138</v>
      </c>
      <c r="B660" t="s">
        <v>126</v>
      </c>
      <c r="C660" t="s">
        <v>32</v>
      </c>
      <c r="D660">
        <v>190</v>
      </c>
      <c r="E660">
        <v>406.55999755859375</v>
      </c>
    </row>
    <row r="661" spans="1:5" x14ac:dyDescent="0.3">
      <c r="A661" t="s">
        <v>1140</v>
      </c>
      <c r="B661" t="s">
        <v>2421</v>
      </c>
      <c r="C661" t="s">
        <v>69</v>
      </c>
      <c r="D661">
        <v>170</v>
      </c>
      <c r="E661">
        <v>185.39999389648438</v>
      </c>
    </row>
    <row r="662" spans="1:5" x14ac:dyDescent="0.3">
      <c r="A662" t="s">
        <v>1142</v>
      </c>
      <c r="B662" t="s">
        <v>1476</v>
      </c>
      <c r="C662" t="s">
        <v>23</v>
      </c>
      <c r="D662">
        <v>60</v>
      </c>
      <c r="E662">
        <v>136.74000549316406</v>
      </c>
    </row>
    <row r="663" spans="1:5" x14ac:dyDescent="0.3">
      <c r="A663" t="s">
        <v>1143</v>
      </c>
      <c r="B663" t="s">
        <v>849</v>
      </c>
      <c r="C663" t="s">
        <v>54</v>
      </c>
      <c r="D663">
        <v>320</v>
      </c>
      <c r="E663">
        <v>127.02999877929688</v>
      </c>
    </row>
    <row r="664" spans="1:5" x14ac:dyDescent="0.3">
      <c r="A664" t="s">
        <v>1144</v>
      </c>
      <c r="B664" t="s">
        <v>198</v>
      </c>
      <c r="C664" t="s">
        <v>59</v>
      </c>
      <c r="D664">
        <v>280</v>
      </c>
      <c r="E664">
        <v>468.02999877929688</v>
      </c>
    </row>
    <row r="665" spans="1:5" x14ac:dyDescent="0.3">
      <c r="A665" t="s">
        <v>1146</v>
      </c>
      <c r="B665" t="s">
        <v>2885</v>
      </c>
      <c r="C665" t="s">
        <v>10</v>
      </c>
      <c r="D665">
        <v>330</v>
      </c>
      <c r="E665">
        <v>166.82000732421875</v>
      </c>
    </row>
    <row r="666" spans="1:5" x14ac:dyDescent="0.3">
      <c r="A666" t="s">
        <v>1148</v>
      </c>
      <c r="B666" t="s">
        <v>297</v>
      </c>
      <c r="C666" t="s">
        <v>44</v>
      </c>
      <c r="D666">
        <v>250</v>
      </c>
      <c r="E666">
        <v>175.80999755859375</v>
      </c>
    </row>
    <row r="667" spans="1:5" x14ac:dyDescent="0.3">
      <c r="A667" t="s">
        <v>1150</v>
      </c>
      <c r="B667" t="s">
        <v>1035</v>
      </c>
      <c r="C667" t="s">
        <v>124</v>
      </c>
      <c r="D667">
        <v>500</v>
      </c>
      <c r="E667">
        <v>415.3900146484375</v>
      </c>
    </row>
    <row r="668" spans="1:5" x14ac:dyDescent="0.3">
      <c r="A668" t="s">
        <v>1151</v>
      </c>
      <c r="B668" t="s">
        <v>403</v>
      </c>
      <c r="C668" t="s">
        <v>46</v>
      </c>
      <c r="D668">
        <v>340</v>
      </c>
      <c r="E668">
        <v>27.379999160766602</v>
      </c>
    </row>
    <row r="669" spans="1:5" x14ac:dyDescent="0.3">
      <c r="A669" t="s">
        <v>1152</v>
      </c>
      <c r="B669" t="s">
        <v>2629</v>
      </c>
      <c r="C669" t="s">
        <v>32</v>
      </c>
      <c r="D669">
        <v>400</v>
      </c>
      <c r="E669">
        <v>414.30999755859375</v>
      </c>
    </row>
    <row r="670" spans="1:5" x14ac:dyDescent="0.3">
      <c r="A670" t="s">
        <v>1154</v>
      </c>
      <c r="B670" t="s">
        <v>2169</v>
      </c>
      <c r="C670" t="s">
        <v>17</v>
      </c>
      <c r="D670">
        <v>380</v>
      </c>
      <c r="E670">
        <v>248.30000305175781</v>
      </c>
    </row>
    <row r="671" spans="1:5" x14ac:dyDescent="0.3">
      <c r="A671" t="s">
        <v>1155</v>
      </c>
      <c r="B671" t="s">
        <v>2294</v>
      </c>
      <c r="C671" t="s">
        <v>67</v>
      </c>
      <c r="D671">
        <v>100</v>
      </c>
      <c r="E671">
        <v>303.04000854492188</v>
      </c>
    </row>
    <row r="672" spans="1:5" x14ac:dyDescent="0.3">
      <c r="A672" t="s">
        <v>1156</v>
      </c>
      <c r="B672" t="s">
        <v>1958</v>
      </c>
      <c r="C672" t="s">
        <v>15</v>
      </c>
      <c r="D672">
        <v>270</v>
      </c>
      <c r="E672">
        <v>203.75</v>
      </c>
    </row>
    <row r="673" spans="1:5" x14ac:dyDescent="0.3">
      <c r="A673" t="s">
        <v>1158</v>
      </c>
      <c r="B673" t="s">
        <v>933</v>
      </c>
      <c r="C673" t="s">
        <v>62</v>
      </c>
      <c r="D673">
        <v>230</v>
      </c>
      <c r="E673">
        <v>177.25999450683594</v>
      </c>
    </row>
    <row r="674" spans="1:5" x14ac:dyDescent="0.3">
      <c r="A674" t="s">
        <v>1159</v>
      </c>
      <c r="B674" t="s">
        <v>2912</v>
      </c>
      <c r="C674" t="s">
        <v>68</v>
      </c>
      <c r="D674">
        <v>210</v>
      </c>
      <c r="E674">
        <v>301.92999267578125</v>
      </c>
    </row>
    <row r="675" spans="1:5" x14ac:dyDescent="0.3">
      <c r="A675" t="s">
        <v>1160</v>
      </c>
      <c r="B675" t="s">
        <v>2918</v>
      </c>
      <c r="C675" t="s">
        <v>17</v>
      </c>
      <c r="D675">
        <v>60</v>
      </c>
      <c r="E675">
        <v>257.70001220703125</v>
      </c>
    </row>
    <row r="676" spans="1:5" x14ac:dyDescent="0.3">
      <c r="A676" t="s">
        <v>1161</v>
      </c>
      <c r="B676" t="s">
        <v>639</v>
      </c>
      <c r="C676" t="s">
        <v>41</v>
      </c>
      <c r="D676">
        <v>20</v>
      </c>
      <c r="E676">
        <v>76.050003051757813</v>
      </c>
    </row>
    <row r="677" spans="1:5" x14ac:dyDescent="0.3">
      <c r="A677" t="s">
        <v>1162</v>
      </c>
      <c r="B677" t="s">
        <v>1831</v>
      </c>
      <c r="C677" t="s">
        <v>17</v>
      </c>
      <c r="D677">
        <v>460</v>
      </c>
      <c r="E677">
        <v>390.04000854492188</v>
      </c>
    </row>
    <row r="678" spans="1:5" x14ac:dyDescent="0.3">
      <c r="A678" t="s">
        <v>1163</v>
      </c>
      <c r="B678" t="s">
        <v>831</v>
      </c>
      <c r="C678" t="s">
        <v>52</v>
      </c>
      <c r="D678">
        <v>140</v>
      </c>
      <c r="E678">
        <v>184.30000305175781</v>
      </c>
    </row>
    <row r="679" spans="1:5" x14ac:dyDescent="0.3">
      <c r="A679" t="s">
        <v>1165</v>
      </c>
      <c r="B679" t="s">
        <v>2643</v>
      </c>
      <c r="C679" t="s">
        <v>44</v>
      </c>
      <c r="D679">
        <v>450</v>
      </c>
      <c r="E679">
        <v>45</v>
      </c>
    </row>
    <row r="680" spans="1:5" x14ac:dyDescent="0.3">
      <c r="A680" t="s">
        <v>1166</v>
      </c>
      <c r="B680" t="s">
        <v>2882</v>
      </c>
      <c r="C680" t="s">
        <v>57</v>
      </c>
      <c r="D680">
        <v>150</v>
      </c>
      <c r="E680">
        <v>409.8900146484375</v>
      </c>
    </row>
    <row r="681" spans="1:5" x14ac:dyDescent="0.3">
      <c r="A681" t="s">
        <v>1167</v>
      </c>
      <c r="B681" t="s">
        <v>1153</v>
      </c>
      <c r="C681" t="s">
        <v>21</v>
      </c>
      <c r="D681">
        <v>150</v>
      </c>
      <c r="E681">
        <v>318.26998901367188</v>
      </c>
    </row>
    <row r="682" spans="1:5" x14ac:dyDescent="0.3">
      <c r="A682" t="s">
        <v>1168</v>
      </c>
      <c r="B682" t="s">
        <v>109</v>
      </c>
      <c r="C682" t="s">
        <v>28</v>
      </c>
      <c r="D682">
        <v>250</v>
      </c>
      <c r="E682">
        <v>161.02000427246094</v>
      </c>
    </row>
    <row r="683" spans="1:5" x14ac:dyDescent="0.3">
      <c r="A683" t="s">
        <v>1169</v>
      </c>
      <c r="B683" t="s">
        <v>665</v>
      </c>
      <c r="C683" t="s">
        <v>28</v>
      </c>
      <c r="D683">
        <v>340</v>
      </c>
      <c r="E683">
        <v>430.55999755859375</v>
      </c>
    </row>
    <row r="684" spans="1:5" x14ac:dyDescent="0.3">
      <c r="A684" t="s">
        <v>1171</v>
      </c>
      <c r="B684" t="s">
        <v>707</v>
      </c>
      <c r="C684" t="s">
        <v>66</v>
      </c>
      <c r="D684">
        <v>250</v>
      </c>
      <c r="E684">
        <v>470.89999389648438</v>
      </c>
    </row>
    <row r="685" spans="1:5" x14ac:dyDescent="0.3">
      <c r="A685" t="s">
        <v>1172</v>
      </c>
      <c r="B685" t="s">
        <v>915</v>
      </c>
      <c r="C685" t="s">
        <v>12</v>
      </c>
      <c r="D685">
        <v>400</v>
      </c>
      <c r="E685">
        <v>227.58000183105469</v>
      </c>
    </row>
    <row r="686" spans="1:5" x14ac:dyDescent="0.3">
      <c r="A686" t="s">
        <v>1173</v>
      </c>
      <c r="B686" t="s">
        <v>608</v>
      </c>
      <c r="C686" t="s">
        <v>59</v>
      </c>
      <c r="D686">
        <v>110</v>
      </c>
      <c r="E686">
        <v>497.73001098632813</v>
      </c>
    </row>
    <row r="687" spans="1:5" x14ac:dyDescent="0.3">
      <c r="A687" t="s">
        <v>1175</v>
      </c>
      <c r="B687" t="s">
        <v>537</v>
      </c>
      <c r="C687" t="s">
        <v>29</v>
      </c>
      <c r="D687">
        <v>330</v>
      </c>
      <c r="E687">
        <v>180.02000427246094</v>
      </c>
    </row>
    <row r="688" spans="1:5" x14ac:dyDescent="0.3">
      <c r="A688" t="s">
        <v>1176</v>
      </c>
      <c r="B688" t="s">
        <v>1230</v>
      </c>
      <c r="C688" t="s">
        <v>13</v>
      </c>
      <c r="D688">
        <v>390</v>
      </c>
      <c r="E688">
        <v>24.709999084472656</v>
      </c>
    </row>
    <row r="689" spans="1:5" x14ac:dyDescent="0.3">
      <c r="A689" t="s">
        <v>1178</v>
      </c>
      <c r="B689" t="s">
        <v>1511</v>
      </c>
      <c r="C689" t="s">
        <v>57</v>
      </c>
      <c r="D689">
        <v>270</v>
      </c>
      <c r="E689">
        <v>383.60000610351563</v>
      </c>
    </row>
    <row r="690" spans="1:5" x14ac:dyDescent="0.3">
      <c r="A690" t="s">
        <v>1179</v>
      </c>
      <c r="B690" t="s">
        <v>867</v>
      </c>
      <c r="C690" t="s">
        <v>31</v>
      </c>
      <c r="D690">
        <v>300</v>
      </c>
      <c r="E690">
        <v>460.04998779296875</v>
      </c>
    </row>
    <row r="691" spans="1:5" x14ac:dyDescent="0.3">
      <c r="A691" t="s">
        <v>1180</v>
      </c>
      <c r="B691" t="s">
        <v>659</v>
      </c>
      <c r="C691" t="s">
        <v>52</v>
      </c>
      <c r="D691">
        <v>480</v>
      </c>
      <c r="E691">
        <v>59</v>
      </c>
    </row>
    <row r="692" spans="1:5" x14ac:dyDescent="0.3">
      <c r="A692" t="s">
        <v>1181</v>
      </c>
      <c r="B692" t="s">
        <v>769</v>
      </c>
      <c r="C692" t="s">
        <v>21</v>
      </c>
      <c r="D692">
        <v>160</v>
      </c>
      <c r="E692">
        <v>336.94000244140625</v>
      </c>
    </row>
    <row r="693" spans="1:5" x14ac:dyDescent="0.3">
      <c r="A693" t="s">
        <v>1182</v>
      </c>
      <c r="B693" t="s">
        <v>382</v>
      </c>
      <c r="C693" t="s">
        <v>32</v>
      </c>
      <c r="D693">
        <v>340</v>
      </c>
      <c r="E693">
        <v>51.939998626708984</v>
      </c>
    </row>
    <row r="694" spans="1:5" x14ac:dyDescent="0.3">
      <c r="A694" t="s">
        <v>1184</v>
      </c>
      <c r="B694" t="s">
        <v>2394</v>
      </c>
      <c r="C694" t="s">
        <v>59</v>
      </c>
      <c r="D694">
        <v>410</v>
      </c>
      <c r="E694">
        <v>313.60000610351563</v>
      </c>
    </row>
    <row r="695" spans="1:5" x14ac:dyDescent="0.3">
      <c r="A695" t="s">
        <v>1185</v>
      </c>
      <c r="B695" t="s">
        <v>636</v>
      </c>
      <c r="C695" t="s">
        <v>37</v>
      </c>
      <c r="D695">
        <v>370</v>
      </c>
      <c r="E695">
        <v>333.1199951171875</v>
      </c>
    </row>
    <row r="696" spans="1:5" x14ac:dyDescent="0.3">
      <c r="A696" t="s">
        <v>1186</v>
      </c>
      <c r="B696" t="s">
        <v>1629</v>
      </c>
      <c r="C696" t="s">
        <v>33</v>
      </c>
      <c r="D696">
        <v>120</v>
      </c>
      <c r="E696">
        <v>173.22999572753906</v>
      </c>
    </row>
    <row r="697" spans="1:5" x14ac:dyDescent="0.3">
      <c r="A697" t="s">
        <v>1188</v>
      </c>
      <c r="B697" t="s">
        <v>1092</v>
      </c>
      <c r="C697" t="s">
        <v>58</v>
      </c>
      <c r="D697">
        <v>190</v>
      </c>
      <c r="E697">
        <v>498.239990234375</v>
      </c>
    </row>
    <row r="698" spans="1:5" x14ac:dyDescent="0.3">
      <c r="A698" t="s">
        <v>1190</v>
      </c>
      <c r="B698" t="s">
        <v>2337</v>
      </c>
      <c r="C698" t="s">
        <v>32</v>
      </c>
      <c r="D698">
        <v>500</v>
      </c>
      <c r="E698">
        <v>324.01998901367188</v>
      </c>
    </row>
    <row r="699" spans="1:5" x14ac:dyDescent="0.3">
      <c r="A699" t="s">
        <v>1191</v>
      </c>
      <c r="B699" t="s">
        <v>1353</v>
      </c>
      <c r="C699" t="s">
        <v>45</v>
      </c>
      <c r="D699">
        <v>80</v>
      </c>
      <c r="E699">
        <v>268</v>
      </c>
    </row>
    <row r="700" spans="1:5" x14ac:dyDescent="0.3">
      <c r="A700" t="s">
        <v>1192</v>
      </c>
      <c r="B700" t="s">
        <v>1052</v>
      </c>
      <c r="C700" t="s">
        <v>43</v>
      </c>
      <c r="D700">
        <v>25000</v>
      </c>
      <c r="E700">
        <v>369.67001342773438</v>
      </c>
    </row>
    <row r="701" spans="1:5" x14ac:dyDescent="0.3">
      <c r="A701" t="s">
        <v>1194</v>
      </c>
      <c r="B701" t="s">
        <v>2913</v>
      </c>
      <c r="C701" t="s">
        <v>36</v>
      </c>
      <c r="D701">
        <v>200</v>
      </c>
      <c r="E701">
        <v>415.82000732421875</v>
      </c>
    </row>
    <row r="702" spans="1:5" x14ac:dyDescent="0.3">
      <c r="A702" t="s">
        <v>1195</v>
      </c>
      <c r="B702" t="s">
        <v>330</v>
      </c>
      <c r="C702" t="s">
        <v>17</v>
      </c>
      <c r="D702">
        <v>200</v>
      </c>
      <c r="E702">
        <v>167.1199951171875</v>
      </c>
    </row>
    <row r="703" spans="1:5" x14ac:dyDescent="0.3">
      <c r="A703" t="s">
        <v>1197</v>
      </c>
      <c r="B703" t="s">
        <v>496</v>
      </c>
      <c r="C703" t="s">
        <v>66</v>
      </c>
      <c r="D703">
        <v>220</v>
      </c>
      <c r="E703">
        <v>199.00999450683594</v>
      </c>
    </row>
    <row r="704" spans="1:5" x14ac:dyDescent="0.3">
      <c r="A704" t="s">
        <v>1198</v>
      </c>
      <c r="B704" t="s">
        <v>861</v>
      </c>
      <c r="C704" t="s">
        <v>70</v>
      </c>
      <c r="D704">
        <v>20</v>
      </c>
      <c r="E704">
        <v>469.73001098632813</v>
      </c>
    </row>
    <row r="705" spans="1:5" x14ac:dyDescent="0.3">
      <c r="A705" t="s">
        <v>1199</v>
      </c>
      <c r="B705" t="s">
        <v>392</v>
      </c>
      <c r="C705" t="s">
        <v>47</v>
      </c>
      <c r="D705">
        <v>170</v>
      </c>
      <c r="E705">
        <v>70.360000610351563</v>
      </c>
    </row>
    <row r="706" spans="1:5" x14ac:dyDescent="0.3">
      <c r="A706" t="s">
        <v>1200</v>
      </c>
      <c r="B706" t="s">
        <v>1934</v>
      </c>
      <c r="C706" t="s">
        <v>39</v>
      </c>
      <c r="D706">
        <v>260</v>
      </c>
      <c r="E706">
        <v>474.76998901367188</v>
      </c>
    </row>
    <row r="707" spans="1:5" x14ac:dyDescent="0.3">
      <c r="A707" t="s">
        <v>1201</v>
      </c>
      <c r="B707" t="s">
        <v>2901</v>
      </c>
      <c r="C707" t="s">
        <v>31</v>
      </c>
      <c r="D707">
        <v>150</v>
      </c>
      <c r="E707">
        <v>289.6400146484375</v>
      </c>
    </row>
    <row r="708" spans="1:5" x14ac:dyDescent="0.3">
      <c r="A708" t="s">
        <v>1202</v>
      </c>
      <c r="B708" t="s">
        <v>755</v>
      </c>
      <c r="C708" t="s">
        <v>40</v>
      </c>
      <c r="D708">
        <v>280</v>
      </c>
      <c r="E708">
        <v>504.489990234375</v>
      </c>
    </row>
    <row r="709" spans="1:5" x14ac:dyDescent="0.3">
      <c r="A709" t="s">
        <v>1204</v>
      </c>
      <c r="B709" t="s">
        <v>216</v>
      </c>
      <c r="C709" t="s">
        <v>25</v>
      </c>
      <c r="D709">
        <v>350</v>
      </c>
      <c r="E709">
        <v>241.6199951171875</v>
      </c>
    </row>
    <row r="710" spans="1:5" x14ac:dyDescent="0.3">
      <c r="A710" t="s">
        <v>1205</v>
      </c>
      <c r="B710" t="s">
        <v>784</v>
      </c>
      <c r="C710" t="s">
        <v>39</v>
      </c>
      <c r="D710">
        <v>110</v>
      </c>
      <c r="E710">
        <v>506.17001342773438</v>
      </c>
    </row>
    <row r="711" spans="1:5" x14ac:dyDescent="0.3">
      <c r="A711" t="s">
        <v>1207</v>
      </c>
      <c r="B711" t="s">
        <v>198</v>
      </c>
      <c r="C711" t="s">
        <v>63</v>
      </c>
      <c r="D711">
        <v>110</v>
      </c>
      <c r="E711">
        <v>436.05999755859375</v>
      </c>
    </row>
    <row r="712" spans="1:5" x14ac:dyDescent="0.3">
      <c r="A712" t="s">
        <v>1208</v>
      </c>
      <c r="B712" t="s">
        <v>1108</v>
      </c>
      <c r="C712" t="s">
        <v>66</v>
      </c>
      <c r="D712">
        <v>400</v>
      </c>
      <c r="E712">
        <v>52.060001373291016</v>
      </c>
    </row>
    <row r="713" spans="1:5" x14ac:dyDescent="0.3">
      <c r="A713" t="s">
        <v>1209</v>
      </c>
      <c r="B713" t="s">
        <v>1572</v>
      </c>
      <c r="C713" t="s">
        <v>66</v>
      </c>
      <c r="D713">
        <v>370</v>
      </c>
      <c r="E713">
        <v>507.73001098632813</v>
      </c>
    </row>
    <row r="714" spans="1:5" x14ac:dyDescent="0.3">
      <c r="A714" t="s">
        <v>1210</v>
      </c>
      <c r="B714" t="s">
        <v>2919</v>
      </c>
      <c r="C714" t="s">
        <v>59</v>
      </c>
      <c r="D714">
        <v>420</v>
      </c>
      <c r="E714">
        <v>339.45001220703125</v>
      </c>
    </row>
    <row r="715" spans="1:5" x14ac:dyDescent="0.3">
      <c r="A715" t="s">
        <v>1211</v>
      </c>
      <c r="B715" t="s">
        <v>1377</v>
      </c>
      <c r="C715" t="s">
        <v>36</v>
      </c>
      <c r="D715">
        <v>230</v>
      </c>
      <c r="E715">
        <v>216.38999938964844</v>
      </c>
    </row>
    <row r="716" spans="1:5" x14ac:dyDescent="0.3">
      <c r="A716" t="s">
        <v>1213</v>
      </c>
      <c r="B716" t="s">
        <v>893</v>
      </c>
      <c r="C716" t="s">
        <v>15</v>
      </c>
      <c r="D716">
        <v>40</v>
      </c>
      <c r="E716">
        <v>190.58000183105469</v>
      </c>
    </row>
    <row r="717" spans="1:5" x14ac:dyDescent="0.3">
      <c r="A717" t="s">
        <v>1215</v>
      </c>
      <c r="B717" t="s">
        <v>541</v>
      </c>
      <c r="C717" t="s">
        <v>37</v>
      </c>
      <c r="D717">
        <v>380</v>
      </c>
      <c r="E717">
        <v>446.82000732421875</v>
      </c>
    </row>
    <row r="718" spans="1:5" x14ac:dyDescent="0.3">
      <c r="A718" t="s">
        <v>1216</v>
      </c>
      <c r="B718" t="s">
        <v>1196</v>
      </c>
      <c r="C718" t="s">
        <v>21</v>
      </c>
      <c r="D718">
        <v>300</v>
      </c>
      <c r="E718">
        <v>52.729999542236328</v>
      </c>
    </row>
    <row r="719" spans="1:5" x14ac:dyDescent="0.3">
      <c r="A719" t="s">
        <v>1217</v>
      </c>
      <c r="B719" t="s">
        <v>1811</v>
      </c>
      <c r="C719" t="s">
        <v>39</v>
      </c>
      <c r="D719">
        <v>150</v>
      </c>
      <c r="E719">
        <v>208.75999450683594</v>
      </c>
    </row>
    <row r="720" spans="1:5" x14ac:dyDescent="0.3">
      <c r="A720" t="s">
        <v>1219</v>
      </c>
      <c r="B720" t="s">
        <v>1903</v>
      </c>
      <c r="C720" t="s">
        <v>49</v>
      </c>
      <c r="D720">
        <v>330</v>
      </c>
      <c r="E720">
        <v>498.16000366210938</v>
      </c>
    </row>
    <row r="721" spans="1:5" x14ac:dyDescent="0.3">
      <c r="A721" t="s">
        <v>1220</v>
      </c>
      <c r="B721" t="s">
        <v>1516</v>
      </c>
      <c r="C721" t="s">
        <v>25</v>
      </c>
      <c r="D721">
        <v>10</v>
      </c>
      <c r="E721">
        <v>137</v>
      </c>
    </row>
    <row r="722" spans="1:5" x14ac:dyDescent="0.3">
      <c r="A722" t="s">
        <v>1221</v>
      </c>
      <c r="B722" t="s">
        <v>822</v>
      </c>
      <c r="C722" t="s">
        <v>28</v>
      </c>
      <c r="D722">
        <v>400</v>
      </c>
      <c r="E722">
        <v>224.13999938964844</v>
      </c>
    </row>
    <row r="723" spans="1:5" x14ac:dyDescent="0.3">
      <c r="A723" t="s">
        <v>1222</v>
      </c>
      <c r="B723" t="s">
        <v>1206</v>
      </c>
      <c r="C723" t="s">
        <v>55</v>
      </c>
      <c r="D723">
        <v>20</v>
      </c>
      <c r="E723">
        <v>491.29000854492188</v>
      </c>
    </row>
    <row r="724" spans="1:5" x14ac:dyDescent="0.3">
      <c r="A724" t="s">
        <v>1223</v>
      </c>
      <c r="B724" t="s">
        <v>948</v>
      </c>
      <c r="C724" t="s">
        <v>18</v>
      </c>
      <c r="D724">
        <v>410</v>
      </c>
      <c r="E724">
        <v>52.939998626708984</v>
      </c>
    </row>
    <row r="725" spans="1:5" x14ac:dyDescent="0.3">
      <c r="A725" t="s">
        <v>1224</v>
      </c>
      <c r="B725" t="s">
        <v>904</v>
      </c>
      <c r="C725" t="s">
        <v>16</v>
      </c>
      <c r="D725">
        <v>400</v>
      </c>
      <c r="E725">
        <v>156.39999389648438</v>
      </c>
    </row>
    <row r="726" spans="1:5" x14ac:dyDescent="0.3">
      <c r="A726" t="s">
        <v>1226</v>
      </c>
      <c r="B726" t="s">
        <v>1060</v>
      </c>
      <c r="C726" t="s">
        <v>52</v>
      </c>
      <c r="D726">
        <v>370</v>
      </c>
      <c r="E726">
        <v>431.80999755859375</v>
      </c>
    </row>
    <row r="727" spans="1:5" x14ac:dyDescent="0.3">
      <c r="A727" t="s">
        <v>1227</v>
      </c>
      <c r="B727" t="s">
        <v>135</v>
      </c>
      <c r="C727" t="s">
        <v>63</v>
      </c>
      <c r="D727">
        <v>480</v>
      </c>
      <c r="E727">
        <v>142.11000061035156</v>
      </c>
    </row>
    <row r="728" spans="1:5" x14ac:dyDescent="0.3">
      <c r="A728" t="s">
        <v>1228</v>
      </c>
      <c r="B728" t="s">
        <v>1798</v>
      </c>
      <c r="C728" t="s">
        <v>33</v>
      </c>
      <c r="D728">
        <v>420</v>
      </c>
      <c r="E728">
        <v>433.02999877929688</v>
      </c>
    </row>
    <row r="729" spans="1:5" x14ac:dyDescent="0.3">
      <c r="A729" t="s">
        <v>1229</v>
      </c>
      <c r="B729" t="s">
        <v>1593</v>
      </c>
      <c r="C729" t="s">
        <v>54</v>
      </c>
      <c r="D729">
        <v>200</v>
      </c>
      <c r="E729">
        <v>83.160003662109375</v>
      </c>
    </row>
    <row r="730" spans="1:5" x14ac:dyDescent="0.3">
      <c r="A730" t="s">
        <v>1231</v>
      </c>
      <c r="B730" t="s">
        <v>870</v>
      </c>
      <c r="C730" t="s">
        <v>12</v>
      </c>
      <c r="D730">
        <v>340</v>
      </c>
      <c r="E730">
        <v>253.86000061035156</v>
      </c>
    </row>
    <row r="731" spans="1:5" x14ac:dyDescent="0.3">
      <c r="A731" t="s">
        <v>1233</v>
      </c>
      <c r="B731" t="s">
        <v>1694</v>
      </c>
      <c r="C731" t="s">
        <v>45</v>
      </c>
      <c r="D731">
        <v>160</v>
      </c>
      <c r="E731">
        <v>239.33000183105469</v>
      </c>
    </row>
    <row r="732" spans="1:5" x14ac:dyDescent="0.3">
      <c r="A732" t="s">
        <v>1234</v>
      </c>
      <c r="B732" t="s">
        <v>1694</v>
      </c>
      <c r="C732" t="s">
        <v>62</v>
      </c>
      <c r="D732">
        <v>10</v>
      </c>
      <c r="E732">
        <v>216.57000732421875</v>
      </c>
    </row>
    <row r="733" spans="1:5" x14ac:dyDescent="0.3">
      <c r="A733" t="s">
        <v>1235</v>
      </c>
      <c r="B733" t="s">
        <v>2153</v>
      </c>
      <c r="C733" t="s">
        <v>51</v>
      </c>
      <c r="D733">
        <v>50</v>
      </c>
      <c r="E733">
        <v>495.3900146484375</v>
      </c>
    </row>
    <row r="734" spans="1:5" x14ac:dyDescent="0.3">
      <c r="A734" t="s">
        <v>1236</v>
      </c>
      <c r="B734" t="s">
        <v>191</v>
      </c>
      <c r="C734" t="s">
        <v>15</v>
      </c>
      <c r="D734">
        <v>460</v>
      </c>
      <c r="E734">
        <v>268.42001342773438</v>
      </c>
    </row>
    <row r="735" spans="1:5" x14ac:dyDescent="0.3">
      <c r="A735" t="s">
        <v>1237</v>
      </c>
      <c r="B735" t="s">
        <v>2640</v>
      </c>
      <c r="C735" t="s">
        <v>38</v>
      </c>
      <c r="D735">
        <v>210</v>
      </c>
      <c r="E735">
        <v>361.08999633789063</v>
      </c>
    </row>
    <row r="736" spans="1:5" x14ac:dyDescent="0.3">
      <c r="A736" t="s">
        <v>1238</v>
      </c>
      <c r="B736" t="s">
        <v>2297</v>
      </c>
      <c r="C736" t="s">
        <v>33</v>
      </c>
      <c r="D736">
        <v>320</v>
      </c>
      <c r="E736">
        <v>481.67001342773438</v>
      </c>
    </row>
    <row r="737" spans="1:5" x14ac:dyDescent="0.3">
      <c r="A737" t="s">
        <v>1240</v>
      </c>
      <c r="B737" t="s">
        <v>2301</v>
      </c>
      <c r="C737" t="s">
        <v>47</v>
      </c>
      <c r="D737">
        <v>80</v>
      </c>
      <c r="E737">
        <v>471.22000122070313</v>
      </c>
    </row>
    <row r="738" spans="1:5" x14ac:dyDescent="0.3">
      <c r="A738" t="s">
        <v>1241</v>
      </c>
      <c r="B738" t="s">
        <v>1112</v>
      </c>
      <c r="C738" t="s">
        <v>39</v>
      </c>
      <c r="D738">
        <v>360</v>
      </c>
      <c r="E738">
        <v>53.599998474121094</v>
      </c>
    </row>
    <row r="739" spans="1:5" x14ac:dyDescent="0.3">
      <c r="A739" t="s">
        <v>1243</v>
      </c>
      <c r="B739" t="s">
        <v>352</v>
      </c>
      <c r="C739" t="s">
        <v>16</v>
      </c>
      <c r="D739">
        <v>260</v>
      </c>
      <c r="E739">
        <v>85.519996643066406</v>
      </c>
    </row>
    <row r="740" spans="1:5" x14ac:dyDescent="0.3">
      <c r="A740" t="s">
        <v>1244</v>
      </c>
      <c r="B740" t="s">
        <v>1174</v>
      </c>
      <c r="C740" t="s">
        <v>40</v>
      </c>
      <c r="D740">
        <v>470</v>
      </c>
      <c r="E740">
        <v>306.47000122070313</v>
      </c>
    </row>
    <row r="741" spans="1:5" x14ac:dyDescent="0.3">
      <c r="A741" t="s">
        <v>1245</v>
      </c>
      <c r="B741" t="s">
        <v>2920</v>
      </c>
      <c r="C741" t="s">
        <v>23</v>
      </c>
      <c r="D741">
        <v>450</v>
      </c>
      <c r="E741">
        <v>88.769996643066406</v>
      </c>
    </row>
    <row r="742" spans="1:5" x14ac:dyDescent="0.3">
      <c r="A742" t="s">
        <v>1247</v>
      </c>
      <c r="B742" t="s">
        <v>436</v>
      </c>
      <c r="C742" t="s">
        <v>56</v>
      </c>
      <c r="D742">
        <v>180</v>
      </c>
      <c r="E742">
        <v>187.53999328613281</v>
      </c>
    </row>
    <row r="743" spans="1:5" x14ac:dyDescent="0.3">
      <c r="A743" t="s">
        <v>1249</v>
      </c>
      <c r="B743" t="s">
        <v>999</v>
      </c>
      <c r="C743" t="s">
        <v>33</v>
      </c>
      <c r="D743">
        <v>470</v>
      </c>
      <c r="E743">
        <v>490.73001098632813</v>
      </c>
    </row>
    <row r="744" spans="1:5" x14ac:dyDescent="0.3">
      <c r="A744" t="s">
        <v>1251</v>
      </c>
      <c r="B744" t="s">
        <v>2421</v>
      </c>
      <c r="C744" t="s">
        <v>62</v>
      </c>
      <c r="D744">
        <v>130</v>
      </c>
      <c r="E744">
        <v>269.07998657226563</v>
      </c>
    </row>
    <row r="745" spans="1:5" x14ac:dyDescent="0.3">
      <c r="A745" t="s">
        <v>1252</v>
      </c>
      <c r="B745" t="s">
        <v>1732</v>
      </c>
      <c r="C745" t="s">
        <v>18</v>
      </c>
      <c r="D745">
        <v>280</v>
      </c>
      <c r="E745">
        <v>426.17001342773438</v>
      </c>
    </row>
    <row r="746" spans="1:5" x14ac:dyDescent="0.3">
      <c r="A746" t="s">
        <v>1253</v>
      </c>
      <c r="B746" t="s">
        <v>208</v>
      </c>
      <c r="C746" t="s">
        <v>51</v>
      </c>
      <c r="D746">
        <v>70</v>
      </c>
      <c r="E746">
        <v>248.36000061035156</v>
      </c>
    </row>
    <row r="747" spans="1:5" x14ac:dyDescent="0.3">
      <c r="A747" t="s">
        <v>1255</v>
      </c>
      <c r="B747" t="s">
        <v>348</v>
      </c>
      <c r="C747" t="s">
        <v>54</v>
      </c>
      <c r="D747">
        <v>460</v>
      </c>
      <c r="E747">
        <v>154.85000610351563</v>
      </c>
    </row>
    <row r="748" spans="1:5" x14ac:dyDescent="0.3">
      <c r="A748" t="s">
        <v>1257</v>
      </c>
      <c r="B748" t="s">
        <v>302</v>
      </c>
      <c r="C748" t="s">
        <v>21</v>
      </c>
      <c r="D748">
        <v>420</v>
      </c>
      <c r="E748">
        <v>447.6400146484375</v>
      </c>
    </row>
    <row r="749" spans="1:5" x14ac:dyDescent="0.3">
      <c r="A749" t="s">
        <v>1258</v>
      </c>
      <c r="B749" t="s">
        <v>944</v>
      </c>
      <c r="C749" t="s">
        <v>15</v>
      </c>
      <c r="D749">
        <v>220</v>
      </c>
      <c r="E749">
        <v>61.540000915527344</v>
      </c>
    </row>
    <row r="750" spans="1:5" x14ac:dyDescent="0.3">
      <c r="A750" t="s">
        <v>1259</v>
      </c>
      <c r="B750" t="s">
        <v>2912</v>
      </c>
      <c r="C750" t="s">
        <v>61</v>
      </c>
      <c r="D750">
        <v>170</v>
      </c>
      <c r="E750">
        <v>314.17999267578125</v>
      </c>
    </row>
    <row r="751" spans="1:5" x14ac:dyDescent="0.3">
      <c r="A751" t="s">
        <v>1261</v>
      </c>
      <c r="B751" t="s">
        <v>1012</v>
      </c>
      <c r="C751" t="s">
        <v>62</v>
      </c>
      <c r="D751">
        <v>380</v>
      </c>
      <c r="E751">
        <v>156</v>
      </c>
    </row>
    <row r="752" spans="1:5" x14ac:dyDescent="0.3">
      <c r="A752" t="s">
        <v>1262</v>
      </c>
      <c r="B752" t="s">
        <v>453</v>
      </c>
      <c r="C752" t="s">
        <v>17</v>
      </c>
      <c r="D752">
        <v>25000</v>
      </c>
      <c r="E752">
        <v>487.8900146484375</v>
      </c>
    </row>
    <row r="753" spans="1:5" x14ac:dyDescent="0.3">
      <c r="A753" t="s">
        <v>1263</v>
      </c>
      <c r="B753" t="s">
        <v>577</v>
      </c>
      <c r="C753" t="s">
        <v>51</v>
      </c>
      <c r="D753">
        <v>500</v>
      </c>
      <c r="E753">
        <v>411.010009765625</v>
      </c>
    </row>
    <row r="754" spans="1:5" x14ac:dyDescent="0.3">
      <c r="A754" t="s">
        <v>1264</v>
      </c>
      <c r="B754" t="s">
        <v>2921</v>
      </c>
      <c r="C754" t="s">
        <v>70</v>
      </c>
      <c r="D754">
        <v>460</v>
      </c>
      <c r="E754">
        <v>122.19999694824219</v>
      </c>
    </row>
    <row r="755" spans="1:5" x14ac:dyDescent="0.3">
      <c r="A755" t="s">
        <v>1266</v>
      </c>
      <c r="B755" t="s">
        <v>401</v>
      </c>
      <c r="C755" t="s">
        <v>16</v>
      </c>
      <c r="D755">
        <v>190</v>
      </c>
      <c r="E755">
        <v>377.54998779296875</v>
      </c>
    </row>
    <row r="756" spans="1:5" x14ac:dyDescent="0.3">
      <c r="A756" t="s">
        <v>1268</v>
      </c>
      <c r="B756" t="s">
        <v>446</v>
      </c>
      <c r="C756" t="s">
        <v>38</v>
      </c>
      <c r="D756">
        <v>360</v>
      </c>
      <c r="E756">
        <v>472.23001098632813</v>
      </c>
    </row>
    <row r="757" spans="1:5" x14ac:dyDescent="0.3">
      <c r="A757" t="s">
        <v>1269</v>
      </c>
      <c r="B757" t="s">
        <v>224</v>
      </c>
      <c r="C757" t="s">
        <v>58</v>
      </c>
      <c r="D757">
        <v>170</v>
      </c>
      <c r="E757">
        <v>490.48001098632813</v>
      </c>
    </row>
    <row r="758" spans="1:5" x14ac:dyDescent="0.3">
      <c r="A758" t="s">
        <v>1271</v>
      </c>
      <c r="B758" t="s">
        <v>2700</v>
      </c>
      <c r="C758" t="s">
        <v>59</v>
      </c>
      <c r="D758">
        <v>190</v>
      </c>
      <c r="E758">
        <v>55.580001831054688</v>
      </c>
    </row>
    <row r="759" spans="1:5" x14ac:dyDescent="0.3">
      <c r="A759" t="s">
        <v>1273</v>
      </c>
      <c r="B759" t="s">
        <v>2150</v>
      </c>
      <c r="C759" t="s">
        <v>41</v>
      </c>
      <c r="D759">
        <v>10</v>
      </c>
      <c r="E759">
        <v>79.879997253417969</v>
      </c>
    </row>
    <row r="760" spans="1:5" x14ac:dyDescent="0.3">
      <c r="A760" t="s">
        <v>1274</v>
      </c>
      <c r="B760" t="s">
        <v>2874</v>
      </c>
      <c r="C760" t="s">
        <v>49</v>
      </c>
      <c r="D760">
        <v>70</v>
      </c>
      <c r="E760">
        <v>14.810000419616699</v>
      </c>
    </row>
    <row r="761" spans="1:5" x14ac:dyDescent="0.3">
      <c r="A761" t="s">
        <v>1275</v>
      </c>
      <c r="B761" t="s">
        <v>639</v>
      </c>
      <c r="C761" t="s">
        <v>33</v>
      </c>
      <c r="D761">
        <v>380</v>
      </c>
      <c r="E761">
        <v>100.83000183105469</v>
      </c>
    </row>
    <row r="762" spans="1:5" x14ac:dyDescent="0.3">
      <c r="A762" t="s">
        <v>1276</v>
      </c>
      <c r="B762" t="s">
        <v>2922</v>
      </c>
      <c r="C762" t="s">
        <v>47</v>
      </c>
      <c r="D762">
        <v>250</v>
      </c>
      <c r="E762">
        <v>117.5</v>
      </c>
    </row>
    <row r="763" spans="1:5" x14ac:dyDescent="0.3">
      <c r="A763" t="s">
        <v>1278</v>
      </c>
      <c r="B763" t="s">
        <v>735</v>
      </c>
      <c r="C763" t="s">
        <v>53</v>
      </c>
      <c r="D763">
        <v>90</v>
      </c>
      <c r="E763">
        <v>133.41000366210938</v>
      </c>
    </row>
    <row r="764" spans="1:5" x14ac:dyDescent="0.3">
      <c r="A764" t="s">
        <v>1279</v>
      </c>
      <c r="B764" t="s">
        <v>1666</v>
      </c>
      <c r="C764" t="s">
        <v>54</v>
      </c>
      <c r="D764">
        <v>100</v>
      </c>
      <c r="E764">
        <v>256.23001098632813</v>
      </c>
    </row>
    <row r="765" spans="1:5" x14ac:dyDescent="0.3">
      <c r="A765" t="s">
        <v>1281</v>
      </c>
      <c r="B765" t="s">
        <v>273</v>
      </c>
      <c r="C765" t="s">
        <v>15</v>
      </c>
      <c r="D765">
        <v>70</v>
      </c>
      <c r="E765">
        <v>382.69000244140625</v>
      </c>
    </row>
    <row r="766" spans="1:5" x14ac:dyDescent="0.3">
      <c r="A766" t="s">
        <v>1282</v>
      </c>
      <c r="B766" t="s">
        <v>2581</v>
      </c>
      <c r="C766" t="s">
        <v>18</v>
      </c>
      <c r="D766">
        <v>100</v>
      </c>
      <c r="E766">
        <v>448.57998657226563</v>
      </c>
    </row>
    <row r="767" spans="1:5" x14ac:dyDescent="0.3">
      <c r="A767" t="s">
        <v>1284</v>
      </c>
      <c r="B767" t="s">
        <v>695</v>
      </c>
      <c r="C767" t="s">
        <v>41</v>
      </c>
      <c r="D767">
        <v>380</v>
      </c>
      <c r="E767">
        <v>178.75999450683594</v>
      </c>
    </row>
    <row r="768" spans="1:5" x14ac:dyDescent="0.3">
      <c r="A768" t="s">
        <v>1286</v>
      </c>
      <c r="B768" t="s">
        <v>2880</v>
      </c>
      <c r="C768" t="s">
        <v>40</v>
      </c>
      <c r="D768">
        <v>390</v>
      </c>
      <c r="E768">
        <v>337.1400146484375</v>
      </c>
    </row>
    <row r="769" spans="1:5" x14ac:dyDescent="0.3">
      <c r="A769" t="s">
        <v>1287</v>
      </c>
      <c r="B769" t="s">
        <v>2109</v>
      </c>
      <c r="C769" t="s">
        <v>63</v>
      </c>
      <c r="D769">
        <v>190</v>
      </c>
      <c r="E769">
        <v>476.69000244140625</v>
      </c>
    </row>
    <row r="770" spans="1:5" x14ac:dyDescent="0.3">
      <c r="A770" t="s">
        <v>1288</v>
      </c>
      <c r="B770" t="s">
        <v>1054</v>
      </c>
      <c r="C770" t="s">
        <v>31</v>
      </c>
      <c r="D770">
        <v>190</v>
      </c>
      <c r="E770">
        <v>189.46000671386719</v>
      </c>
    </row>
    <row r="771" spans="1:5" x14ac:dyDescent="0.3">
      <c r="A771" t="s">
        <v>1290</v>
      </c>
      <c r="B771" t="s">
        <v>893</v>
      </c>
      <c r="C771" t="s">
        <v>52</v>
      </c>
      <c r="D771">
        <v>330</v>
      </c>
      <c r="E771">
        <v>356.55999755859375</v>
      </c>
    </row>
    <row r="772" spans="1:5" x14ac:dyDescent="0.3">
      <c r="A772" t="s">
        <v>1292</v>
      </c>
      <c r="B772" t="s">
        <v>291</v>
      </c>
      <c r="C772" t="s">
        <v>53</v>
      </c>
      <c r="D772">
        <v>390</v>
      </c>
      <c r="E772">
        <v>398.1400146484375</v>
      </c>
    </row>
    <row r="773" spans="1:5" x14ac:dyDescent="0.3">
      <c r="A773" t="s">
        <v>1294</v>
      </c>
      <c r="B773" t="s">
        <v>2099</v>
      </c>
      <c r="C773" t="s">
        <v>38</v>
      </c>
      <c r="D773">
        <v>210</v>
      </c>
      <c r="E773">
        <v>23.440000534057617</v>
      </c>
    </row>
    <row r="774" spans="1:5" x14ac:dyDescent="0.3">
      <c r="A774" t="s">
        <v>1295</v>
      </c>
      <c r="B774" t="s">
        <v>782</v>
      </c>
      <c r="C774" t="s">
        <v>59</v>
      </c>
      <c r="D774">
        <v>470</v>
      </c>
      <c r="E774">
        <v>480.75</v>
      </c>
    </row>
    <row r="775" spans="1:5" x14ac:dyDescent="0.3">
      <c r="A775" t="s">
        <v>1297</v>
      </c>
      <c r="B775" t="s">
        <v>753</v>
      </c>
      <c r="C775" t="s">
        <v>70</v>
      </c>
      <c r="D775">
        <v>400</v>
      </c>
      <c r="E775">
        <v>307.42001342773438</v>
      </c>
    </row>
    <row r="776" spans="1:5" x14ac:dyDescent="0.3">
      <c r="A776" t="s">
        <v>1298</v>
      </c>
      <c r="B776" t="s">
        <v>2900</v>
      </c>
      <c r="C776" t="s">
        <v>17</v>
      </c>
      <c r="D776">
        <v>60</v>
      </c>
      <c r="E776">
        <v>79.870002746582031</v>
      </c>
    </row>
    <row r="777" spans="1:5" x14ac:dyDescent="0.3">
      <c r="A777" t="s">
        <v>1300</v>
      </c>
      <c r="B777" t="s">
        <v>311</v>
      </c>
      <c r="C777" t="s">
        <v>44</v>
      </c>
      <c r="D777">
        <v>70</v>
      </c>
      <c r="E777">
        <v>163.58000183105469</v>
      </c>
    </row>
    <row r="778" spans="1:5" x14ac:dyDescent="0.3">
      <c r="A778" t="s">
        <v>1302</v>
      </c>
      <c r="B778" t="s">
        <v>655</v>
      </c>
      <c r="C778" t="s">
        <v>38</v>
      </c>
      <c r="D778">
        <v>390</v>
      </c>
      <c r="E778">
        <v>463.07998657226563</v>
      </c>
    </row>
    <row r="779" spans="1:5" x14ac:dyDescent="0.3">
      <c r="A779" t="s">
        <v>1303</v>
      </c>
      <c r="B779" t="s">
        <v>2550</v>
      </c>
      <c r="C779" t="s">
        <v>32</v>
      </c>
      <c r="D779">
        <v>40</v>
      </c>
      <c r="E779">
        <v>171.99000549316406</v>
      </c>
    </row>
    <row r="780" spans="1:5" x14ac:dyDescent="0.3">
      <c r="A780" t="s">
        <v>1304</v>
      </c>
      <c r="B780" t="s">
        <v>1137</v>
      </c>
      <c r="C780" t="s">
        <v>47</v>
      </c>
      <c r="D780">
        <v>350</v>
      </c>
      <c r="E780">
        <v>22.959999084472656</v>
      </c>
    </row>
    <row r="781" spans="1:5" x14ac:dyDescent="0.3">
      <c r="A781" t="s">
        <v>1305</v>
      </c>
      <c r="B781" t="s">
        <v>111</v>
      </c>
      <c r="C781" t="s">
        <v>68</v>
      </c>
      <c r="D781">
        <v>230</v>
      </c>
      <c r="E781">
        <v>37.729999542236328</v>
      </c>
    </row>
    <row r="782" spans="1:5" x14ac:dyDescent="0.3">
      <c r="A782" t="s">
        <v>1306</v>
      </c>
      <c r="B782" t="s">
        <v>2893</v>
      </c>
      <c r="C782" t="s">
        <v>66</v>
      </c>
      <c r="D782">
        <v>420</v>
      </c>
      <c r="E782">
        <v>277.07998657226563</v>
      </c>
    </row>
    <row r="783" spans="1:5" x14ac:dyDescent="0.3">
      <c r="A783" t="s">
        <v>1308</v>
      </c>
      <c r="B783" t="s">
        <v>2458</v>
      </c>
      <c r="C783" t="s">
        <v>33</v>
      </c>
      <c r="D783">
        <v>200</v>
      </c>
      <c r="E783">
        <v>90.870002746582031</v>
      </c>
    </row>
    <row r="784" spans="1:5" x14ac:dyDescent="0.3">
      <c r="A784" t="s">
        <v>1310</v>
      </c>
      <c r="B784" t="s">
        <v>2421</v>
      </c>
      <c r="C784" t="s">
        <v>63</v>
      </c>
      <c r="D784">
        <v>210</v>
      </c>
      <c r="E784">
        <v>368.01998901367188</v>
      </c>
    </row>
    <row r="785" spans="1:5" x14ac:dyDescent="0.3">
      <c r="A785" t="s">
        <v>1311</v>
      </c>
      <c r="B785" t="s">
        <v>1429</v>
      </c>
      <c r="C785" t="s">
        <v>44</v>
      </c>
      <c r="D785">
        <v>140</v>
      </c>
      <c r="E785">
        <v>286.510009765625</v>
      </c>
    </row>
    <row r="786" spans="1:5" x14ac:dyDescent="0.3">
      <c r="A786" t="s">
        <v>1312</v>
      </c>
      <c r="B786" t="s">
        <v>265</v>
      </c>
      <c r="C786" t="s">
        <v>18</v>
      </c>
      <c r="D786">
        <v>490</v>
      </c>
      <c r="E786">
        <v>63.369998931884766</v>
      </c>
    </row>
    <row r="787" spans="1:5" x14ac:dyDescent="0.3">
      <c r="A787" t="s">
        <v>1313</v>
      </c>
      <c r="B787" t="s">
        <v>500</v>
      </c>
      <c r="C787" t="s">
        <v>64</v>
      </c>
      <c r="D787">
        <v>340</v>
      </c>
      <c r="E787">
        <v>204.69999694824219</v>
      </c>
    </row>
    <row r="788" spans="1:5" x14ac:dyDescent="0.3">
      <c r="A788" t="s">
        <v>1314</v>
      </c>
      <c r="B788" t="s">
        <v>2910</v>
      </c>
      <c r="C788" t="s">
        <v>56</v>
      </c>
      <c r="D788">
        <v>110</v>
      </c>
      <c r="E788">
        <v>255.69000244140625</v>
      </c>
    </row>
    <row r="789" spans="1:5" x14ac:dyDescent="0.3">
      <c r="A789" t="s">
        <v>1316</v>
      </c>
      <c r="B789" t="s">
        <v>230</v>
      </c>
      <c r="C789" t="s">
        <v>69</v>
      </c>
      <c r="D789">
        <v>250</v>
      </c>
      <c r="E789">
        <v>50.549999237060547</v>
      </c>
    </row>
    <row r="790" spans="1:5" x14ac:dyDescent="0.3">
      <c r="A790" t="s">
        <v>1317</v>
      </c>
      <c r="B790" t="s">
        <v>168</v>
      </c>
      <c r="C790" t="s">
        <v>61</v>
      </c>
      <c r="D790">
        <v>70</v>
      </c>
      <c r="E790">
        <v>462.57000732421875</v>
      </c>
    </row>
    <row r="791" spans="1:5" x14ac:dyDescent="0.3">
      <c r="A791" t="s">
        <v>1319</v>
      </c>
      <c r="B791" t="s">
        <v>453</v>
      </c>
      <c r="C791" t="s">
        <v>55</v>
      </c>
      <c r="D791">
        <v>420</v>
      </c>
      <c r="E791">
        <v>154.11000061035156</v>
      </c>
    </row>
    <row r="792" spans="1:5" x14ac:dyDescent="0.3">
      <c r="A792" t="s">
        <v>1320</v>
      </c>
      <c r="B792" t="s">
        <v>2355</v>
      </c>
      <c r="C792" t="s">
        <v>67</v>
      </c>
      <c r="D792">
        <v>480</v>
      </c>
      <c r="E792">
        <v>326.57998657226563</v>
      </c>
    </row>
    <row r="793" spans="1:5" x14ac:dyDescent="0.3">
      <c r="A793" t="s">
        <v>1322</v>
      </c>
      <c r="B793" t="s">
        <v>724</v>
      </c>
      <c r="C793" t="s">
        <v>18</v>
      </c>
      <c r="D793">
        <v>20</v>
      </c>
      <c r="E793">
        <v>470.47000122070313</v>
      </c>
    </row>
    <row r="794" spans="1:5" x14ac:dyDescent="0.3">
      <c r="A794" t="s">
        <v>1323</v>
      </c>
      <c r="B794" t="s">
        <v>657</v>
      </c>
      <c r="C794" t="s">
        <v>58</v>
      </c>
      <c r="D794">
        <v>100</v>
      </c>
      <c r="E794">
        <v>115.30999755859375</v>
      </c>
    </row>
    <row r="795" spans="1:5" x14ac:dyDescent="0.3">
      <c r="A795" t="s">
        <v>1325</v>
      </c>
      <c r="B795" t="s">
        <v>968</v>
      </c>
      <c r="C795" t="s">
        <v>51</v>
      </c>
      <c r="D795">
        <v>370</v>
      </c>
      <c r="E795">
        <v>79.709999084472656</v>
      </c>
    </row>
    <row r="796" spans="1:5" x14ac:dyDescent="0.3">
      <c r="A796" t="s">
        <v>1327</v>
      </c>
      <c r="B796" t="s">
        <v>568</v>
      </c>
      <c r="C796" t="s">
        <v>32</v>
      </c>
      <c r="D796">
        <v>290</v>
      </c>
      <c r="E796">
        <v>221.33000183105469</v>
      </c>
    </row>
    <row r="797" spans="1:5" x14ac:dyDescent="0.3">
      <c r="A797" t="s">
        <v>1328</v>
      </c>
      <c r="B797" t="s">
        <v>711</v>
      </c>
      <c r="C797" t="s">
        <v>57</v>
      </c>
      <c r="D797">
        <v>400</v>
      </c>
      <c r="E797">
        <v>186.89999389648438</v>
      </c>
    </row>
    <row r="798" spans="1:5" x14ac:dyDescent="0.3">
      <c r="A798" t="s">
        <v>1330</v>
      </c>
      <c r="B798" t="s">
        <v>1633</v>
      </c>
      <c r="C798" t="s">
        <v>57</v>
      </c>
      <c r="D798">
        <v>40</v>
      </c>
      <c r="E798">
        <v>162.22000122070313</v>
      </c>
    </row>
    <row r="799" spans="1:5" x14ac:dyDescent="0.3">
      <c r="A799" t="s">
        <v>1331</v>
      </c>
      <c r="B799" t="s">
        <v>1570</v>
      </c>
      <c r="C799" t="s">
        <v>37</v>
      </c>
      <c r="D799">
        <v>160</v>
      </c>
      <c r="E799">
        <v>122.12999725341797</v>
      </c>
    </row>
    <row r="800" spans="1:5" x14ac:dyDescent="0.3">
      <c r="A800" t="s">
        <v>1333</v>
      </c>
      <c r="B800" t="s">
        <v>2919</v>
      </c>
      <c r="C800" t="s">
        <v>47</v>
      </c>
      <c r="D800">
        <v>480</v>
      </c>
      <c r="E800">
        <v>80.550003051757813</v>
      </c>
    </row>
    <row r="801" spans="1:5" x14ac:dyDescent="0.3">
      <c r="A801" t="s">
        <v>1335</v>
      </c>
      <c r="B801" t="s">
        <v>737</v>
      </c>
      <c r="C801" t="s">
        <v>49</v>
      </c>
      <c r="D801">
        <v>340</v>
      </c>
      <c r="E801">
        <v>340.47000122070313</v>
      </c>
    </row>
    <row r="802" spans="1:5" x14ac:dyDescent="0.3">
      <c r="A802" t="s">
        <v>1337</v>
      </c>
      <c r="B802" t="s">
        <v>1785</v>
      </c>
      <c r="C802" t="s">
        <v>45</v>
      </c>
      <c r="D802">
        <v>350</v>
      </c>
      <c r="E802">
        <v>243.91000366210938</v>
      </c>
    </row>
    <row r="803" spans="1:5" x14ac:dyDescent="0.3">
      <c r="A803" t="s">
        <v>1338</v>
      </c>
      <c r="B803" t="s">
        <v>1141</v>
      </c>
      <c r="C803" t="s">
        <v>59</v>
      </c>
      <c r="D803">
        <v>240</v>
      </c>
      <c r="E803">
        <v>421.989990234375</v>
      </c>
    </row>
    <row r="804" spans="1:5" x14ac:dyDescent="0.3">
      <c r="A804" t="s">
        <v>1339</v>
      </c>
      <c r="B804" t="s">
        <v>1460</v>
      </c>
      <c r="C804" t="s">
        <v>47</v>
      </c>
      <c r="D804">
        <v>25000</v>
      </c>
      <c r="E804">
        <v>23.260000228881836</v>
      </c>
    </row>
    <row r="805" spans="1:5" x14ac:dyDescent="0.3">
      <c r="A805" t="s">
        <v>1341</v>
      </c>
      <c r="B805" t="s">
        <v>2349</v>
      </c>
      <c r="C805" t="s">
        <v>65</v>
      </c>
      <c r="D805">
        <v>400</v>
      </c>
      <c r="E805">
        <v>297.25</v>
      </c>
    </row>
    <row r="806" spans="1:5" x14ac:dyDescent="0.3">
      <c r="A806" t="s">
        <v>1342</v>
      </c>
      <c r="B806" t="s">
        <v>2265</v>
      </c>
      <c r="C806" t="s">
        <v>66</v>
      </c>
      <c r="D806">
        <v>260</v>
      </c>
      <c r="E806">
        <v>481.39999389648438</v>
      </c>
    </row>
    <row r="807" spans="1:5" x14ac:dyDescent="0.3">
      <c r="A807" t="s">
        <v>1344</v>
      </c>
      <c r="B807" t="s">
        <v>1722</v>
      </c>
      <c r="C807" t="s">
        <v>55</v>
      </c>
      <c r="D807">
        <v>330</v>
      </c>
      <c r="E807">
        <v>63.270000457763672</v>
      </c>
    </row>
    <row r="808" spans="1:5" x14ac:dyDescent="0.3">
      <c r="A808" t="s">
        <v>1345</v>
      </c>
      <c r="B808" t="s">
        <v>2234</v>
      </c>
      <c r="C808" t="s">
        <v>28</v>
      </c>
      <c r="D808">
        <v>90</v>
      </c>
      <c r="E808">
        <v>350.70999145507813</v>
      </c>
    </row>
    <row r="809" spans="1:5" x14ac:dyDescent="0.3">
      <c r="A809" t="s">
        <v>1346</v>
      </c>
      <c r="B809" t="s">
        <v>999</v>
      </c>
      <c r="C809" t="s">
        <v>37</v>
      </c>
      <c r="D809">
        <v>10</v>
      </c>
      <c r="E809">
        <v>221.88999938964844</v>
      </c>
    </row>
    <row r="810" spans="1:5" x14ac:dyDescent="0.3">
      <c r="A810" t="s">
        <v>1347</v>
      </c>
      <c r="B810" t="s">
        <v>519</v>
      </c>
      <c r="C810" t="s">
        <v>38</v>
      </c>
      <c r="D810">
        <v>270</v>
      </c>
      <c r="E810">
        <v>375.30999755859375</v>
      </c>
    </row>
    <row r="811" spans="1:5" x14ac:dyDescent="0.3">
      <c r="A811" t="s">
        <v>1348</v>
      </c>
      <c r="B811" t="s">
        <v>1012</v>
      </c>
      <c r="C811" t="s">
        <v>41</v>
      </c>
      <c r="D811">
        <v>10</v>
      </c>
      <c r="E811">
        <v>79.769996643066406</v>
      </c>
    </row>
    <row r="812" spans="1:5" x14ac:dyDescent="0.3">
      <c r="A812" t="s">
        <v>1350</v>
      </c>
      <c r="B812" t="s">
        <v>1008</v>
      </c>
      <c r="C812" t="s">
        <v>16</v>
      </c>
      <c r="D812">
        <v>150</v>
      </c>
      <c r="E812">
        <v>424.3699951171875</v>
      </c>
    </row>
    <row r="813" spans="1:5" x14ac:dyDescent="0.3">
      <c r="A813" t="s">
        <v>1351</v>
      </c>
      <c r="B813" t="s">
        <v>498</v>
      </c>
      <c r="C813" t="s">
        <v>58</v>
      </c>
      <c r="D813">
        <v>20</v>
      </c>
      <c r="E813">
        <v>68.529998779296875</v>
      </c>
    </row>
    <row r="814" spans="1:5" x14ac:dyDescent="0.3">
      <c r="A814" t="s">
        <v>1352</v>
      </c>
      <c r="B814" t="s">
        <v>716</v>
      </c>
      <c r="C814" t="s">
        <v>29</v>
      </c>
      <c r="D814">
        <v>240</v>
      </c>
      <c r="E814">
        <v>492</v>
      </c>
    </row>
    <row r="815" spans="1:5" x14ac:dyDescent="0.3">
      <c r="A815" t="s">
        <v>1354</v>
      </c>
      <c r="B815" t="s">
        <v>1608</v>
      </c>
      <c r="C815" t="s">
        <v>33</v>
      </c>
      <c r="D815">
        <v>360</v>
      </c>
      <c r="E815">
        <v>244.83000183105469</v>
      </c>
    </row>
    <row r="816" spans="1:5" x14ac:dyDescent="0.3">
      <c r="A816" t="s">
        <v>1356</v>
      </c>
      <c r="B816" t="s">
        <v>676</v>
      </c>
      <c r="C816" t="s">
        <v>12</v>
      </c>
      <c r="D816">
        <v>170</v>
      </c>
      <c r="E816">
        <v>197.3699951171875</v>
      </c>
    </row>
    <row r="817" spans="1:5" x14ac:dyDescent="0.3">
      <c r="A817" t="s">
        <v>1357</v>
      </c>
      <c r="B817" t="s">
        <v>2675</v>
      </c>
      <c r="C817" t="s">
        <v>40</v>
      </c>
      <c r="D817">
        <v>450</v>
      </c>
      <c r="E817">
        <v>290.29000854492188</v>
      </c>
    </row>
    <row r="818" spans="1:5" x14ac:dyDescent="0.3">
      <c r="A818" t="s">
        <v>1358</v>
      </c>
      <c r="B818" t="s">
        <v>632</v>
      </c>
      <c r="C818" t="s">
        <v>64</v>
      </c>
      <c r="D818">
        <v>200</v>
      </c>
      <c r="E818">
        <v>284.58999633789063</v>
      </c>
    </row>
    <row r="819" spans="1:5" x14ac:dyDescent="0.3">
      <c r="A819" t="s">
        <v>1359</v>
      </c>
      <c r="B819" t="s">
        <v>1963</v>
      </c>
      <c r="C819" t="s">
        <v>53</v>
      </c>
      <c r="D819">
        <v>380</v>
      </c>
      <c r="E819">
        <v>11.569999694824219</v>
      </c>
    </row>
    <row r="820" spans="1:5" x14ac:dyDescent="0.3">
      <c r="A820" t="s">
        <v>1360</v>
      </c>
      <c r="B820" t="s">
        <v>1301</v>
      </c>
      <c r="C820" t="s">
        <v>40</v>
      </c>
      <c r="D820">
        <v>190</v>
      </c>
      <c r="E820">
        <v>122.83000183105469</v>
      </c>
    </row>
    <row r="821" spans="1:5" x14ac:dyDescent="0.3">
      <c r="A821" t="s">
        <v>1361</v>
      </c>
      <c r="B821" t="s">
        <v>483</v>
      </c>
      <c r="C821" t="s">
        <v>60</v>
      </c>
      <c r="D821">
        <v>310</v>
      </c>
      <c r="E821">
        <v>340.29998779296875</v>
      </c>
    </row>
    <row r="822" spans="1:5" x14ac:dyDescent="0.3">
      <c r="A822" t="s">
        <v>1362</v>
      </c>
      <c r="B822" t="s">
        <v>597</v>
      </c>
      <c r="C822" t="s">
        <v>54</v>
      </c>
      <c r="D822">
        <v>150</v>
      </c>
      <c r="E822">
        <v>206.21000671386719</v>
      </c>
    </row>
    <row r="823" spans="1:5" x14ac:dyDescent="0.3">
      <c r="A823" t="s">
        <v>1363</v>
      </c>
      <c r="B823" t="s">
        <v>135</v>
      </c>
      <c r="C823" t="s">
        <v>65</v>
      </c>
      <c r="D823">
        <v>80</v>
      </c>
      <c r="E823">
        <v>333.1199951171875</v>
      </c>
    </row>
    <row r="824" spans="1:5" x14ac:dyDescent="0.3">
      <c r="A824" t="s">
        <v>1365</v>
      </c>
      <c r="B824" t="s">
        <v>1751</v>
      </c>
      <c r="C824" t="s">
        <v>57</v>
      </c>
      <c r="D824">
        <v>210</v>
      </c>
      <c r="E824">
        <v>153.88999938964844</v>
      </c>
    </row>
    <row r="825" spans="1:5" x14ac:dyDescent="0.3">
      <c r="A825" t="s">
        <v>1366</v>
      </c>
      <c r="B825" t="s">
        <v>2205</v>
      </c>
      <c r="C825" t="s">
        <v>31</v>
      </c>
      <c r="D825">
        <v>120</v>
      </c>
      <c r="E825">
        <v>171.67999267578125</v>
      </c>
    </row>
    <row r="826" spans="1:5" x14ac:dyDescent="0.3">
      <c r="A826" t="s">
        <v>1367</v>
      </c>
      <c r="B826" t="s">
        <v>145</v>
      </c>
      <c r="C826" t="s">
        <v>13</v>
      </c>
      <c r="D826">
        <v>120</v>
      </c>
      <c r="E826">
        <v>209.99000549316406</v>
      </c>
    </row>
    <row r="827" spans="1:5" x14ac:dyDescent="0.3">
      <c r="A827" t="s">
        <v>1368</v>
      </c>
      <c r="B827" t="s">
        <v>2923</v>
      </c>
      <c r="C827" t="s">
        <v>41</v>
      </c>
      <c r="D827">
        <v>500</v>
      </c>
      <c r="E827">
        <v>162.61000061035156</v>
      </c>
    </row>
    <row r="828" spans="1:5" x14ac:dyDescent="0.3">
      <c r="A828" t="s">
        <v>1370</v>
      </c>
      <c r="B828" t="s">
        <v>927</v>
      </c>
      <c r="C828" t="s">
        <v>32</v>
      </c>
      <c r="D828">
        <v>260</v>
      </c>
      <c r="E828">
        <v>243.66000366210938</v>
      </c>
    </row>
    <row r="829" spans="1:5" x14ac:dyDescent="0.3">
      <c r="A829" t="s">
        <v>1371</v>
      </c>
      <c r="B829" t="s">
        <v>767</v>
      </c>
      <c r="C829" t="s">
        <v>29</v>
      </c>
      <c r="D829">
        <v>400</v>
      </c>
      <c r="E829">
        <v>237.55999755859375</v>
      </c>
    </row>
    <row r="830" spans="1:5" x14ac:dyDescent="0.3">
      <c r="A830" t="s">
        <v>1373</v>
      </c>
      <c r="B830" t="s">
        <v>238</v>
      </c>
      <c r="C830" t="s">
        <v>39</v>
      </c>
      <c r="D830">
        <v>120</v>
      </c>
      <c r="E830">
        <v>249.03999328613281</v>
      </c>
    </row>
    <row r="831" spans="1:5" x14ac:dyDescent="0.3">
      <c r="A831" t="s">
        <v>1375</v>
      </c>
      <c r="B831" t="s">
        <v>2265</v>
      </c>
      <c r="C831" t="s">
        <v>57</v>
      </c>
      <c r="D831">
        <v>-50</v>
      </c>
      <c r="E831">
        <v>83.800003051757813</v>
      </c>
    </row>
    <row r="832" spans="1:5" x14ac:dyDescent="0.3">
      <c r="A832" t="s">
        <v>1376</v>
      </c>
      <c r="B832" t="s">
        <v>1973</v>
      </c>
      <c r="C832" t="s">
        <v>44</v>
      </c>
      <c r="D832">
        <v>460</v>
      </c>
      <c r="E832">
        <v>316.98001098632813</v>
      </c>
    </row>
    <row r="833" spans="1:5" x14ac:dyDescent="0.3">
      <c r="A833" t="s">
        <v>1378</v>
      </c>
      <c r="B833" t="s">
        <v>2924</v>
      </c>
      <c r="C833" t="s">
        <v>63</v>
      </c>
      <c r="D833">
        <v>30</v>
      </c>
      <c r="E833">
        <v>458.55999755859375</v>
      </c>
    </row>
    <row r="834" spans="1:5" x14ac:dyDescent="0.3">
      <c r="A834" t="s">
        <v>1380</v>
      </c>
      <c r="B834" t="s">
        <v>1727</v>
      </c>
      <c r="C834" t="s">
        <v>21</v>
      </c>
      <c r="D834">
        <v>490</v>
      </c>
      <c r="E834">
        <v>384.75</v>
      </c>
    </row>
    <row r="835" spans="1:5" x14ac:dyDescent="0.3">
      <c r="A835" t="s">
        <v>1382</v>
      </c>
      <c r="B835" t="s">
        <v>143</v>
      </c>
      <c r="C835" t="s">
        <v>39</v>
      </c>
      <c r="D835">
        <v>310</v>
      </c>
      <c r="E835">
        <v>479.58999633789063</v>
      </c>
    </row>
    <row r="836" spans="1:5" x14ac:dyDescent="0.3">
      <c r="A836" t="s">
        <v>1383</v>
      </c>
      <c r="B836" t="s">
        <v>2491</v>
      </c>
      <c r="C836" t="s">
        <v>59</v>
      </c>
      <c r="D836">
        <v>340</v>
      </c>
      <c r="E836">
        <v>384.92999267578125</v>
      </c>
    </row>
    <row r="837" spans="1:5" x14ac:dyDescent="0.3">
      <c r="A837" t="s">
        <v>1385</v>
      </c>
      <c r="B837" t="s">
        <v>698</v>
      </c>
      <c r="C837" t="s">
        <v>29</v>
      </c>
      <c r="D837">
        <v>140</v>
      </c>
      <c r="E837">
        <v>250.41000366210938</v>
      </c>
    </row>
    <row r="838" spans="1:5" x14ac:dyDescent="0.3">
      <c r="A838" t="s">
        <v>1386</v>
      </c>
      <c r="B838" t="s">
        <v>1462</v>
      </c>
      <c r="C838" t="s">
        <v>16</v>
      </c>
      <c r="D838">
        <v>140</v>
      </c>
      <c r="E838">
        <v>483.51998901367188</v>
      </c>
    </row>
    <row r="839" spans="1:5" x14ac:dyDescent="0.3">
      <c r="A839" t="s">
        <v>1387</v>
      </c>
      <c r="B839" t="s">
        <v>1740</v>
      </c>
      <c r="C839" t="s">
        <v>32</v>
      </c>
      <c r="D839">
        <v>450</v>
      </c>
      <c r="E839">
        <v>499.52999877929688</v>
      </c>
    </row>
    <row r="840" spans="1:5" x14ac:dyDescent="0.3">
      <c r="A840" t="s">
        <v>1389</v>
      </c>
      <c r="B840" t="s">
        <v>544</v>
      </c>
      <c r="C840" t="s">
        <v>18</v>
      </c>
      <c r="D840">
        <v>100</v>
      </c>
      <c r="E840">
        <v>471.54998779296875</v>
      </c>
    </row>
    <row r="841" spans="1:5" x14ac:dyDescent="0.3">
      <c r="A841" t="s">
        <v>1391</v>
      </c>
      <c r="B841" t="s">
        <v>1431</v>
      </c>
      <c r="C841" t="s">
        <v>54</v>
      </c>
      <c r="D841">
        <v>280</v>
      </c>
      <c r="E841">
        <v>80.470001220703125</v>
      </c>
    </row>
    <row r="842" spans="1:5" x14ac:dyDescent="0.3">
      <c r="A842" t="s">
        <v>1392</v>
      </c>
      <c r="B842" t="s">
        <v>2026</v>
      </c>
      <c r="C842" t="s">
        <v>23</v>
      </c>
      <c r="D842">
        <v>90</v>
      </c>
      <c r="E842">
        <v>265.02999877929688</v>
      </c>
    </row>
    <row r="843" spans="1:5" x14ac:dyDescent="0.3">
      <c r="A843" t="s">
        <v>1393</v>
      </c>
      <c r="B843" t="s">
        <v>1892</v>
      </c>
      <c r="C843" t="s">
        <v>59</v>
      </c>
      <c r="D843">
        <v>310</v>
      </c>
      <c r="E843">
        <v>471.739990234375</v>
      </c>
    </row>
    <row r="844" spans="1:5" x14ac:dyDescent="0.3">
      <c r="A844" t="s">
        <v>1394</v>
      </c>
      <c r="B844" t="s">
        <v>541</v>
      </c>
      <c r="C844" t="s">
        <v>59</v>
      </c>
      <c r="D844">
        <v>110</v>
      </c>
      <c r="E844">
        <v>404.97000122070313</v>
      </c>
    </row>
    <row r="845" spans="1:5" x14ac:dyDescent="0.3">
      <c r="A845" t="s">
        <v>1395</v>
      </c>
      <c r="B845" t="s">
        <v>1884</v>
      </c>
      <c r="C845" t="s">
        <v>31</v>
      </c>
      <c r="D845">
        <v>340</v>
      </c>
      <c r="E845">
        <v>276.8599853515625</v>
      </c>
    </row>
    <row r="846" spans="1:5" x14ac:dyDescent="0.3">
      <c r="A846" t="s">
        <v>1396</v>
      </c>
      <c r="B846" t="s">
        <v>990</v>
      </c>
      <c r="C846" t="s">
        <v>52</v>
      </c>
      <c r="D846">
        <v>260</v>
      </c>
      <c r="E846">
        <v>57.400001525878906</v>
      </c>
    </row>
    <row r="847" spans="1:5" x14ac:dyDescent="0.3">
      <c r="A847" t="s">
        <v>1397</v>
      </c>
      <c r="B847" t="s">
        <v>1103</v>
      </c>
      <c r="C847" t="s">
        <v>12</v>
      </c>
      <c r="D847">
        <v>290</v>
      </c>
      <c r="E847">
        <v>224.35000610351563</v>
      </c>
    </row>
    <row r="848" spans="1:5" x14ac:dyDescent="0.3">
      <c r="A848" t="s">
        <v>1398</v>
      </c>
      <c r="B848" t="s">
        <v>2889</v>
      </c>
      <c r="C848" t="s">
        <v>61</v>
      </c>
      <c r="D848">
        <v>270</v>
      </c>
      <c r="E848">
        <v>13.319999694824219</v>
      </c>
    </row>
    <row r="849" spans="1:5" x14ac:dyDescent="0.3">
      <c r="A849" t="s">
        <v>1399</v>
      </c>
      <c r="B849" t="s">
        <v>2925</v>
      </c>
      <c r="C849" t="s">
        <v>23</v>
      </c>
      <c r="D849">
        <v>210</v>
      </c>
      <c r="E849">
        <v>167.72000122070313</v>
      </c>
    </row>
    <row r="850" spans="1:5" x14ac:dyDescent="0.3">
      <c r="A850" t="s">
        <v>1401</v>
      </c>
      <c r="B850" t="s">
        <v>1878</v>
      </c>
      <c r="C850" t="s">
        <v>49</v>
      </c>
      <c r="D850">
        <v>20</v>
      </c>
      <c r="E850">
        <v>188.75999450683594</v>
      </c>
    </row>
    <row r="851" spans="1:5" x14ac:dyDescent="0.3">
      <c r="A851" t="s">
        <v>1402</v>
      </c>
      <c r="B851" t="s">
        <v>1315</v>
      </c>
      <c r="C851" t="s">
        <v>23</v>
      </c>
      <c r="D851">
        <v>270</v>
      </c>
      <c r="E851">
        <v>85.480003356933594</v>
      </c>
    </row>
    <row r="852" spans="1:5" x14ac:dyDescent="0.3">
      <c r="A852" t="s">
        <v>1404</v>
      </c>
      <c r="B852" t="s">
        <v>474</v>
      </c>
      <c r="C852" t="s">
        <v>41</v>
      </c>
      <c r="D852">
        <v>470</v>
      </c>
      <c r="E852">
        <v>124.72000122070313</v>
      </c>
    </row>
    <row r="853" spans="1:5" x14ac:dyDescent="0.3">
      <c r="A853" t="s">
        <v>1406</v>
      </c>
      <c r="B853" t="s">
        <v>626</v>
      </c>
      <c r="C853" t="s">
        <v>52</v>
      </c>
      <c r="D853">
        <v>280</v>
      </c>
      <c r="E853">
        <v>81.150001525878906</v>
      </c>
    </row>
    <row r="854" spans="1:5" x14ac:dyDescent="0.3">
      <c r="A854" t="s">
        <v>1407</v>
      </c>
      <c r="B854" t="s">
        <v>1861</v>
      </c>
      <c r="C854" t="s">
        <v>23</v>
      </c>
      <c r="D854">
        <v>260</v>
      </c>
      <c r="E854">
        <v>487.23001098632813</v>
      </c>
    </row>
    <row r="855" spans="1:5" x14ac:dyDescent="0.3">
      <c r="A855" t="s">
        <v>1409</v>
      </c>
      <c r="B855" t="s">
        <v>579</v>
      </c>
      <c r="C855" t="s">
        <v>39</v>
      </c>
      <c r="D855">
        <v>150</v>
      </c>
      <c r="E855">
        <v>383.25</v>
      </c>
    </row>
    <row r="856" spans="1:5" x14ac:dyDescent="0.3">
      <c r="A856" t="s">
        <v>1410</v>
      </c>
      <c r="B856" t="s">
        <v>2650</v>
      </c>
      <c r="C856" t="s">
        <v>62</v>
      </c>
      <c r="D856">
        <v>110</v>
      </c>
      <c r="E856">
        <v>67.300003051757813</v>
      </c>
    </row>
    <row r="857" spans="1:5" x14ac:dyDescent="0.3">
      <c r="A857" t="s">
        <v>1411</v>
      </c>
      <c r="B857" t="s">
        <v>2286</v>
      </c>
      <c r="C857" t="s">
        <v>56</v>
      </c>
      <c r="D857">
        <v>440</v>
      </c>
      <c r="E857">
        <v>345.29000854492188</v>
      </c>
    </row>
    <row r="858" spans="1:5" x14ac:dyDescent="0.3">
      <c r="A858" t="s">
        <v>1412</v>
      </c>
      <c r="B858" t="s">
        <v>944</v>
      </c>
      <c r="C858" t="s">
        <v>51</v>
      </c>
      <c r="D858">
        <v>380</v>
      </c>
      <c r="E858">
        <v>280.94000244140625</v>
      </c>
    </row>
    <row r="859" spans="1:5" x14ac:dyDescent="0.3">
      <c r="A859" t="s">
        <v>1414</v>
      </c>
      <c r="B859" t="s">
        <v>240</v>
      </c>
      <c r="C859" t="s">
        <v>65</v>
      </c>
      <c r="D859">
        <v>320</v>
      </c>
      <c r="E859">
        <v>445.79000854492188</v>
      </c>
    </row>
    <row r="860" spans="1:5" x14ac:dyDescent="0.3">
      <c r="A860" t="s">
        <v>1416</v>
      </c>
      <c r="B860" t="s">
        <v>458</v>
      </c>
      <c r="C860" t="s">
        <v>16</v>
      </c>
      <c r="D860">
        <v>60</v>
      </c>
      <c r="E860">
        <v>169.17999267578125</v>
      </c>
    </row>
    <row r="861" spans="1:5" x14ac:dyDescent="0.3">
      <c r="A861" t="s">
        <v>1418</v>
      </c>
      <c r="B861" t="s">
        <v>1443</v>
      </c>
      <c r="C861" t="s">
        <v>49</v>
      </c>
      <c r="D861">
        <v>90</v>
      </c>
      <c r="E861">
        <v>288.26998901367188</v>
      </c>
    </row>
    <row r="862" spans="1:5" x14ac:dyDescent="0.3">
      <c r="A862" t="s">
        <v>1419</v>
      </c>
      <c r="B862" t="s">
        <v>762</v>
      </c>
      <c r="C862" t="s">
        <v>10</v>
      </c>
      <c r="D862">
        <v>270</v>
      </c>
      <c r="E862">
        <v>398.01998901367188</v>
      </c>
    </row>
    <row r="863" spans="1:5" x14ac:dyDescent="0.3">
      <c r="A863" t="s">
        <v>1420</v>
      </c>
      <c r="B863" t="s">
        <v>2911</v>
      </c>
      <c r="C863" t="s">
        <v>57</v>
      </c>
      <c r="D863">
        <v>160</v>
      </c>
      <c r="E863">
        <v>101.23000335693359</v>
      </c>
    </row>
    <row r="864" spans="1:5" x14ac:dyDescent="0.3">
      <c r="A864" t="s">
        <v>1421</v>
      </c>
      <c r="B864" t="s">
        <v>1654</v>
      </c>
      <c r="C864" t="s">
        <v>39</v>
      </c>
      <c r="D864">
        <v>230</v>
      </c>
      <c r="E864">
        <v>258.489990234375</v>
      </c>
    </row>
    <row r="865" spans="1:5" x14ac:dyDescent="0.3">
      <c r="A865" t="s">
        <v>1422</v>
      </c>
      <c r="B865" t="s">
        <v>123</v>
      </c>
      <c r="C865" t="s">
        <v>41</v>
      </c>
      <c r="D865">
        <v>100</v>
      </c>
      <c r="E865">
        <v>238.19999694824219</v>
      </c>
    </row>
    <row r="866" spans="1:5" x14ac:dyDescent="0.3">
      <c r="A866" t="s">
        <v>1423</v>
      </c>
      <c r="B866" t="s">
        <v>2109</v>
      </c>
      <c r="C866" t="s">
        <v>45</v>
      </c>
      <c r="D866">
        <v>320</v>
      </c>
      <c r="E866">
        <v>166.58999633789063</v>
      </c>
    </row>
    <row r="867" spans="1:5" x14ac:dyDescent="0.3">
      <c r="A867" t="s">
        <v>1424</v>
      </c>
      <c r="B867" t="s">
        <v>1028</v>
      </c>
      <c r="C867" t="s">
        <v>18</v>
      </c>
      <c r="D867">
        <v>80</v>
      </c>
      <c r="E867">
        <v>177.69000244140625</v>
      </c>
    </row>
    <row r="868" spans="1:5" x14ac:dyDescent="0.3">
      <c r="A868" t="s">
        <v>1425</v>
      </c>
      <c r="B868" t="s">
        <v>1349</v>
      </c>
      <c r="C868" t="s">
        <v>67</v>
      </c>
      <c r="D868">
        <v>500</v>
      </c>
      <c r="E868">
        <v>163.35000610351563</v>
      </c>
    </row>
    <row r="869" spans="1:5" x14ac:dyDescent="0.3">
      <c r="A869" t="s">
        <v>1426</v>
      </c>
      <c r="B869" t="s">
        <v>1642</v>
      </c>
      <c r="C869" t="s">
        <v>39</v>
      </c>
      <c r="D869">
        <v>380</v>
      </c>
      <c r="E869">
        <v>23.219999313354492</v>
      </c>
    </row>
    <row r="870" spans="1:5" x14ac:dyDescent="0.3">
      <c r="A870" t="s">
        <v>1427</v>
      </c>
      <c r="B870" t="s">
        <v>2006</v>
      </c>
      <c r="C870" t="s">
        <v>36</v>
      </c>
      <c r="D870">
        <v>410</v>
      </c>
      <c r="E870">
        <v>414.76998901367188</v>
      </c>
    </row>
    <row r="871" spans="1:5" x14ac:dyDescent="0.3">
      <c r="A871" t="s">
        <v>1428</v>
      </c>
      <c r="B871" t="s">
        <v>517</v>
      </c>
      <c r="C871" t="s">
        <v>25</v>
      </c>
      <c r="D871">
        <v>450</v>
      </c>
      <c r="E871">
        <v>503.29000854492188</v>
      </c>
    </row>
    <row r="872" spans="1:5" x14ac:dyDescent="0.3">
      <c r="A872" t="s">
        <v>1430</v>
      </c>
      <c r="B872" t="s">
        <v>1816</v>
      </c>
      <c r="C872" t="s">
        <v>61</v>
      </c>
      <c r="D872">
        <v>270</v>
      </c>
      <c r="E872">
        <v>211.8800048828125</v>
      </c>
    </row>
    <row r="873" spans="1:5" x14ac:dyDescent="0.3">
      <c r="A873" t="s">
        <v>1432</v>
      </c>
      <c r="B873" t="s">
        <v>2926</v>
      </c>
      <c r="C873" t="s">
        <v>54</v>
      </c>
      <c r="D873">
        <v>320</v>
      </c>
      <c r="E873">
        <v>471.44000244140625</v>
      </c>
    </row>
    <row r="874" spans="1:5" x14ac:dyDescent="0.3">
      <c r="A874" t="s">
        <v>1433</v>
      </c>
      <c r="B874" t="s">
        <v>91</v>
      </c>
      <c r="C874" t="s">
        <v>49</v>
      </c>
      <c r="D874">
        <v>440</v>
      </c>
      <c r="E874">
        <v>470.69000244140625</v>
      </c>
    </row>
    <row r="875" spans="1:5" x14ac:dyDescent="0.3">
      <c r="A875" t="s">
        <v>1434</v>
      </c>
      <c r="B875" t="s">
        <v>275</v>
      </c>
      <c r="C875" t="s">
        <v>19</v>
      </c>
      <c r="D875">
        <v>170</v>
      </c>
      <c r="E875">
        <v>406.17001342773438</v>
      </c>
    </row>
    <row r="876" spans="1:5" x14ac:dyDescent="0.3">
      <c r="A876" t="s">
        <v>1435</v>
      </c>
      <c r="B876" t="s">
        <v>613</v>
      </c>
      <c r="C876" t="s">
        <v>25</v>
      </c>
      <c r="D876">
        <v>420</v>
      </c>
      <c r="E876">
        <v>232.22000122070313</v>
      </c>
    </row>
    <row r="877" spans="1:5" x14ac:dyDescent="0.3">
      <c r="A877" t="s">
        <v>1436</v>
      </c>
      <c r="B877" t="s">
        <v>2927</v>
      </c>
      <c r="C877" t="s">
        <v>34</v>
      </c>
      <c r="D877">
        <v>300</v>
      </c>
      <c r="E877">
        <v>411</v>
      </c>
    </row>
    <row r="878" spans="1:5" x14ac:dyDescent="0.3">
      <c r="A878" t="s">
        <v>1437</v>
      </c>
      <c r="B878" t="s">
        <v>2267</v>
      </c>
      <c r="C878" t="s">
        <v>40</v>
      </c>
      <c r="D878">
        <v>310</v>
      </c>
      <c r="E878">
        <v>162.47999572753906</v>
      </c>
    </row>
    <row r="879" spans="1:5" x14ac:dyDescent="0.3">
      <c r="A879" t="s">
        <v>1439</v>
      </c>
      <c r="B879" t="s">
        <v>584</v>
      </c>
      <c r="C879" t="s">
        <v>17</v>
      </c>
      <c r="D879">
        <v>130</v>
      </c>
      <c r="E879">
        <v>214.44000244140625</v>
      </c>
    </row>
    <row r="880" spans="1:5" x14ac:dyDescent="0.3">
      <c r="A880" t="s">
        <v>1440</v>
      </c>
      <c r="B880" t="s">
        <v>2089</v>
      </c>
      <c r="C880" t="s">
        <v>31</v>
      </c>
      <c r="D880">
        <v>340</v>
      </c>
      <c r="E880">
        <v>52.479999542236328</v>
      </c>
    </row>
    <row r="881" spans="1:5" x14ac:dyDescent="0.3">
      <c r="A881" t="s">
        <v>1441</v>
      </c>
      <c r="B881" t="s">
        <v>2928</v>
      </c>
      <c r="C881" t="s">
        <v>51</v>
      </c>
      <c r="D881">
        <v>210</v>
      </c>
      <c r="E881">
        <v>170.00999450683594</v>
      </c>
    </row>
    <row r="882" spans="1:5" x14ac:dyDescent="0.3">
      <c r="A882" t="s">
        <v>1442</v>
      </c>
      <c r="B882" t="s">
        <v>234</v>
      </c>
      <c r="C882" t="s">
        <v>12</v>
      </c>
      <c r="D882">
        <v>25000</v>
      </c>
      <c r="E882">
        <v>396.69000244140625</v>
      </c>
    </row>
    <row r="883" spans="1:5" x14ac:dyDescent="0.3">
      <c r="A883" t="s">
        <v>1444</v>
      </c>
      <c r="B883" t="s">
        <v>1777</v>
      </c>
      <c r="C883" t="s">
        <v>42</v>
      </c>
      <c r="D883">
        <v>90</v>
      </c>
      <c r="E883">
        <v>223.42999267578125</v>
      </c>
    </row>
    <row r="884" spans="1:5" x14ac:dyDescent="0.3">
      <c r="A884" t="s">
        <v>1445</v>
      </c>
      <c r="B884" t="s">
        <v>1299</v>
      </c>
      <c r="C884" t="s">
        <v>15</v>
      </c>
      <c r="D884">
        <v>390</v>
      </c>
      <c r="E884">
        <v>440.17001342773438</v>
      </c>
    </row>
    <row r="885" spans="1:5" x14ac:dyDescent="0.3">
      <c r="A885" t="s">
        <v>1446</v>
      </c>
      <c r="B885" t="s">
        <v>216</v>
      </c>
      <c r="C885" t="s">
        <v>66</v>
      </c>
      <c r="D885">
        <v>180</v>
      </c>
      <c r="E885">
        <v>455.33999633789063</v>
      </c>
    </row>
    <row r="886" spans="1:5" x14ac:dyDescent="0.3">
      <c r="A886" t="s">
        <v>1447</v>
      </c>
      <c r="B886" t="s">
        <v>1177</v>
      </c>
      <c r="C886" t="s">
        <v>21</v>
      </c>
      <c r="D886">
        <v>430</v>
      </c>
      <c r="E886">
        <v>91.470001220703125</v>
      </c>
    </row>
    <row r="887" spans="1:5" x14ac:dyDescent="0.3">
      <c r="A887" t="s">
        <v>1449</v>
      </c>
      <c r="B887" t="s">
        <v>79</v>
      </c>
      <c r="C887" t="s">
        <v>15</v>
      </c>
      <c r="D887">
        <v>60</v>
      </c>
      <c r="E887">
        <v>335.1099853515625</v>
      </c>
    </row>
    <row r="888" spans="1:5" x14ac:dyDescent="0.3">
      <c r="A888" t="s">
        <v>1451</v>
      </c>
      <c r="B888" t="s">
        <v>1043</v>
      </c>
      <c r="C888" t="s">
        <v>41</v>
      </c>
      <c r="D888">
        <v>190</v>
      </c>
      <c r="E888">
        <v>86.910003662109375</v>
      </c>
    </row>
    <row r="889" spans="1:5" x14ac:dyDescent="0.3">
      <c r="A889" t="s">
        <v>1452</v>
      </c>
      <c r="B889" t="s">
        <v>1343</v>
      </c>
      <c r="C889" t="s">
        <v>28</v>
      </c>
      <c r="D889">
        <v>390</v>
      </c>
      <c r="E889">
        <v>411.57000732421875</v>
      </c>
    </row>
    <row r="890" spans="1:5" x14ac:dyDescent="0.3">
      <c r="A890" t="s">
        <v>1453</v>
      </c>
      <c r="B890" t="s">
        <v>387</v>
      </c>
      <c r="C890" t="s">
        <v>63</v>
      </c>
      <c r="D890">
        <v>400</v>
      </c>
      <c r="E890">
        <v>287.82998657226563</v>
      </c>
    </row>
    <row r="891" spans="1:5" x14ac:dyDescent="0.3">
      <c r="A891" t="s">
        <v>1454</v>
      </c>
      <c r="B891" t="s">
        <v>289</v>
      </c>
      <c r="C891" t="s">
        <v>66</v>
      </c>
      <c r="D891">
        <v>440</v>
      </c>
      <c r="E891">
        <v>358.54000854492188</v>
      </c>
    </row>
    <row r="892" spans="1:5" x14ac:dyDescent="0.3">
      <c r="A892" t="s">
        <v>1455</v>
      </c>
      <c r="B892" t="s">
        <v>711</v>
      </c>
      <c r="C892" t="s">
        <v>45</v>
      </c>
      <c r="D892">
        <v>390</v>
      </c>
      <c r="E892">
        <v>180.55999755859375</v>
      </c>
    </row>
    <row r="893" spans="1:5" x14ac:dyDescent="0.3">
      <c r="A893" t="s">
        <v>1456</v>
      </c>
      <c r="B893" t="s">
        <v>539</v>
      </c>
      <c r="C893" t="s">
        <v>67</v>
      </c>
      <c r="D893">
        <v>100</v>
      </c>
      <c r="E893">
        <v>474.85000610351563</v>
      </c>
    </row>
    <row r="894" spans="1:5" x14ac:dyDescent="0.3">
      <c r="A894" t="s">
        <v>1457</v>
      </c>
      <c r="B894" t="s">
        <v>1400</v>
      </c>
      <c r="C894" t="s">
        <v>65</v>
      </c>
      <c r="D894">
        <v>25000</v>
      </c>
      <c r="E894">
        <v>123.97000122070313</v>
      </c>
    </row>
    <row r="895" spans="1:5" x14ac:dyDescent="0.3">
      <c r="A895" t="s">
        <v>1458</v>
      </c>
      <c r="B895" t="s">
        <v>711</v>
      </c>
      <c r="C895" t="s">
        <v>62</v>
      </c>
      <c r="D895">
        <v>120</v>
      </c>
      <c r="E895">
        <v>422.77999877929688</v>
      </c>
    </row>
    <row r="896" spans="1:5" x14ac:dyDescent="0.3">
      <c r="A896" t="s">
        <v>1459</v>
      </c>
      <c r="B896" t="s">
        <v>1364</v>
      </c>
      <c r="C896" t="s">
        <v>16</v>
      </c>
      <c r="D896">
        <v>150</v>
      </c>
      <c r="E896">
        <v>184.3699951171875</v>
      </c>
    </row>
    <row r="897" spans="1:5" x14ac:dyDescent="0.3">
      <c r="A897" t="s">
        <v>1461</v>
      </c>
      <c r="B897" t="s">
        <v>703</v>
      </c>
      <c r="C897" t="s">
        <v>53</v>
      </c>
      <c r="D897">
        <v>460</v>
      </c>
      <c r="E897">
        <v>33</v>
      </c>
    </row>
    <row r="898" spans="1:5" x14ac:dyDescent="0.3">
      <c r="A898" t="s">
        <v>1463</v>
      </c>
      <c r="B898" t="s">
        <v>965</v>
      </c>
      <c r="C898" t="s">
        <v>51</v>
      </c>
      <c r="D898">
        <v>10</v>
      </c>
      <c r="E898">
        <v>288.260009765625</v>
      </c>
    </row>
    <row r="899" spans="1:5" x14ac:dyDescent="0.3">
      <c r="A899" t="s">
        <v>1464</v>
      </c>
      <c r="B899" t="s">
        <v>1299</v>
      </c>
      <c r="C899" t="s">
        <v>58</v>
      </c>
      <c r="D899">
        <v>150</v>
      </c>
      <c r="E899">
        <v>215.02999877929688</v>
      </c>
    </row>
    <row r="900" spans="1:5" x14ac:dyDescent="0.3">
      <c r="A900" t="s">
        <v>1465</v>
      </c>
      <c r="B900" t="s">
        <v>2869</v>
      </c>
      <c r="C900" t="s">
        <v>10</v>
      </c>
      <c r="D900">
        <v>300</v>
      </c>
      <c r="E900">
        <v>273.51998901367188</v>
      </c>
    </row>
    <row r="901" spans="1:5" x14ac:dyDescent="0.3">
      <c r="A901" t="s">
        <v>1466</v>
      </c>
      <c r="B901" t="s">
        <v>570</v>
      </c>
      <c r="C901" t="s">
        <v>66</v>
      </c>
      <c r="D901">
        <v>240</v>
      </c>
      <c r="E901">
        <v>369.25</v>
      </c>
    </row>
    <row r="902" spans="1:5" x14ac:dyDescent="0.3">
      <c r="A902" t="s">
        <v>1468</v>
      </c>
      <c r="B902" t="s">
        <v>982</v>
      </c>
      <c r="C902" t="s">
        <v>19</v>
      </c>
      <c r="D902">
        <v>350</v>
      </c>
      <c r="E902">
        <v>103.05000305175781</v>
      </c>
    </row>
    <row r="903" spans="1:5" x14ac:dyDescent="0.3">
      <c r="A903" t="s">
        <v>1470</v>
      </c>
      <c r="B903" t="s">
        <v>564</v>
      </c>
      <c r="C903" t="s">
        <v>15</v>
      </c>
      <c r="D903">
        <v>380</v>
      </c>
      <c r="E903">
        <v>21.059999465942383</v>
      </c>
    </row>
    <row r="904" spans="1:5" x14ac:dyDescent="0.3">
      <c r="A904" t="s">
        <v>1471</v>
      </c>
      <c r="B904" t="s">
        <v>1443</v>
      </c>
      <c r="C904" t="s">
        <v>19</v>
      </c>
      <c r="D904">
        <v>150</v>
      </c>
      <c r="E904">
        <v>364.739990234375</v>
      </c>
    </row>
    <row r="905" spans="1:5" x14ac:dyDescent="0.3">
      <c r="A905" t="s">
        <v>1472</v>
      </c>
      <c r="B905" t="s">
        <v>460</v>
      </c>
      <c r="C905" t="s">
        <v>44</v>
      </c>
      <c r="D905">
        <v>360</v>
      </c>
      <c r="E905">
        <v>320.85000610351563</v>
      </c>
    </row>
    <row r="906" spans="1:5" x14ac:dyDescent="0.3">
      <c r="A906" t="s">
        <v>1473</v>
      </c>
      <c r="B906" t="s">
        <v>1112</v>
      </c>
      <c r="C906" t="s">
        <v>37</v>
      </c>
      <c r="D906">
        <v>280</v>
      </c>
      <c r="E906">
        <v>271.48001098632813</v>
      </c>
    </row>
    <row r="907" spans="1:5" x14ac:dyDescent="0.3">
      <c r="A907" t="s">
        <v>1474</v>
      </c>
      <c r="B907" t="s">
        <v>537</v>
      </c>
      <c r="C907" t="s">
        <v>55</v>
      </c>
      <c r="D907">
        <v>80</v>
      </c>
      <c r="E907">
        <v>44.009998321533203</v>
      </c>
    </row>
    <row r="908" spans="1:5" x14ac:dyDescent="0.3">
      <c r="A908" t="s">
        <v>1475</v>
      </c>
      <c r="B908" t="s">
        <v>2929</v>
      </c>
      <c r="C908" t="s">
        <v>41</v>
      </c>
      <c r="D908">
        <v>480</v>
      </c>
      <c r="E908">
        <v>161.16000366210938</v>
      </c>
    </row>
    <row r="909" spans="1:5" x14ac:dyDescent="0.3">
      <c r="A909" t="s">
        <v>1477</v>
      </c>
      <c r="B909" t="s">
        <v>2930</v>
      </c>
      <c r="C909" t="s">
        <v>36</v>
      </c>
      <c r="D909">
        <v>80</v>
      </c>
      <c r="E909">
        <v>90.94000244140625</v>
      </c>
    </row>
    <row r="910" spans="1:5" x14ac:dyDescent="0.3">
      <c r="A910" t="s">
        <v>1478</v>
      </c>
      <c r="B910" t="s">
        <v>2265</v>
      </c>
      <c r="C910" t="s">
        <v>25</v>
      </c>
      <c r="D910">
        <v>70</v>
      </c>
      <c r="E910">
        <v>496.67001342773438</v>
      </c>
    </row>
    <row r="911" spans="1:5" x14ac:dyDescent="0.3">
      <c r="A911" t="s">
        <v>1479</v>
      </c>
      <c r="B911" t="s">
        <v>285</v>
      </c>
      <c r="C911" t="s">
        <v>43</v>
      </c>
      <c r="D911">
        <v>10</v>
      </c>
      <c r="E911">
        <v>487.010009765625</v>
      </c>
    </row>
    <row r="912" spans="1:5" x14ac:dyDescent="0.3">
      <c r="A912" t="s">
        <v>1480</v>
      </c>
      <c r="B912" t="s">
        <v>2109</v>
      </c>
      <c r="C912" t="s">
        <v>59</v>
      </c>
      <c r="D912">
        <v>40</v>
      </c>
      <c r="E912">
        <v>365.91000366210938</v>
      </c>
    </row>
    <row r="913" spans="1:5" x14ac:dyDescent="0.3">
      <c r="A913" t="s">
        <v>1481</v>
      </c>
      <c r="B913" t="s">
        <v>2931</v>
      </c>
      <c r="C913" t="s">
        <v>34</v>
      </c>
      <c r="D913">
        <v>160</v>
      </c>
      <c r="E913">
        <v>382.6300048828125</v>
      </c>
    </row>
    <row r="914" spans="1:5" x14ac:dyDescent="0.3">
      <c r="A914" t="s">
        <v>1482</v>
      </c>
      <c r="B914" t="s">
        <v>648</v>
      </c>
      <c r="C914" t="s">
        <v>45</v>
      </c>
      <c r="D914">
        <v>480</v>
      </c>
      <c r="E914">
        <v>481.760009765625</v>
      </c>
    </row>
    <row r="915" spans="1:5" x14ac:dyDescent="0.3">
      <c r="A915" t="s">
        <v>1483</v>
      </c>
      <c r="B915" t="s">
        <v>2304</v>
      </c>
      <c r="C915" t="s">
        <v>38</v>
      </c>
      <c r="D915">
        <v>440</v>
      </c>
      <c r="E915">
        <v>53.180000305175781</v>
      </c>
    </row>
    <row r="916" spans="1:5" x14ac:dyDescent="0.3">
      <c r="A916" t="s">
        <v>1485</v>
      </c>
      <c r="B916" t="s">
        <v>2349</v>
      </c>
      <c r="C916" t="s">
        <v>15</v>
      </c>
      <c r="D916">
        <v>110</v>
      </c>
      <c r="E916">
        <v>182.11000061035156</v>
      </c>
    </row>
    <row r="917" spans="1:5" x14ac:dyDescent="0.3">
      <c r="A917" t="s">
        <v>1487</v>
      </c>
      <c r="B917" t="s">
        <v>872</v>
      </c>
      <c r="C917" t="s">
        <v>37</v>
      </c>
      <c r="D917">
        <v>380</v>
      </c>
      <c r="E917">
        <v>399.04998779296875</v>
      </c>
    </row>
    <row r="918" spans="1:5" x14ac:dyDescent="0.3">
      <c r="A918" t="s">
        <v>1488</v>
      </c>
      <c r="B918" t="s">
        <v>929</v>
      </c>
      <c r="C918" t="s">
        <v>29</v>
      </c>
      <c r="D918">
        <v>25000</v>
      </c>
      <c r="E918">
        <v>281.42001342773438</v>
      </c>
    </row>
    <row r="919" spans="1:5" x14ac:dyDescent="0.3">
      <c r="A919" t="s">
        <v>1489</v>
      </c>
      <c r="B919" t="s">
        <v>1570</v>
      </c>
      <c r="C919" t="s">
        <v>52</v>
      </c>
      <c r="D919">
        <v>280</v>
      </c>
      <c r="E919">
        <v>149.28999328613281</v>
      </c>
    </row>
    <row r="920" spans="1:5" x14ac:dyDescent="0.3">
      <c r="A920" t="s">
        <v>1490</v>
      </c>
      <c r="B920" t="s">
        <v>133</v>
      </c>
      <c r="C920" t="s">
        <v>41</v>
      </c>
      <c r="D920">
        <v>230</v>
      </c>
      <c r="E920">
        <v>454.69000244140625</v>
      </c>
    </row>
    <row r="921" spans="1:5" x14ac:dyDescent="0.3">
      <c r="A921" t="s">
        <v>1491</v>
      </c>
      <c r="B921" t="s">
        <v>842</v>
      </c>
      <c r="C921" t="s">
        <v>55</v>
      </c>
      <c r="D921">
        <v>500</v>
      </c>
      <c r="E921">
        <v>10.380000114440918</v>
      </c>
    </row>
    <row r="922" spans="1:5" x14ac:dyDescent="0.3">
      <c r="A922" t="s">
        <v>1493</v>
      </c>
      <c r="B922" t="s">
        <v>1865</v>
      </c>
      <c r="C922" t="s">
        <v>13</v>
      </c>
      <c r="D922">
        <v>350</v>
      </c>
      <c r="E922">
        <v>230.64999389648438</v>
      </c>
    </row>
    <row r="923" spans="1:5" x14ac:dyDescent="0.3">
      <c r="A923" t="s">
        <v>1494</v>
      </c>
      <c r="B923" t="s">
        <v>2932</v>
      </c>
      <c r="C923" t="s">
        <v>52</v>
      </c>
      <c r="D923">
        <v>470</v>
      </c>
      <c r="E923">
        <v>381.3800048828125</v>
      </c>
    </row>
    <row r="924" spans="1:5" x14ac:dyDescent="0.3">
      <c r="A924" t="s">
        <v>1495</v>
      </c>
      <c r="B924" t="s">
        <v>1008</v>
      </c>
      <c r="C924" t="s">
        <v>44</v>
      </c>
      <c r="D924">
        <v>130</v>
      </c>
      <c r="E924">
        <v>330.010009765625</v>
      </c>
    </row>
    <row r="925" spans="1:5" x14ac:dyDescent="0.3">
      <c r="A925" t="s">
        <v>1496</v>
      </c>
      <c r="B925" t="s">
        <v>89</v>
      </c>
      <c r="C925" t="s">
        <v>28</v>
      </c>
      <c r="D925">
        <v>20</v>
      </c>
      <c r="E925">
        <v>295.510009765625</v>
      </c>
    </row>
    <row r="926" spans="1:5" x14ac:dyDescent="0.3">
      <c r="A926" t="s">
        <v>1498</v>
      </c>
      <c r="B926" t="s">
        <v>2670</v>
      </c>
      <c r="C926" t="s">
        <v>28</v>
      </c>
      <c r="D926">
        <v>440</v>
      </c>
      <c r="E926">
        <v>98.459999084472656</v>
      </c>
    </row>
    <row r="927" spans="1:5" x14ac:dyDescent="0.3">
      <c r="A927" t="s">
        <v>1500</v>
      </c>
      <c r="B927" t="s">
        <v>2286</v>
      </c>
      <c r="C927" t="s">
        <v>41</v>
      </c>
      <c r="D927">
        <v>100</v>
      </c>
      <c r="E927">
        <v>410.95999145507813</v>
      </c>
    </row>
    <row r="928" spans="1:5" x14ac:dyDescent="0.3">
      <c r="A928" t="s">
        <v>1501</v>
      </c>
      <c r="B928" t="s">
        <v>1119</v>
      </c>
      <c r="C928" t="s">
        <v>60</v>
      </c>
      <c r="D928">
        <v>310</v>
      </c>
      <c r="E928">
        <v>506.70999145507813</v>
      </c>
    </row>
    <row r="929" spans="1:5" x14ac:dyDescent="0.3">
      <c r="A929" t="s">
        <v>1502</v>
      </c>
      <c r="B929" t="s">
        <v>923</v>
      </c>
      <c r="C929" t="s">
        <v>47</v>
      </c>
      <c r="D929">
        <v>270</v>
      </c>
      <c r="E929">
        <v>10.939999580383301</v>
      </c>
    </row>
    <row r="930" spans="1:5" x14ac:dyDescent="0.3">
      <c r="A930" t="s">
        <v>1503</v>
      </c>
      <c r="B930" t="s">
        <v>263</v>
      </c>
      <c r="C930" t="s">
        <v>16</v>
      </c>
      <c r="D930">
        <v>350</v>
      </c>
      <c r="E930">
        <v>150.47000122070313</v>
      </c>
    </row>
    <row r="931" spans="1:5" x14ac:dyDescent="0.3">
      <c r="A931" t="s">
        <v>1504</v>
      </c>
      <c r="B931" t="s">
        <v>332</v>
      </c>
      <c r="C931" t="s">
        <v>17</v>
      </c>
      <c r="D931">
        <v>250</v>
      </c>
      <c r="E931">
        <v>503.64999389648438</v>
      </c>
    </row>
    <row r="932" spans="1:5" x14ac:dyDescent="0.3">
      <c r="A932" t="s">
        <v>1505</v>
      </c>
      <c r="B932" t="s">
        <v>1225</v>
      </c>
      <c r="C932" t="s">
        <v>31</v>
      </c>
      <c r="D932">
        <v>330</v>
      </c>
      <c r="E932">
        <v>250.42999267578125</v>
      </c>
    </row>
    <row r="933" spans="1:5" x14ac:dyDescent="0.3">
      <c r="A933" t="s">
        <v>1506</v>
      </c>
      <c r="B933" t="s">
        <v>394</v>
      </c>
      <c r="C933" t="s">
        <v>60</v>
      </c>
      <c r="D933">
        <v>340</v>
      </c>
      <c r="E933">
        <v>422.29998779296875</v>
      </c>
    </row>
    <row r="934" spans="1:5" x14ac:dyDescent="0.3">
      <c r="A934" t="s">
        <v>1507</v>
      </c>
      <c r="B934" t="s">
        <v>1408</v>
      </c>
      <c r="C934" t="s">
        <v>56</v>
      </c>
      <c r="D934">
        <v>140</v>
      </c>
      <c r="E934">
        <v>152.30999755859375</v>
      </c>
    </row>
    <row r="935" spans="1:5" x14ac:dyDescent="0.3">
      <c r="A935" t="s">
        <v>1509</v>
      </c>
      <c r="B935" t="s">
        <v>1539</v>
      </c>
      <c r="C935" t="s">
        <v>52</v>
      </c>
      <c r="D935">
        <v>500</v>
      </c>
      <c r="E935">
        <v>425.07998657226563</v>
      </c>
    </row>
    <row r="936" spans="1:5" x14ac:dyDescent="0.3">
      <c r="A936" t="s">
        <v>1510</v>
      </c>
      <c r="B936" t="s">
        <v>839</v>
      </c>
      <c r="C936" t="s">
        <v>12</v>
      </c>
      <c r="D936">
        <v>290</v>
      </c>
      <c r="E936">
        <v>326.79998779296875</v>
      </c>
    </row>
    <row r="937" spans="1:5" x14ac:dyDescent="0.3">
      <c r="A937" t="s">
        <v>1512</v>
      </c>
      <c r="B937" t="s">
        <v>153</v>
      </c>
      <c r="C937" t="s">
        <v>65</v>
      </c>
      <c r="D937">
        <v>290</v>
      </c>
      <c r="E937">
        <v>295.20001220703125</v>
      </c>
    </row>
    <row r="938" spans="1:5" x14ac:dyDescent="0.3">
      <c r="A938" t="s">
        <v>1513</v>
      </c>
      <c r="B938" t="s">
        <v>73</v>
      </c>
      <c r="C938" t="s">
        <v>16</v>
      </c>
      <c r="D938">
        <v>410</v>
      </c>
      <c r="E938">
        <v>369.60000610351563</v>
      </c>
    </row>
    <row r="939" spans="1:5" x14ac:dyDescent="0.3">
      <c r="A939" t="s">
        <v>1514</v>
      </c>
      <c r="B939" t="s">
        <v>1019</v>
      </c>
      <c r="C939" t="s">
        <v>13</v>
      </c>
      <c r="D939">
        <v>420</v>
      </c>
      <c r="E939">
        <v>440.8699951171875</v>
      </c>
    </row>
    <row r="940" spans="1:5" x14ac:dyDescent="0.3">
      <c r="A940" t="s">
        <v>1515</v>
      </c>
      <c r="B940" t="s">
        <v>1388</v>
      </c>
      <c r="C940" t="s">
        <v>15</v>
      </c>
      <c r="D940">
        <v>260</v>
      </c>
      <c r="E940">
        <v>501.42999267578125</v>
      </c>
    </row>
    <row r="941" spans="1:5" x14ac:dyDescent="0.3">
      <c r="A941" t="s">
        <v>1517</v>
      </c>
      <c r="B941" t="s">
        <v>1625</v>
      </c>
      <c r="C941" t="s">
        <v>65</v>
      </c>
      <c r="D941">
        <v>210</v>
      </c>
      <c r="E941">
        <v>395.27999877929688</v>
      </c>
    </row>
    <row r="942" spans="1:5" x14ac:dyDescent="0.3">
      <c r="A942" t="s">
        <v>1518</v>
      </c>
      <c r="B942" t="s">
        <v>513</v>
      </c>
      <c r="C942" t="s">
        <v>32</v>
      </c>
      <c r="D942">
        <v>220</v>
      </c>
      <c r="E942">
        <v>67.970001220703125</v>
      </c>
    </row>
    <row r="943" spans="1:5" x14ac:dyDescent="0.3">
      <c r="A943" t="s">
        <v>1519</v>
      </c>
      <c r="B943" t="s">
        <v>2328</v>
      </c>
      <c r="C943" t="s">
        <v>39</v>
      </c>
      <c r="D943">
        <v>100</v>
      </c>
      <c r="E943">
        <v>316.6400146484375</v>
      </c>
    </row>
    <row r="944" spans="1:5" x14ac:dyDescent="0.3">
      <c r="A944" t="s">
        <v>1520</v>
      </c>
      <c r="B944" t="s">
        <v>500</v>
      </c>
      <c r="C944" t="s">
        <v>39</v>
      </c>
      <c r="D944">
        <v>310</v>
      </c>
      <c r="E944">
        <v>39.950000762939453</v>
      </c>
    </row>
    <row r="945" spans="1:5" x14ac:dyDescent="0.3">
      <c r="A945" t="s">
        <v>1522</v>
      </c>
      <c r="B945" t="s">
        <v>1608</v>
      </c>
      <c r="C945" t="s">
        <v>64</v>
      </c>
      <c r="D945">
        <v>170</v>
      </c>
      <c r="E945">
        <v>488.14999389648438</v>
      </c>
    </row>
    <row r="946" spans="1:5" x14ac:dyDescent="0.3">
      <c r="A946" t="s">
        <v>1523</v>
      </c>
      <c r="B946" t="s">
        <v>2205</v>
      </c>
      <c r="C946" t="s">
        <v>33</v>
      </c>
      <c r="D946">
        <v>160</v>
      </c>
      <c r="E946">
        <v>13.050000190734863</v>
      </c>
    </row>
    <row r="947" spans="1:5" x14ac:dyDescent="0.3">
      <c r="A947" t="s">
        <v>1524</v>
      </c>
      <c r="B947" t="s">
        <v>319</v>
      </c>
      <c r="C947" t="s">
        <v>58</v>
      </c>
      <c r="D947">
        <v>120</v>
      </c>
      <c r="E947">
        <v>318.01998901367188</v>
      </c>
    </row>
    <row r="948" spans="1:5" x14ac:dyDescent="0.3">
      <c r="A948" t="s">
        <v>1525</v>
      </c>
      <c r="B948" t="s">
        <v>2004</v>
      </c>
      <c r="C948" t="s">
        <v>17</v>
      </c>
      <c r="D948">
        <v>30</v>
      </c>
      <c r="E948">
        <v>207.99000549316406</v>
      </c>
    </row>
    <row r="949" spans="1:5" x14ac:dyDescent="0.3">
      <c r="A949" t="s">
        <v>1526</v>
      </c>
      <c r="B949" t="s">
        <v>448</v>
      </c>
      <c r="C949" t="s">
        <v>61</v>
      </c>
      <c r="D949">
        <v>260</v>
      </c>
      <c r="E949">
        <v>339.45001220703125</v>
      </c>
    </row>
    <row r="950" spans="1:5" x14ac:dyDescent="0.3">
      <c r="A950" t="s">
        <v>1527</v>
      </c>
      <c r="B950" t="s">
        <v>1785</v>
      </c>
      <c r="C950" t="s">
        <v>23</v>
      </c>
      <c r="D950">
        <v>300</v>
      </c>
      <c r="E950">
        <v>470.45999145507813</v>
      </c>
    </row>
    <row r="951" spans="1:5" x14ac:dyDescent="0.3">
      <c r="A951" t="s">
        <v>1528</v>
      </c>
      <c r="B951" t="s">
        <v>1001</v>
      </c>
      <c r="C951" t="s">
        <v>15</v>
      </c>
      <c r="D951">
        <v>40</v>
      </c>
      <c r="E951">
        <v>210.63999938964844</v>
      </c>
    </row>
    <row r="952" spans="1:5" x14ac:dyDescent="0.3">
      <c r="A952" t="s">
        <v>1529</v>
      </c>
      <c r="B952" t="s">
        <v>287</v>
      </c>
      <c r="C952" t="s">
        <v>23</v>
      </c>
      <c r="D952">
        <v>490</v>
      </c>
      <c r="E952">
        <v>271.17001342773438</v>
      </c>
    </row>
    <row r="953" spans="1:5" x14ac:dyDescent="0.3">
      <c r="A953" t="s">
        <v>1531</v>
      </c>
      <c r="B953" t="s">
        <v>172</v>
      </c>
      <c r="C953" t="s">
        <v>59</v>
      </c>
      <c r="D953">
        <v>40</v>
      </c>
      <c r="E953">
        <v>214.78999328613281</v>
      </c>
    </row>
    <row r="954" spans="1:5" x14ac:dyDescent="0.3">
      <c r="A954" t="s">
        <v>1532</v>
      </c>
      <c r="B954" t="s">
        <v>99</v>
      </c>
      <c r="C954" t="s">
        <v>69</v>
      </c>
      <c r="D954">
        <v>230</v>
      </c>
      <c r="E954">
        <v>205.82000732421875</v>
      </c>
    </row>
    <row r="955" spans="1:5" x14ac:dyDescent="0.3">
      <c r="A955" t="s">
        <v>1533</v>
      </c>
      <c r="B955" t="s">
        <v>2933</v>
      </c>
      <c r="C955" t="s">
        <v>40</v>
      </c>
      <c r="D955">
        <v>25000</v>
      </c>
      <c r="E955">
        <v>463.91000366210938</v>
      </c>
    </row>
    <row r="956" spans="1:5" x14ac:dyDescent="0.3">
      <c r="A956" t="s">
        <v>1535</v>
      </c>
      <c r="B956" t="s">
        <v>345</v>
      </c>
      <c r="C956" t="s">
        <v>70</v>
      </c>
      <c r="D956">
        <v>450</v>
      </c>
      <c r="E956">
        <v>281.16000366210938</v>
      </c>
    </row>
    <row r="957" spans="1:5" x14ac:dyDescent="0.3">
      <c r="A957" t="s">
        <v>1536</v>
      </c>
      <c r="B957" t="s">
        <v>630</v>
      </c>
      <c r="C957" t="s">
        <v>12</v>
      </c>
      <c r="D957">
        <v>440</v>
      </c>
      <c r="E957">
        <v>113.62999725341797</v>
      </c>
    </row>
    <row r="958" spans="1:5" x14ac:dyDescent="0.3">
      <c r="A958" t="s">
        <v>1537</v>
      </c>
      <c r="B958" t="s">
        <v>2344</v>
      </c>
      <c r="C958" t="s">
        <v>37</v>
      </c>
      <c r="D958">
        <v>350</v>
      </c>
      <c r="E958">
        <v>21.110000610351563</v>
      </c>
    </row>
    <row r="959" spans="1:5" x14ac:dyDescent="0.3">
      <c r="A959" t="s">
        <v>1538</v>
      </c>
      <c r="B959" t="s">
        <v>728</v>
      </c>
      <c r="C959" t="s">
        <v>54</v>
      </c>
      <c r="D959">
        <v>120</v>
      </c>
      <c r="E959">
        <v>446.239990234375</v>
      </c>
    </row>
    <row r="960" spans="1:5" x14ac:dyDescent="0.3">
      <c r="A960" t="s">
        <v>1540</v>
      </c>
      <c r="B960" t="s">
        <v>162</v>
      </c>
      <c r="C960" t="s">
        <v>52</v>
      </c>
      <c r="D960">
        <v>480</v>
      </c>
      <c r="E960">
        <v>464.45001220703125</v>
      </c>
    </row>
    <row r="961" spans="1:5" x14ac:dyDescent="0.3">
      <c r="A961" t="s">
        <v>1541</v>
      </c>
      <c r="B961" t="s">
        <v>1132</v>
      </c>
      <c r="C961" t="s">
        <v>43</v>
      </c>
      <c r="D961">
        <v>190</v>
      </c>
      <c r="E961">
        <v>34</v>
      </c>
    </row>
    <row r="962" spans="1:5" x14ac:dyDescent="0.3">
      <c r="A962" t="s">
        <v>1542</v>
      </c>
      <c r="B962" t="s">
        <v>2883</v>
      </c>
      <c r="C962" t="s">
        <v>42</v>
      </c>
      <c r="D962">
        <v>300</v>
      </c>
      <c r="E962">
        <v>245.96000671386719</v>
      </c>
    </row>
    <row r="963" spans="1:5" x14ac:dyDescent="0.3">
      <c r="A963" t="s">
        <v>1543</v>
      </c>
      <c r="B963" t="s">
        <v>597</v>
      </c>
      <c r="C963" t="s">
        <v>36</v>
      </c>
      <c r="D963">
        <v>410</v>
      </c>
      <c r="E963">
        <v>74.19000244140625</v>
      </c>
    </row>
    <row r="964" spans="1:5" x14ac:dyDescent="0.3">
      <c r="A964" t="s">
        <v>1544</v>
      </c>
      <c r="B964" t="s">
        <v>626</v>
      </c>
      <c r="C964" t="s">
        <v>64</v>
      </c>
      <c r="D964">
        <v>390</v>
      </c>
      <c r="E964">
        <v>125.40000152587891</v>
      </c>
    </row>
    <row r="965" spans="1:5" x14ac:dyDescent="0.3">
      <c r="A965" t="s">
        <v>1546</v>
      </c>
      <c r="B965" t="s">
        <v>1892</v>
      </c>
      <c r="C965" t="s">
        <v>34</v>
      </c>
      <c r="D965">
        <v>170</v>
      </c>
      <c r="E965">
        <v>389.07000732421875</v>
      </c>
    </row>
    <row r="966" spans="1:5" x14ac:dyDescent="0.3">
      <c r="A966" t="s">
        <v>1547</v>
      </c>
      <c r="B966" t="s">
        <v>1024</v>
      </c>
      <c r="C966" t="s">
        <v>10</v>
      </c>
      <c r="D966">
        <v>460</v>
      </c>
      <c r="E966">
        <v>487.52999877929688</v>
      </c>
    </row>
    <row r="967" spans="1:5" x14ac:dyDescent="0.3">
      <c r="A967" t="s">
        <v>1548</v>
      </c>
      <c r="B967" t="s">
        <v>1732</v>
      </c>
      <c r="C967" t="s">
        <v>58</v>
      </c>
      <c r="D967">
        <v>500</v>
      </c>
      <c r="E967">
        <v>425.89999389648438</v>
      </c>
    </row>
    <row r="968" spans="1:5" x14ac:dyDescent="0.3">
      <c r="A968" t="s">
        <v>1549</v>
      </c>
      <c r="B968" t="s">
        <v>737</v>
      </c>
      <c r="C968" t="s">
        <v>36</v>
      </c>
      <c r="D968">
        <v>330</v>
      </c>
      <c r="E968">
        <v>342.1300048828125</v>
      </c>
    </row>
    <row r="969" spans="1:5" x14ac:dyDescent="0.3">
      <c r="A969" t="s">
        <v>1550</v>
      </c>
      <c r="B969" t="s">
        <v>87</v>
      </c>
      <c r="C969" t="s">
        <v>23</v>
      </c>
      <c r="D969">
        <v>20</v>
      </c>
      <c r="E969">
        <v>256.95999145507813</v>
      </c>
    </row>
    <row r="970" spans="1:5" x14ac:dyDescent="0.3">
      <c r="A970" t="s">
        <v>1552</v>
      </c>
      <c r="B970" t="s">
        <v>1559</v>
      </c>
      <c r="C970" t="s">
        <v>51</v>
      </c>
      <c r="D970">
        <v>450</v>
      </c>
      <c r="E970">
        <v>323.95001220703125</v>
      </c>
    </row>
    <row r="971" spans="1:5" x14ac:dyDescent="0.3">
      <c r="A971" t="s">
        <v>1554</v>
      </c>
      <c r="B971" t="s">
        <v>1242</v>
      </c>
      <c r="C971" t="s">
        <v>43</v>
      </c>
      <c r="D971">
        <v>20</v>
      </c>
      <c r="E971">
        <v>79.5</v>
      </c>
    </row>
    <row r="972" spans="1:5" x14ac:dyDescent="0.3">
      <c r="A972" t="s">
        <v>1555</v>
      </c>
      <c r="B972" t="s">
        <v>842</v>
      </c>
      <c r="C972" t="s">
        <v>58</v>
      </c>
      <c r="D972">
        <v>420</v>
      </c>
      <c r="E972">
        <v>192.77000427246094</v>
      </c>
    </row>
    <row r="973" spans="1:5" x14ac:dyDescent="0.3">
      <c r="A973" t="s">
        <v>1557</v>
      </c>
      <c r="B973" t="s">
        <v>249</v>
      </c>
      <c r="C973" t="s">
        <v>58</v>
      </c>
      <c r="D973">
        <v>390</v>
      </c>
      <c r="E973">
        <v>215.78999328613281</v>
      </c>
    </row>
    <row r="974" spans="1:5" x14ac:dyDescent="0.3">
      <c r="A974" t="s">
        <v>1558</v>
      </c>
      <c r="B974" t="s">
        <v>2934</v>
      </c>
      <c r="C974" t="s">
        <v>68</v>
      </c>
      <c r="D974">
        <v>440</v>
      </c>
      <c r="E974">
        <v>333.35000610351563</v>
      </c>
    </row>
    <row r="975" spans="1:5" x14ac:dyDescent="0.3">
      <c r="A975" t="s">
        <v>1560</v>
      </c>
      <c r="B975" t="s">
        <v>2935</v>
      </c>
      <c r="C975" t="s">
        <v>31</v>
      </c>
      <c r="D975">
        <v>130</v>
      </c>
      <c r="E975">
        <v>113.08999633789063</v>
      </c>
    </row>
    <row r="976" spans="1:5" x14ac:dyDescent="0.3">
      <c r="A976" t="s">
        <v>1562</v>
      </c>
      <c r="B976" t="s">
        <v>1973</v>
      </c>
      <c r="C976" t="s">
        <v>55</v>
      </c>
      <c r="D976">
        <v>320</v>
      </c>
      <c r="E976">
        <v>255.44999694824219</v>
      </c>
    </row>
    <row r="977" spans="1:5" x14ac:dyDescent="0.3">
      <c r="A977" t="s">
        <v>1563</v>
      </c>
      <c r="B977" t="s">
        <v>2923</v>
      </c>
      <c r="C977" t="s">
        <v>54</v>
      </c>
      <c r="D977">
        <v>400</v>
      </c>
      <c r="E977">
        <v>343.67999267578125</v>
      </c>
    </row>
    <row r="978" spans="1:5" x14ac:dyDescent="0.3">
      <c r="A978" t="s">
        <v>1565</v>
      </c>
      <c r="B978" t="s">
        <v>681</v>
      </c>
      <c r="C978" t="s">
        <v>54</v>
      </c>
      <c r="D978">
        <v>40</v>
      </c>
      <c r="E978">
        <v>93.849998474121094</v>
      </c>
    </row>
    <row r="979" spans="1:5" x14ac:dyDescent="0.3">
      <c r="A979" t="s">
        <v>1566</v>
      </c>
      <c r="B979" t="s">
        <v>295</v>
      </c>
      <c r="C979" t="s">
        <v>57</v>
      </c>
      <c r="D979">
        <v>460</v>
      </c>
      <c r="E979">
        <v>104.81999969482422</v>
      </c>
    </row>
    <row r="980" spans="1:5" x14ac:dyDescent="0.3">
      <c r="A980" t="s">
        <v>1567</v>
      </c>
      <c r="B980" t="s">
        <v>2936</v>
      </c>
      <c r="C980" t="s">
        <v>64</v>
      </c>
      <c r="D980">
        <v>170</v>
      </c>
      <c r="E980">
        <v>108.30000305175781</v>
      </c>
    </row>
    <row r="981" spans="1:5" x14ac:dyDescent="0.3">
      <c r="A981" t="s">
        <v>1568</v>
      </c>
      <c r="B981" t="s">
        <v>2880</v>
      </c>
      <c r="C981" t="s">
        <v>49</v>
      </c>
      <c r="D981">
        <v>210</v>
      </c>
      <c r="E981">
        <v>218.77000427246094</v>
      </c>
    </row>
    <row r="982" spans="1:5" x14ac:dyDescent="0.3">
      <c r="A982" t="s">
        <v>1569</v>
      </c>
      <c r="B982" t="s">
        <v>918</v>
      </c>
      <c r="C982" t="s">
        <v>41</v>
      </c>
      <c r="D982">
        <v>410</v>
      </c>
      <c r="E982">
        <v>183.57000732421875</v>
      </c>
    </row>
    <row r="983" spans="1:5" x14ac:dyDescent="0.3">
      <c r="A983" t="s">
        <v>1571</v>
      </c>
      <c r="B983" t="s">
        <v>659</v>
      </c>
      <c r="C983" t="s">
        <v>45</v>
      </c>
      <c r="D983">
        <v>160</v>
      </c>
      <c r="E983">
        <v>132.80000305175781</v>
      </c>
    </row>
    <row r="984" spans="1:5" x14ac:dyDescent="0.3">
      <c r="A984" t="s">
        <v>1573</v>
      </c>
      <c r="B984" t="s">
        <v>1625</v>
      </c>
      <c r="C984" t="s">
        <v>66</v>
      </c>
      <c r="D984">
        <v>100</v>
      </c>
      <c r="E984">
        <v>329.42001342773438</v>
      </c>
    </row>
    <row r="985" spans="1:5" x14ac:dyDescent="0.3">
      <c r="A985" t="s">
        <v>1574</v>
      </c>
      <c r="B985" t="s">
        <v>218</v>
      </c>
      <c r="C985" t="s">
        <v>21</v>
      </c>
      <c r="D985">
        <v>450</v>
      </c>
      <c r="E985">
        <v>419.17999267578125</v>
      </c>
    </row>
    <row r="986" spans="1:5" x14ac:dyDescent="0.3">
      <c r="A986" t="s">
        <v>1575</v>
      </c>
      <c r="B986" t="s">
        <v>89</v>
      </c>
      <c r="C986" t="s">
        <v>67</v>
      </c>
      <c r="D986">
        <v>190</v>
      </c>
      <c r="E986">
        <v>180.6300048828125</v>
      </c>
    </row>
    <row r="987" spans="1:5" x14ac:dyDescent="0.3">
      <c r="A987" t="s">
        <v>1576</v>
      </c>
      <c r="B987" t="s">
        <v>2020</v>
      </c>
      <c r="C987" t="s">
        <v>33</v>
      </c>
      <c r="D987">
        <v>350</v>
      </c>
      <c r="E987">
        <v>275.16000366210938</v>
      </c>
    </row>
    <row r="988" spans="1:5" x14ac:dyDescent="0.3">
      <c r="A988" t="s">
        <v>1577</v>
      </c>
      <c r="B988" t="s">
        <v>1940</v>
      </c>
      <c r="C988" t="s">
        <v>42</v>
      </c>
      <c r="D988">
        <v>260</v>
      </c>
      <c r="E988">
        <v>496.95999145507813</v>
      </c>
    </row>
    <row r="989" spans="1:5" x14ac:dyDescent="0.3">
      <c r="A989" t="s">
        <v>1578</v>
      </c>
      <c r="B989" t="s">
        <v>1564</v>
      </c>
      <c r="C989" t="s">
        <v>15</v>
      </c>
      <c r="D989">
        <v>260</v>
      </c>
      <c r="E989">
        <v>23.030000686645508</v>
      </c>
    </row>
    <row r="990" spans="1:5" x14ac:dyDescent="0.3">
      <c r="A990" t="s">
        <v>1579</v>
      </c>
      <c r="B990" t="s">
        <v>1924</v>
      </c>
      <c r="C990" t="s">
        <v>58</v>
      </c>
      <c r="D990">
        <v>10</v>
      </c>
      <c r="E990">
        <v>163.16999816894531</v>
      </c>
    </row>
    <row r="991" spans="1:5" x14ac:dyDescent="0.3">
      <c r="A991" t="s">
        <v>1580</v>
      </c>
      <c r="B991" t="s">
        <v>2918</v>
      </c>
      <c r="C991" t="s">
        <v>58</v>
      </c>
      <c r="D991">
        <v>200</v>
      </c>
      <c r="E991">
        <v>110.02999877929688</v>
      </c>
    </row>
    <row r="992" spans="1:5" x14ac:dyDescent="0.3">
      <c r="A992" t="s">
        <v>1581</v>
      </c>
      <c r="B992" t="s">
        <v>304</v>
      </c>
      <c r="C992" t="s">
        <v>28</v>
      </c>
      <c r="D992">
        <v>290</v>
      </c>
      <c r="E992">
        <v>189.03999328613281</v>
      </c>
    </row>
    <row r="993" spans="1:5" x14ac:dyDescent="0.3">
      <c r="A993" t="s">
        <v>1582</v>
      </c>
      <c r="B993" t="s">
        <v>1187</v>
      </c>
      <c r="C993" t="s">
        <v>67</v>
      </c>
      <c r="D993">
        <v>290</v>
      </c>
      <c r="E993">
        <v>108.44000244140625</v>
      </c>
    </row>
    <row r="994" spans="1:5" x14ac:dyDescent="0.3">
      <c r="A994" t="s">
        <v>1584</v>
      </c>
      <c r="B994" t="s">
        <v>701</v>
      </c>
      <c r="C994" t="s">
        <v>49</v>
      </c>
      <c r="D994">
        <v>30</v>
      </c>
      <c r="E994">
        <v>209.30999755859375</v>
      </c>
    </row>
    <row r="995" spans="1:5" x14ac:dyDescent="0.3">
      <c r="A995" t="s">
        <v>1585</v>
      </c>
      <c r="B995" t="s">
        <v>240</v>
      </c>
      <c r="C995" t="s">
        <v>42</v>
      </c>
      <c r="D995">
        <v>320</v>
      </c>
      <c r="E995">
        <v>215.52999877929688</v>
      </c>
    </row>
    <row r="996" spans="1:5" x14ac:dyDescent="0.3">
      <c r="A996" t="s">
        <v>1586</v>
      </c>
      <c r="B996" t="s">
        <v>479</v>
      </c>
      <c r="C996" t="s">
        <v>62</v>
      </c>
      <c r="D996">
        <v>320</v>
      </c>
      <c r="E996">
        <v>483.76998901367188</v>
      </c>
    </row>
    <row r="997" spans="1:5" x14ac:dyDescent="0.3">
      <c r="A997" t="s">
        <v>1587</v>
      </c>
      <c r="B997" t="s">
        <v>1681</v>
      </c>
      <c r="C997" t="s">
        <v>41</v>
      </c>
      <c r="D997">
        <v>180</v>
      </c>
      <c r="E997">
        <v>253.55000305175781</v>
      </c>
    </row>
    <row r="998" spans="1:5" x14ac:dyDescent="0.3">
      <c r="A998" t="s">
        <v>1588</v>
      </c>
      <c r="B998" t="s">
        <v>2937</v>
      </c>
      <c r="C998" t="s">
        <v>17</v>
      </c>
      <c r="D998">
        <v>360</v>
      </c>
      <c r="E998">
        <v>397.17999267578125</v>
      </c>
    </row>
    <row r="999" spans="1:5" x14ac:dyDescent="0.3">
      <c r="A999" t="s">
        <v>1590</v>
      </c>
      <c r="B999" t="s">
        <v>1230</v>
      </c>
      <c r="C999" t="s">
        <v>21</v>
      </c>
      <c r="D999">
        <v>380</v>
      </c>
      <c r="E999">
        <v>169.77999877929688</v>
      </c>
    </row>
    <row r="1000" spans="1:5" x14ac:dyDescent="0.3">
      <c r="A1000" t="s">
        <v>1591</v>
      </c>
      <c r="B1000" t="s">
        <v>1798</v>
      </c>
      <c r="C1000" t="s">
        <v>67</v>
      </c>
      <c r="D1000">
        <v>500</v>
      </c>
      <c r="E1000">
        <v>459.29000854492188</v>
      </c>
    </row>
    <row r="1001" spans="1:5" x14ac:dyDescent="0.3">
      <c r="A1001" t="s">
        <v>1592</v>
      </c>
      <c r="B1001" t="s">
        <v>2938</v>
      </c>
      <c r="C1001" t="s">
        <v>28</v>
      </c>
      <c r="D1001">
        <v>60</v>
      </c>
      <c r="E1001">
        <v>36.479999542236328</v>
      </c>
    </row>
    <row r="1002" spans="1:5" x14ac:dyDescent="0.3">
      <c r="A1002" t="s">
        <v>1594</v>
      </c>
      <c r="B1002" t="s">
        <v>396</v>
      </c>
      <c r="C1002" t="s">
        <v>68</v>
      </c>
      <c r="D1002">
        <v>170</v>
      </c>
      <c r="E1002">
        <v>304.8900146484375</v>
      </c>
    </row>
    <row r="1003" spans="1:5" x14ac:dyDescent="0.3">
      <c r="A1003" t="s">
        <v>1596</v>
      </c>
      <c r="B1003" t="s">
        <v>325</v>
      </c>
      <c r="C1003" t="s">
        <v>42</v>
      </c>
      <c r="D1003">
        <v>490</v>
      </c>
      <c r="E1003">
        <v>50.909999847412109</v>
      </c>
    </row>
    <row r="1004" spans="1:5" x14ac:dyDescent="0.3">
      <c r="A1004" t="s">
        <v>1597</v>
      </c>
      <c r="B1004" t="s">
        <v>384</v>
      </c>
      <c r="C1004" t="s">
        <v>21</v>
      </c>
      <c r="D1004">
        <v>470</v>
      </c>
      <c r="E1004">
        <v>193.72999572753906</v>
      </c>
    </row>
    <row r="1005" spans="1:5" x14ac:dyDescent="0.3">
      <c r="A1005" t="s">
        <v>1599</v>
      </c>
      <c r="B1005" t="s">
        <v>2294</v>
      </c>
      <c r="C1005" t="s">
        <v>69</v>
      </c>
      <c r="D1005">
        <v>70</v>
      </c>
      <c r="E1005">
        <v>35.340000152587891</v>
      </c>
    </row>
    <row r="1006" spans="1:5" x14ac:dyDescent="0.3">
      <c r="A1006" t="s">
        <v>1600</v>
      </c>
      <c r="B1006" t="s">
        <v>1448</v>
      </c>
      <c r="C1006" t="s">
        <v>60</v>
      </c>
      <c r="D1006">
        <v>90</v>
      </c>
      <c r="E1006">
        <v>10.569999694824219</v>
      </c>
    </row>
    <row r="1007" spans="1:5" x14ac:dyDescent="0.3">
      <c r="A1007" t="s">
        <v>1601</v>
      </c>
      <c r="B1007" t="s">
        <v>1694</v>
      </c>
      <c r="C1007" t="s">
        <v>13</v>
      </c>
      <c r="D1007">
        <v>320</v>
      </c>
      <c r="E1007">
        <v>437.04998779296875</v>
      </c>
    </row>
    <row r="1008" spans="1:5" x14ac:dyDescent="0.3">
      <c r="A1008" t="s">
        <v>1603</v>
      </c>
      <c r="B1008" t="s">
        <v>2267</v>
      </c>
      <c r="C1008" t="s">
        <v>124</v>
      </c>
      <c r="D1008">
        <v>120</v>
      </c>
      <c r="E1008">
        <v>370.22000122070313</v>
      </c>
    </row>
    <row r="1009" spans="1:5" x14ac:dyDescent="0.3">
      <c r="A1009" t="s">
        <v>1604</v>
      </c>
      <c r="B1009" t="s">
        <v>1092</v>
      </c>
      <c r="C1009" t="s">
        <v>32</v>
      </c>
      <c r="D1009">
        <v>470</v>
      </c>
      <c r="E1009">
        <v>372.70999145507813</v>
      </c>
    </row>
    <row r="1010" spans="1:5" x14ac:dyDescent="0.3">
      <c r="A1010" t="s">
        <v>1605</v>
      </c>
      <c r="B1010" t="s">
        <v>530</v>
      </c>
      <c r="C1010" t="s">
        <v>41</v>
      </c>
      <c r="D1010">
        <v>320</v>
      </c>
      <c r="E1010">
        <v>258.73001098632813</v>
      </c>
    </row>
    <row r="1011" spans="1:5" x14ac:dyDescent="0.3">
      <c r="A1011" t="s">
        <v>1607</v>
      </c>
      <c r="B1011" t="s">
        <v>1230</v>
      </c>
      <c r="C1011" t="s">
        <v>61</v>
      </c>
      <c r="D1011">
        <v>440</v>
      </c>
      <c r="E1011">
        <v>495.29998779296875</v>
      </c>
    </row>
    <row r="1012" spans="1:5" x14ac:dyDescent="0.3">
      <c r="A1012" t="s">
        <v>1609</v>
      </c>
      <c r="B1012" t="s">
        <v>522</v>
      </c>
      <c r="C1012" t="s">
        <v>12</v>
      </c>
      <c r="D1012">
        <v>140</v>
      </c>
      <c r="E1012">
        <v>338.54998779296875</v>
      </c>
    </row>
    <row r="1013" spans="1:5" x14ac:dyDescent="0.3">
      <c r="A1013" t="s">
        <v>1610</v>
      </c>
      <c r="B1013" t="s">
        <v>676</v>
      </c>
      <c r="C1013" t="s">
        <v>47</v>
      </c>
      <c r="D1013">
        <v>90</v>
      </c>
      <c r="E1013">
        <v>83.620002746582031</v>
      </c>
    </row>
    <row r="1014" spans="1:5" x14ac:dyDescent="0.3">
      <c r="A1014" t="s">
        <v>1611</v>
      </c>
      <c r="B1014" t="s">
        <v>1035</v>
      </c>
      <c r="C1014" t="s">
        <v>32</v>
      </c>
      <c r="D1014">
        <v>500</v>
      </c>
      <c r="E1014">
        <v>314.760009765625</v>
      </c>
    </row>
    <row r="1015" spans="1:5" x14ac:dyDescent="0.3">
      <c r="A1015" t="s">
        <v>1612</v>
      </c>
      <c r="B1015" t="s">
        <v>2879</v>
      </c>
      <c r="C1015" t="s">
        <v>61</v>
      </c>
      <c r="D1015">
        <v>430</v>
      </c>
      <c r="E1015">
        <v>155.25</v>
      </c>
    </row>
    <row r="1016" spans="1:5" x14ac:dyDescent="0.3">
      <c r="A1016" t="s">
        <v>1613</v>
      </c>
      <c r="B1016" t="s">
        <v>1028</v>
      </c>
      <c r="C1016" t="s">
        <v>16</v>
      </c>
      <c r="D1016">
        <v>470</v>
      </c>
      <c r="E1016">
        <v>17.440000534057617</v>
      </c>
    </row>
    <row r="1017" spans="1:5" x14ac:dyDescent="0.3">
      <c r="A1017" t="s">
        <v>1614</v>
      </c>
      <c r="B1017" t="s">
        <v>1283</v>
      </c>
      <c r="C1017" t="s">
        <v>69</v>
      </c>
      <c r="D1017">
        <v>60</v>
      </c>
      <c r="E1017">
        <v>352.760009765625</v>
      </c>
    </row>
    <row r="1018" spans="1:5" x14ac:dyDescent="0.3">
      <c r="A1018" t="s">
        <v>1615</v>
      </c>
      <c r="B1018" t="s">
        <v>1806</v>
      </c>
      <c r="C1018" t="s">
        <v>46</v>
      </c>
      <c r="D1018">
        <v>220</v>
      </c>
      <c r="E1018">
        <v>401.67001342773438</v>
      </c>
    </row>
    <row r="1019" spans="1:5" x14ac:dyDescent="0.3">
      <c r="A1019" t="s">
        <v>1616</v>
      </c>
      <c r="B1019" t="s">
        <v>2617</v>
      </c>
      <c r="C1019" t="s">
        <v>60</v>
      </c>
      <c r="D1019">
        <v>250</v>
      </c>
      <c r="E1019">
        <v>443.73001098632813</v>
      </c>
    </row>
    <row r="1020" spans="1:5" x14ac:dyDescent="0.3">
      <c r="A1020" t="s">
        <v>1618</v>
      </c>
      <c r="B1020" t="s">
        <v>1803</v>
      </c>
      <c r="C1020" t="s">
        <v>70</v>
      </c>
      <c r="D1020">
        <v>50</v>
      </c>
      <c r="E1020">
        <v>47.529998779296875</v>
      </c>
    </row>
    <row r="1021" spans="1:5" x14ac:dyDescent="0.3">
      <c r="A1021" t="s">
        <v>1619</v>
      </c>
      <c r="B1021" t="s">
        <v>1831</v>
      </c>
      <c r="C1021" t="s">
        <v>31</v>
      </c>
      <c r="D1021">
        <v>350</v>
      </c>
      <c r="E1021">
        <v>320.75</v>
      </c>
    </row>
    <row r="1022" spans="1:5" x14ac:dyDescent="0.3">
      <c r="A1022" t="s">
        <v>1620</v>
      </c>
      <c r="B1022" t="s">
        <v>999</v>
      </c>
      <c r="C1022" t="s">
        <v>12</v>
      </c>
      <c r="D1022">
        <v>410</v>
      </c>
      <c r="E1022">
        <v>160.10000610351563</v>
      </c>
    </row>
    <row r="1023" spans="1:5" x14ac:dyDescent="0.3">
      <c r="A1023" t="s">
        <v>1621</v>
      </c>
      <c r="B1023" t="s">
        <v>413</v>
      </c>
      <c r="C1023" t="s">
        <v>47</v>
      </c>
      <c r="D1023">
        <v>360</v>
      </c>
      <c r="E1023">
        <v>501.3800048828125</v>
      </c>
    </row>
    <row r="1024" spans="1:5" x14ac:dyDescent="0.3">
      <c r="A1024" t="s">
        <v>1623</v>
      </c>
      <c r="B1024" t="s">
        <v>2265</v>
      </c>
      <c r="C1024" t="s">
        <v>44</v>
      </c>
      <c r="D1024">
        <v>350</v>
      </c>
      <c r="E1024">
        <v>69.449996948242188</v>
      </c>
    </row>
    <row r="1025" spans="1:5" x14ac:dyDescent="0.3">
      <c r="A1025" t="s">
        <v>1624</v>
      </c>
      <c r="B1025" t="s">
        <v>2939</v>
      </c>
      <c r="C1025" t="s">
        <v>28</v>
      </c>
      <c r="D1025">
        <v>390</v>
      </c>
      <c r="E1025">
        <v>128.21000671386719</v>
      </c>
    </row>
    <row r="1026" spans="1:5" x14ac:dyDescent="0.3">
      <c r="A1026" t="s">
        <v>1626</v>
      </c>
      <c r="B1026" t="s">
        <v>1193</v>
      </c>
      <c r="C1026" t="s">
        <v>124</v>
      </c>
      <c r="D1026">
        <v>440</v>
      </c>
      <c r="E1026">
        <v>52.560001373291016</v>
      </c>
    </row>
    <row r="1027" spans="1:5" x14ac:dyDescent="0.3">
      <c r="A1027" t="s">
        <v>1627</v>
      </c>
      <c r="B1027" t="s">
        <v>287</v>
      </c>
      <c r="C1027" t="s">
        <v>44</v>
      </c>
      <c r="D1027">
        <v>25000</v>
      </c>
      <c r="E1027">
        <v>171.94000244140625</v>
      </c>
    </row>
    <row r="1028" spans="1:5" x14ac:dyDescent="0.3">
      <c r="A1028" t="s">
        <v>1628</v>
      </c>
      <c r="B1028" t="s">
        <v>1196</v>
      </c>
      <c r="C1028" t="s">
        <v>46</v>
      </c>
      <c r="D1028">
        <v>340</v>
      </c>
      <c r="E1028">
        <v>265.1099853515625</v>
      </c>
    </row>
    <row r="1029" spans="1:5" x14ac:dyDescent="0.3">
      <c r="A1029" t="s">
        <v>1630</v>
      </c>
      <c r="B1029" t="s">
        <v>2289</v>
      </c>
      <c r="C1029" t="s">
        <v>52</v>
      </c>
      <c r="D1029">
        <v>480</v>
      </c>
      <c r="E1029">
        <v>43.979999542236328</v>
      </c>
    </row>
    <row r="1030" spans="1:5" x14ac:dyDescent="0.3">
      <c r="A1030" t="s">
        <v>1631</v>
      </c>
      <c r="B1030" t="s">
        <v>182</v>
      </c>
      <c r="C1030" t="s">
        <v>37</v>
      </c>
      <c r="D1030">
        <v>60</v>
      </c>
      <c r="E1030">
        <v>309.57998657226563</v>
      </c>
    </row>
    <row r="1031" spans="1:5" x14ac:dyDescent="0.3">
      <c r="A1031" t="s">
        <v>1632</v>
      </c>
      <c r="B1031" t="s">
        <v>539</v>
      </c>
      <c r="C1031" t="s">
        <v>45</v>
      </c>
      <c r="D1031">
        <v>500</v>
      </c>
      <c r="E1031">
        <v>89.510002136230469</v>
      </c>
    </row>
    <row r="1032" spans="1:5" x14ac:dyDescent="0.3">
      <c r="A1032" t="s">
        <v>1634</v>
      </c>
      <c r="B1032" t="s">
        <v>1559</v>
      </c>
      <c r="C1032" t="s">
        <v>46</v>
      </c>
      <c r="D1032">
        <v>200</v>
      </c>
      <c r="E1032">
        <v>387.89999389648438</v>
      </c>
    </row>
    <row r="1033" spans="1:5" x14ac:dyDescent="0.3">
      <c r="A1033" t="s">
        <v>1636</v>
      </c>
      <c r="B1033" t="s">
        <v>2940</v>
      </c>
      <c r="C1033" t="s">
        <v>18</v>
      </c>
      <c r="D1033">
        <v>340</v>
      </c>
      <c r="E1033">
        <v>435.48001098632813</v>
      </c>
    </row>
    <row r="1034" spans="1:5" x14ac:dyDescent="0.3">
      <c r="A1034" t="s">
        <v>1637</v>
      </c>
      <c r="B1034" t="s">
        <v>944</v>
      </c>
      <c r="C1034" t="s">
        <v>53</v>
      </c>
      <c r="D1034">
        <v>100</v>
      </c>
      <c r="E1034">
        <v>439.51998901367188</v>
      </c>
    </row>
    <row r="1035" spans="1:5" x14ac:dyDescent="0.3">
      <c r="A1035" t="s">
        <v>1638</v>
      </c>
      <c r="B1035" t="s">
        <v>537</v>
      </c>
      <c r="C1035" t="s">
        <v>54</v>
      </c>
      <c r="D1035">
        <v>420</v>
      </c>
      <c r="E1035">
        <v>333.8599853515625</v>
      </c>
    </row>
    <row r="1036" spans="1:5" x14ac:dyDescent="0.3">
      <c r="A1036" t="s">
        <v>1639</v>
      </c>
      <c r="B1036" t="s">
        <v>1374</v>
      </c>
      <c r="C1036" t="s">
        <v>43</v>
      </c>
      <c r="D1036">
        <v>250</v>
      </c>
      <c r="E1036">
        <v>28.889999389648438</v>
      </c>
    </row>
    <row r="1037" spans="1:5" x14ac:dyDescent="0.3">
      <c r="A1037" t="s">
        <v>1640</v>
      </c>
      <c r="B1037" t="s">
        <v>2872</v>
      </c>
      <c r="C1037" t="s">
        <v>47</v>
      </c>
      <c r="D1037">
        <v>290</v>
      </c>
      <c r="E1037">
        <v>161.58000183105469</v>
      </c>
    </row>
    <row r="1038" spans="1:5" x14ac:dyDescent="0.3">
      <c r="A1038" t="s">
        <v>1641</v>
      </c>
      <c r="B1038" t="s">
        <v>1727</v>
      </c>
      <c r="C1038" t="s">
        <v>18</v>
      </c>
      <c r="D1038">
        <v>260</v>
      </c>
      <c r="E1038">
        <v>345.45999145507813</v>
      </c>
    </row>
    <row r="1039" spans="1:5" x14ac:dyDescent="0.3">
      <c r="A1039" t="s">
        <v>1643</v>
      </c>
      <c r="B1039" t="s">
        <v>1170</v>
      </c>
      <c r="C1039" t="s">
        <v>45</v>
      </c>
      <c r="D1039">
        <v>110</v>
      </c>
      <c r="E1039">
        <v>420.6099853515625</v>
      </c>
    </row>
    <row r="1040" spans="1:5" x14ac:dyDescent="0.3">
      <c r="A1040" t="s">
        <v>1645</v>
      </c>
      <c r="B1040" t="s">
        <v>1853</v>
      </c>
      <c r="C1040" t="s">
        <v>65</v>
      </c>
      <c r="D1040">
        <v>340</v>
      </c>
      <c r="E1040">
        <v>203.69000244140625</v>
      </c>
    </row>
    <row r="1041" spans="1:5" x14ac:dyDescent="0.3">
      <c r="A1041" t="s">
        <v>1646</v>
      </c>
      <c r="B1041" t="s">
        <v>562</v>
      </c>
      <c r="C1041" t="s">
        <v>43</v>
      </c>
      <c r="D1041">
        <v>170</v>
      </c>
      <c r="E1041">
        <v>237.89999389648438</v>
      </c>
    </row>
    <row r="1042" spans="1:5" x14ac:dyDescent="0.3">
      <c r="A1042" t="s">
        <v>1647</v>
      </c>
      <c r="B1042" t="s">
        <v>141</v>
      </c>
      <c r="C1042" t="s">
        <v>36</v>
      </c>
      <c r="D1042">
        <v>360</v>
      </c>
      <c r="E1042">
        <v>43.020000457763672</v>
      </c>
    </row>
    <row r="1043" spans="1:5" x14ac:dyDescent="0.3">
      <c r="A1043" t="s">
        <v>1648</v>
      </c>
      <c r="B1043" t="s">
        <v>1687</v>
      </c>
      <c r="C1043" t="s">
        <v>53</v>
      </c>
      <c r="D1043">
        <v>390</v>
      </c>
      <c r="E1043">
        <v>365.39999389648438</v>
      </c>
    </row>
    <row r="1044" spans="1:5" x14ac:dyDescent="0.3">
      <c r="A1044" t="s">
        <v>1649</v>
      </c>
      <c r="B1044" t="s">
        <v>1654</v>
      </c>
      <c r="C1044" t="s">
        <v>32</v>
      </c>
      <c r="D1044">
        <v>280</v>
      </c>
      <c r="E1044">
        <v>427.92001342773438</v>
      </c>
    </row>
    <row r="1045" spans="1:5" x14ac:dyDescent="0.3">
      <c r="A1045" t="s">
        <v>1651</v>
      </c>
      <c r="B1045" t="s">
        <v>1857</v>
      </c>
      <c r="C1045" t="s">
        <v>40</v>
      </c>
      <c r="D1045">
        <v>310</v>
      </c>
      <c r="E1045">
        <v>180.05999755859375</v>
      </c>
    </row>
    <row r="1046" spans="1:5" x14ac:dyDescent="0.3">
      <c r="A1046" t="s">
        <v>1652</v>
      </c>
      <c r="B1046" t="s">
        <v>767</v>
      </c>
      <c r="C1046" t="s">
        <v>62</v>
      </c>
      <c r="D1046">
        <v>230</v>
      </c>
      <c r="E1046">
        <v>47.840000152587891</v>
      </c>
    </row>
    <row r="1047" spans="1:5" x14ac:dyDescent="0.3">
      <c r="A1047" t="s">
        <v>1653</v>
      </c>
      <c r="B1047" t="s">
        <v>791</v>
      </c>
      <c r="C1047" t="s">
        <v>45</v>
      </c>
      <c r="D1047">
        <v>90</v>
      </c>
      <c r="E1047">
        <v>183.83999633789063</v>
      </c>
    </row>
    <row r="1048" spans="1:5" x14ac:dyDescent="0.3">
      <c r="A1048" t="s">
        <v>1655</v>
      </c>
      <c r="B1048" t="s">
        <v>1851</v>
      </c>
      <c r="C1048" t="s">
        <v>28</v>
      </c>
      <c r="D1048">
        <v>420</v>
      </c>
      <c r="E1048">
        <v>217.22000122070313</v>
      </c>
    </row>
    <row r="1049" spans="1:5" x14ac:dyDescent="0.3">
      <c r="A1049" t="s">
        <v>1656</v>
      </c>
      <c r="B1049" t="s">
        <v>990</v>
      </c>
      <c r="C1049" t="s">
        <v>65</v>
      </c>
      <c r="D1049">
        <v>20</v>
      </c>
      <c r="E1049">
        <v>503.69000244140625</v>
      </c>
    </row>
    <row r="1050" spans="1:5" x14ac:dyDescent="0.3">
      <c r="A1050" t="s">
        <v>1657</v>
      </c>
      <c r="B1050" t="s">
        <v>2384</v>
      </c>
      <c r="C1050" t="s">
        <v>17</v>
      </c>
      <c r="D1050">
        <v>25000</v>
      </c>
      <c r="E1050">
        <v>206.72999572753906</v>
      </c>
    </row>
    <row r="1051" spans="1:5" x14ac:dyDescent="0.3">
      <c r="A1051" t="s">
        <v>1658</v>
      </c>
      <c r="B1051" t="s">
        <v>498</v>
      </c>
      <c r="C1051" t="s">
        <v>46</v>
      </c>
      <c r="D1051">
        <v>310</v>
      </c>
      <c r="E1051">
        <v>30.559999465942383</v>
      </c>
    </row>
    <row r="1052" spans="1:5" x14ac:dyDescent="0.3">
      <c r="A1052" t="s">
        <v>1659</v>
      </c>
      <c r="B1052" t="s">
        <v>2941</v>
      </c>
      <c r="C1052" t="s">
        <v>55</v>
      </c>
      <c r="D1052">
        <v>290</v>
      </c>
      <c r="E1052">
        <v>67.970001220703125</v>
      </c>
    </row>
    <row r="1053" spans="1:5" x14ac:dyDescent="0.3">
      <c r="A1053" t="s">
        <v>1660</v>
      </c>
      <c r="B1053" t="s">
        <v>315</v>
      </c>
      <c r="C1053" t="s">
        <v>29</v>
      </c>
      <c r="D1053">
        <v>250</v>
      </c>
      <c r="E1053">
        <v>148.28999328613281</v>
      </c>
    </row>
    <row r="1054" spans="1:5" x14ac:dyDescent="0.3">
      <c r="A1054" t="s">
        <v>1661</v>
      </c>
      <c r="B1054" t="s">
        <v>753</v>
      </c>
      <c r="C1054" t="s">
        <v>49</v>
      </c>
      <c r="D1054">
        <v>160</v>
      </c>
      <c r="E1054">
        <v>108.69000244140625</v>
      </c>
    </row>
    <row r="1055" spans="1:5" x14ac:dyDescent="0.3">
      <c r="A1055" t="s">
        <v>1662</v>
      </c>
      <c r="B1055" t="s">
        <v>470</v>
      </c>
      <c r="C1055" t="s">
        <v>32</v>
      </c>
      <c r="D1055">
        <v>400</v>
      </c>
      <c r="E1055">
        <v>44.130001068115234</v>
      </c>
    </row>
    <row r="1056" spans="1:5" x14ac:dyDescent="0.3">
      <c r="A1056" t="s">
        <v>1663</v>
      </c>
      <c r="B1056" t="s">
        <v>733</v>
      </c>
      <c r="C1056" t="s">
        <v>59</v>
      </c>
      <c r="D1056">
        <v>30</v>
      </c>
      <c r="E1056">
        <v>57.389999389648438</v>
      </c>
    </row>
    <row r="1057" spans="1:5" x14ac:dyDescent="0.3">
      <c r="A1057" t="s">
        <v>1664</v>
      </c>
      <c r="B1057" t="s">
        <v>688</v>
      </c>
      <c r="C1057" t="s">
        <v>54</v>
      </c>
      <c r="D1057">
        <v>500</v>
      </c>
      <c r="E1057">
        <v>509.07998657226563</v>
      </c>
    </row>
    <row r="1058" spans="1:5" x14ac:dyDescent="0.3">
      <c r="A1058" t="s">
        <v>1665</v>
      </c>
      <c r="B1058" t="s">
        <v>1642</v>
      </c>
      <c r="C1058" t="s">
        <v>39</v>
      </c>
      <c r="D1058">
        <v>440</v>
      </c>
      <c r="E1058">
        <v>267.60000610351563</v>
      </c>
    </row>
    <row r="1059" spans="1:5" x14ac:dyDescent="0.3">
      <c r="A1059" t="s">
        <v>1667</v>
      </c>
      <c r="B1059" t="s">
        <v>2267</v>
      </c>
      <c r="C1059" t="s">
        <v>54</v>
      </c>
      <c r="D1059">
        <v>400</v>
      </c>
      <c r="E1059">
        <v>459.17999267578125</v>
      </c>
    </row>
    <row r="1060" spans="1:5" x14ac:dyDescent="0.3">
      <c r="A1060" t="s">
        <v>1668</v>
      </c>
      <c r="B1060" t="s">
        <v>952</v>
      </c>
      <c r="C1060" t="s">
        <v>65</v>
      </c>
      <c r="D1060">
        <v>80</v>
      </c>
      <c r="E1060">
        <v>217.83999633789063</v>
      </c>
    </row>
    <row r="1061" spans="1:5" x14ac:dyDescent="0.3">
      <c r="A1061" t="s">
        <v>1670</v>
      </c>
      <c r="B1061" t="s">
        <v>831</v>
      </c>
      <c r="C1061" t="s">
        <v>61</v>
      </c>
      <c r="D1061">
        <v>100</v>
      </c>
      <c r="E1061">
        <v>435.42999267578125</v>
      </c>
    </row>
    <row r="1062" spans="1:5" x14ac:dyDescent="0.3">
      <c r="A1062" t="s">
        <v>1671</v>
      </c>
      <c r="B1062" t="s">
        <v>587</v>
      </c>
      <c r="C1062" t="s">
        <v>64</v>
      </c>
      <c r="D1062">
        <v>240</v>
      </c>
      <c r="E1062">
        <v>11.600000381469727</v>
      </c>
    </row>
    <row r="1063" spans="1:5" x14ac:dyDescent="0.3">
      <c r="A1063" t="s">
        <v>1672</v>
      </c>
      <c r="B1063" t="s">
        <v>771</v>
      </c>
      <c r="C1063" t="s">
        <v>62</v>
      </c>
      <c r="D1063">
        <v>200</v>
      </c>
      <c r="E1063">
        <v>103.83999633789063</v>
      </c>
    </row>
    <row r="1064" spans="1:5" x14ac:dyDescent="0.3">
      <c r="A1064" t="s">
        <v>1674</v>
      </c>
      <c r="B1064" t="s">
        <v>306</v>
      </c>
      <c r="C1064" t="s">
        <v>25</v>
      </c>
      <c r="D1064">
        <v>340</v>
      </c>
      <c r="E1064">
        <v>377.42001342773438</v>
      </c>
    </row>
    <row r="1065" spans="1:5" x14ac:dyDescent="0.3">
      <c r="A1065" t="s">
        <v>1675</v>
      </c>
      <c r="B1065" t="s">
        <v>338</v>
      </c>
      <c r="C1065" t="s">
        <v>60</v>
      </c>
      <c r="D1065">
        <v>440</v>
      </c>
      <c r="E1065">
        <v>255.44000244140625</v>
      </c>
    </row>
    <row r="1066" spans="1:5" x14ac:dyDescent="0.3">
      <c r="A1066" t="s">
        <v>1677</v>
      </c>
      <c r="B1066" t="s">
        <v>1676</v>
      </c>
      <c r="C1066" t="s">
        <v>16</v>
      </c>
      <c r="D1066">
        <v>430</v>
      </c>
      <c r="E1066">
        <v>168.80999755859375</v>
      </c>
    </row>
    <row r="1067" spans="1:5" x14ac:dyDescent="0.3">
      <c r="A1067" t="s">
        <v>1678</v>
      </c>
      <c r="B1067" t="s">
        <v>2275</v>
      </c>
      <c r="C1067" t="s">
        <v>67</v>
      </c>
      <c r="D1067">
        <v>180</v>
      </c>
      <c r="E1067">
        <v>306.25</v>
      </c>
    </row>
    <row r="1068" spans="1:5" x14ac:dyDescent="0.3">
      <c r="A1068" t="s">
        <v>1679</v>
      </c>
      <c r="B1068" t="s">
        <v>2294</v>
      </c>
      <c r="C1068" t="s">
        <v>65</v>
      </c>
      <c r="D1068">
        <v>200</v>
      </c>
      <c r="E1068">
        <v>364.27999877929688</v>
      </c>
    </row>
    <row r="1069" spans="1:5" x14ac:dyDescent="0.3">
      <c r="A1069" t="s">
        <v>1680</v>
      </c>
      <c r="B1069" t="s">
        <v>532</v>
      </c>
      <c r="C1069" t="s">
        <v>60</v>
      </c>
      <c r="D1069">
        <v>410</v>
      </c>
      <c r="E1069">
        <v>297.26998901367188</v>
      </c>
    </row>
    <row r="1070" spans="1:5" x14ac:dyDescent="0.3">
      <c r="A1070" t="s">
        <v>1682</v>
      </c>
      <c r="B1070" t="s">
        <v>93</v>
      </c>
      <c r="C1070" t="s">
        <v>29</v>
      </c>
      <c r="D1070">
        <v>430</v>
      </c>
      <c r="E1070">
        <v>67.349998474121094</v>
      </c>
    </row>
    <row r="1071" spans="1:5" x14ac:dyDescent="0.3">
      <c r="A1071" t="s">
        <v>1683</v>
      </c>
      <c r="B1071" t="s">
        <v>604</v>
      </c>
      <c r="C1071" t="s">
        <v>18</v>
      </c>
      <c r="D1071">
        <v>250</v>
      </c>
      <c r="E1071">
        <v>394.51998901367188</v>
      </c>
    </row>
    <row r="1072" spans="1:5" x14ac:dyDescent="0.3">
      <c r="A1072" t="s">
        <v>1685</v>
      </c>
      <c r="B1072" t="s">
        <v>1110</v>
      </c>
      <c r="C1072" t="s">
        <v>15</v>
      </c>
      <c r="D1072">
        <v>50</v>
      </c>
      <c r="E1072">
        <v>506.54000854492188</v>
      </c>
    </row>
    <row r="1073" spans="1:5" x14ac:dyDescent="0.3">
      <c r="A1073" t="s">
        <v>1686</v>
      </c>
      <c r="B1073" t="s">
        <v>107</v>
      </c>
      <c r="C1073" t="s">
        <v>69</v>
      </c>
      <c r="D1073">
        <v>410</v>
      </c>
      <c r="E1073">
        <v>389.010009765625</v>
      </c>
    </row>
    <row r="1074" spans="1:5" x14ac:dyDescent="0.3">
      <c r="A1074" t="s">
        <v>1688</v>
      </c>
      <c r="B1074" t="s">
        <v>2301</v>
      </c>
      <c r="C1074" t="s">
        <v>43</v>
      </c>
      <c r="D1074">
        <v>100</v>
      </c>
      <c r="E1074">
        <v>35.349998474121094</v>
      </c>
    </row>
    <row r="1075" spans="1:5" x14ac:dyDescent="0.3">
      <c r="A1075" t="s">
        <v>1690</v>
      </c>
      <c r="B1075" t="s">
        <v>387</v>
      </c>
      <c r="C1075" t="s">
        <v>49</v>
      </c>
      <c r="D1075">
        <v>280</v>
      </c>
      <c r="E1075">
        <v>196.77999877929688</v>
      </c>
    </row>
    <row r="1076" spans="1:5" x14ac:dyDescent="0.3">
      <c r="A1076" t="s">
        <v>1692</v>
      </c>
      <c r="B1076" t="s">
        <v>695</v>
      </c>
      <c r="C1076" t="s">
        <v>67</v>
      </c>
      <c r="D1076">
        <v>280</v>
      </c>
      <c r="E1076">
        <v>132.30999755859375</v>
      </c>
    </row>
    <row r="1077" spans="1:5" x14ac:dyDescent="0.3">
      <c r="A1077" t="s">
        <v>1693</v>
      </c>
      <c r="B1077" t="s">
        <v>450</v>
      </c>
      <c r="C1077" t="s">
        <v>42</v>
      </c>
      <c r="D1077">
        <v>330</v>
      </c>
      <c r="E1077">
        <v>358.80999755859375</v>
      </c>
    </row>
    <row r="1078" spans="1:5" x14ac:dyDescent="0.3">
      <c r="A1078" t="s">
        <v>1695</v>
      </c>
      <c r="B1078" t="s">
        <v>837</v>
      </c>
      <c r="C1078" t="s">
        <v>70</v>
      </c>
      <c r="D1078">
        <v>360</v>
      </c>
      <c r="E1078">
        <v>400.94000244140625</v>
      </c>
    </row>
    <row r="1079" spans="1:5" x14ac:dyDescent="0.3">
      <c r="A1079" t="s">
        <v>1696</v>
      </c>
      <c r="B1079" t="s">
        <v>2169</v>
      </c>
      <c r="C1079" t="s">
        <v>40</v>
      </c>
      <c r="D1079">
        <v>180</v>
      </c>
      <c r="E1079">
        <v>41.150001525878906</v>
      </c>
    </row>
    <row r="1080" spans="1:5" x14ac:dyDescent="0.3">
      <c r="A1080" t="s">
        <v>1698</v>
      </c>
      <c r="B1080" t="s">
        <v>2942</v>
      </c>
      <c r="C1080" t="s">
        <v>49</v>
      </c>
      <c r="D1080">
        <v>280</v>
      </c>
      <c r="E1080">
        <v>69.730003356933594</v>
      </c>
    </row>
    <row r="1081" spans="1:5" x14ac:dyDescent="0.3">
      <c r="A1081" t="s">
        <v>1699</v>
      </c>
      <c r="B1081" t="s">
        <v>786</v>
      </c>
      <c r="C1081" t="s">
        <v>42</v>
      </c>
      <c r="D1081">
        <v>50</v>
      </c>
      <c r="E1081">
        <v>34.790000915527344</v>
      </c>
    </row>
    <row r="1082" spans="1:5" x14ac:dyDescent="0.3">
      <c r="A1082" t="s">
        <v>1700</v>
      </c>
      <c r="B1082" t="s">
        <v>1283</v>
      </c>
      <c r="C1082" t="s">
        <v>64</v>
      </c>
      <c r="D1082">
        <v>80</v>
      </c>
      <c r="E1082">
        <v>492.23001098632813</v>
      </c>
    </row>
    <row r="1083" spans="1:5" x14ac:dyDescent="0.3">
      <c r="A1083" t="s">
        <v>1702</v>
      </c>
      <c r="B1083" t="s">
        <v>2566</v>
      </c>
      <c r="C1083" t="s">
        <v>63</v>
      </c>
      <c r="D1083">
        <v>320</v>
      </c>
      <c r="E1083">
        <v>255.75999450683594</v>
      </c>
    </row>
    <row r="1084" spans="1:5" x14ac:dyDescent="0.3">
      <c r="A1084" t="s">
        <v>1703</v>
      </c>
      <c r="B1084" t="s">
        <v>213</v>
      </c>
      <c r="C1084" t="s">
        <v>29</v>
      </c>
      <c r="D1084">
        <v>440</v>
      </c>
      <c r="E1084">
        <v>146.92999267578125</v>
      </c>
    </row>
    <row r="1085" spans="1:5" x14ac:dyDescent="0.3">
      <c r="A1085" t="s">
        <v>1705</v>
      </c>
      <c r="B1085" t="s">
        <v>2930</v>
      </c>
      <c r="C1085" t="s">
        <v>17</v>
      </c>
      <c r="D1085">
        <v>470</v>
      </c>
      <c r="E1085">
        <v>245.07000732421875</v>
      </c>
    </row>
    <row r="1086" spans="1:5" x14ac:dyDescent="0.3">
      <c r="A1086" t="s">
        <v>1707</v>
      </c>
      <c r="B1086" t="s">
        <v>2115</v>
      </c>
      <c r="C1086" t="s">
        <v>34</v>
      </c>
      <c r="D1086">
        <v>150</v>
      </c>
      <c r="E1086">
        <v>137.35000610351563</v>
      </c>
    </row>
    <row r="1087" spans="1:5" x14ac:dyDescent="0.3">
      <c r="A1087" t="s">
        <v>1708</v>
      </c>
      <c r="B1087" t="s">
        <v>2670</v>
      </c>
      <c r="C1087" t="s">
        <v>10</v>
      </c>
      <c r="D1087">
        <v>110</v>
      </c>
      <c r="E1087">
        <v>168.74000549316406</v>
      </c>
    </row>
    <row r="1088" spans="1:5" x14ac:dyDescent="0.3">
      <c r="A1088" t="s">
        <v>1709</v>
      </c>
      <c r="B1088" t="s">
        <v>1958</v>
      </c>
      <c r="C1088" t="s">
        <v>12</v>
      </c>
      <c r="D1088">
        <v>150</v>
      </c>
      <c r="E1088">
        <v>192.00999450683594</v>
      </c>
    </row>
    <row r="1089" spans="1:5" x14ac:dyDescent="0.3">
      <c r="A1089" t="s">
        <v>1710</v>
      </c>
      <c r="B1089" t="s">
        <v>776</v>
      </c>
      <c r="C1089" t="s">
        <v>46</v>
      </c>
      <c r="D1089">
        <v>480</v>
      </c>
      <c r="E1089">
        <v>317.77999877929688</v>
      </c>
    </row>
    <row r="1090" spans="1:5" x14ac:dyDescent="0.3">
      <c r="A1090" t="s">
        <v>1711</v>
      </c>
      <c r="B1090" t="s">
        <v>774</v>
      </c>
      <c r="C1090" t="s">
        <v>43</v>
      </c>
      <c r="D1090">
        <v>480</v>
      </c>
      <c r="E1090">
        <v>164.42999267578125</v>
      </c>
    </row>
    <row r="1091" spans="1:5" x14ac:dyDescent="0.3">
      <c r="A1091" t="s">
        <v>1712</v>
      </c>
      <c r="B1091" t="s">
        <v>1117</v>
      </c>
      <c r="C1091" t="s">
        <v>12</v>
      </c>
      <c r="D1091">
        <v>440</v>
      </c>
      <c r="E1091">
        <v>108.19999694824219</v>
      </c>
    </row>
    <row r="1092" spans="1:5" x14ac:dyDescent="0.3">
      <c r="A1092" t="s">
        <v>1713</v>
      </c>
      <c r="B1092" t="s">
        <v>1115</v>
      </c>
      <c r="C1092" t="s">
        <v>17</v>
      </c>
      <c r="D1092">
        <v>310</v>
      </c>
      <c r="E1092">
        <v>33.119998931884766</v>
      </c>
    </row>
    <row r="1093" spans="1:5" x14ac:dyDescent="0.3">
      <c r="A1093" t="s">
        <v>1714</v>
      </c>
      <c r="B1093" t="s">
        <v>2873</v>
      </c>
      <c r="C1093" t="s">
        <v>68</v>
      </c>
      <c r="D1093">
        <v>470</v>
      </c>
      <c r="E1093">
        <v>81.029998779296875</v>
      </c>
    </row>
    <row r="1094" spans="1:5" x14ac:dyDescent="0.3">
      <c r="A1094" t="s">
        <v>1715</v>
      </c>
      <c r="B1094" t="s">
        <v>665</v>
      </c>
      <c r="C1094" t="s">
        <v>44</v>
      </c>
      <c r="D1094">
        <v>440</v>
      </c>
      <c r="E1094">
        <v>401.60000610351563</v>
      </c>
    </row>
    <row r="1095" spans="1:5" x14ac:dyDescent="0.3">
      <c r="A1095" t="s">
        <v>1716</v>
      </c>
      <c r="B1095" t="s">
        <v>277</v>
      </c>
      <c r="C1095" t="s">
        <v>15</v>
      </c>
      <c r="D1095">
        <v>180</v>
      </c>
      <c r="E1095">
        <v>402.27999877929688</v>
      </c>
    </row>
    <row r="1096" spans="1:5" x14ac:dyDescent="0.3">
      <c r="A1096" t="s">
        <v>1717</v>
      </c>
      <c r="B1096" t="s">
        <v>1790</v>
      </c>
      <c r="C1096" t="s">
        <v>52</v>
      </c>
      <c r="D1096">
        <v>300</v>
      </c>
      <c r="E1096">
        <v>498.3699951171875</v>
      </c>
    </row>
    <row r="1097" spans="1:5" x14ac:dyDescent="0.3">
      <c r="A1097" t="s">
        <v>1718</v>
      </c>
      <c r="B1097" t="s">
        <v>1384</v>
      </c>
      <c r="C1097" t="s">
        <v>41</v>
      </c>
      <c r="D1097">
        <v>320</v>
      </c>
      <c r="E1097">
        <v>362.97000122070313</v>
      </c>
    </row>
    <row r="1098" spans="1:5" x14ac:dyDescent="0.3">
      <c r="A1098" t="s">
        <v>1720</v>
      </c>
      <c r="B1098" t="s">
        <v>564</v>
      </c>
      <c r="C1098" t="s">
        <v>47</v>
      </c>
      <c r="D1098">
        <v>430</v>
      </c>
      <c r="E1098">
        <v>176.97000122070313</v>
      </c>
    </row>
    <row r="1099" spans="1:5" x14ac:dyDescent="0.3">
      <c r="A1099" t="s">
        <v>1721</v>
      </c>
      <c r="B1099" t="s">
        <v>1940</v>
      </c>
      <c r="C1099" t="s">
        <v>33</v>
      </c>
      <c r="D1099">
        <v>240</v>
      </c>
      <c r="E1099">
        <v>379.10000610351563</v>
      </c>
    </row>
    <row r="1100" spans="1:5" x14ac:dyDescent="0.3">
      <c r="A1100" t="s">
        <v>1723</v>
      </c>
      <c r="B1100" t="s">
        <v>232</v>
      </c>
      <c r="C1100" t="s">
        <v>58</v>
      </c>
      <c r="D1100">
        <v>20</v>
      </c>
      <c r="E1100">
        <v>415.89999389648438</v>
      </c>
    </row>
    <row r="1101" spans="1:5" x14ac:dyDescent="0.3">
      <c r="A1101" t="s">
        <v>1724</v>
      </c>
      <c r="B1101" t="s">
        <v>2291</v>
      </c>
      <c r="C1101" t="s">
        <v>25</v>
      </c>
      <c r="D1101">
        <v>430</v>
      </c>
      <c r="E1101">
        <v>491.70001220703125</v>
      </c>
    </row>
    <row r="1102" spans="1:5" x14ac:dyDescent="0.3">
      <c r="A1102" t="s">
        <v>1725</v>
      </c>
      <c r="B1102" t="s">
        <v>2491</v>
      </c>
      <c r="C1102" t="s">
        <v>61</v>
      </c>
      <c r="D1102">
        <v>350</v>
      </c>
      <c r="E1102">
        <v>318.67001342773438</v>
      </c>
    </row>
    <row r="1103" spans="1:5" x14ac:dyDescent="0.3">
      <c r="A1103" t="s">
        <v>1726</v>
      </c>
      <c r="B1103" t="s">
        <v>323</v>
      </c>
      <c r="C1103" t="s">
        <v>66</v>
      </c>
      <c r="D1103">
        <v>10</v>
      </c>
      <c r="E1103">
        <v>366.77999877929688</v>
      </c>
    </row>
    <row r="1104" spans="1:5" x14ac:dyDescent="0.3">
      <c r="A1104" t="s">
        <v>1728</v>
      </c>
      <c r="B1104" t="s">
        <v>544</v>
      </c>
      <c r="C1104" t="s">
        <v>53</v>
      </c>
      <c r="D1104">
        <v>350</v>
      </c>
      <c r="E1104">
        <v>113.81999969482422</v>
      </c>
    </row>
    <row r="1105" spans="1:5" x14ac:dyDescent="0.3">
      <c r="A1105" t="s">
        <v>1729</v>
      </c>
      <c r="B1105" t="s">
        <v>1307</v>
      </c>
      <c r="C1105" t="s">
        <v>39</v>
      </c>
      <c r="D1105">
        <v>200</v>
      </c>
      <c r="E1105">
        <v>295.3599853515625</v>
      </c>
    </row>
    <row r="1106" spans="1:5" x14ac:dyDescent="0.3">
      <c r="A1106" t="s">
        <v>1730</v>
      </c>
      <c r="B1106" t="s">
        <v>321</v>
      </c>
      <c r="C1106" t="s">
        <v>38</v>
      </c>
      <c r="D1106">
        <v>70</v>
      </c>
      <c r="E1106">
        <v>154.83999633789063</v>
      </c>
    </row>
    <row r="1107" spans="1:5" x14ac:dyDescent="0.3">
      <c r="A1107" t="s">
        <v>1731</v>
      </c>
      <c r="B1107" t="s">
        <v>319</v>
      </c>
      <c r="C1107" t="s">
        <v>70</v>
      </c>
      <c r="D1107">
        <v>370</v>
      </c>
      <c r="E1107">
        <v>193.46000671386719</v>
      </c>
    </row>
    <row r="1108" spans="1:5" x14ac:dyDescent="0.3">
      <c r="A1108" t="s">
        <v>1733</v>
      </c>
      <c r="B1108" t="s">
        <v>477</v>
      </c>
      <c r="C1108" t="s">
        <v>41</v>
      </c>
      <c r="D1108">
        <v>180</v>
      </c>
      <c r="E1108">
        <v>420.25</v>
      </c>
    </row>
    <row r="1109" spans="1:5" x14ac:dyDescent="0.3">
      <c r="A1109" t="s">
        <v>1735</v>
      </c>
      <c r="B1109" t="s">
        <v>180</v>
      </c>
      <c r="C1109" t="s">
        <v>23</v>
      </c>
      <c r="D1109">
        <v>-50</v>
      </c>
      <c r="E1109">
        <v>175.00999450683594</v>
      </c>
    </row>
    <row r="1110" spans="1:5" x14ac:dyDescent="0.3">
      <c r="A1110" t="s">
        <v>1736</v>
      </c>
      <c r="B1110" t="s">
        <v>101</v>
      </c>
      <c r="C1110" t="s">
        <v>51</v>
      </c>
      <c r="D1110">
        <v>170</v>
      </c>
      <c r="E1110">
        <v>221.55000305175781</v>
      </c>
    </row>
    <row r="1111" spans="1:5" x14ac:dyDescent="0.3">
      <c r="A1111" t="s">
        <v>1737</v>
      </c>
      <c r="B1111" t="s">
        <v>1722</v>
      </c>
      <c r="C1111" t="s">
        <v>64</v>
      </c>
      <c r="D1111">
        <v>250</v>
      </c>
      <c r="E1111">
        <v>191.30999755859375</v>
      </c>
    </row>
    <row r="1112" spans="1:5" x14ac:dyDescent="0.3">
      <c r="A1112" t="s">
        <v>1738</v>
      </c>
      <c r="B1112" t="s">
        <v>119</v>
      </c>
      <c r="C1112" t="s">
        <v>12</v>
      </c>
      <c r="D1112">
        <v>100</v>
      </c>
      <c r="E1112">
        <v>255.44000244140625</v>
      </c>
    </row>
    <row r="1113" spans="1:5" x14ac:dyDescent="0.3">
      <c r="A1113" t="s">
        <v>1739</v>
      </c>
      <c r="B1113" t="s">
        <v>867</v>
      </c>
      <c r="C1113" t="s">
        <v>59</v>
      </c>
      <c r="D1113">
        <v>180</v>
      </c>
      <c r="E1113">
        <v>280.3900146484375</v>
      </c>
    </row>
    <row r="1114" spans="1:5" x14ac:dyDescent="0.3">
      <c r="A1114" t="s">
        <v>1741</v>
      </c>
      <c r="B1114" t="s">
        <v>1291</v>
      </c>
      <c r="C1114" t="s">
        <v>43</v>
      </c>
      <c r="D1114">
        <v>320</v>
      </c>
      <c r="E1114">
        <v>77.94000244140625</v>
      </c>
    </row>
    <row r="1115" spans="1:5" x14ac:dyDescent="0.3">
      <c r="A1115" t="s">
        <v>1742</v>
      </c>
      <c r="B1115" t="s">
        <v>2675</v>
      </c>
      <c r="C1115" t="s">
        <v>55</v>
      </c>
      <c r="D1115">
        <v>410</v>
      </c>
      <c r="E1115">
        <v>155.14999389648438</v>
      </c>
    </row>
    <row r="1116" spans="1:5" x14ac:dyDescent="0.3">
      <c r="A1116" t="s">
        <v>1743</v>
      </c>
      <c r="B1116" t="s">
        <v>522</v>
      </c>
      <c r="C1116" t="s">
        <v>43</v>
      </c>
      <c r="D1116">
        <v>230</v>
      </c>
      <c r="E1116">
        <v>464.42999267578125</v>
      </c>
    </row>
    <row r="1117" spans="1:5" x14ac:dyDescent="0.3">
      <c r="A1117" t="s">
        <v>1744</v>
      </c>
      <c r="B1117" t="s">
        <v>2105</v>
      </c>
      <c r="C1117" t="s">
        <v>25</v>
      </c>
      <c r="D1117">
        <v>150</v>
      </c>
      <c r="E1117">
        <v>153.47000122070313</v>
      </c>
    </row>
    <row r="1118" spans="1:5" x14ac:dyDescent="0.3">
      <c r="A1118" t="s">
        <v>1745</v>
      </c>
      <c r="B1118" t="s">
        <v>889</v>
      </c>
      <c r="C1118" t="s">
        <v>58</v>
      </c>
      <c r="D1118">
        <v>380</v>
      </c>
      <c r="E1118">
        <v>315.30999755859375</v>
      </c>
    </row>
    <row r="1119" spans="1:5" x14ac:dyDescent="0.3">
      <c r="A1119" t="s">
        <v>1746</v>
      </c>
      <c r="B1119" t="s">
        <v>270</v>
      </c>
      <c r="C1119" t="s">
        <v>25</v>
      </c>
      <c r="D1119">
        <v>250</v>
      </c>
      <c r="E1119">
        <v>238.25</v>
      </c>
    </row>
    <row r="1120" spans="1:5" x14ac:dyDescent="0.3">
      <c r="A1120" t="s">
        <v>1748</v>
      </c>
      <c r="B1120" t="s">
        <v>115</v>
      </c>
      <c r="C1120" t="s">
        <v>31</v>
      </c>
      <c r="D1120">
        <v>420</v>
      </c>
      <c r="E1120">
        <v>155.96000671386719</v>
      </c>
    </row>
    <row r="1121" spans="1:5" x14ac:dyDescent="0.3">
      <c r="A1121" t="s">
        <v>1749</v>
      </c>
      <c r="B1121" t="s">
        <v>1669</v>
      </c>
      <c r="C1121" t="s">
        <v>61</v>
      </c>
      <c r="D1121">
        <v>170</v>
      </c>
      <c r="E1121">
        <v>497.3800048828125</v>
      </c>
    </row>
    <row r="1122" spans="1:5" x14ac:dyDescent="0.3">
      <c r="A1122" t="s">
        <v>1750</v>
      </c>
      <c r="B1122" t="s">
        <v>1508</v>
      </c>
      <c r="C1122" t="s">
        <v>32</v>
      </c>
      <c r="D1122">
        <v>130</v>
      </c>
      <c r="E1122">
        <v>136.77999877929688</v>
      </c>
    </row>
    <row r="1123" spans="1:5" x14ac:dyDescent="0.3">
      <c r="A1123" t="s">
        <v>1752</v>
      </c>
      <c r="B1123" t="s">
        <v>236</v>
      </c>
      <c r="C1123" t="s">
        <v>36</v>
      </c>
      <c r="D1123">
        <v>20</v>
      </c>
      <c r="E1123">
        <v>143.75</v>
      </c>
    </row>
    <row r="1124" spans="1:5" x14ac:dyDescent="0.3">
      <c r="A1124" t="s">
        <v>1754</v>
      </c>
      <c r="B1124" t="s">
        <v>319</v>
      </c>
      <c r="C1124" t="s">
        <v>32</v>
      </c>
      <c r="D1124">
        <v>420</v>
      </c>
      <c r="E1124">
        <v>33.159999847412109</v>
      </c>
    </row>
    <row r="1125" spans="1:5" x14ac:dyDescent="0.3">
      <c r="A1125" t="s">
        <v>1756</v>
      </c>
      <c r="B1125" t="s">
        <v>1021</v>
      </c>
      <c r="C1125" t="s">
        <v>43</v>
      </c>
      <c r="D1125">
        <v>10</v>
      </c>
      <c r="E1125">
        <v>15.239999771118164</v>
      </c>
    </row>
    <row r="1126" spans="1:5" x14ac:dyDescent="0.3">
      <c r="A1126" t="s">
        <v>1757</v>
      </c>
      <c r="B1126" t="s">
        <v>2943</v>
      </c>
      <c r="C1126" t="s">
        <v>10</v>
      </c>
      <c r="D1126">
        <v>320</v>
      </c>
      <c r="E1126">
        <v>245.49000549316406</v>
      </c>
    </row>
    <row r="1127" spans="1:5" x14ac:dyDescent="0.3">
      <c r="A1127" t="s">
        <v>1758</v>
      </c>
      <c r="B1127" t="s">
        <v>387</v>
      </c>
      <c r="C1127" t="s">
        <v>12</v>
      </c>
      <c r="D1127">
        <v>480</v>
      </c>
      <c r="E1127">
        <v>74.75</v>
      </c>
    </row>
    <row r="1128" spans="1:5" x14ac:dyDescent="0.3">
      <c r="A1128" t="s">
        <v>1759</v>
      </c>
      <c r="B1128" t="s">
        <v>1092</v>
      </c>
      <c r="C1128" t="s">
        <v>40</v>
      </c>
      <c r="D1128">
        <v>490</v>
      </c>
      <c r="E1128">
        <v>299.16000366210938</v>
      </c>
    </row>
    <row r="1129" spans="1:5" x14ac:dyDescent="0.3">
      <c r="A1129" t="s">
        <v>1760</v>
      </c>
      <c r="B1129" t="s">
        <v>297</v>
      </c>
      <c r="C1129" t="s">
        <v>19</v>
      </c>
      <c r="D1129">
        <v>420</v>
      </c>
      <c r="E1129">
        <v>410.17001342773438</v>
      </c>
    </row>
    <row r="1130" spans="1:5" x14ac:dyDescent="0.3">
      <c r="A1130" t="s">
        <v>1761</v>
      </c>
      <c r="B1130" t="s">
        <v>842</v>
      </c>
      <c r="C1130" t="s">
        <v>61</v>
      </c>
      <c r="D1130">
        <v>220</v>
      </c>
      <c r="E1130">
        <v>344.55999755859375</v>
      </c>
    </row>
    <row r="1131" spans="1:5" x14ac:dyDescent="0.3">
      <c r="A1131" t="s">
        <v>1762</v>
      </c>
      <c r="B1131" t="s">
        <v>2870</v>
      </c>
      <c r="C1131" t="s">
        <v>19</v>
      </c>
      <c r="D1131">
        <v>420</v>
      </c>
      <c r="E1131">
        <v>234.38999938964844</v>
      </c>
    </row>
    <row r="1132" spans="1:5" x14ac:dyDescent="0.3">
      <c r="A1132" t="s">
        <v>1763</v>
      </c>
      <c r="B1132" t="s">
        <v>893</v>
      </c>
      <c r="C1132" t="s">
        <v>51</v>
      </c>
      <c r="D1132">
        <v>410</v>
      </c>
      <c r="E1132">
        <v>157.07000732421875</v>
      </c>
    </row>
    <row r="1133" spans="1:5" x14ac:dyDescent="0.3">
      <c r="A1133" t="s">
        <v>1764</v>
      </c>
      <c r="B1133" t="s">
        <v>160</v>
      </c>
      <c r="C1133" t="s">
        <v>55</v>
      </c>
      <c r="D1133">
        <v>190</v>
      </c>
      <c r="E1133">
        <v>385.30999755859375</v>
      </c>
    </row>
    <row r="1134" spans="1:5" x14ac:dyDescent="0.3">
      <c r="A1134" t="s">
        <v>1765</v>
      </c>
      <c r="B1134" t="s">
        <v>2723</v>
      </c>
      <c r="C1134" t="s">
        <v>49</v>
      </c>
      <c r="D1134">
        <v>100</v>
      </c>
      <c r="E1134">
        <v>137.10000610351563</v>
      </c>
    </row>
    <row r="1135" spans="1:5" x14ac:dyDescent="0.3">
      <c r="A1135" t="s">
        <v>1766</v>
      </c>
      <c r="B1135" t="s">
        <v>1572</v>
      </c>
      <c r="C1135" t="s">
        <v>52</v>
      </c>
      <c r="D1135">
        <v>80</v>
      </c>
      <c r="E1135">
        <v>325.79998779296875</v>
      </c>
    </row>
    <row r="1136" spans="1:5" x14ac:dyDescent="0.3">
      <c r="A1136" t="s">
        <v>1767</v>
      </c>
      <c r="B1136" t="s">
        <v>961</v>
      </c>
      <c r="C1136" t="s">
        <v>57</v>
      </c>
      <c r="D1136">
        <v>440</v>
      </c>
      <c r="E1136">
        <v>310.02999877929688</v>
      </c>
    </row>
    <row r="1137" spans="1:5" x14ac:dyDescent="0.3">
      <c r="A1137" t="s">
        <v>1768</v>
      </c>
      <c r="B1137" t="s">
        <v>1355</v>
      </c>
      <c r="C1137" t="s">
        <v>13</v>
      </c>
      <c r="D1137">
        <v>25000</v>
      </c>
      <c r="E1137">
        <v>75.519996643066406</v>
      </c>
    </row>
    <row r="1138" spans="1:5" x14ac:dyDescent="0.3">
      <c r="A1138" t="s">
        <v>1769</v>
      </c>
      <c r="B1138" t="s">
        <v>1772</v>
      </c>
      <c r="C1138" t="s">
        <v>44</v>
      </c>
      <c r="D1138">
        <v>25000</v>
      </c>
      <c r="E1138">
        <v>469.79000854492188</v>
      </c>
    </row>
    <row r="1139" spans="1:5" x14ac:dyDescent="0.3">
      <c r="A1139" t="s">
        <v>1770</v>
      </c>
      <c r="B1139" t="s">
        <v>950</v>
      </c>
      <c r="C1139" t="s">
        <v>39</v>
      </c>
      <c r="D1139">
        <v>370</v>
      </c>
      <c r="E1139">
        <v>289.52999877929688</v>
      </c>
    </row>
    <row r="1140" spans="1:5" x14ac:dyDescent="0.3">
      <c r="A1140" t="s">
        <v>1771</v>
      </c>
      <c r="B1140" t="s">
        <v>551</v>
      </c>
      <c r="C1140" t="s">
        <v>58</v>
      </c>
      <c r="D1140">
        <v>360</v>
      </c>
      <c r="E1140">
        <v>315.39999389648438</v>
      </c>
    </row>
    <row r="1141" spans="1:5" x14ac:dyDescent="0.3">
      <c r="A1141" t="s">
        <v>1773</v>
      </c>
      <c r="B1141" t="s">
        <v>273</v>
      </c>
      <c r="C1141" t="s">
        <v>32</v>
      </c>
      <c r="D1141">
        <v>250</v>
      </c>
      <c r="E1141">
        <v>29.079999923706055</v>
      </c>
    </row>
    <row r="1142" spans="1:5" x14ac:dyDescent="0.3">
      <c r="A1142" t="s">
        <v>1774</v>
      </c>
      <c r="B1142" t="s">
        <v>1825</v>
      </c>
      <c r="C1142" t="s">
        <v>15</v>
      </c>
      <c r="D1142">
        <v>320</v>
      </c>
      <c r="E1142">
        <v>295.07000732421875</v>
      </c>
    </row>
    <row r="1143" spans="1:5" x14ac:dyDescent="0.3">
      <c r="A1143" t="s">
        <v>1775</v>
      </c>
      <c r="B1143" t="s">
        <v>2344</v>
      </c>
      <c r="C1143" t="s">
        <v>18</v>
      </c>
      <c r="D1143">
        <v>160</v>
      </c>
      <c r="E1143">
        <v>110.69999694824219</v>
      </c>
    </row>
    <row r="1144" spans="1:5" x14ac:dyDescent="0.3">
      <c r="A1144" t="s">
        <v>1776</v>
      </c>
      <c r="B1144" t="s">
        <v>2115</v>
      </c>
      <c r="C1144" t="s">
        <v>12</v>
      </c>
      <c r="D1144">
        <v>390</v>
      </c>
      <c r="E1144">
        <v>356.07998657226563</v>
      </c>
    </row>
    <row r="1145" spans="1:5" x14ac:dyDescent="0.3">
      <c r="A1145" t="s">
        <v>1778</v>
      </c>
      <c r="B1145" t="s">
        <v>399</v>
      </c>
      <c r="C1145" t="s">
        <v>38</v>
      </c>
      <c r="D1145">
        <v>420</v>
      </c>
      <c r="E1145">
        <v>44.150001525878906</v>
      </c>
    </row>
    <row r="1146" spans="1:5" x14ac:dyDescent="0.3">
      <c r="A1146" t="s">
        <v>1779</v>
      </c>
      <c r="B1146" t="s">
        <v>2877</v>
      </c>
      <c r="C1146" t="s">
        <v>31</v>
      </c>
      <c r="D1146">
        <v>25000</v>
      </c>
      <c r="E1146">
        <v>209.22999572753906</v>
      </c>
    </row>
    <row r="1147" spans="1:5" x14ac:dyDescent="0.3">
      <c r="A1147" t="s">
        <v>1780</v>
      </c>
      <c r="B1147" t="s">
        <v>1239</v>
      </c>
      <c r="C1147" t="s">
        <v>46</v>
      </c>
      <c r="D1147">
        <v>70</v>
      </c>
      <c r="E1147">
        <v>489.60000610351563</v>
      </c>
    </row>
    <row r="1148" spans="1:5" x14ac:dyDescent="0.3">
      <c r="A1148" t="s">
        <v>1781</v>
      </c>
      <c r="B1148" t="s">
        <v>121</v>
      </c>
      <c r="C1148" t="s">
        <v>32</v>
      </c>
      <c r="D1148">
        <v>430</v>
      </c>
      <c r="E1148">
        <v>44.349998474121094</v>
      </c>
    </row>
    <row r="1149" spans="1:5" x14ac:dyDescent="0.3">
      <c r="A1149" t="s">
        <v>1782</v>
      </c>
      <c r="B1149" t="s">
        <v>1379</v>
      </c>
      <c r="C1149" t="s">
        <v>46</v>
      </c>
      <c r="D1149">
        <v>470</v>
      </c>
      <c r="E1149">
        <v>442.10000610351563</v>
      </c>
    </row>
    <row r="1150" spans="1:5" x14ac:dyDescent="0.3">
      <c r="A1150" t="s">
        <v>1783</v>
      </c>
      <c r="B1150" t="s">
        <v>1598</v>
      </c>
      <c r="C1150" t="s">
        <v>40</v>
      </c>
      <c r="D1150">
        <v>410</v>
      </c>
      <c r="E1150">
        <v>290.5</v>
      </c>
    </row>
    <row r="1151" spans="1:5" x14ac:dyDescent="0.3">
      <c r="A1151" t="s">
        <v>1784</v>
      </c>
      <c r="B1151" t="s">
        <v>2944</v>
      </c>
      <c r="C1151" t="s">
        <v>38</v>
      </c>
      <c r="D1151">
        <v>20</v>
      </c>
      <c r="E1151">
        <v>486.29998779296875</v>
      </c>
    </row>
    <row r="1152" spans="1:5" x14ac:dyDescent="0.3">
      <c r="A1152" t="s">
        <v>1786</v>
      </c>
      <c r="B1152" t="s">
        <v>537</v>
      </c>
      <c r="C1152" t="s">
        <v>54</v>
      </c>
      <c r="D1152">
        <v>420</v>
      </c>
      <c r="E1152">
        <v>465.27999877929688</v>
      </c>
    </row>
    <row r="1153" spans="1:5" x14ac:dyDescent="0.3">
      <c r="A1153" t="s">
        <v>1787</v>
      </c>
      <c r="B1153" t="s">
        <v>2934</v>
      </c>
      <c r="C1153" t="s">
        <v>66</v>
      </c>
      <c r="D1153">
        <v>270</v>
      </c>
      <c r="E1153">
        <v>452.29000854492188</v>
      </c>
    </row>
    <row r="1154" spans="1:5" x14ac:dyDescent="0.3">
      <c r="A1154" t="s">
        <v>1788</v>
      </c>
      <c r="B1154" t="s">
        <v>228</v>
      </c>
      <c r="C1154" t="s">
        <v>43</v>
      </c>
      <c r="D1154">
        <v>25000</v>
      </c>
      <c r="E1154">
        <v>88.569999694824219</v>
      </c>
    </row>
    <row r="1155" spans="1:5" x14ac:dyDescent="0.3">
      <c r="A1155" t="s">
        <v>1789</v>
      </c>
      <c r="B1155" t="s">
        <v>1267</v>
      </c>
      <c r="C1155" t="s">
        <v>25</v>
      </c>
      <c r="D1155">
        <v>410</v>
      </c>
      <c r="E1155">
        <v>416.489990234375</v>
      </c>
    </row>
    <row r="1156" spans="1:5" x14ac:dyDescent="0.3">
      <c r="A1156" t="s">
        <v>1791</v>
      </c>
      <c r="B1156" t="s">
        <v>1147</v>
      </c>
      <c r="C1156" t="s">
        <v>56</v>
      </c>
      <c r="D1156">
        <v>110</v>
      </c>
      <c r="E1156">
        <v>149.67999267578125</v>
      </c>
    </row>
    <row r="1157" spans="1:5" x14ac:dyDescent="0.3">
      <c r="A1157" t="s">
        <v>1792</v>
      </c>
      <c r="B1157" t="s">
        <v>2289</v>
      </c>
      <c r="C1157" t="s">
        <v>23</v>
      </c>
      <c r="D1157">
        <v>210</v>
      </c>
      <c r="E1157">
        <v>244.44999694824219</v>
      </c>
    </row>
    <row r="1158" spans="1:5" x14ac:dyDescent="0.3">
      <c r="A1158" t="s">
        <v>1793</v>
      </c>
      <c r="B1158" t="s">
        <v>95</v>
      </c>
      <c r="C1158" t="s">
        <v>47</v>
      </c>
      <c r="D1158">
        <v>30</v>
      </c>
      <c r="E1158">
        <v>477.42001342773438</v>
      </c>
    </row>
    <row r="1159" spans="1:5" x14ac:dyDescent="0.3">
      <c r="A1159" t="s">
        <v>1794</v>
      </c>
      <c r="B1159" t="s">
        <v>2945</v>
      </c>
      <c r="C1159" t="s">
        <v>53</v>
      </c>
      <c r="D1159">
        <v>360</v>
      </c>
      <c r="E1159">
        <v>195.5</v>
      </c>
    </row>
    <row r="1160" spans="1:5" x14ac:dyDescent="0.3">
      <c r="A1160" t="s">
        <v>1795</v>
      </c>
      <c r="B1160" t="s">
        <v>77</v>
      </c>
      <c r="C1160" t="s">
        <v>51</v>
      </c>
      <c r="D1160">
        <v>240</v>
      </c>
      <c r="E1160">
        <v>65.930000305175781</v>
      </c>
    </row>
    <row r="1161" spans="1:5" x14ac:dyDescent="0.3">
      <c r="A1161" t="s">
        <v>1796</v>
      </c>
      <c r="B1161" t="s">
        <v>661</v>
      </c>
      <c r="C1161" t="s">
        <v>47</v>
      </c>
      <c r="D1161">
        <v>170</v>
      </c>
      <c r="E1161">
        <v>326.260009765625</v>
      </c>
    </row>
    <row r="1162" spans="1:5" x14ac:dyDescent="0.3">
      <c r="A1162" t="s">
        <v>1797</v>
      </c>
      <c r="B1162" t="s">
        <v>2256</v>
      </c>
      <c r="C1162" t="s">
        <v>10</v>
      </c>
      <c r="D1162">
        <v>370</v>
      </c>
      <c r="E1162">
        <v>34.349998474121094</v>
      </c>
    </row>
    <row r="1163" spans="1:5" x14ac:dyDescent="0.3">
      <c r="A1163" t="s">
        <v>1799</v>
      </c>
      <c r="B1163" t="s">
        <v>370</v>
      </c>
      <c r="C1163" t="s">
        <v>33</v>
      </c>
      <c r="D1163">
        <v>70</v>
      </c>
      <c r="E1163">
        <v>318.3800048828125</v>
      </c>
    </row>
    <row r="1164" spans="1:5" x14ac:dyDescent="0.3">
      <c r="A1164" t="s">
        <v>1800</v>
      </c>
      <c r="B1164" t="s">
        <v>2453</v>
      </c>
      <c r="C1164" t="s">
        <v>25</v>
      </c>
      <c r="D1164">
        <v>190</v>
      </c>
      <c r="E1164">
        <v>126.83000183105469</v>
      </c>
    </row>
    <row r="1165" spans="1:5" x14ac:dyDescent="0.3">
      <c r="A1165" t="s">
        <v>1801</v>
      </c>
      <c r="B1165" t="s">
        <v>2367</v>
      </c>
      <c r="C1165" t="s">
        <v>38</v>
      </c>
      <c r="D1165">
        <v>140</v>
      </c>
      <c r="E1165">
        <v>478.5</v>
      </c>
    </row>
    <row r="1166" spans="1:5" x14ac:dyDescent="0.3">
      <c r="A1166" t="s">
        <v>1802</v>
      </c>
      <c r="B1166" t="s">
        <v>2930</v>
      </c>
      <c r="C1166" t="s">
        <v>64</v>
      </c>
      <c r="D1166">
        <v>60</v>
      </c>
      <c r="E1166">
        <v>212.5</v>
      </c>
    </row>
    <row r="1167" spans="1:5" x14ac:dyDescent="0.3">
      <c r="A1167" t="s">
        <v>1804</v>
      </c>
      <c r="B1167" t="s">
        <v>1676</v>
      </c>
      <c r="C1167" t="s">
        <v>51</v>
      </c>
      <c r="D1167">
        <v>60</v>
      </c>
      <c r="E1167">
        <v>238.25999450683594</v>
      </c>
    </row>
    <row r="1168" spans="1:5" x14ac:dyDescent="0.3">
      <c r="A1168" t="s">
        <v>1805</v>
      </c>
      <c r="B1168" t="s">
        <v>468</v>
      </c>
      <c r="C1168" t="s">
        <v>67</v>
      </c>
      <c r="D1168">
        <v>480</v>
      </c>
      <c r="E1168">
        <v>285.510009765625</v>
      </c>
    </row>
    <row r="1169" spans="1:5" x14ac:dyDescent="0.3">
      <c r="A1169" t="s">
        <v>1807</v>
      </c>
      <c r="B1169" t="s">
        <v>2271</v>
      </c>
      <c r="C1169" t="s">
        <v>13</v>
      </c>
      <c r="D1169">
        <v>-50</v>
      </c>
      <c r="E1169">
        <v>164.30999755859375</v>
      </c>
    </row>
    <row r="1170" spans="1:5" x14ac:dyDescent="0.3">
      <c r="A1170" t="s">
        <v>1808</v>
      </c>
      <c r="B1170" t="s">
        <v>632</v>
      </c>
      <c r="C1170" t="s">
        <v>56</v>
      </c>
      <c r="D1170">
        <v>70</v>
      </c>
      <c r="E1170">
        <v>194</v>
      </c>
    </row>
    <row r="1171" spans="1:5" x14ac:dyDescent="0.3">
      <c r="A1171" t="s">
        <v>1810</v>
      </c>
      <c r="B1171" t="s">
        <v>2174</v>
      </c>
      <c r="C1171" t="s">
        <v>16</v>
      </c>
      <c r="D1171">
        <v>50</v>
      </c>
      <c r="E1171">
        <v>229.74000549316406</v>
      </c>
    </row>
    <row r="1172" spans="1:5" x14ac:dyDescent="0.3">
      <c r="A1172" t="s">
        <v>1812</v>
      </c>
      <c r="B1172" t="s">
        <v>2946</v>
      </c>
      <c r="C1172" t="s">
        <v>29</v>
      </c>
      <c r="D1172">
        <v>350</v>
      </c>
      <c r="E1172">
        <v>272.760009765625</v>
      </c>
    </row>
    <row r="1173" spans="1:5" x14ac:dyDescent="0.3">
      <c r="A1173" t="s">
        <v>1813</v>
      </c>
      <c r="B1173" t="s">
        <v>1644</v>
      </c>
      <c r="C1173" t="s">
        <v>39</v>
      </c>
      <c r="D1173">
        <v>50</v>
      </c>
      <c r="E1173">
        <v>332.07000732421875</v>
      </c>
    </row>
    <row r="1174" spans="1:5" x14ac:dyDescent="0.3">
      <c r="A1174" t="s">
        <v>1814</v>
      </c>
      <c r="B1174" t="s">
        <v>1112</v>
      </c>
      <c r="C1174" t="s">
        <v>12</v>
      </c>
      <c r="D1174">
        <v>150</v>
      </c>
      <c r="E1174">
        <v>174.53999328613281</v>
      </c>
    </row>
    <row r="1175" spans="1:5" x14ac:dyDescent="0.3">
      <c r="A1175" t="s">
        <v>1815</v>
      </c>
      <c r="B1175" t="s">
        <v>2291</v>
      </c>
      <c r="C1175" t="s">
        <v>34</v>
      </c>
      <c r="D1175">
        <v>310</v>
      </c>
      <c r="E1175">
        <v>74.819999694824219</v>
      </c>
    </row>
    <row r="1176" spans="1:5" x14ac:dyDescent="0.3">
      <c r="A1176" t="s">
        <v>1817</v>
      </c>
      <c r="B1176" t="s">
        <v>1691</v>
      </c>
      <c r="C1176" t="s">
        <v>60</v>
      </c>
      <c r="D1176">
        <v>90</v>
      </c>
      <c r="E1176">
        <v>65.370002746582031</v>
      </c>
    </row>
    <row r="1177" spans="1:5" x14ac:dyDescent="0.3">
      <c r="A1177" t="s">
        <v>1818</v>
      </c>
      <c r="B1177" t="s">
        <v>920</v>
      </c>
      <c r="C1177" t="s">
        <v>56</v>
      </c>
      <c r="D1177">
        <v>240</v>
      </c>
      <c r="E1177">
        <v>186.49000549316406</v>
      </c>
    </row>
    <row r="1178" spans="1:5" x14ac:dyDescent="0.3">
      <c r="A1178" t="s">
        <v>1819</v>
      </c>
      <c r="B1178" t="s">
        <v>193</v>
      </c>
      <c r="C1178" t="s">
        <v>47</v>
      </c>
      <c r="D1178">
        <v>410</v>
      </c>
      <c r="E1178">
        <v>236.25999450683594</v>
      </c>
    </row>
    <row r="1179" spans="1:5" x14ac:dyDescent="0.3">
      <c r="A1179" t="s">
        <v>1820</v>
      </c>
      <c r="B1179" t="s">
        <v>313</v>
      </c>
      <c r="C1179" t="s">
        <v>56</v>
      </c>
      <c r="D1179">
        <v>410</v>
      </c>
      <c r="E1179">
        <v>20.600000381469727</v>
      </c>
    </row>
    <row r="1180" spans="1:5" x14ac:dyDescent="0.3">
      <c r="A1180" t="s">
        <v>1821</v>
      </c>
      <c r="B1180" t="s">
        <v>1689</v>
      </c>
      <c r="C1180" t="s">
        <v>53</v>
      </c>
      <c r="D1180">
        <v>470</v>
      </c>
      <c r="E1180">
        <v>103.23000335693359</v>
      </c>
    </row>
    <row r="1181" spans="1:5" x14ac:dyDescent="0.3">
      <c r="A1181" t="s">
        <v>1822</v>
      </c>
      <c r="B1181" t="s">
        <v>2945</v>
      </c>
      <c r="C1181" t="s">
        <v>56</v>
      </c>
      <c r="D1181">
        <v>480</v>
      </c>
      <c r="E1181">
        <v>55.669998168945313</v>
      </c>
    </row>
    <row r="1182" spans="1:5" x14ac:dyDescent="0.3">
      <c r="A1182" t="s">
        <v>1824</v>
      </c>
      <c r="B1182" t="s">
        <v>904</v>
      </c>
      <c r="C1182" t="s">
        <v>44</v>
      </c>
      <c r="D1182">
        <v>240</v>
      </c>
      <c r="E1182">
        <v>207.27999877929688</v>
      </c>
    </row>
    <row r="1183" spans="1:5" x14ac:dyDescent="0.3">
      <c r="A1183" t="s">
        <v>1826</v>
      </c>
      <c r="B1183" t="s">
        <v>653</v>
      </c>
      <c r="C1183" t="s">
        <v>38</v>
      </c>
      <c r="D1183">
        <v>240</v>
      </c>
      <c r="E1183">
        <v>395.22000122070313</v>
      </c>
    </row>
    <row r="1184" spans="1:5" x14ac:dyDescent="0.3">
      <c r="A1184" t="s">
        <v>1828</v>
      </c>
      <c r="B1184" t="s">
        <v>319</v>
      </c>
      <c r="C1184" t="s">
        <v>124</v>
      </c>
      <c r="D1184">
        <v>30</v>
      </c>
      <c r="E1184">
        <v>361.95001220703125</v>
      </c>
    </row>
    <row r="1185" spans="1:5" x14ac:dyDescent="0.3">
      <c r="A1185" t="s">
        <v>1829</v>
      </c>
      <c r="B1185" t="s">
        <v>1963</v>
      </c>
      <c r="C1185" t="s">
        <v>59</v>
      </c>
      <c r="D1185">
        <v>90</v>
      </c>
      <c r="E1185">
        <v>139.83999633789063</v>
      </c>
    </row>
    <row r="1186" spans="1:5" x14ac:dyDescent="0.3">
      <c r="A1186" t="s">
        <v>1830</v>
      </c>
      <c r="B1186" t="s">
        <v>293</v>
      </c>
      <c r="C1186" t="s">
        <v>25</v>
      </c>
      <c r="D1186">
        <v>280</v>
      </c>
      <c r="E1186">
        <v>45.020000457763672</v>
      </c>
    </row>
    <row r="1187" spans="1:5" x14ac:dyDescent="0.3">
      <c r="A1187" t="s">
        <v>1832</v>
      </c>
      <c r="B1187" t="s">
        <v>481</v>
      </c>
      <c r="C1187" t="s">
        <v>34</v>
      </c>
      <c r="D1187">
        <v>460</v>
      </c>
      <c r="E1187">
        <v>204.69999694824219</v>
      </c>
    </row>
    <row r="1188" spans="1:5" x14ac:dyDescent="0.3">
      <c r="A1188" t="s">
        <v>1833</v>
      </c>
      <c r="B1188" t="s">
        <v>2922</v>
      </c>
      <c r="C1188" t="s">
        <v>57</v>
      </c>
      <c r="D1188">
        <v>220</v>
      </c>
      <c r="E1188">
        <v>160.1300048828125</v>
      </c>
    </row>
    <row r="1189" spans="1:5" x14ac:dyDescent="0.3">
      <c r="A1189" t="s">
        <v>1834</v>
      </c>
      <c r="B1189" t="s">
        <v>532</v>
      </c>
      <c r="C1189" t="s">
        <v>17</v>
      </c>
      <c r="D1189">
        <v>60</v>
      </c>
      <c r="E1189">
        <v>116.62999725341797</v>
      </c>
    </row>
    <row r="1190" spans="1:5" x14ac:dyDescent="0.3">
      <c r="A1190" t="s">
        <v>1835</v>
      </c>
      <c r="B1190" t="s">
        <v>370</v>
      </c>
      <c r="C1190" t="s">
        <v>57</v>
      </c>
      <c r="D1190">
        <v>200</v>
      </c>
      <c r="E1190">
        <v>193.60000610351563</v>
      </c>
    </row>
    <row r="1191" spans="1:5" x14ac:dyDescent="0.3">
      <c r="A1191" t="s">
        <v>1836</v>
      </c>
      <c r="B1191" t="s">
        <v>1364</v>
      </c>
      <c r="C1191" t="s">
        <v>67</v>
      </c>
      <c r="D1191">
        <v>290</v>
      </c>
      <c r="E1191">
        <v>174.47000122070313</v>
      </c>
    </row>
    <row r="1192" spans="1:5" x14ac:dyDescent="0.3">
      <c r="A1192" t="s">
        <v>1837</v>
      </c>
      <c r="B1192" t="s">
        <v>999</v>
      </c>
      <c r="C1192" t="s">
        <v>52</v>
      </c>
      <c r="D1192">
        <v>190</v>
      </c>
      <c r="E1192">
        <v>256.760009765625</v>
      </c>
    </row>
    <row r="1193" spans="1:5" x14ac:dyDescent="0.3">
      <c r="A1193" t="s">
        <v>1838</v>
      </c>
      <c r="B1193" t="s">
        <v>81</v>
      </c>
      <c r="C1193" t="s">
        <v>61</v>
      </c>
      <c r="D1193">
        <v>180</v>
      </c>
      <c r="E1193">
        <v>302.04000854492188</v>
      </c>
    </row>
    <row r="1194" spans="1:5" x14ac:dyDescent="0.3">
      <c r="A1194" t="s">
        <v>1839</v>
      </c>
      <c r="B1194" t="s">
        <v>854</v>
      </c>
      <c r="C1194" t="s">
        <v>15</v>
      </c>
      <c r="D1194">
        <v>260</v>
      </c>
      <c r="E1194">
        <v>85.949996948242188</v>
      </c>
    </row>
    <row r="1195" spans="1:5" x14ac:dyDescent="0.3">
      <c r="A1195" t="s">
        <v>1840</v>
      </c>
      <c r="B1195" t="s">
        <v>325</v>
      </c>
      <c r="C1195" t="s">
        <v>12</v>
      </c>
      <c r="D1195">
        <v>360</v>
      </c>
      <c r="E1195">
        <v>48.169998168945313</v>
      </c>
    </row>
    <row r="1196" spans="1:5" x14ac:dyDescent="0.3">
      <c r="A1196" t="s">
        <v>1841</v>
      </c>
      <c r="B1196" t="s">
        <v>343</v>
      </c>
      <c r="C1196" t="s">
        <v>68</v>
      </c>
      <c r="D1196">
        <v>130</v>
      </c>
      <c r="E1196">
        <v>42.479999542236328</v>
      </c>
    </row>
    <row r="1197" spans="1:5" x14ac:dyDescent="0.3">
      <c r="A1197" t="s">
        <v>1842</v>
      </c>
      <c r="B1197" t="s">
        <v>1878</v>
      </c>
      <c r="C1197" t="s">
        <v>18</v>
      </c>
      <c r="D1197">
        <v>130</v>
      </c>
      <c r="E1197">
        <v>86.699996948242188</v>
      </c>
    </row>
    <row r="1198" spans="1:5" x14ac:dyDescent="0.3">
      <c r="A1198" t="s">
        <v>1843</v>
      </c>
      <c r="B1198" t="s">
        <v>123</v>
      </c>
      <c r="C1198" t="s">
        <v>42</v>
      </c>
      <c r="D1198">
        <v>140</v>
      </c>
      <c r="E1198">
        <v>112.69999694824219</v>
      </c>
    </row>
    <row r="1199" spans="1:5" x14ac:dyDescent="0.3">
      <c r="A1199" t="s">
        <v>1844</v>
      </c>
      <c r="B1199" t="s">
        <v>2297</v>
      </c>
      <c r="C1199" t="s">
        <v>66</v>
      </c>
      <c r="D1199">
        <v>380</v>
      </c>
      <c r="E1199">
        <v>216.42999267578125</v>
      </c>
    </row>
    <row r="1200" spans="1:5" x14ac:dyDescent="0.3">
      <c r="A1200" t="s">
        <v>1845</v>
      </c>
      <c r="B1200" t="s">
        <v>2947</v>
      </c>
      <c r="C1200" t="s">
        <v>10</v>
      </c>
      <c r="D1200">
        <v>250</v>
      </c>
      <c r="E1200">
        <v>407.92001342773438</v>
      </c>
    </row>
    <row r="1201" spans="1:5" x14ac:dyDescent="0.3">
      <c r="A1201" t="s">
        <v>1846</v>
      </c>
      <c r="B1201" t="s">
        <v>2550</v>
      </c>
      <c r="C1201" t="s">
        <v>37</v>
      </c>
      <c r="D1201">
        <v>130</v>
      </c>
      <c r="E1201">
        <v>361.22000122070313</v>
      </c>
    </row>
    <row r="1202" spans="1:5" x14ac:dyDescent="0.3">
      <c r="A1202" t="s">
        <v>1847</v>
      </c>
      <c r="B1202" t="s">
        <v>663</v>
      </c>
      <c r="C1202" t="s">
        <v>28</v>
      </c>
      <c r="D1202">
        <v>60</v>
      </c>
      <c r="E1202">
        <v>164.47000122070313</v>
      </c>
    </row>
    <row r="1203" spans="1:5" x14ac:dyDescent="0.3">
      <c r="A1203" t="s">
        <v>1848</v>
      </c>
      <c r="B1203" t="s">
        <v>2624</v>
      </c>
      <c r="C1203" t="s">
        <v>62</v>
      </c>
      <c r="D1203">
        <v>40</v>
      </c>
      <c r="E1203">
        <v>69.870002746582031</v>
      </c>
    </row>
    <row r="1204" spans="1:5" x14ac:dyDescent="0.3">
      <c r="A1204" t="s">
        <v>1849</v>
      </c>
      <c r="B1204" t="s">
        <v>1060</v>
      </c>
      <c r="C1204" t="s">
        <v>13</v>
      </c>
      <c r="D1204">
        <v>260</v>
      </c>
      <c r="E1204">
        <v>243.69000244140625</v>
      </c>
    </row>
    <row r="1205" spans="1:5" x14ac:dyDescent="0.3">
      <c r="A1205" t="s">
        <v>1850</v>
      </c>
      <c r="B1205" t="s">
        <v>201</v>
      </c>
      <c r="C1205" t="s">
        <v>61</v>
      </c>
      <c r="D1205">
        <v>380</v>
      </c>
      <c r="E1205">
        <v>16.229999542236328</v>
      </c>
    </row>
    <row r="1206" spans="1:5" x14ac:dyDescent="0.3">
      <c r="A1206" t="s">
        <v>1852</v>
      </c>
      <c r="B1206" t="s">
        <v>306</v>
      </c>
      <c r="C1206" t="s">
        <v>52</v>
      </c>
      <c r="D1206">
        <v>210</v>
      </c>
      <c r="E1206">
        <v>131.88999938964844</v>
      </c>
    </row>
    <row r="1207" spans="1:5" x14ac:dyDescent="0.3">
      <c r="A1207" t="s">
        <v>1854</v>
      </c>
      <c r="B1207" t="s">
        <v>387</v>
      </c>
      <c r="C1207" t="s">
        <v>16</v>
      </c>
      <c r="D1207">
        <v>50</v>
      </c>
      <c r="E1207">
        <v>499.1199951171875</v>
      </c>
    </row>
    <row r="1208" spans="1:5" x14ac:dyDescent="0.3">
      <c r="A1208" t="s">
        <v>1855</v>
      </c>
      <c r="B1208" t="s">
        <v>1206</v>
      </c>
      <c r="C1208" t="s">
        <v>37</v>
      </c>
      <c r="D1208">
        <v>360</v>
      </c>
      <c r="E1208">
        <v>440.42001342773438</v>
      </c>
    </row>
    <row r="1209" spans="1:5" x14ac:dyDescent="0.3">
      <c r="A1209" t="s">
        <v>1856</v>
      </c>
      <c r="B1209" t="s">
        <v>1326</v>
      </c>
      <c r="C1209" t="s">
        <v>57</v>
      </c>
      <c r="D1209">
        <v>70</v>
      </c>
      <c r="E1209">
        <v>442.3699951171875</v>
      </c>
    </row>
    <row r="1210" spans="1:5" x14ac:dyDescent="0.3">
      <c r="A1210" t="s">
        <v>1858</v>
      </c>
      <c r="B1210" t="s">
        <v>1572</v>
      </c>
      <c r="C1210" t="s">
        <v>68</v>
      </c>
      <c r="D1210">
        <v>300</v>
      </c>
      <c r="E1210">
        <v>405.58999633789063</v>
      </c>
    </row>
    <row r="1211" spans="1:5" x14ac:dyDescent="0.3">
      <c r="A1211" t="s">
        <v>1860</v>
      </c>
      <c r="B1211" t="s">
        <v>669</v>
      </c>
      <c r="C1211" t="s">
        <v>69</v>
      </c>
      <c r="D1211">
        <v>110</v>
      </c>
      <c r="E1211">
        <v>394.79998779296875</v>
      </c>
    </row>
    <row r="1212" spans="1:5" x14ac:dyDescent="0.3">
      <c r="A1212" t="s">
        <v>1862</v>
      </c>
      <c r="B1212" t="s">
        <v>648</v>
      </c>
      <c r="C1212" t="s">
        <v>31</v>
      </c>
      <c r="D1212">
        <v>250</v>
      </c>
      <c r="E1212">
        <v>388.739990234375</v>
      </c>
    </row>
    <row r="1213" spans="1:5" x14ac:dyDescent="0.3">
      <c r="A1213" t="s">
        <v>1863</v>
      </c>
      <c r="B1213" t="s">
        <v>553</v>
      </c>
      <c r="C1213" t="s">
        <v>38</v>
      </c>
      <c r="D1213">
        <v>430</v>
      </c>
      <c r="E1213">
        <v>30.239999771118164</v>
      </c>
    </row>
    <row r="1214" spans="1:5" x14ac:dyDescent="0.3">
      <c r="A1214" t="s">
        <v>1864</v>
      </c>
      <c r="B1214" t="s">
        <v>2948</v>
      </c>
      <c r="C1214" t="s">
        <v>42</v>
      </c>
      <c r="D1214">
        <v>40</v>
      </c>
      <c r="E1214">
        <v>376.19000244140625</v>
      </c>
    </row>
    <row r="1215" spans="1:5" x14ac:dyDescent="0.3">
      <c r="A1215" t="s">
        <v>1866</v>
      </c>
      <c r="B1215" t="s">
        <v>984</v>
      </c>
      <c r="C1215" t="s">
        <v>58</v>
      </c>
      <c r="D1215">
        <v>430</v>
      </c>
      <c r="E1215">
        <v>147.52999877929688</v>
      </c>
    </row>
    <row r="1216" spans="1:5" x14ac:dyDescent="0.3">
      <c r="A1216" t="s">
        <v>1867</v>
      </c>
      <c r="B1216" t="s">
        <v>2910</v>
      </c>
      <c r="C1216" t="s">
        <v>70</v>
      </c>
      <c r="D1216">
        <v>130</v>
      </c>
      <c r="E1216">
        <v>479.26998901367188</v>
      </c>
    </row>
    <row r="1217" spans="1:5" x14ac:dyDescent="0.3">
      <c r="A1217" t="s">
        <v>1868</v>
      </c>
      <c r="B1217" t="s">
        <v>1816</v>
      </c>
      <c r="C1217" t="s">
        <v>16</v>
      </c>
      <c r="D1217">
        <v>140</v>
      </c>
      <c r="E1217">
        <v>170.49000549316406</v>
      </c>
    </row>
    <row r="1218" spans="1:5" x14ac:dyDescent="0.3">
      <c r="A1218" t="s">
        <v>1869</v>
      </c>
      <c r="B1218" t="s">
        <v>1032</v>
      </c>
      <c r="C1218" t="s">
        <v>43</v>
      </c>
      <c r="D1218">
        <v>120</v>
      </c>
      <c r="E1218">
        <v>434.30999755859375</v>
      </c>
    </row>
    <row r="1219" spans="1:5" x14ac:dyDescent="0.3">
      <c r="A1219" t="s">
        <v>1870</v>
      </c>
      <c r="B1219" t="s">
        <v>1823</v>
      </c>
      <c r="C1219" t="s">
        <v>56</v>
      </c>
      <c r="D1219">
        <v>200</v>
      </c>
      <c r="E1219">
        <v>147.94000244140625</v>
      </c>
    </row>
    <row r="1220" spans="1:5" x14ac:dyDescent="0.3">
      <c r="A1220" t="s">
        <v>1871</v>
      </c>
      <c r="B1220" t="s">
        <v>2910</v>
      </c>
      <c r="C1220" t="s">
        <v>63</v>
      </c>
      <c r="D1220">
        <v>210</v>
      </c>
      <c r="E1220">
        <v>102.63999938964844</v>
      </c>
    </row>
    <row r="1221" spans="1:5" x14ac:dyDescent="0.3">
      <c r="A1221" t="s">
        <v>1872</v>
      </c>
      <c r="B1221" t="s">
        <v>85</v>
      </c>
      <c r="C1221" t="s">
        <v>17</v>
      </c>
      <c r="D1221">
        <v>410</v>
      </c>
      <c r="E1221">
        <v>253.72000122070313</v>
      </c>
    </row>
    <row r="1222" spans="1:5" x14ac:dyDescent="0.3">
      <c r="A1222" t="s">
        <v>1873</v>
      </c>
      <c r="B1222" t="s">
        <v>2150</v>
      </c>
      <c r="C1222" t="s">
        <v>29</v>
      </c>
      <c r="D1222">
        <v>250</v>
      </c>
      <c r="E1222">
        <v>470.57998657226563</v>
      </c>
    </row>
    <row r="1223" spans="1:5" x14ac:dyDescent="0.3">
      <c r="A1223" t="s">
        <v>1874</v>
      </c>
      <c r="B1223" t="s">
        <v>2883</v>
      </c>
      <c r="C1223" t="s">
        <v>17</v>
      </c>
      <c r="D1223">
        <v>140</v>
      </c>
      <c r="E1223">
        <v>286.66000366210938</v>
      </c>
    </row>
    <row r="1224" spans="1:5" x14ac:dyDescent="0.3">
      <c r="A1224" t="s">
        <v>1875</v>
      </c>
      <c r="B1224" t="s">
        <v>1583</v>
      </c>
      <c r="C1224" t="s">
        <v>17</v>
      </c>
      <c r="D1224">
        <v>190</v>
      </c>
      <c r="E1224">
        <v>149.47000122070313</v>
      </c>
    </row>
    <row r="1225" spans="1:5" x14ac:dyDescent="0.3">
      <c r="A1225" t="s">
        <v>1876</v>
      </c>
      <c r="B1225" t="s">
        <v>899</v>
      </c>
      <c r="C1225" t="s">
        <v>58</v>
      </c>
      <c r="D1225">
        <v>440</v>
      </c>
      <c r="E1225">
        <v>170.58000183105469</v>
      </c>
    </row>
    <row r="1226" spans="1:5" x14ac:dyDescent="0.3">
      <c r="A1226" t="s">
        <v>1877</v>
      </c>
      <c r="B1226" t="s">
        <v>2906</v>
      </c>
      <c r="C1226" t="s">
        <v>15</v>
      </c>
      <c r="D1226">
        <v>130</v>
      </c>
      <c r="E1226">
        <v>375.6300048828125</v>
      </c>
    </row>
    <row r="1227" spans="1:5" x14ac:dyDescent="0.3">
      <c r="A1227" t="s">
        <v>1879</v>
      </c>
      <c r="B1227" t="s">
        <v>1203</v>
      </c>
      <c r="C1227" t="s">
        <v>31</v>
      </c>
      <c r="D1227">
        <v>450</v>
      </c>
      <c r="E1227">
        <v>454.30999755859375</v>
      </c>
    </row>
    <row r="1228" spans="1:5" x14ac:dyDescent="0.3">
      <c r="A1228" t="s">
        <v>1880</v>
      </c>
      <c r="B1228" t="s">
        <v>1798</v>
      </c>
      <c r="C1228" t="s">
        <v>15</v>
      </c>
      <c r="D1228">
        <v>280</v>
      </c>
      <c r="E1228">
        <v>10.390000343322754</v>
      </c>
    </row>
    <row r="1229" spans="1:5" x14ac:dyDescent="0.3">
      <c r="A1229" t="s">
        <v>1881</v>
      </c>
      <c r="B1229" t="s">
        <v>1132</v>
      </c>
      <c r="C1229" t="s">
        <v>29</v>
      </c>
      <c r="D1229">
        <v>440</v>
      </c>
      <c r="E1229">
        <v>311.67999267578125</v>
      </c>
    </row>
    <row r="1230" spans="1:5" x14ac:dyDescent="0.3">
      <c r="A1230" t="s">
        <v>1882</v>
      </c>
      <c r="B1230" t="s">
        <v>1230</v>
      </c>
      <c r="C1230" t="s">
        <v>28</v>
      </c>
      <c r="D1230">
        <v>470</v>
      </c>
      <c r="E1230">
        <v>40.069999694824219</v>
      </c>
    </row>
    <row r="1231" spans="1:5" x14ac:dyDescent="0.3">
      <c r="A1231" t="s">
        <v>1883</v>
      </c>
      <c r="B1231" t="s">
        <v>1827</v>
      </c>
      <c r="C1231" t="s">
        <v>41</v>
      </c>
      <c r="D1231">
        <v>320</v>
      </c>
      <c r="E1231">
        <v>41.520000457763672</v>
      </c>
    </row>
    <row r="1232" spans="1:5" x14ac:dyDescent="0.3">
      <c r="A1232" t="s">
        <v>1885</v>
      </c>
      <c r="B1232" t="s">
        <v>2394</v>
      </c>
      <c r="C1232" t="s">
        <v>69</v>
      </c>
      <c r="D1232">
        <v>25000</v>
      </c>
      <c r="E1232">
        <v>173.32000732421875</v>
      </c>
    </row>
    <row r="1233" spans="1:5" x14ac:dyDescent="0.3">
      <c r="A1233" t="s">
        <v>1886</v>
      </c>
      <c r="B1233" t="s">
        <v>602</v>
      </c>
      <c r="C1233" t="s">
        <v>124</v>
      </c>
      <c r="D1233">
        <v>170</v>
      </c>
      <c r="E1233">
        <v>288.69000244140625</v>
      </c>
    </row>
    <row r="1234" spans="1:5" x14ac:dyDescent="0.3">
      <c r="A1234" t="s">
        <v>1887</v>
      </c>
      <c r="B1234" t="s">
        <v>1595</v>
      </c>
      <c r="C1234" t="s">
        <v>23</v>
      </c>
      <c r="D1234">
        <v>25000</v>
      </c>
      <c r="E1234">
        <v>302.14999389648438</v>
      </c>
    </row>
    <row r="1235" spans="1:5" x14ac:dyDescent="0.3">
      <c r="A1235" t="s">
        <v>1888</v>
      </c>
      <c r="B1235" t="s">
        <v>546</v>
      </c>
      <c r="C1235" t="s">
        <v>57</v>
      </c>
      <c r="D1235">
        <v>-50</v>
      </c>
      <c r="E1235">
        <v>365.22000122070313</v>
      </c>
    </row>
    <row r="1236" spans="1:5" x14ac:dyDescent="0.3">
      <c r="A1236" t="s">
        <v>1889</v>
      </c>
      <c r="B1236" t="s">
        <v>401</v>
      </c>
      <c r="C1236" t="s">
        <v>67</v>
      </c>
      <c r="D1236">
        <v>220</v>
      </c>
      <c r="E1236">
        <v>394.91000366210938</v>
      </c>
    </row>
    <row r="1237" spans="1:5" x14ac:dyDescent="0.3">
      <c r="A1237" t="s">
        <v>1890</v>
      </c>
      <c r="B1237" t="s">
        <v>751</v>
      </c>
      <c r="C1237" t="s">
        <v>18</v>
      </c>
      <c r="D1237">
        <v>10</v>
      </c>
      <c r="E1237">
        <v>21.299999237060547</v>
      </c>
    </row>
    <row r="1238" spans="1:5" x14ac:dyDescent="0.3">
      <c r="A1238" t="s">
        <v>1891</v>
      </c>
      <c r="B1238" t="s">
        <v>425</v>
      </c>
      <c r="C1238" t="s">
        <v>33</v>
      </c>
      <c r="D1238">
        <v>80</v>
      </c>
      <c r="E1238">
        <v>325.66000366210938</v>
      </c>
    </row>
    <row r="1239" spans="1:5" x14ac:dyDescent="0.3">
      <c r="A1239" t="s">
        <v>1893</v>
      </c>
      <c r="B1239" t="s">
        <v>2289</v>
      </c>
      <c r="C1239" t="s">
        <v>52</v>
      </c>
      <c r="D1239">
        <v>380</v>
      </c>
      <c r="E1239">
        <v>209.6300048828125</v>
      </c>
    </row>
    <row r="1240" spans="1:5" x14ac:dyDescent="0.3">
      <c r="A1240" t="s">
        <v>1894</v>
      </c>
      <c r="B1240" t="s">
        <v>372</v>
      </c>
      <c r="C1240" t="s">
        <v>21</v>
      </c>
      <c r="D1240">
        <v>350</v>
      </c>
      <c r="E1240">
        <v>145.1199951171875</v>
      </c>
    </row>
    <row r="1241" spans="1:5" x14ac:dyDescent="0.3">
      <c r="A1241" t="s">
        <v>1896</v>
      </c>
      <c r="B1241" t="s">
        <v>2670</v>
      </c>
      <c r="C1241" t="s">
        <v>36</v>
      </c>
      <c r="D1241">
        <v>140</v>
      </c>
      <c r="E1241">
        <v>424.3599853515625</v>
      </c>
    </row>
    <row r="1242" spans="1:5" x14ac:dyDescent="0.3">
      <c r="A1242" t="s">
        <v>1897</v>
      </c>
      <c r="B1242" t="s">
        <v>2735</v>
      </c>
      <c r="C1242" t="s">
        <v>46</v>
      </c>
      <c r="D1242">
        <v>360</v>
      </c>
      <c r="E1242">
        <v>409.91000366210938</v>
      </c>
    </row>
    <row r="1243" spans="1:5" x14ac:dyDescent="0.3">
      <c r="A1243" t="s">
        <v>1898</v>
      </c>
      <c r="B1243" t="s">
        <v>427</v>
      </c>
      <c r="C1243" t="s">
        <v>42</v>
      </c>
      <c r="D1243">
        <v>390</v>
      </c>
      <c r="E1243">
        <v>284.6300048828125</v>
      </c>
    </row>
    <row r="1244" spans="1:5" x14ac:dyDescent="0.3">
      <c r="A1244" t="s">
        <v>1899</v>
      </c>
      <c r="B1244" t="s">
        <v>780</v>
      </c>
      <c r="C1244" t="s">
        <v>59</v>
      </c>
      <c r="D1244">
        <v>50</v>
      </c>
      <c r="E1244">
        <v>301.69000244140625</v>
      </c>
    </row>
    <row r="1245" spans="1:5" x14ac:dyDescent="0.3">
      <c r="A1245" t="s">
        <v>1900</v>
      </c>
      <c r="B1245" t="s">
        <v>595</v>
      </c>
      <c r="C1245" t="s">
        <v>39</v>
      </c>
      <c r="D1245">
        <v>400</v>
      </c>
      <c r="E1245">
        <v>34.580001831054688</v>
      </c>
    </row>
    <row r="1246" spans="1:5" x14ac:dyDescent="0.3">
      <c r="A1246" t="s">
        <v>1902</v>
      </c>
      <c r="B1246" t="s">
        <v>1021</v>
      </c>
      <c r="C1246" t="s">
        <v>36</v>
      </c>
      <c r="D1246">
        <v>480</v>
      </c>
      <c r="E1246">
        <v>127.09999847412109</v>
      </c>
    </row>
    <row r="1247" spans="1:5" x14ac:dyDescent="0.3">
      <c r="A1247" t="s">
        <v>1904</v>
      </c>
      <c r="B1247" t="s">
        <v>714</v>
      </c>
      <c r="C1247" t="s">
        <v>63</v>
      </c>
      <c r="D1247">
        <v>50</v>
      </c>
      <c r="E1247">
        <v>43.349998474121094</v>
      </c>
    </row>
    <row r="1248" spans="1:5" x14ac:dyDescent="0.3">
      <c r="A1248" t="s">
        <v>1905</v>
      </c>
      <c r="B1248" t="s">
        <v>151</v>
      </c>
      <c r="C1248" t="s">
        <v>17</v>
      </c>
      <c r="D1248">
        <v>340</v>
      </c>
      <c r="E1248">
        <v>317.760009765625</v>
      </c>
    </row>
    <row r="1249" spans="1:5" x14ac:dyDescent="0.3">
      <c r="A1249" t="s">
        <v>1907</v>
      </c>
      <c r="B1249" t="s">
        <v>137</v>
      </c>
      <c r="C1249" t="s">
        <v>56</v>
      </c>
      <c r="D1249">
        <v>330</v>
      </c>
      <c r="E1249">
        <v>305.07998657226563</v>
      </c>
    </row>
    <row r="1250" spans="1:5" x14ac:dyDescent="0.3">
      <c r="A1250" t="s">
        <v>1908</v>
      </c>
      <c r="B1250" t="s">
        <v>415</v>
      </c>
      <c r="C1250" t="s">
        <v>17</v>
      </c>
      <c r="D1250">
        <v>450</v>
      </c>
      <c r="E1250">
        <v>430.33999633789063</v>
      </c>
    </row>
    <row r="1251" spans="1:5" x14ac:dyDescent="0.3">
      <c r="A1251" t="s">
        <v>1909</v>
      </c>
      <c r="B1251" t="s">
        <v>1043</v>
      </c>
      <c r="C1251" t="s">
        <v>21</v>
      </c>
      <c r="D1251">
        <v>370</v>
      </c>
      <c r="E1251">
        <v>438.91000366210938</v>
      </c>
    </row>
    <row r="1252" spans="1:5" x14ac:dyDescent="0.3">
      <c r="A1252" t="s">
        <v>1910</v>
      </c>
      <c r="B1252" t="s">
        <v>2949</v>
      </c>
      <c r="C1252" t="s">
        <v>53</v>
      </c>
      <c r="D1252">
        <v>230</v>
      </c>
      <c r="E1252">
        <v>146.46000671386719</v>
      </c>
    </row>
    <row r="1253" spans="1:5" x14ac:dyDescent="0.3">
      <c r="A1253" t="s">
        <v>1911</v>
      </c>
      <c r="B1253" t="s">
        <v>1301</v>
      </c>
      <c r="C1253" t="s">
        <v>54</v>
      </c>
      <c r="D1253">
        <v>420</v>
      </c>
      <c r="E1253">
        <v>188.97999572753906</v>
      </c>
    </row>
    <row r="1254" spans="1:5" x14ac:dyDescent="0.3">
      <c r="A1254" t="s">
        <v>1912</v>
      </c>
      <c r="B1254" t="s">
        <v>878</v>
      </c>
      <c r="C1254" t="s">
        <v>29</v>
      </c>
      <c r="D1254">
        <v>270</v>
      </c>
      <c r="E1254">
        <v>272.76998901367188</v>
      </c>
    </row>
    <row r="1255" spans="1:5" x14ac:dyDescent="0.3">
      <c r="A1255" t="s">
        <v>1913</v>
      </c>
      <c r="B1255" t="s">
        <v>1183</v>
      </c>
      <c r="C1255" t="s">
        <v>63</v>
      </c>
      <c r="D1255">
        <v>360</v>
      </c>
      <c r="E1255">
        <v>424.42999267578125</v>
      </c>
    </row>
    <row r="1256" spans="1:5" x14ac:dyDescent="0.3">
      <c r="A1256" t="s">
        <v>1915</v>
      </c>
      <c r="B1256" t="s">
        <v>2458</v>
      </c>
      <c r="C1256" t="s">
        <v>58</v>
      </c>
      <c r="D1256">
        <v>250</v>
      </c>
      <c r="E1256">
        <v>240.89999389648438</v>
      </c>
    </row>
    <row r="1257" spans="1:5" x14ac:dyDescent="0.3">
      <c r="A1257" t="s">
        <v>1916</v>
      </c>
      <c r="B1257" t="s">
        <v>858</v>
      </c>
      <c r="C1257" t="s">
        <v>53</v>
      </c>
      <c r="D1257">
        <v>200</v>
      </c>
      <c r="E1257">
        <v>139.41000366210938</v>
      </c>
    </row>
    <row r="1258" spans="1:5" x14ac:dyDescent="0.3">
      <c r="A1258" t="s">
        <v>1917</v>
      </c>
      <c r="B1258" t="s">
        <v>2888</v>
      </c>
      <c r="C1258" t="s">
        <v>21</v>
      </c>
      <c r="D1258">
        <v>480</v>
      </c>
      <c r="E1258">
        <v>107.5</v>
      </c>
    </row>
    <row r="1259" spans="1:5" x14ac:dyDescent="0.3">
      <c r="A1259" t="s">
        <v>1918</v>
      </c>
      <c r="B1259" t="s">
        <v>153</v>
      </c>
      <c r="C1259" t="s">
        <v>31</v>
      </c>
      <c r="D1259">
        <v>60</v>
      </c>
      <c r="E1259">
        <v>453.04998779296875</v>
      </c>
    </row>
    <row r="1260" spans="1:5" x14ac:dyDescent="0.3">
      <c r="A1260" t="s">
        <v>1919</v>
      </c>
      <c r="B1260" t="s">
        <v>1037</v>
      </c>
      <c r="C1260" t="s">
        <v>62</v>
      </c>
      <c r="D1260">
        <v>400</v>
      </c>
      <c r="E1260">
        <v>54.209999084472656</v>
      </c>
    </row>
    <row r="1261" spans="1:5" x14ac:dyDescent="0.3">
      <c r="A1261" t="s">
        <v>1920</v>
      </c>
      <c r="B1261" t="s">
        <v>1635</v>
      </c>
      <c r="C1261" t="s">
        <v>17</v>
      </c>
      <c r="D1261">
        <v>180</v>
      </c>
      <c r="E1261">
        <v>109.48999786376953</v>
      </c>
    </row>
    <row r="1262" spans="1:5" x14ac:dyDescent="0.3">
      <c r="A1262" t="s">
        <v>1921</v>
      </c>
      <c r="B1262" t="s">
        <v>655</v>
      </c>
      <c r="C1262" t="s">
        <v>31</v>
      </c>
      <c r="D1262">
        <v>70</v>
      </c>
      <c r="E1262">
        <v>387.67001342773438</v>
      </c>
    </row>
    <row r="1263" spans="1:5" x14ac:dyDescent="0.3">
      <c r="A1263" t="s">
        <v>1922</v>
      </c>
      <c r="B1263" t="s">
        <v>387</v>
      </c>
      <c r="C1263" t="s">
        <v>63</v>
      </c>
      <c r="D1263">
        <v>460</v>
      </c>
      <c r="E1263">
        <v>477.8800048828125</v>
      </c>
    </row>
    <row r="1264" spans="1:5" x14ac:dyDescent="0.3">
      <c r="A1264" t="s">
        <v>1923</v>
      </c>
      <c r="B1264" t="s">
        <v>1706</v>
      </c>
      <c r="C1264" t="s">
        <v>32</v>
      </c>
      <c r="D1264">
        <v>200</v>
      </c>
      <c r="E1264">
        <v>39.520000457763672</v>
      </c>
    </row>
    <row r="1265" spans="1:5" x14ac:dyDescent="0.3">
      <c r="A1265" t="s">
        <v>1925</v>
      </c>
      <c r="B1265" t="s">
        <v>285</v>
      </c>
      <c r="C1265" t="s">
        <v>40</v>
      </c>
      <c r="D1265">
        <v>380</v>
      </c>
      <c r="E1265">
        <v>52.349998474121094</v>
      </c>
    </row>
    <row r="1266" spans="1:5" x14ac:dyDescent="0.3">
      <c r="A1266" t="s">
        <v>1926</v>
      </c>
      <c r="B1266" t="s">
        <v>2012</v>
      </c>
      <c r="C1266" t="s">
        <v>68</v>
      </c>
      <c r="D1266">
        <v>80</v>
      </c>
      <c r="E1266">
        <v>66.410003662109375</v>
      </c>
    </row>
    <row r="1267" spans="1:5" x14ac:dyDescent="0.3">
      <c r="A1267" t="s">
        <v>1927</v>
      </c>
      <c r="B1267" t="s">
        <v>1851</v>
      </c>
      <c r="C1267" t="s">
        <v>10</v>
      </c>
      <c r="D1267">
        <v>80</v>
      </c>
      <c r="E1267">
        <v>452.04998779296875</v>
      </c>
    </row>
    <row r="1268" spans="1:5" x14ac:dyDescent="0.3">
      <c r="A1268" t="s">
        <v>1928</v>
      </c>
      <c r="B1268" t="s">
        <v>2949</v>
      </c>
      <c r="C1268" t="s">
        <v>46</v>
      </c>
      <c r="D1268">
        <v>160</v>
      </c>
      <c r="E1268">
        <v>149.96000671386719</v>
      </c>
    </row>
    <row r="1269" spans="1:5" x14ac:dyDescent="0.3">
      <c r="A1269" t="s">
        <v>1929</v>
      </c>
      <c r="B1269" t="s">
        <v>1405</v>
      </c>
      <c r="C1269" t="s">
        <v>10</v>
      </c>
      <c r="D1269">
        <v>310</v>
      </c>
      <c r="E1269">
        <v>421.1099853515625</v>
      </c>
    </row>
    <row r="1270" spans="1:5" x14ac:dyDescent="0.3">
      <c r="A1270" t="s">
        <v>1930</v>
      </c>
      <c r="B1270" t="s">
        <v>711</v>
      </c>
      <c r="C1270" t="s">
        <v>53</v>
      </c>
      <c r="D1270">
        <v>10</v>
      </c>
      <c r="E1270">
        <v>96.819999694824219</v>
      </c>
    </row>
    <row r="1271" spans="1:5" x14ac:dyDescent="0.3">
      <c r="A1271" t="s">
        <v>1931</v>
      </c>
      <c r="B1271" t="s">
        <v>886</v>
      </c>
      <c r="C1271" t="s">
        <v>18</v>
      </c>
      <c r="D1271">
        <v>450</v>
      </c>
      <c r="E1271">
        <v>328.69000244140625</v>
      </c>
    </row>
    <row r="1272" spans="1:5" x14ac:dyDescent="0.3">
      <c r="A1272" t="s">
        <v>1932</v>
      </c>
      <c r="B1272" t="s">
        <v>2328</v>
      </c>
      <c r="C1272" t="s">
        <v>10</v>
      </c>
      <c r="D1272">
        <v>310</v>
      </c>
      <c r="E1272">
        <v>338.6400146484375</v>
      </c>
    </row>
    <row r="1273" spans="1:5" x14ac:dyDescent="0.3">
      <c r="A1273" t="s">
        <v>1933</v>
      </c>
      <c r="B1273" t="s">
        <v>2475</v>
      </c>
      <c r="C1273" t="s">
        <v>31</v>
      </c>
      <c r="D1273">
        <v>490</v>
      </c>
      <c r="E1273">
        <v>168.91000366210938</v>
      </c>
    </row>
    <row r="1274" spans="1:5" x14ac:dyDescent="0.3">
      <c r="A1274" t="s">
        <v>1935</v>
      </c>
      <c r="B1274" t="s">
        <v>829</v>
      </c>
      <c r="C1274" t="s">
        <v>57</v>
      </c>
      <c r="D1274">
        <v>380</v>
      </c>
      <c r="E1274">
        <v>432.04998779296875</v>
      </c>
    </row>
    <row r="1275" spans="1:5" x14ac:dyDescent="0.3">
      <c r="A1275" t="s">
        <v>1936</v>
      </c>
      <c r="B1275" t="s">
        <v>1673</v>
      </c>
      <c r="C1275" t="s">
        <v>52</v>
      </c>
      <c r="D1275">
        <v>70</v>
      </c>
      <c r="E1275">
        <v>60.919998168945313</v>
      </c>
    </row>
    <row r="1276" spans="1:5" x14ac:dyDescent="0.3">
      <c r="A1276" t="s">
        <v>1937</v>
      </c>
      <c r="B1276" t="s">
        <v>2308</v>
      </c>
      <c r="C1276" t="s">
        <v>16</v>
      </c>
      <c r="D1276">
        <v>160</v>
      </c>
      <c r="E1276">
        <v>58.689998626708984</v>
      </c>
    </row>
    <row r="1277" spans="1:5" x14ac:dyDescent="0.3">
      <c r="A1277" t="s">
        <v>1938</v>
      </c>
      <c r="B1277" t="s">
        <v>739</v>
      </c>
      <c r="C1277" t="s">
        <v>51</v>
      </c>
      <c r="D1277">
        <v>440</v>
      </c>
      <c r="E1277">
        <v>248.85000610351563</v>
      </c>
    </row>
    <row r="1278" spans="1:5" x14ac:dyDescent="0.3">
      <c r="A1278" t="s">
        <v>1939</v>
      </c>
      <c r="B1278" t="s">
        <v>1004</v>
      </c>
      <c r="C1278" t="s">
        <v>52</v>
      </c>
      <c r="D1278">
        <v>210</v>
      </c>
      <c r="E1278">
        <v>25.209999084472656</v>
      </c>
    </row>
    <row r="1279" spans="1:5" x14ac:dyDescent="0.3">
      <c r="A1279" t="s">
        <v>1941</v>
      </c>
      <c r="B1279" t="s">
        <v>101</v>
      </c>
      <c r="C1279" t="s">
        <v>66</v>
      </c>
      <c r="D1279">
        <v>470</v>
      </c>
      <c r="E1279">
        <v>101.86000061035156</v>
      </c>
    </row>
    <row r="1280" spans="1:5" x14ac:dyDescent="0.3">
      <c r="A1280" t="s">
        <v>1942</v>
      </c>
      <c r="B1280" t="s">
        <v>413</v>
      </c>
      <c r="C1280" t="s">
        <v>19</v>
      </c>
      <c r="D1280">
        <v>220</v>
      </c>
      <c r="E1280">
        <v>263.239990234375</v>
      </c>
    </row>
    <row r="1281" spans="1:5" x14ac:dyDescent="0.3">
      <c r="A1281" t="s">
        <v>1943</v>
      </c>
      <c r="B1281" t="s">
        <v>599</v>
      </c>
      <c r="C1281" t="s">
        <v>41</v>
      </c>
      <c r="D1281">
        <v>160</v>
      </c>
      <c r="E1281">
        <v>114.08000183105469</v>
      </c>
    </row>
    <row r="1282" spans="1:5" x14ac:dyDescent="0.3">
      <c r="A1282" t="s">
        <v>1944</v>
      </c>
      <c r="B1282" t="s">
        <v>203</v>
      </c>
      <c r="C1282" t="s">
        <v>57</v>
      </c>
      <c r="D1282">
        <v>500</v>
      </c>
      <c r="E1282">
        <v>329.42999267578125</v>
      </c>
    </row>
    <row r="1283" spans="1:5" x14ac:dyDescent="0.3">
      <c r="A1283" t="s">
        <v>1945</v>
      </c>
      <c r="B1283" t="s">
        <v>849</v>
      </c>
      <c r="C1283" t="s">
        <v>38</v>
      </c>
      <c r="D1283">
        <v>150</v>
      </c>
      <c r="E1283">
        <v>404.6400146484375</v>
      </c>
    </row>
    <row r="1284" spans="1:5" x14ac:dyDescent="0.3">
      <c r="A1284" t="s">
        <v>1946</v>
      </c>
      <c r="B1284" t="s">
        <v>1374</v>
      </c>
      <c r="C1284" t="s">
        <v>53</v>
      </c>
      <c r="D1284">
        <v>500</v>
      </c>
      <c r="E1284">
        <v>405.41000366210938</v>
      </c>
    </row>
    <row r="1285" spans="1:5" x14ac:dyDescent="0.3">
      <c r="A1285" t="s">
        <v>1947</v>
      </c>
      <c r="B1285" t="s">
        <v>737</v>
      </c>
      <c r="C1285" t="s">
        <v>21</v>
      </c>
      <c r="D1285">
        <v>180</v>
      </c>
      <c r="E1285">
        <v>217.69999694824219</v>
      </c>
    </row>
    <row r="1286" spans="1:5" x14ac:dyDescent="0.3">
      <c r="A1286" t="s">
        <v>1948</v>
      </c>
      <c r="B1286" t="s">
        <v>1324</v>
      </c>
      <c r="C1286" t="s">
        <v>42</v>
      </c>
      <c r="D1286">
        <v>290</v>
      </c>
      <c r="E1286">
        <v>297.82998657226563</v>
      </c>
    </row>
    <row r="1287" spans="1:5" x14ac:dyDescent="0.3">
      <c r="A1287" t="s">
        <v>1949</v>
      </c>
      <c r="B1287" t="s">
        <v>304</v>
      </c>
      <c r="C1287" t="s">
        <v>42</v>
      </c>
      <c r="D1287">
        <v>140</v>
      </c>
      <c r="E1287">
        <v>422.39999389648438</v>
      </c>
    </row>
    <row r="1288" spans="1:5" x14ac:dyDescent="0.3">
      <c r="A1288" t="s">
        <v>1950</v>
      </c>
      <c r="B1288" t="s">
        <v>2916</v>
      </c>
      <c r="C1288" t="s">
        <v>69</v>
      </c>
      <c r="D1288">
        <v>40</v>
      </c>
      <c r="E1288">
        <v>438.32998657226563</v>
      </c>
    </row>
    <row r="1289" spans="1:5" x14ac:dyDescent="0.3">
      <c r="A1289" t="s">
        <v>1951</v>
      </c>
      <c r="B1289" t="s">
        <v>1884</v>
      </c>
      <c r="C1289" t="s">
        <v>25</v>
      </c>
      <c r="D1289">
        <v>20</v>
      </c>
      <c r="E1289">
        <v>12.859999656677246</v>
      </c>
    </row>
    <row r="1290" spans="1:5" x14ac:dyDescent="0.3">
      <c r="A1290" t="s">
        <v>1952</v>
      </c>
      <c r="B1290" t="s">
        <v>778</v>
      </c>
      <c r="C1290" t="s">
        <v>28</v>
      </c>
      <c r="D1290">
        <v>70</v>
      </c>
      <c r="E1290">
        <v>383.54000854492188</v>
      </c>
    </row>
    <row r="1291" spans="1:5" x14ac:dyDescent="0.3">
      <c r="A1291" t="s">
        <v>1953</v>
      </c>
      <c r="B1291" t="s">
        <v>1906</v>
      </c>
      <c r="C1291" t="s">
        <v>46</v>
      </c>
      <c r="D1291">
        <v>440</v>
      </c>
      <c r="E1291">
        <v>108.23999786376953</v>
      </c>
    </row>
    <row r="1292" spans="1:5" x14ac:dyDescent="0.3">
      <c r="A1292" t="s">
        <v>1954</v>
      </c>
      <c r="B1292" t="s">
        <v>2174</v>
      </c>
      <c r="C1292" t="s">
        <v>45</v>
      </c>
      <c r="D1292">
        <v>330</v>
      </c>
      <c r="E1292">
        <v>315.1199951171875</v>
      </c>
    </row>
    <row r="1293" spans="1:5" x14ac:dyDescent="0.3">
      <c r="A1293" t="s">
        <v>1956</v>
      </c>
      <c r="B1293" t="s">
        <v>663</v>
      </c>
      <c r="C1293" t="s">
        <v>67</v>
      </c>
      <c r="D1293">
        <v>170</v>
      </c>
      <c r="E1293">
        <v>452.67001342773438</v>
      </c>
    </row>
    <row r="1294" spans="1:5" x14ac:dyDescent="0.3">
      <c r="A1294" t="s">
        <v>1957</v>
      </c>
      <c r="B1294" t="s">
        <v>2670</v>
      </c>
      <c r="C1294" t="s">
        <v>40</v>
      </c>
      <c r="D1294">
        <v>380</v>
      </c>
      <c r="E1294">
        <v>39.689998626708984</v>
      </c>
    </row>
    <row r="1295" spans="1:5" x14ac:dyDescent="0.3">
      <c r="A1295" t="s">
        <v>1959</v>
      </c>
      <c r="B1295" t="s">
        <v>109</v>
      </c>
      <c r="C1295" t="s">
        <v>12</v>
      </c>
      <c r="D1295">
        <v>80</v>
      </c>
      <c r="E1295">
        <v>415.29000854492188</v>
      </c>
    </row>
    <row r="1296" spans="1:5" x14ac:dyDescent="0.3">
      <c r="A1296" t="s">
        <v>1960</v>
      </c>
      <c r="B1296" t="s">
        <v>2871</v>
      </c>
      <c r="C1296" t="s">
        <v>56</v>
      </c>
      <c r="D1296">
        <v>400</v>
      </c>
      <c r="E1296">
        <v>488.89999389648438</v>
      </c>
    </row>
    <row r="1297" spans="1:5" x14ac:dyDescent="0.3">
      <c r="A1297" t="s">
        <v>1962</v>
      </c>
      <c r="B1297" t="s">
        <v>1539</v>
      </c>
      <c r="C1297" t="s">
        <v>60</v>
      </c>
      <c r="D1297">
        <v>170</v>
      </c>
      <c r="E1297">
        <v>490.260009765625</v>
      </c>
    </row>
    <row r="1298" spans="1:5" x14ac:dyDescent="0.3">
      <c r="A1298" t="s">
        <v>1964</v>
      </c>
      <c r="B1298" t="s">
        <v>517</v>
      </c>
      <c r="C1298" t="s">
        <v>41</v>
      </c>
      <c r="D1298">
        <v>220</v>
      </c>
      <c r="E1298">
        <v>219.39999389648438</v>
      </c>
    </row>
    <row r="1299" spans="1:5" x14ac:dyDescent="0.3">
      <c r="A1299" t="s">
        <v>1965</v>
      </c>
      <c r="B1299" t="s">
        <v>2755</v>
      </c>
      <c r="C1299" t="s">
        <v>36</v>
      </c>
      <c r="D1299">
        <v>70</v>
      </c>
      <c r="E1299">
        <v>296.69000244140625</v>
      </c>
    </row>
    <row r="1300" spans="1:5" x14ac:dyDescent="0.3">
      <c r="A1300" t="s">
        <v>1966</v>
      </c>
      <c r="B1300" t="s">
        <v>234</v>
      </c>
      <c r="C1300" t="s">
        <v>68</v>
      </c>
      <c r="D1300">
        <v>260</v>
      </c>
      <c r="E1300">
        <v>412.80999755859375</v>
      </c>
    </row>
    <row r="1301" spans="1:5" x14ac:dyDescent="0.3">
      <c r="A1301" t="s">
        <v>1967</v>
      </c>
      <c r="B1301" t="s">
        <v>1390</v>
      </c>
      <c r="C1301" t="s">
        <v>19</v>
      </c>
      <c r="D1301">
        <v>30</v>
      </c>
      <c r="E1301">
        <v>78.75</v>
      </c>
    </row>
    <row r="1302" spans="1:5" x14ac:dyDescent="0.3">
      <c r="A1302" t="s">
        <v>1968</v>
      </c>
      <c r="B1302" t="s">
        <v>1010</v>
      </c>
      <c r="C1302" t="s">
        <v>57</v>
      </c>
      <c r="D1302">
        <v>-50</v>
      </c>
      <c r="E1302">
        <v>499.45999145507813</v>
      </c>
    </row>
    <row r="1303" spans="1:5" x14ac:dyDescent="0.3">
      <c r="A1303" t="s">
        <v>1969</v>
      </c>
      <c r="B1303" t="s">
        <v>1066</v>
      </c>
      <c r="C1303" t="s">
        <v>38</v>
      </c>
      <c r="D1303">
        <v>160</v>
      </c>
      <c r="E1303">
        <v>163.22000122070313</v>
      </c>
    </row>
    <row r="1304" spans="1:5" x14ac:dyDescent="0.3">
      <c r="A1304" t="s">
        <v>1971</v>
      </c>
      <c r="B1304" t="s">
        <v>382</v>
      </c>
      <c r="C1304" t="s">
        <v>57</v>
      </c>
      <c r="D1304">
        <v>160</v>
      </c>
      <c r="E1304">
        <v>41.029998779296875</v>
      </c>
    </row>
    <row r="1305" spans="1:5" x14ac:dyDescent="0.3">
      <c r="A1305" t="s">
        <v>1972</v>
      </c>
      <c r="B1305" t="s">
        <v>1467</v>
      </c>
      <c r="C1305" t="s">
        <v>47</v>
      </c>
      <c r="D1305">
        <v>70</v>
      </c>
      <c r="E1305">
        <v>165.3800048828125</v>
      </c>
    </row>
    <row r="1306" spans="1:5" x14ac:dyDescent="0.3">
      <c r="A1306" t="s">
        <v>1974</v>
      </c>
      <c r="B1306" t="s">
        <v>1369</v>
      </c>
      <c r="C1306" t="s">
        <v>19</v>
      </c>
      <c r="D1306">
        <v>130</v>
      </c>
      <c r="E1306">
        <v>76.529998779296875</v>
      </c>
    </row>
    <row r="1307" spans="1:5" x14ac:dyDescent="0.3">
      <c r="A1307" t="s">
        <v>1975</v>
      </c>
      <c r="B1307" t="s">
        <v>965</v>
      </c>
      <c r="C1307" t="s">
        <v>10</v>
      </c>
      <c r="D1307">
        <v>480</v>
      </c>
      <c r="E1307">
        <v>72.599998474121094</v>
      </c>
    </row>
    <row r="1308" spans="1:5" x14ac:dyDescent="0.3">
      <c r="A1308" t="s">
        <v>1976</v>
      </c>
      <c r="B1308" t="s">
        <v>861</v>
      </c>
      <c r="C1308" t="s">
        <v>40</v>
      </c>
      <c r="D1308">
        <v>440</v>
      </c>
      <c r="E1308">
        <v>459.47000122070313</v>
      </c>
    </row>
    <row r="1309" spans="1:5" x14ac:dyDescent="0.3">
      <c r="A1309" t="s">
        <v>1977</v>
      </c>
      <c r="B1309" t="s">
        <v>149</v>
      </c>
      <c r="C1309" t="s">
        <v>70</v>
      </c>
      <c r="D1309">
        <v>240</v>
      </c>
      <c r="E1309">
        <v>300.8900146484375</v>
      </c>
    </row>
    <row r="1310" spans="1:5" x14ac:dyDescent="0.3">
      <c r="A1310" t="s">
        <v>1978</v>
      </c>
      <c r="B1310" t="s">
        <v>2434</v>
      </c>
      <c r="C1310" t="s">
        <v>70</v>
      </c>
      <c r="D1310">
        <v>280</v>
      </c>
      <c r="E1310">
        <v>168.3699951171875</v>
      </c>
    </row>
    <row r="1311" spans="1:5" x14ac:dyDescent="0.3">
      <c r="A1311" t="s">
        <v>1979</v>
      </c>
      <c r="B1311" t="s">
        <v>1246</v>
      </c>
      <c r="C1311" t="s">
        <v>12</v>
      </c>
      <c r="D1311">
        <v>360</v>
      </c>
      <c r="E1311">
        <v>391.26998901367188</v>
      </c>
    </row>
    <row r="1312" spans="1:5" x14ac:dyDescent="0.3">
      <c r="A1312" t="s">
        <v>1980</v>
      </c>
      <c r="B1312" t="s">
        <v>2668</v>
      </c>
      <c r="C1312" t="s">
        <v>41</v>
      </c>
      <c r="D1312">
        <v>450</v>
      </c>
      <c r="E1312">
        <v>306.75</v>
      </c>
    </row>
    <row r="1313" spans="1:5" x14ac:dyDescent="0.3">
      <c r="A1313" t="s">
        <v>1981</v>
      </c>
      <c r="B1313" t="s">
        <v>2367</v>
      </c>
      <c r="C1313" t="s">
        <v>65</v>
      </c>
      <c r="D1313">
        <v>440</v>
      </c>
      <c r="E1313">
        <v>509.760009765625</v>
      </c>
    </row>
    <row r="1314" spans="1:5" x14ac:dyDescent="0.3">
      <c r="A1314" t="s">
        <v>1982</v>
      </c>
      <c r="B1314" t="s">
        <v>767</v>
      </c>
      <c r="C1314" t="s">
        <v>56</v>
      </c>
      <c r="D1314">
        <v>370</v>
      </c>
      <c r="E1314">
        <v>103.11000061035156</v>
      </c>
    </row>
    <row r="1315" spans="1:5" x14ac:dyDescent="0.3">
      <c r="A1315" t="s">
        <v>1983</v>
      </c>
      <c r="B1315" t="s">
        <v>1853</v>
      </c>
      <c r="C1315" t="s">
        <v>49</v>
      </c>
      <c r="D1315">
        <v>210</v>
      </c>
      <c r="E1315">
        <v>447.3800048828125</v>
      </c>
    </row>
    <row r="1316" spans="1:5" x14ac:dyDescent="0.3">
      <c r="A1316" t="s">
        <v>1984</v>
      </c>
      <c r="B1316" t="s">
        <v>1958</v>
      </c>
      <c r="C1316" t="s">
        <v>67</v>
      </c>
      <c r="D1316">
        <v>80</v>
      </c>
      <c r="E1316">
        <v>410.98001098632813</v>
      </c>
    </row>
    <row r="1317" spans="1:5" x14ac:dyDescent="0.3">
      <c r="A1317" t="s">
        <v>1985</v>
      </c>
      <c r="B1317" t="s">
        <v>522</v>
      </c>
      <c r="C1317" t="s">
        <v>39</v>
      </c>
      <c r="D1317">
        <v>30</v>
      </c>
      <c r="E1317">
        <v>120.12999725341797</v>
      </c>
    </row>
    <row r="1318" spans="1:5" x14ac:dyDescent="0.3">
      <c r="A1318" t="s">
        <v>1986</v>
      </c>
      <c r="B1318" t="s">
        <v>1895</v>
      </c>
      <c r="C1318" t="s">
        <v>42</v>
      </c>
      <c r="D1318">
        <v>270</v>
      </c>
      <c r="E1318">
        <v>208.86000061035156</v>
      </c>
    </row>
    <row r="1319" spans="1:5" x14ac:dyDescent="0.3">
      <c r="A1319" t="s">
        <v>1987</v>
      </c>
      <c r="B1319" t="s">
        <v>137</v>
      </c>
      <c r="C1319" t="s">
        <v>63</v>
      </c>
      <c r="D1319">
        <v>410</v>
      </c>
      <c r="E1319">
        <v>69.029998779296875</v>
      </c>
    </row>
    <row r="1320" spans="1:5" x14ac:dyDescent="0.3">
      <c r="A1320" t="s">
        <v>1988</v>
      </c>
      <c r="B1320" t="s">
        <v>1403</v>
      </c>
      <c r="C1320" t="s">
        <v>10</v>
      </c>
      <c r="D1320">
        <v>230</v>
      </c>
      <c r="E1320">
        <v>100.29000091552734</v>
      </c>
    </row>
    <row r="1321" spans="1:5" x14ac:dyDescent="0.3">
      <c r="A1321" t="s">
        <v>1990</v>
      </c>
      <c r="B1321" t="s">
        <v>1704</v>
      </c>
      <c r="C1321" t="s">
        <v>56</v>
      </c>
      <c r="D1321">
        <v>430</v>
      </c>
      <c r="E1321">
        <v>460.10000610351563</v>
      </c>
    </row>
    <row r="1322" spans="1:5" x14ac:dyDescent="0.3">
      <c r="A1322" t="s">
        <v>1991</v>
      </c>
      <c r="B1322" t="s">
        <v>1299</v>
      </c>
      <c r="C1322" t="s">
        <v>40</v>
      </c>
      <c r="D1322">
        <v>380</v>
      </c>
      <c r="E1322">
        <v>313.760009765625</v>
      </c>
    </row>
    <row r="1323" spans="1:5" x14ac:dyDescent="0.3">
      <c r="A1323" t="s">
        <v>1992</v>
      </c>
      <c r="B1323" t="s">
        <v>2640</v>
      </c>
      <c r="C1323" t="s">
        <v>69</v>
      </c>
      <c r="D1323">
        <v>350</v>
      </c>
      <c r="E1323">
        <v>84.360000610351563</v>
      </c>
    </row>
    <row r="1324" spans="1:5" x14ac:dyDescent="0.3">
      <c r="A1324" t="s">
        <v>1994</v>
      </c>
      <c r="B1324" t="s">
        <v>79</v>
      </c>
      <c r="C1324" t="s">
        <v>64</v>
      </c>
      <c r="D1324">
        <v>25000</v>
      </c>
      <c r="E1324">
        <v>282.08999633789063</v>
      </c>
    </row>
    <row r="1325" spans="1:5" x14ac:dyDescent="0.3">
      <c r="A1325" t="s">
        <v>1996</v>
      </c>
      <c r="B1325" t="s">
        <v>811</v>
      </c>
      <c r="C1325" t="s">
        <v>17</v>
      </c>
      <c r="D1325">
        <v>20</v>
      </c>
      <c r="E1325">
        <v>23.469999313354492</v>
      </c>
    </row>
    <row r="1326" spans="1:5" x14ac:dyDescent="0.3">
      <c r="A1326" t="s">
        <v>1997</v>
      </c>
      <c r="B1326" t="s">
        <v>1349</v>
      </c>
      <c r="C1326" t="s">
        <v>33</v>
      </c>
      <c r="D1326">
        <v>180</v>
      </c>
      <c r="E1326">
        <v>96</v>
      </c>
    </row>
    <row r="1327" spans="1:5" x14ac:dyDescent="0.3">
      <c r="A1327" t="s">
        <v>1999</v>
      </c>
      <c r="B1327" t="s">
        <v>2054</v>
      </c>
      <c r="C1327" t="s">
        <v>28</v>
      </c>
      <c r="D1327">
        <v>250</v>
      </c>
      <c r="E1327">
        <v>431.57998657226563</v>
      </c>
    </row>
    <row r="1328" spans="1:5" x14ac:dyDescent="0.3">
      <c r="A1328" t="s">
        <v>2000</v>
      </c>
      <c r="B1328" t="s">
        <v>2870</v>
      </c>
      <c r="C1328" t="s">
        <v>61</v>
      </c>
      <c r="D1328">
        <v>460</v>
      </c>
      <c r="E1328">
        <v>126.12999725341797</v>
      </c>
    </row>
    <row r="1329" spans="1:5" x14ac:dyDescent="0.3">
      <c r="A1329" t="s">
        <v>2002</v>
      </c>
      <c r="B1329" t="s">
        <v>1811</v>
      </c>
      <c r="C1329" t="s">
        <v>52</v>
      </c>
      <c r="D1329">
        <v>210</v>
      </c>
      <c r="E1329">
        <v>189.69000244140625</v>
      </c>
    </row>
    <row r="1330" spans="1:5" x14ac:dyDescent="0.3">
      <c r="A1330" t="s">
        <v>2003</v>
      </c>
      <c r="B1330" t="s">
        <v>75</v>
      </c>
      <c r="C1330" t="s">
        <v>31</v>
      </c>
      <c r="D1330">
        <v>370</v>
      </c>
      <c r="E1330">
        <v>296.30999755859375</v>
      </c>
    </row>
    <row r="1331" spans="1:5" x14ac:dyDescent="0.3">
      <c r="A1331" t="s">
        <v>2005</v>
      </c>
      <c r="B1331" t="s">
        <v>1492</v>
      </c>
      <c r="C1331" t="s">
        <v>69</v>
      </c>
      <c r="D1331">
        <v>490</v>
      </c>
      <c r="E1331">
        <v>34.130001068115234</v>
      </c>
    </row>
    <row r="1332" spans="1:5" x14ac:dyDescent="0.3">
      <c r="A1332" t="s">
        <v>2007</v>
      </c>
      <c r="B1332" t="s">
        <v>446</v>
      </c>
      <c r="C1332" t="s">
        <v>69</v>
      </c>
      <c r="D1332">
        <v>60</v>
      </c>
      <c r="E1332">
        <v>155.35000610351563</v>
      </c>
    </row>
    <row r="1333" spans="1:5" x14ac:dyDescent="0.3">
      <c r="A1333" t="s">
        <v>2008</v>
      </c>
      <c r="B1333" t="s">
        <v>2550</v>
      </c>
      <c r="C1333" t="s">
        <v>19</v>
      </c>
      <c r="D1333">
        <v>290</v>
      </c>
      <c r="E1333">
        <v>326.239990234375</v>
      </c>
    </row>
    <row r="1334" spans="1:5" x14ac:dyDescent="0.3">
      <c r="A1334" t="s">
        <v>2009</v>
      </c>
      <c r="B1334" t="s">
        <v>2629</v>
      </c>
      <c r="C1334" t="s">
        <v>40</v>
      </c>
      <c r="D1334">
        <v>310</v>
      </c>
      <c r="E1334">
        <v>377.10000610351563</v>
      </c>
    </row>
    <row r="1335" spans="1:5" x14ac:dyDescent="0.3">
      <c r="A1335" t="s">
        <v>2010</v>
      </c>
      <c r="B1335" t="s">
        <v>537</v>
      </c>
      <c r="C1335" t="s">
        <v>36</v>
      </c>
      <c r="D1335">
        <v>450</v>
      </c>
      <c r="E1335">
        <v>52.340000152587891</v>
      </c>
    </row>
    <row r="1336" spans="1:5" x14ac:dyDescent="0.3">
      <c r="A1336" t="s">
        <v>2011</v>
      </c>
      <c r="B1336" t="s">
        <v>293</v>
      </c>
      <c r="C1336" t="s">
        <v>41</v>
      </c>
      <c r="D1336">
        <v>10</v>
      </c>
      <c r="E1336">
        <v>260.3800048828125</v>
      </c>
    </row>
    <row r="1337" spans="1:5" x14ac:dyDescent="0.3">
      <c r="A1337" t="s">
        <v>2013</v>
      </c>
      <c r="B1337" t="s">
        <v>818</v>
      </c>
      <c r="C1337" t="s">
        <v>68</v>
      </c>
      <c r="D1337">
        <v>450</v>
      </c>
      <c r="E1337">
        <v>323.75</v>
      </c>
    </row>
    <row r="1338" spans="1:5" x14ac:dyDescent="0.3">
      <c r="A1338" t="s">
        <v>2014</v>
      </c>
      <c r="B1338" t="s">
        <v>1019</v>
      </c>
      <c r="C1338" t="s">
        <v>15</v>
      </c>
      <c r="D1338">
        <v>200</v>
      </c>
      <c r="E1338">
        <v>229.02000427246094</v>
      </c>
    </row>
    <row r="1339" spans="1:5" x14ac:dyDescent="0.3">
      <c r="A1339" t="s">
        <v>2015</v>
      </c>
      <c r="B1339" t="s">
        <v>2512</v>
      </c>
      <c r="C1339" t="s">
        <v>53</v>
      </c>
      <c r="D1339">
        <v>360</v>
      </c>
      <c r="E1339">
        <v>376.80999755859375</v>
      </c>
    </row>
    <row r="1340" spans="1:5" x14ac:dyDescent="0.3">
      <c r="A1340" t="s">
        <v>2016</v>
      </c>
      <c r="B1340" t="s">
        <v>646</v>
      </c>
      <c r="C1340" t="s">
        <v>47</v>
      </c>
      <c r="D1340">
        <v>10</v>
      </c>
      <c r="E1340">
        <v>331.83999633789063</v>
      </c>
    </row>
    <row r="1341" spans="1:5" x14ac:dyDescent="0.3">
      <c r="A1341" t="s">
        <v>2017</v>
      </c>
      <c r="B1341" t="s">
        <v>254</v>
      </c>
      <c r="C1341" t="s">
        <v>33</v>
      </c>
      <c r="D1341">
        <v>410</v>
      </c>
      <c r="E1341">
        <v>72.849998474121094</v>
      </c>
    </row>
    <row r="1342" spans="1:5" x14ac:dyDescent="0.3">
      <c r="A1342" t="s">
        <v>2018</v>
      </c>
      <c r="B1342" t="s">
        <v>539</v>
      </c>
      <c r="C1342" t="s">
        <v>42</v>
      </c>
      <c r="D1342">
        <v>240</v>
      </c>
      <c r="E1342">
        <v>242.67999267578125</v>
      </c>
    </row>
    <row r="1343" spans="1:5" x14ac:dyDescent="0.3">
      <c r="A1343" t="s">
        <v>2019</v>
      </c>
      <c r="B1343" t="s">
        <v>2109</v>
      </c>
      <c r="C1343" t="s">
        <v>19</v>
      </c>
      <c r="D1343">
        <v>420</v>
      </c>
      <c r="E1343">
        <v>398.19000244140625</v>
      </c>
    </row>
    <row r="1344" spans="1:5" x14ac:dyDescent="0.3">
      <c r="A1344" t="s">
        <v>2021</v>
      </c>
      <c r="B1344" t="s">
        <v>515</v>
      </c>
      <c r="C1344" t="s">
        <v>47</v>
      </c>
      <c r="D1344">
        <v>270</v>
      </c>
      <c r="E1344">
        <v>260.35000610351563</v>
      </c>
    </row>
    <row r="1345" spans="1:5" x14ac:dyDescent="0.3">
      <c r="A1345" t="s">
        <v>2022</v>
      </c>
      <c r="B1345" t="s">
        <v>273</v>
      </c>
      <c r="C1345" t="s">
        <v>45</v>
      </c>
      <c r="D1345">
        <v>360</v>
      </c>
      <c r="E1345">
        <v>464.16000366210938</v>
      </c>
    </row>
    <row r="1346" spans="1:5" x14ac:dyDescent="0.3">
      <c r="A1346" t="s">
        <v>2023</v>
      </c>
      <c r="B1346" t="s">
        <v>2950</v>
      </c>
      <c r="C1346" t="s">
        <v>124</v>
      </c>
      <c r="D1346">
        <v>130</v>
      </c>
      <c r="E1346">
        <v>146.94999694824219</v>
      </c>
    </row>
    <row r="1347" spans="1:5" x14ac:dyDescent="0.3">
      <c r="A1347" t="s">
        <v>2024</v>
      </c>
      <c r="B1347" t="s">
        <v>2301</v>
      </c>
      <c r="C1347" t="s">
        <v>32</v>
      </c>
      <c r="D1347">
        <v>350</v>
      </c>
      <c r="E1347">
        <v>318.20999145507813</v>
      </c>
    </row>
    <row r="1348" spans="1:5" x14ac:dyDescent="0.3">
      <c r="A1348" t="s">
        <v>2025</v>
      </c>
      <c r="B1348" t="s">
        <v>180</v>
      </c>
      <c r="C1348" t="s">
        <v>23</v>
      </c>
      <c r="D1348">
        <v>210</v>
      </c>
      <c r="E1348">
        <v>498.3800048828125</v>
      </c>
    </row>
    <row r="1349" spans="1:5" x14ac:dyDescent="0.3">
      <c r="A1349" t="s">
        <v>2027</v>
      </c>
      <c r="B1349" t="s">
        <v>537</v>
      </c>
      <c r="C1349" t="s">
        <v>64</v>
      </c>
      <c r="D1349">
        <v>180</v>
      </c>
      <c r="E1349">
        <v>507.04998779296875</v>
      </c>
    </row>
    <row r="1350" spans="1:5" x14ac:dyDescent="0.3">
      <c r="A1350" t="s">
        <v>2028</v>
      </c>
      <c r="B1350" t="s">
        <v>528</v>
      </c>
      <c r="C1350" t="s">
        <v>15</v>
      </c>
      <c r="D1350">
        <v>100</v>
      </c>
      <c r="E1350">
        <v>109.11000061035156</v>
      </c>
    </row>
    <row r="1351" spans="1:5" x14ac:dyDescent="0.3">
      <c r="A1351" t="s">
        <v>2029</v>
      </c>
      <c r="B1351" t="s">
        <v>923</v>
      </c>
      <c r="C1351" t="s">
        <v>57</v>
      </c>
      <c r="D1351">
        <v>380</v>
      </c>
      <c r="E1351">
        <v>264.76998901367188</v>
      </c>
    </row>
    <row r="1352" spans="1:5" x14ac:dyDescent="0.3">
      <c r="A1352" t="s">
        <v>2030</v>
      </c>
      <c r="B1352" t="s">
        <v>332</v>
      </c>
      <c r="C1352" t="s">
        <v>37</v>
      </c>
      <c r="D1352">
        <v>310</v>
      </c>
      <c r="E1352">
        <v>379.54998779296875</v>
      </c>
    </row>
    <row r="1353" spans="1:5" x14ac:dyDescent="0.3">
      <c r="A1353" t="s">
        <v>2031</v>
      </c>
      <c r="B1353" t="s">
        <v>551</v>
      </c>
      <c r="C1353" t="s">
        <v>55</v>
      </c>
      <c r="D1353">
        <v>280</v>
      </c>
      <c r="E1353">
        <v>54.270000457763672</v>
      </c>
    </row>
    <row r="1354" spans="1:5" x14ac:dyDescent="0.3">
      <c r="A1354" t="s">
        <v>2033</v>
      </c>
      <c r="B1354" t="s">
        <v>1103</v>
      </c>
      <c r="C1354" t="s">
        <v>13</v>
      </c>
      <c r="D1354">
        <v>-50</v>
      </c>
      <c r="E1354">
        <v>493.010009765625</v>
      </c>
    </row>
    <row r="1355" spans="1:5" x14ac:dyDescent="0.3">
      <c r="A1355" t="s">
        <v>2034</v>
      </c>
      <c r="B1355" t="s">
        <v>172</v>
      </c>
      <c r="C1355" t="s">
        <v>69</v>
      </c>
      <c r="D1355">
        <v>340</v>
      </c>
      <c r="E1355">
        <v>388.73001098632813</v>
      </c>
    </row>
    <row r="1356" spans="1:5" x14ac:dyDescent="0.3">
      <c r="A1356" t="s">
        <v>2035</v>
      </c>
      <c r="B1356" t="s">
        <v>273</v>
      </c>
      <c r="C1356" t="s">
        <v>43</v>
      </c>
      <c r="D1356">
        <v>390</v>
      </c>
      <c r="E1356">
        <v>251.80000305175781</v>
      </c>
    </row>
    <row r="1357" spans="1:5" x14ac:dyDescent="0.3">
      <c r="A1357" t="s">
        <v>2036</v>
      </c>
      <c r="B1357" t="s">
        <v>260</v>
      </c>
      <c r="C1357" t="s">
        <v>45</v>
      </c>
      <c r="D1357">
        <v>20</v>
      </c>
      <c r="E1357">
        <v>235.78999328613281</v>
      </c>
    </row>
    <row r="1358" spans="1:5" x14ac:dyDescent="0.3">
      <c r="A1358" t="s">
        <v>2037</v>
      </c>
      <c r="B1358" t="s">
        <v>2951</v>
      </c>
      <c r="C1358" t="s">
        <v>69</v>
      </c>
      <c r="D1358">
        <v>120</v>
      </c>
      <c r="E1358">
        <v>377.07000732421875</v>
      </c>
    </row>
    <row r="1359" spans="1:5" x14ac:dyDescent="0.3">
      <c r="A1359" t="s">
        <v>2038</v>
      </c>
      <c r="B1359" t="s">
        <v>2952</v>
      </c>
      <c r="C1359" t="s">
        <v>56</v>
      </c>
      <c r="D1359">
        <v>400</v>
      </c>
      <c r="E1359">
        <v>344.83999633789063</v>
      </c>
    </row>
    <row r="1360" spans="1:5" x14ac:dyDescent="0.3">
      <c r="A1360" t="s">
        <v>2039</v>
      </c>
      <c r="B1360" t="s">
        <v>648</v>
      </c>
      <c r="C1360" t="s">
        <v>18</v>
      </c>
      <c r="D1360">
        <v>90</v>
      </c>
      <c r="E1360">
        <v>191.10000610351563</v>
      </c>
    </row>
    <row r="1361" spans="1:5" x14ac:dyDescent="0.3">
      <c r="A1361" t="s">
        <v>2040</v>
      </c>
      <c r="B1361" t="s">
        <v>2430</v>
      </c>
      <c r="C1361" t="s">
        <v>56</v>
      </c>
      <c r="D1361">
        <v>210</v>
      </c>
      <c r="E1361">
        <v>100.65000152587891</v>
      </c>
    </row>
    <row r="1362" spans="1:5" x14ac:dyDescent="0.3">
      <c r="A1362" t="s">
        <v>2041</v>
      </c>
      <c r="B1362" t="s">
        <v>999</v>
      </c>
      <c r="C1362" t="s">
        <v>34</v>
      </c>
      <c r="D1362">
        <v>320</v>
      </c>
      <c r="E1362">
        <v>141.13999938964844</v>
      </c>
    </row>
    <row r="1363" spans="1:5" x14ac:dyDescent="0.3">
      <c r="A1363" t="s">
        <v>2042</v>
      </c>
      <c r="B1363" t="s">
        <v>193</v>
      </c>
      <c r="C1363" t="s">
        <v>70</v>
      </c>
      <c r="D1363">
        <v>270</v>
      </c>
      <c r="E1363">
        <v>12.989999771118164</v>
      </c>
    </row>
    <row r="1364" spans="1:5" x14ac:dyDescent="0.3">
      <c r="A1364" t="s">
        <v>2043</v>
      </c>
      <c r="B1364" t="s">
        <v>1408</v>
      </c>
      <c r="C1364" t="s">
        <v>18</v>
      </c>
      <c r="D1364">
        <v>450</v>
      </c>
      <c r="E1364">
        <v>299.45999145507813</v>
      </c>
    </row>
    <row r="1365" spans="1:5" x14ac:dyDescent="0.3">
      <c r="A1365" t="s">
        <v>2044</v>
      </c>
      <c r="B1365" t="s">
        <v>411</v>
      </c>
      <c r="C1365" t="s">
        <v>31</v>
      </c>
      <c r="D1365">
        <v>30</v>
      </c>
      <c r="E1365">
        <v>216.6199951171875</v>
      </c>
    </row>
    <row r="1366" spans="1:5" x14ac:dyDescent="0.3">
      <c r="A1366" t="s">
        <v>2046</v>
      </c>
      <c r="B1366" t="s">
        <v>1149</v>
      </c>
      <c r="C1366" t="s">
        <v>37</v>
      </c>
      <c r="D1366">
        <v>240</v>
      </c>
      <c r="E1366">
        <v>363.33999633789063</v>
      </c>
    </row>
    <row r="1367" spans="1:5" x14ac:dyDescent="0.3">
      <c r="A1367" t="s">
        <v>2047</v>
      </c>
      <c r="B1367" t="s">
        <v>1798</v>
      </c>
      <c r="C1367" t="s">
        <v>43</v>
      </c>
      <c r="D1367">
        <v>80</v>
      </c>
      <c r="E1367">
        <v>471.29998779296875</v>
      </c>
    </row>
    <row r="1368" spans="1:5" x14ac:dyDescent="0.3">
      <c r="A1368" t="s">
        <v>2048</v>
      </c>
      <c r="B1368" t="s">
        <v>185</v>
      </c>
      <c r="C1368" t="s">
        <v>18</v>
      </c>
      <c r="D1368">
        <v>100</v>
      </c>
      <c r="E1368">
        <v>155.02000427246094</v>
      </c>
    </row>
    <row r="1369" spans="1:5" x14ac:dyDescent="0.3">
      <c r="A1369" t="s">
        <v>2049</v>
      </c>
      <c r="B1369" t="s">
        <v>1203</v>
      </c>
      <c r="C1369" t="s">
        <v>64</v>
      </c>
      <c r="D1369">
        <v>120</v>
      </c>
      <c r="E1369">
        <v>161.80999755859375</v>
      </c>
    </row>
    <row r="1370" spans="1:5" x14ac:dyDescent="0.3">
      <c r="A1370" t="s">
        <v>2050</v>
      </c>
      <c r="B1370" t="s">
        <v>1242</v>
      </c>
      <c r="C1370" t="s">
        <v>58</v>
      </c>
      <c r="D1370">
        <v>30</v>
      </c>
      <c r="E1370">
        <v>121.79000091552734</v>
      </c>
    </row>
    <row r="1371" spans="1:5" x14ac:dyDescent="0.3">
      <c r="A1371" t="s">
        <v>2051</v>
      </c>
      <c r="B1371" t="s">
        <v>2430</v>
      </c>
      <c r="C1371" t="s">
        <v>64</v>
      </c>
      <c r="D1371">
        <v>480</v>
      </c>
      <c r="E1371">
        <v>297.89999389648438</v>
      </c>
    </row>
    <row r="1372" spans="1:5" x14ac:dyDescent="0.3">
      <c r="A1372" t="s">
        <v>2052</v>
      </c>
      <c r="B1372" t="s">
        <v>2089</v>
      </c>
      <c r="C1372" t="s">
        <v>61</v>
      </c>
      <c r="D1372">
        <v>180</v>
      </c>
      <c r="E1372">
        <v>335.89999389648438</v>
      </c>
    </row>
    <row r="1373" spans="1:5" x14ac:dyDescent="0.3">
      <c r="A1373" t="s">
        <v>2053</v>
      </c>
      <c r="B1373" t="s">
        <v>213</v>
      </c>
      <c r="C1373" t="s">
        <v>23</v>
      </c>
      <c r="D1373">
        <v>110</v>
      </c>
      <c r="E1373">
        <v>14.340000152587891</v>
      </c>
    </row>
    <row r="1374" spans="1:5" x14ac:dyDescent="0.3">
      <c r="A1374" t="s">
        <v>2055</v>
      </c>
      <c r="B1374" t="s">
        <v>2258</v>
      </c>
      <c r="C1374" t="s">
        <v>18</v>
      </c>
      <c r="D1374">
        <v>310</v>
      </c>
      <c r="E1374">
        <v>494.6199951171875</v>
      </c>
    </row>
    <row r="1375" spans="1:5" x14ac:dyDescent="0.3">
      <c r="A1375" t="s">
        <v>2056</v>
      </c>
      <c r="B1375" t="s">
        <v>2707</v>
      </c>
      <c r="C1375" t="s">
        <v>59</v>
      </c>
      <c r="D1375">
        <v>100</v>
      </c>
      <c r="E1375">
        <v>70.910003662109375</v>
      </c>
    </row>
    <row r="1376" spans="1:5" x14ac:dyDescent="0.3">
      <c r="A1376" t="s">
        <v>2057</v>
      </c>
      <c r="B1376" t="s">
        <v>1384</v>
      </c>
      <c r="C1376" t="s">
        <v>60</v>
      </c>
      <c r="D1376">
        <v>330</v>
      </c>
      <c r="E1376">
        <v>420.20999145507813</v>
      </c>
    </row>
    <row r="1377" spans="1:5" x14ac:dyDescent="0.3">
      <c r="A1377" t="s">
        <v>2058</v>
      </c>
      <c r="B1377" t="s">
        <v>1687</v>
      </c>
      <c r="C1377" t="s">
        <v>63</v>
      </c>
      <c r="D1377">
        <v>150</v>
      </c>
      <c r="E1377">
        <v>352.35000610351563</v>
      </c>
    </row>
    <row r="1378" spans="1:5" x14ac:dyDescent="0.3">
      <c r="A1378" t="s">
        <v>2059</v>
      </c>
      <c r="B1378" t="s">
        <v>1289</v>
      </c>
      <c r="C1378" t="s">
        <v>18</v>
      </c>
      <c r="D1378">
        <v>240</v>
      </c>
      <c r="E1378">
        <v>59.950000762939453</v>
      </c>
    </row>
    <row r="1379" spans="1:5" x14ac:dyDescent="0.3">
      <c r="A1379" t="s">
        <v>2060</v>
      </c>
      <c r="B1379" t="s">
        <v>101</v>
      </c>
      <c r="C1379" t="s">
        <v>64</v>
      </c>
      <c r="D1379">
        <v>90</v>
      </c>
      <c r="E1379">
        <v>368.45001220703125</v>
      </c>
    </row>
    <row r="1380" spans="1:5" x14ac:dyDescent="0.3">
      <c r="A1380" t="s">
        <v>2061</v>
      </c>
      <c r="B1380" t="s">
        <v>2877</v>
      </c>
      <c r="C1380" t="s">
        <v>58</v>
      </c>
      <c r="D1380">
        <v>200</v>
      </c>
      <c r="E1380">
        <v>486.10000610351563</v>
      </c>
    </row>
    <row r="1381" spans="1:5" x14ac:dyDescent="0.3">
      <c r="A1381" t="s">
        <v>2062</v>
      </c>
      <c r="B1381" t="s">
        <v>145</v>
      </c>
      <c r="C1381" t="s">
        <v>45</v>
      </c>
      <c r="D1381">
        <v>380</v>
      </c>
      <c r="E1381">
        <v>253.96000671386719</v>
      </c>
    </row>
    <row r="1382" spans="1:5" x14ac:dyDescent="0.3">
      <c r="A1382" t="s">
        <v>2063</v>
      </c>
      <c r="B1382" t="s">
        <v>2941</v>
      </c>
      <c r="C1382" t="s">
        <v>41</v>
      </c>
      <c r="D1382">
        <v>460</v>
      </c>
      <c r="E1382">
        <v>395.92001342773438</v>
      </c>
    </row>
    <row r="1383" spans="1:5" x14ac:dyDescent="0.3">
      <c r="A1383" t="s">
        <v>2064</v>
      </c>
      <c r="B1383" t="s">
        <v>733</v>
      </c>
      <c r="C1383" t="s">
        <v>60</v>
      </c>
      <c r="D1383">
        <v>90</v>
      </c>
      <c r="E1383">
        <v>268.64999389648438</v>
      </c>
    </row>
    <row r="1384" spans="1:5" x14ac:dyDescent="0.3">
      <c r="A1384" t="s">
        <v>2065</v>
      </c>
      <c r="B1384" t="s">
        <v>126</v>
      </c>
      <c r="C1384" t="s">
        <v>36</v>
      </c>
      <c r="D1384">
        <v>420</v>
      </c>
      <c r="E1384">
        <v>111.66999816894531</v>
      </c>
    </row>
    <row r="1385" spans="1:5" x14ac:dyDescent="0.3">
      <c r="A1385" t="s">
        <v>2066</v>
      </c>
      <c r="B1385" t="s">
        <v>591</v>
      </c>
      <c r="C1385" t="s">
        <v>65</v>
      </c>
      <c r="D1385">
        <v>430</v>
      </c>
      <c r="E1385">
        <v>297.29000854492188</v>
      </c>
    </row>
    <row r="1386" spans="1:5" x14ac:dyDescent="0.3">
      <c r="A1386" t="s">
        <v>2067</v>
      </c>
      <c r="B1386" t="s">
        <v>2909</v>
      </c>
      <c r="C1386" t="s">
        <v>57</v>
      </c>
      <c r="D1386">
        <v>100</v>
      </c>
      <c r="E1386">
        <v>80.639999389648438</v>
      </c>
    </row>
    <row r="1387" spans="1:5" x14ac:dyDescent="0.3">
      <c r="A1387" t="s">
        <v>2068</v>
      </c>
      <c r="B1387" t="s">
        <v>597</v>
      </c>
      <c r="C1387" t="s">
        <v>28</v>
      </c>
      <c r="D1387">
        <v>230</v>
      </c>
      <c r="E1387">
        <v>349.6400146484375</v>
      </c>
    </row>
    <row r="1388" spans="1:5" x14ac:dyDescent="0.3">
      <c r="A1388" t="s">
        <v>2069</v>
      </c>
      <c r="B1388" t="s">
        <v>1516</v>
      </c>
      <c r="C1388" t="s">
        <v>25</v>
      </c>
      <c r="D1388">
        <v>140</v>
      </c>
      <c r="E1388">
        <v>375.07000732421875</v>
      </c>
    </row>
    <row r="1389" spans="1:5" x14ac:dyDescent="0.3">
      <c r="A1389" t="s">
        <v>2070</v>
      </c>
      <c r="B1389" t="s">
        <v>260</v>
      </c>
      <c r="C1389" t="s">
        <v>46</v>
      </c>
      <c r="D1389">
        <v>450</v>
      </c>
      <c r="E1389">
        <v>60.470001220703125</v>
      </c>
    </row>
    <row r="1390" spans="1:5" x14ac:dyDescent="0.3">
      <c r="A1390" t="s">
        <v>2072</v>
      </c>
      <c r="B1390" t="s">
        <v>1043</v>
      </c>
      <c r="C1390" t="s">
        <v>52</v>
      </c>
      <c r="D1390">
        <v>310</v>
      </c>
      <c r="E1390">
        <v>192.24000549316406</v>
      </c>
    </row>
    <row r="1391" spans="1:5" x14ac:dyDescent="0.3">
      <c r="A1391" t="s">
        <v>2073</v>
      </c>
      <c r="B1391" t="s">
        <v>539</v>
      </c>
      <c r="C1391" t="s">
        <v>61</v>
      </c>
      <c r="D1391">
        <v>170</v>
      </c>
      <c r="E1391">
        <v>189.55000305175781</v>
      </c>
    </row>
    <row r="1392" spans="1:5" x14ac:dyDescent="0.3">
      <c r="A1392" t="s">
        <v>2074</v>
      </c>
      <c r="B1392" t="s">
        <v>1132</v>
      </c>
      <c r="C1392" t="s">
        <v>13</v>
      </c>
      <c r="D1392">
        <v>500</v>
      </c>
      <c r="E1392">
        <v>354.41000366210938</v>
      </c>
    </row>
    <row r="1393" spans="1:5" x14ac:dyDescent="0.3">
      <c r="A1393" t="s">
        <v>2075</v>
      </c>
      <c r="B1393" t="s">
        <v>902</v>
      </c>
      <c r="C1393" t="s">
        <v>25</v>
      </c>
      <c r="D1393">
        <v>80</v>
      </c>
      <c r="E1393">
        <v>121.62999725341797</v>
      </c>
    </row>
    <row r="1394" spans="1:5" x14ac:dyDescent="0.3">
      <c r="A1394" t="s">
        <v>2077</v>
      </c>
      <c r="B1394" t="s">
        <v>2884</v>
      </c>
      <c r="C1394" t="s">
        <v>60</v>
      </c>
      <c r="D1394">
        <v>230</v>
      </c>
      <c r="E1394">
        <v>308.83999633789063</v>
      </c>
    </row>
    <row r="1395" spans="1:5" x14ac:dyDescent="0.3">
      <c r="A1395" t="s">
        <v>2078</v>
      </c>
      <c r="B1395" t="s">
        <v>1137</v>
      </c>
      <c r="C1395" t="s">
        <v>25</v>
      </c>
      <c r="D1395">
        <v>30</v>
      </c>
      <c r="E1395">
        <v>366.48001098632813</v>
      </c>
    </row>
    <row r="1396" spans="1:5" x14ac:dyDescent="0.3">
      <c r="A1396" t="s">
        <v>2079</v>
      </c>
      <c r="B1396" t="s">
        <v>716</v>
      </c>
      <c r="C1396" t="s">
        <v>42</v>
      </c>
      <c r="D1396">
        <v>130</v>
      </c>
      <c r="E1396">
        <v>127.80999755859375</v>
      </c>
    </row>
    <row r="1397" spans="1:5" x14ac:dyDescent="0.3">
      <c r="A1397" t="s">
        <v>2080</v>
      </c>
      <c r="B1397" t="s">
        <v>2349</v>
      </c>
      <c r="C1397" t="s">
        <v>44</v>
      </c>
      <c r="D1397">
        <v>460</v>
      </c>
      <c r="E1397">
        <v>58.880001068115234</v>
      </c>
    </row>
    <row r="1398" spans="1:5" x14ac:dyDescent="0.3">
      <c r="A1398" t="s">
        <v>2081</v>
      </c>
      <c r="B1398" t="s">
        <v>234</v>
      </c>
      <c r="C1398" t="s">
        <v>65</v>
      </c>
      <c r="D1398">
        <v>490</v>
      </c>
      <c r="E1398">
        <v>508.57998657226563</v>
      </c>
    </row>
    <row r="1399" spans="1:5" x14ac:dyDescent="0.3">
      <c r="A1399" t="s">
        <v>2082</v>
      </c>
      <c r="B1399" t="s">
        <v>944</v>
      </c>
      <c r="C1399" t="s">
        <v>16</v>
      </c>
      <c r="D1399">
        <v>460</v>
      </c>
      <c r="E1399">
        <v>458.57998657226563</v>
      </c>
    </row>
    <row r="1400" spans="1:5" x14ac:dyDescent="0.3">
      <c r="A1400" t="s">
        <v>2084</v>
      </c>
      <c r="B1400" t="s">
        <v>1183</v>
      </c>
      <c r="C1400" t="s">
        <v>19</v>
      </c>
      <c r="D1400">
        <v>180</v>
      </c>
      <c r="E1400">
        <v>273.41000366210938</v>
      </c>
    </row>
    <row r="1401" spans="1:5" x14ac:dyDescent="0.3">
      <c r="A1401" t="s">
        <v>2085</v>
      </c>
      <c r="B1401" t="s">
        <v>979</v>
      </c>
      <c r="C1401" t="s">
        <v>17</v>
      </c>
      <c r="D1401">
        <v>230</v>
      </c>
      <c r="E1401">
        <v>450.3599853515625</v>
      </c>
    </row>
    <row r="1402" spans="1:5" x14ac:dyDescent="0.3">
      <c r="A1402" t="s">
        <v>2086</v>
      </c>
      <c r="B1402" t="s">
        <v>392</v>
      </c>
      <c r="C1402" t="s">
        <v>47</v>
      </c>
      <c r="D1402">
        <v>240</v>
      </c>
      <c r="E1402">
        <v>369.57000732421875</v>
      </c>
    </row>
    <row r="1403" spans="1:5" x14ac:dyDescent="0.3">
      <c r="A1403" t="s">
        <v>2087</v>
      </c>
      <c r="B1403" t="s">
        <v>1598</v>
      </c>
      <c r="C1403" t="s">
        <v>15</v>
      </c>
      <c r="D1403">
        <v>110</v>
      </c>
      <c r="E1403">
        <v>43.970001220703125</v>
      </c>
    </row>
    <row r="1404" spans="1:5" x14ac:dyDescent="0.3">
      <c r="A1404" t="s">
        <v>2088</v>
      </c>
      <c r="B1404" t="s">
        <v>1687</v>
      </c>
      <c r="C1404" t="s">
        <v>57</v>
      </c>
      <c r="D1404">
        <v>290</v>
      </c>
      <c r="E1404">
        <v>369.32000732421875</v>
      </c>
    </row>
    <row r="1405" spans="1:5" x14ac:dyDescent="0.3">
      <c r="A1405" t="s">
        <v>2090</v>
      </c>
      <c r="B1405" t="s">
        <v>2755</v>
      </c>
      <c r="C1405" t="s">
        <v>53</v>
      </c>
      <c r="D1405">
        <v>40</v>
      </c>
      <c r="E1405">
        <v>374.17999267578125</v>
      </c>
    </row>
    <row r="1406" spans="1:5" x14ac:dyDescent="0.3">
      <c r="A1406" t="s">
        <v>2091</v>
      </c>
      <c r="B1406" t="s">
        <v>436</v>
      </c>
      <c r="C1406" t="s">
        <v>42</v>
      </c>
      <c r="D1406">
        <v>120</v>
      </c>
      <c r="E1406">
        <v>469.92999267578125</v>
      </c>
    </row>
    <row r="1407" spans="1:5" x14ac:dyDescent="0.3">
      <c r="A1407" t="s">
        <v>2092</v>
      </c>
      <c r="B1407" t="s">
        <v>508</v>
      </c>
      <c r="C1407" t="s">
        <v>62</v>
      </c>
      <c r="D1407">
        <v>100</v>
      </c>
      <c r="E1407">
        <v>200.77000427246094</v>
      </c>
    </row>
    <row r="1408" spans="1:5" x14ac:dyDescent="0.3">
      <c r="A1408" t="s">
        <v>2093</v>
      </c>
      <c r="B1408" t="s">
        <v>584</v>
      </c>
      <c r="C1408" t="s">
        <v>65</v>
      </c>
      <c r="D1408">
        <v>100</v>
      </c>
      <c r="E1408">
        <v>493.67999267578125</v>
      </c>
    </row>
    <row r="1409" spans="1:5" x14ac:dyDescent="0.3">
      <c r="A1409" t="s">
        <v>2094</v>
      </c>
      <c r="B1409" t="s">
        <v>2581</v>
      </c>
      <c r="C1409" t="s">
        <v>61</v>
      </c>
      <c r="D1409">
        <v>10</v>
      </c>
      <c r="E1409">
        <v>408.48001098632813</v>
      </c>
    </row>
    <row r="1410" spans="1:5" x14ac:dyDescent="0.3">
      <c r="A1410" t="s">
        <v>2095</v>
      </c>
      <c r="B1410" t="s">
        <v>427</v>
      </c>
      <c r="C1410" t="s">
        <v>32</v>
      </c>
      <c r="D1410">
        <v>260</v>
      </c>
      <c r="E1410">
        <v>387.80999755859375</v>
      </c>
    </row>
    <row r="1411" spans="1:5" x14ac:dyDescent="0.3">
      <c r="A1411" t="s">
        <v>2096</v>
      </c>
      <c r="B1411" t="s">
        <v>1955</v>
      </c>
      <c r="C1411" t="s">
        <v>13</v>
      </c>
      <c r="D1411">
        <v>25000</v>
      </c>
      <c r="E1411">
        <v>92.980003356933594</v>
      </c>
    </row>
    <row r="1412" spans="1:5" x14ac:dyDescent="0.3">
      <c r="A1412" t="s">
        <v>2097</v>
      </c>
      <c r="B1412" t="s">
        <v>408</v>
      </c>
      <c r="C1412" t="s">
        <v>60</v>
      </c>
      <c r="D1412">
        <v>340</v>
      </c>
      <c r="E1412">
        <v>252.33000183105469</v>
      </c>
    </row>
    <row r="1413" spans="1:5" x14ac:dyDescent="0.3">
      <c r="A1413" t="s">
        <v>2098</v>
      </c>
      <c r="B1413" t="s">
        <v>1060</v>
      </c>
      <c r="C1413" t="s">
        <v>37</v>
      </c>
      <c r="D1413">
        <v>10</v>
      </c>
      <c r="E1413">
        <v>299.1099853515625</v>
      </c>
    </row>
    <row r="1414" spans="1:5" x14ac:dyDescent="0.3">
      <c r="A1414" t="s">
        <v>2100</v>
      </c>
      <c r="B1414" t="s">
        <v>1141</v>
      </c>
      <c r="C1414" t="s">
        <v>59</v>
      </c>
      <c r="D1414">
        <v>410</v>
      </c>
      <c r="E1414">
        <v>325.3599853515625</v>
      </c>
    </row>
    <row r="1415" spans="1:5" x14ac:dyDescent="0.3">
      <c r="A1415" t="s">
        <v>2101</v>
      </c>
      <c r="B1415" t="s">
        <v>377</v>
      </c>
      <c r="C1415" t="s">
        <v>65</v>
      </c>
      <c r="D1415">
        <v>470</v>
      </c>
      <c r="E1415">
        <v>212.17999267578125</v>
      </c>
    </row>
    <row r="1416" spans="1:5" x14ac:dyDescent="0.3">
      <c r="A1416" t="s">
        <v>2102</v>
      </c>
      <c r="B1416" t="s">
        <v>367</v>
      </c>
      <c r="C1416" t="s">
        <v>44</v>
      </c>
      <c r="D1416">
        <v>490</v>
      </c>
      <c r="E1416">
        <v>379.739990234375</v>
      </c>
    </row>
    <row r="1417" spans="1:5" x14ac:dyDescent="0.3">
      <c r="A1417" t="s">
        <v>2103</v>
      </c>
      <c r="B1417" t="s">
        <v>667</v>
      </c>
      <c r="C1417" t="s">
        <v>54</v>
      </c>
      <c r="D1417">
        <v>300</v>
      </c>
      <c r="E1417">
        <v>37.270000457763672</v>
      </c>
    </row>
    <row r="1418" spans="1:5" x14ac:dyDescent="0.3">
      <c r="A1418" t="s">
        <v>2104</v>
      </c>
      <c r="B1418" t="s">
        <v>539</v>
      </c>
      <c r="C1418" t="s">
        <v>29</v>
      </c>
      <c r="D1418">
        <v>80</v>
      </c>
      <c r="E1418">
        <v>433.04998779296875</v>
      </c>
    </row>
    <row r="1419" spans="1:5" x14ac:dyDescent="0.3">
      <c r="A1419" t="s">
        <v>2106</v>
      </c>
      <c r="B1419" t="s">
        <v>982</v>
      </c>
      <c r="C1419" t="s">
        <v>44</v>
      </c>
      <c r="D1419">
        <v>60</v>
      </c>
      <c r="E1419">
        <v>104.44999694824219</v>
      </c>
    </row>
    <row r="1420" spans="1:5" x14ac:dyDescent="0.3">
      <c r="A1420" t="s">
        <v>2107</v>
      </c>
      <c r="B1420" t="s">
        <v>2892</v>
      </c>
      <c r="C1420" t="s">
        <v>42</v>
      </c>
      <c r="D1420">
        <v>300</v>
      </c>
      <c r="E1420">
        <v>127.87999725341797</v>
      </c>
    </row>
    <row r="1421" spans="1:5" x14ac:dyDescent="0.3">
      <c r="A1421" t="s">
        <v>2108</v>
      </c>
      <c r="B1421" t="s">
        <v>839</v>
      </c>
      <c r="C1421" t="s">
        <v>124</v>
      </c>
      <c r="D1421">
        <v>220</v>
      </c>
      <c r="E1421">
        <v>436.85000610351563</v>
      </c>
    </row>
    <row r="1422" spans="1:5" x14ac:dyDescent="0.3">
      <c r="A1422" t="s">
        <v>2110</v>
      </c>
      <c r="B1422" t="s">
        <v>1047</v>
      </c>
      <c r="C1422" t="s">
        <v>66</v>
      </c>
      <c r="D1422">
        <v>280</v>
      </c>
      <c r="E1422">
        <v>403.5</v>
      </c>
    </row>
    <row r="1423" spans="1:5" x14ac:dyDescent="0.3">
      <c r="A1423" t="s">
        <v>2111</v>
      </c>
      <c r="B1423" t="s">
        <v>950</v>
      </c>
      <c r="C1423" t="s">
        <v>56</v>
      </c>
      <c r="D1423">
        <v>240</v>
      </c>
      <c r="E1423">
        <v>225.8800048828125</v>
      </c>
    </row>
    <row r="1424" spans="1:5" x14ac:dyDescent="0.3">
      <c r="A1424" t="s">
        <v>2112</v>
      </c>
      <c r="B1424" t="s">
        <v>599</v>
      </c>
      <c r="C1424" t="s">
        <v>41</v>
      </c>
      <c r="D1424">
        <v>240</v>
      </c>
      <c r="E1424">
        <v>243.08000183105469</v>
      </c>
    </row>
    <row r="1425" spans="1:5" x14ac:dyDescent="0.3">
      <c r="A1425" t="s">
        <v>2113</v>
      </c>
      <c r="B1425" t="s">
        <v>1086</v>
      </c>
      <c r="C1425" t="s">
        <v>15</v>
      </c>
      <c r="D1425">
        <v>370</v>
      </c>
      <c r="E1425">
        <v>364.54000854492188</v>
      </c>
    </row>
    <row r="1426" spans="1:5" x14ac:dyDescent="0.3">
      <c r="A1426" t="s">
        <v>2114</v>
      </c>
      <c r="B1426" t="s">
        <v>870</v>
      </c>
      <c r="C1426" t="s">
        <v>65</v>
      </c>
      <c r="D1426">
        <v>490</v>
      </c>
      <c r="E1426">
        <v>320</v>
      </c>
    </row>
    <row r="1427" spans="1:5" x14ac:dyDescent="0.3">
      <c r="A1427" t="s">
        <v>2116</v>
      </c>
      <c r="B1427" t="s">
        <v>1021</v>
      </c>
      <c r="C1427" t="s">
        <v>18</v>
      </c>
      <c r="D1427">
        <v>410</v>
      </c>
      <c r="E1427">
        <v>409.489990234375</v>
      </c>
    </row>
    <row r="1428" spans="1:5" x14ac:dyDescent="0.3">
      <c r="A1428" t="s">
        <v>2117</v>
      </c>
      <c r="B1428" t="s">
        <v>139</v>
      </c>
      <c r="C1428" t="s">
        <v>38</v>
      </c>
      <c r="D1428">
        <v>180</v>
      </c>
      <c r="E1428">
        <v>253.38999938964844</v>
      </c>
    </row>
    <row r="1429" spans="1:5" x14ac:dyDescent="0.3">
      <c r="A1429" t="s">
        <v>2118</v>
      </c>
      <c r="B1429" t="s">
        <v>854</v>
      </c>
      <c r="C1429" t="s">
        <v>23</v>
      </c>
      <c r="D1429">
        <v>310</v>
      </c>
      <c r="E1429">
        <v>42.360000610351563</v>
      </c>
    </row>
    <row r="1430" spans="1:5" x14ac:dyDescent="0.3">
      <c r="A1430" t="s">
        <v>2119</v>
      </c>
      <c r="B1430" t="s">
        <v>126</v>
      </c>
      <c r="C1430" t="s">
        <v>38</v>
      </c>
      <c r="D1430">
        <v>60</v>
      </c>
      <c r="E1430">
        <v>287.3900146484375</v>
      </c>
    </row>
    <row r="1431" spans="1:5" x14ac:dyDescent="0.3">
      <c r="A1431" t="s">
        <v>2120</v>
      </c>
      <c r="B1431" t="s">
        <v>352</v>
      </c>
      <c r="C1431" t="s">
        <v>60</v>
      </c>
      <c r="D1431">
        <v>140</v>
      </c>
      <c r="E1431">
        <v>69.790000915527344</v>
      </c>
    </row>
    <row r="1432" spans="1:5" x14ac:dyDescent="0.3">
      <c r="A1432" t="s">
        <v>2121</v>
      </c>
      <c r="B1432" t="s">
        <v>976</v>
      </c>
      <c r="C1432" t="s">
        <v>46</v>
      </c>
      <c r="D1432">
        <v>500</v>
      </c>
      <c r="E1432">
        <v>291.16000366210938</v>
      </c>
    </row>
    <row r="1433" spans="1:5" x14ac:dyDescent="0.3">
      <c r="A1433" t="s">
        <v>2122</v>
      </c>
      <c r="B1433" t="s">
        <v>2020</v>
      </c>
      <c r="C1433" t="s">
        <v>58</v>
      </c>
      <c r="D1433">
        <v>70</v>
      </c>
      <c r="E1433">
        <v>423.42001342773438</v>
      </c>
    </row>
    <row r="1434" spans="1:5" x14ac:dyDescent="0.3">
      <c r="A1434" t="s">
        <v>2123</v>
      </c>
      <c r="B1434" t="s">
        <v>1689</v>
      </c>
      <c r="C1434" t="s">
        <v>61</v>
      </c>
      <c r="D1434">
        <v>500</v>
      </c>
      <c r="E1434">
        <v>258.82000732421875</v>
      </c>
    </row>
    <row r="1435" spans="1:5" x14ac:dyDescent="0.3">
      <c r="A1435" t="s">
        <v>2124</v>
      </c>
      <c r="B1435" t="s">
        <v>811</v>
      </c>
      <c r="C1435" t="s">
        <v>17</v>
      </c>
      <c r="D1435">
        <v>420</v>
      </c>
      <c r="E1435">
        <v>159.89999389648438</v>
      </c>
    </row>
    <row r="1436" spans="1:5" x14ac:dyDescent="0.3">
      <c r="A1436" t="s">
        <v>2125</v>
      </c>
      <c r="B1436" t="s">
        <v>1254</v>
      </c>
      <c r="C1436" t="s">
        <v>36</v>
      </c>
      <c r="D1436">
        <v>190</v>
      </c>
      <c r="E1436">
        <v>309.51998901367188</v>
      </c>
    </row>
    <row r="1437" spans="1:5" x14ac:dyDescent="0.3">
      <c r="A1437" t="s">
        <v>2126</v>
      </c>
      <c r="B1437" t="s">
        <v>2909</v>
      </c>
      <c r="C1437" t="s">
        <v>21</v>
      </c>
      <c r="D1437">
        <v>140</v>
      </c>
      <c r="E1437">
        <v>460.8599853515625</v>
      </c>
    </row>
    <row r="1438" spans="1:5" x14ac:dyDescent="0.3">
      <c r="A1438" t="s">
        <v>2127</v>
      </c>
      <c r="B1438" t="s">
        <v>1521</v>
      </c>
      <c r="C1438" t="s">
        <v>47</v>
      </c>
      <c r="D1438">
        <v>330</v>
      </c>
      <c r="E1438">
        <v>187.39999389648438</v>
      </c>
    </row>
    <row r="1439" spans="1:5" x14ac:dyDescent="0.3">
      <c r="A1439" t="s">
        <v>2128</v>
      </c>
      <c r="B1439" t="s">
        <v>2873</v>
      </c>
      <c r="C1439" t="s">
        <v>43</v>
      </c>
      <c r="D1439">
        <v>290</v>
      </c>
      <c r="E1439">
        <v>132.94000244140625</v>
      </c>
    </row>
    <row r="1440" spans="1:5" x14ac:dyDescent="0.3">
      <c r="A1440" t="s">
        <v>2129</v>
      </c>
      <c r="B1440" t="s">
        <v>315</v>
      </c>
      <c r="C1440" t="s">
        <v>21</v>
      </c>
      <c r="D1440">
        <v>280</v>
      </c>
      <c r="E1440">
        <v>261.60000610351563</v>
      </c>
    </row>
    <row r="1441" spans="1:5" x14ac:dyDescent="0.3">
      <c r="A1441" t="s">
        <v>2130</v>
      </c>
      <c r="B1441" t="s">
        <v>1372</v>
      </c>
      <c r="C1441" t="s">
        <v>63</v>
      </c>
      <c r="D1441">
        <v>50</v>
      </c>
      <c r="E1441">
        <v>107.79000091552734</v>
      </c>
    </row>
    <row r="1442" spans="1:5" x14ac:dyDescent="0.3">
      <c r="A1442" t="s">
        <v>2131</v>
      </c>
      <c r="B1442" t="s">
        <v>961</v>
      </c>
      <c r="C1442" t="s">
        <v>15</v>
      </c>
      <c r="D1442">
        <v>60</v>
      </c>
      <c r="E1442">
        <v>26.25</v>
      </c>
    </row>
    <row r="1443" spans="1:5" x14ac:dyDescent="0.3">
      <c r="A1443" t="s">
        <v>2132</v>
      </c>
      <c r="B1443" t="s">
        <v>1545</v>
      </c>
      <c r="C1443" t="s">
        <v>34</v>
      </c>
      <c r="D1443">
        <v>250</v>
      </c>
      <c r="E1443">
        <v>442.04000854492188</v>
      </c>
    </row>
    <row r="1444" spans="1:5" x14ac:dyDescent="0.3">
      <c r="A1444" t="s">
        <v>2133</v>
      </c>
      <c r="B1444" t="s">
        <v>524</v>
      </c>
      <c r="C1444" t="s">
        <v>41</v>
      </c>
      <c r="D1444">
        <v>290</v>
      </c>
      <c r="E1444">
        <v>100.51000213623047</v>
      </c>
    </row>
    <row r="1445" spans="1:5" x14ac:dyDescent="0.3">
      <c r="A1445" t="s">
        <v>2134</v>
      </c>
      <c r="B1445" t="s">
        <v>2931</v>
      </c>
      <c r="C1445" t="s">
        <v>23</v>
      </c>
      <c r="D1445">
        <v>320</v>
      </c>
      <c r="E1445">
        <v>317.33999633789063</v>
      </c>
    </row>
    <row r="1446" spans="1:5" x14ac:dyDescent="0.3">
      <c r="A1446" t="s">
        <v>2135</v>
      </c>
      <c r="B1446" t="s">
        <v>1108</v>
      </c>
      <c r="C1446" t="s">
        <v>56</v>
      </c>
      <c r="D1446">
        <v>210</v>
      </c>
      <c r="E1446">
        <v>228.50999450683594</v>
      </c>
    </row>
    <row r="1447" spans="1:5" x14ac:dyDescent="0.3">
      <c r="A1447" t="s">
        <v>2137</v>
      </c>
      <c r="B1447" t="s">
        <v>149</v>
      </c>
      <c r="C1447" t="s">
        <v>12</v>
      </c>
      <c r="D1447">
        <v>320</v>
      </c>
      <c r="E1447">
        <v>40.330001831054688</v>
      </c>
    </row>
    <row r="1448" spans="1:5" x14ac:dyDescent="0.3">
      <c r="A1448" t="s">
        <v>2138</v>
      </c>
      <c r="B1448" t="s">
        <v>1825</v>
      </c>
      <c r="C1448" t="s">
        <v>47</v>
      </c>
      <c r="D1448">
        <v>220</v>
      </c>
      <c r="E1448">
        <v>279.39999389648438</v>
      </c>
    </row>
    <row r="1449" spans="1:5" x14ac:dyDescent="0.3">
      <c r="A1449" t="s">
        <v>2139</v>
      </c>
      <c r="B1449" t="s">
        <v>425</v>
      </c>
      <c r="C1449" t="s">
        <v>52</v>
      </c>
      <c r="D1449">
        <v>450</v>
      </c>
      <c r="E1449">
        <v>42.639999389648438</v>
      </c>
    </row>
    <row r="1450" spans="1:5" x14ac:dyDescent="0.3">
      <c r="A1450" t="s">
        <v>2140</v>
      </c>
      <c r="B1450" t="s">
        <v>597</v>
      </c>
      <c r="C1450" t="s">
        <v>66</v>
      </c>
      <c r="D1450">
        <v>300</v>
      </c>
      <c r="E1450">
        <v>247.30000305175781</v>
      </c>
    </row>
    <row r="1451" spans="1:5" x14ac:dyDescent="0.3">
      <c r="A1451" t="s">
        <v>2141</v>
      </c>
      <c r="B1451" t="s">
        <v>2020</v>
      </c>
      <c r="C1451" t="s">
        <v>12</v>
      </c>
      <c r="D1451">
        <v>30</v>
      </c>
      <c r="E1451">
        <v>380.92999267578125</v>
      </c>
    </row>
    <row r="1452" spans="1:5" x14ac:dyDescent="0.3">
      <c r="A1452" t="s">
        <v>2142</v>
      </c>
      <c r="B1452" t="s">
        <v>2410</v>
      </c>
      <c r="C1452" t="s">
        <v>67</v>
      </c>
      <c r="D1452">
        <v>100</v>
      </c>
      <c r="E1452">
        <v>251.3699951171875</v>
      </c>
    </row>
    <row r="1453" spans="1:5" x14ac:dyDescent="0.3">
      <c r="A1453" t="s">
        <v>2143</v>
      </c>
      <c r="B1453" t="s">
        <v>1147</v>
      </c>
      <c r="C1453" t="s">
        <v>45</v>
      </c>
      <c r="D1453">
        <v>480</v>
      </c>
      <c r="E1453">
        <v>236.82000732421875</v>
      </c>
    </row>
    <row r="1454" spans="1:5" x14ac:dyDescent="0.3">
      <c r="A1454" t="s">
        <v>2144</v>
      </c>
      <c r="B1454" t="s">
        <v>1049</v>
      </c>
      <c r="C1454" t="s">
        <v>15</v>
      </c>
      <c r="D1454">
        <v>350</v>
      </c>
      <c r="E1454">
        <v>35.740001678466797</v>
      </c>
    </row>
    <row r="1455" spans="1:5" x14ac:dyDescent="0.3">
      <c r="A1455" t="s">
        <v>2145</v>
      </c>
      <c r="B1455" t="s">
        <v>2929</v>
      </c>
      <c r="C1455" t="s">
        <v>55</v>
      </c>
      <c r="D1455">
        <v>370</v>
      </c>
      <c r="E1455">
        <v>416.95999145507813</v>
      </c>
    </row>
    <row r="1456" spans="1:5" x14ac:dyDescent="0.3">
      <c r="A1456" t="s">
        <v>2146</v>
      </c>
      <c r="B1456" t="s">
        <v>1772</v>
      </c>
      <c r="C1456" t="s">
        <v>69</v>
      </c>
      <c r="D1456">
        <v>430</v>
      </c>
      <c r="E1456">
        <v>469.55999755859375</v>
      </c>
    </row>
    <row r="1457" spans="1:5" x14ac:dyDescent="0.3">
      <c r="A1457" t="s">
        <v>2147</v>
      </c>
      <c r="B1457" t="s">
        <v>1704</v>
      </c>
      <c r="C1457" t="s">
        <v>34</v>
      </c>
      <c r="D1457">
        <v>400</v>
      </c>
      <c r="E1457">
        <v>352.989990234375</v>
      </c>
    </row>
    <row r="1458" spans="1:5" x14ac:dyDescent="0.3">
      <c r="A1458" t="s">
        <v>2148</v>
      </c>
      <c r="B1458" t="s">
        <v>1377</v>
      </c>
      <c r="C1458" t="s">
        <v>47</v>
      </c>
      <c r="D1458">
        <v>360</v>
      </c>
      <c r="E1458">
        <v>46.959999084472656</v>
      </c>
    </row>
    <row r="1459" spans="1:5" x14ac:dyDescent="0.3">
      <c r="A1459" t="s">
        <v>2149</v>
      </c>
      <c r="B1459" t="s">
        <v>185</v>
      </c>
      <c r="C1459" t="s">
        <v>41</v>
      </c>
      <c r="D1459">
        <v>370</v>
      </c>
      <c r="E1459">
        <v>101.55000305175781</v>
      </c>
    </row>
    <row r="1460" spans="1:5" x14ac:dyDescent="0.3">
      <c r="A1460" t="s">
        <v>2151</v>
      </c>
      <c r="B1460" t="s">
        <v>941</v>
      </c>
      <c r="C1460" t="s">
        <v>15</v>
      </c>
      <c r="D1460">
        <v>240</v>
      </c>
      <c r="E1460">
        <v>387.08999633789063</v>
      </c>
    </row>
    <row r="1461" spans="1:5" x14ac:dyDescent="0.3">
      <c r="A1461" t="s">
        <v>2152</v>
      </c>
      <c r="B1461" t="s">
        <v>287</v>
      </c>
      <c r="C1461" t="s">
        <v>39</v>
      </c>
      <c r="D1461">
        <v>240</v>
      </c>
      <c r="E1461">
        <v>344.27999877929688</v>
      </c>
    </row>
    <row r="1462" spans="1:5" x14ac:dyDescent="0.3">
      <c r="A1462" t="s">
        <v>2154</v>
      </c>
      <c r="B1462" t="s">
        <v>2908</v>
      </c>
      <c r="C1462" t="s">
        <v>64</v>
      </c>
      <c r="D1462">
        <v>350</v>
      </c>
      <c r="E1462">
        <v>234.08999633789063</v>
      </c>
    </row>
    <row r="1463" spans="1:5" x14ac:dyDescent="0.3">
      <c r="A1463" t="s">
        <v>2155</v>
      </c>
      <c r="B1463" t="s">
        <v>466</v>
      </c>
      <c r="C1463" t="s">
        <v>56</v>
      </c>
      <c r="D1463">
        <v>50</v>
      </c>
      <c r="E1463">
        <v>387.82000732421875</v>
      </c>
    </row>
    <row r="1464" spans="1:5" x14ac:dyDescent="0.3">
      <c r="A1464" t="s">
        <v>2156</v>
      </c>
      <c r="B1464" t="s">
        <v>440</v>
      </c>
      <c r="C1464" t="s">
        <v>124</v>
      </c>
      <c r="D1464">
        <v>160</v>
      </c>
      <c r="E1464">
        <v>52.169998168945313</v>
      </c>
    </row>
    <row r="1465" spans="1:5" x14ac:dyDescent="0.3">
      <c r="A1465" t="s">
        <v>2157</v>
      </c>
      <c r="B1465" t="s">
        <v>737</v>
      </c>
      <c r="C1465" t="s">
        <v>54</v>
      </c>
      <c r="D1465">
        <v>140</v>
      </c>
      <c r="E1465">
        <v>13.939999580383301</v>
      </c>
    </row>
    <row r="1466" spans="1:5" x14ac:dyDescent="0.3">
      <c r="A1466" t="s">
        <v>2158</v>
      </c>
      <c r="B1466" t="s">
        <v>99</v>
      </c>
      <c r="C1466" t="s">
        <v>49</v>
      </c>
      <c r="D1466">
        <v>180</v>
      </c>
      <c r="E1466">
        <v>345.5</v>
      </c>
    </row>
    <row r="1467" spans="1:5" x14ac:dyDescent="0.3">
      <c r="A1467" t="s">
        <v>2159</v>
      </c>
      <c r="B1467" t="s">
        <v>2242</v>
      </c>
      <c r="C1467" t="s">
        <v>70</v>
      </c>
      <c r="D1467">
        <v>80</v>
      </c>
      <c r="E1467">
        <v>426</v>
      </c>
    </row>
    <row r="1468" spans="1:5" x14ac:dyDescent="0.3">
      <c r="A1468" t="s">
        <v>2160</v>
      </c>
      <c r="B1468" t="s">
        <v>665</v>
      </c>
      <c r="C1468" t="s">
        <v>31</v>
      </c>
      <c r="D1468">
        <v>380</v>
      </c>
      <c r="E1468">
        <v>361.14999389648438</v>
      </c>
    </row>
    <row r="1469" spans="1:5" x14ac:dyDescent="0.3">
      <c r="A1469" t="s">
        <v>2161</v>
      </c>
      <c r="B1469" t="s">
        <v>920</v>
      </c>
      <c r="C1469" t="s">
        <v>47</v>
      </c>
      <c r="D1469">
        <v>150</v>
      </c>
      <c r="E1469">
        <v>233.22999572753906</v>
      </c>
    </row>
    <row r="1470" spans="1:5" x14ac:dyDescent="0.3">
      <c r="A1470" t="s">
        <v>2162</v>
      </c>
      <c r="B1470" t="s">
        <v>1103</v>
      </c>
      <c r="C1470" t="s">
        <v>28</v>
      </c>
      <c r="D1470">
        <v>190</v>
      </c>
      <c r="E1470">
        <v>351.07998657226563</v>
      </c>
    </row>
    <row r="1471" spans="1:5" x14ac:dyDescent="0.3">
      <c r="A1471" t="s">
        <v>2163</v>
      </c>
      <c r="B1471" t="s">
        <v>990</v>
      </c>
      <c r="C1471" t="s">
        <v>29</v>
      </c>
      <c r="D1471">
        <v>320</v>
      </c>
      <c r="E1471">
        <v>500.08999633789063</v>
      </c>
    </row>
    <row r="1472" spans="1:5" x14ac:dyDescent="0.3">
      <c r="A1472" t="s">
        <v>2164</v>
      </c>
      <c r="B1472" t="s">
        <v>805</v>
      </c>
      <c r="C1472" t="s">
        <v>64</v>
      </c>
      <c r="D1472">
        <v>140</v>
      </c>
      <c r="E1472">
        <v>192.22999572753906</v>
      </c>
    </row>
    <row r="1473" spans="1:5" x14ac:dyDescent="0.3">
      <c r="A1473" t="s">
        <v>2165</v>
      </c>
      <c r="B1473" t="s">
        <v>1701</v>
      </c>
      <c r="C1473" t="s">
        <v>15</v>
      </c>
      <c r="D1473">
        <v>210</v>
      </c>
      <c r="E1473">
        <v>416.02999877929688</v>
      </c>
    </row>
    <row r="1474" spans="1:5" x14ac:dyDescent="0.3">
      <c r="A1474" t="s">
        <v>2166</v>
      </c>
      <c r="B1474" t="s">
        <v>1256</v>
      </c>
      <c r="C1474" t="s">
        <v>67</v>
      </c>
      <c r="D1474">
        <v>390</v>
      </c>
      <c r="E1474">
        <v>386.55999755859375</v>
      </c>
    </row>
    <row r="1475" spans="1:5" x14ac:dyDescent="0.3">
      <c r="A1475" t="s">
        <v>2167</v>
      </c>
      <c r="B1475" t="s">
        <v>549</v>
      </c>
      <c r="C1475" t="s">
        <v>36</v>
      </c>
      <c r="D1475">
        <v>40</v>
      </c>
      <c r="E1475">
        <v>295.489990234375</v>
      </c>
    </row>
    <row r="1476" spans="1:5" x14ac:dyDescent="0.3">
      <c r="A1476" t="s">
        <v>2168</v>
      </c>
      <c r="B1476" t="s">
        <v>1043</v>
      </c>
      <c r="C1476" t="s">
        <v>34</v>
      </c>
      <c r="D1476">
        <v>250</v>
      </c>
      <c r="E1476">
        <v>61.029998779296875</v>
      </c>
    </row>
    <row r="1477" spans="1:5" x14ac:dyDescent="0.3">
      <c r="A1477" t="s">
        <v>2170</v>
      </c>
      <c r="B1477" t="s">
        <v>1012</v>
      </c>
      <c r="C1477" t="s">
        <v>53</v>
      </c>
      <c r="D1477">
        <v>160</v>
      </c>
      <c r="E1477">
        <v>77.949996948242188</v>
      </c>
    </row>
    <row r="1478" spans="1:5" x14ac:dyDescent="0.3">
      <c r="A1478" t="s">
        <v>2171</v>
      </c>
      <c r="B1478" t="s">
        <v>1989</v>
      </c>
      <c r="C1478" t="s">
        <v>31</v>
      </c>
      <c r="D1478">
        <v>130</v>
      </c>
      <c r="E1478">
        <v>467.57998657226563</v>
      </c>
    </row>
    <row r="1479" spans="1:5" x14ac:dyDescent="0.3">
      <c r="A1479" t="s">
        <v>2172</v>
      </c>
      <c r="B1479" t="s">
        <v>2289</v>
      </c>
      <c r="C1479" t="s">
        <v>62</v>
      </c>
      <c r="D1479">
        <v>25000</v>
      </c>
      <c r="E1479">
        <v>50.909999847412109</v>
      </c>
    </row>
    <row r="1480" spans="1:5" x14ac:dyDescent="0.3">
      <c r="A1480" t="s">
        <v>2173</v>
      </c>
      <c r="B1480" t="s">
        <v>338</v>
      </c>
      <c r="C1480" t="s">
        <v>47</v>
      </c>
      <c r="D1480">
        <v>340</v>
      </c>
      <c r="E1480">
        <v>62.689998626708984</v>
      </c>
    </row>
    <row r="1481" spans="1:5" x14ac:dyDescent="0.3">
      <c r="A1481" t="s">
        <v>2175</v>
      </c>
      <c r="B1481" t="s">
        <v>2871</v>
      </c>
      <c r="C1481" t="s">
        <v>32</v>
      </c>
      <c r="D1481">
        <v>340</v>
      </c>
      <c r="E1481">
        <v>315.8699951171875</v>
      </c>
    </row>
    <row r="1482" spans="1:5" x14ac:dyDescent="0.3">
      <c r="A1482" t="s">
        <v>2176</v>
      </c>
      <c r="B1482" t="s">
        <v>1753</v>
      </c>
      <c r="C1482" t="s">
        <v>67</v>
      </c>
      <c r="D1482">
        <v>440</v>
      </c>
      <c r="E1482">
        <v>217.91999816894531</v>
      </c>
    </row>
    <row r="1483" spans="1:5" x14ac:dyDescent="0.3">
      <c r="A1483" t="s">
        <v>2178</v>
      </c>
      <c r="B1483" t="s">
        <v>176</v>
      </c>
      <c r="C1483" t="s">
        <v>44</v>
      </c>
      <c r="D1483">
        <v>270</v>
      </c>
      <c r="E1483">
        <v>184.1300048828125</v>
      </c>
    </row>
    <row r="1484" spans="1:5" x14ac:dyDescent="0.3">
      <c r="A1484" t="s">
        <v>2180</v>
      </c>
      <c r="B1484" t="s">
        <v>2911</v>
      </c>
      <c r="C1484" t="s">
        <v>32</v>
      </c>
      <c r="D1484">
        <v>340</v>
      </c>
      <c r="E1484">
        <v>387.58999633789063</v>
      </c>
    </row>
    <row r="1485" spans="1:5" x14ac:dyDescent="0.3">
      <c r="A1485" t="s">
        <v>2182</v>
      </c>
      <c r="B1485" t="s">
        <v>468</v>
      </c>
      <c r="C1485" t="s">
        <v>33</v>
      </c>
      <c r="D1485">
        <v>350</v>
      </c>
      <c r="E1485">
        <v>509.20999145507813</v>
      </c>
    </row>
    <row r="1486" spans="1:5" x14ac:dyDescent="0.3">
      <c r="A1486" t="s">
        <v>2183</v>
      </c>
      <c r="B1486" t="s">
        <v>481</v>
      </c>
      <c r="C1486" t="s">
        <v>65</v>
      </c>
      <c r="D1486">
        <v>400</v>
      </c>
      <c r="E1486">
        <v>487.70999145507813</v>
      </c>
    </row>
    <row r="1487" spans="1:5" x14ac:dyDescent="0.3">
      <c r="A1487" t="s">
        <v>2184</v>
      </c>
      <c r="B1487" t="s">
        <v>628</v>
      </c>
      <c r="C1487" t="s">
        <v>16</v>
      </c>
      <c r="D1487">
        <v>260</v>
      </c>
      <c r="E1487">
        <v>269.6300048828125</v>
      </c>
    </row>
    <row r="1488" spans="1:5" x14ac:dyDescent="0.3">
      <c r="A1488" t="s">
        <v>2185</v>
      </c>
      <c r="B1488" t="s">
        <v>1270</v>
      </c>
      <c r="C1488" t="s">
        <v>31</v>
      </c>
      <c r="D1488">
        <v>110</v>
      </c>
      <c r="E1488">
        <v>59.299999237060547</v>
      </c>
    </row>
    <row r="1489" spans="1:5" x14ac:dyDescent="0.3">
      <c r="A1489" t="s">
        <v>2186</v>
      </c>
      <c r="B1489" t="s">
        <v>1028</v>
      </c>
      <c r="C1489" t="s">
        <v>44</v>
      </c>
      <c r="D1489">
        <v>290</v>
      </c>
      <c r="E1489">
        <v>68.889999389648438</v>
      </c>
    </row>
    <row r="1490" spans="1:5" x14ac:dyDescent="0.3">
      <c r="A1490" t="s">
        <v>2187</v>
      </c>
      <c r="B1490" t="s">
        <v>757</v>
      </c>
      <c r="C1490" t="s">
        <v>23</v>
      </c>
      <c r="D1490">
        <v>70</v>
      </c>
      <c r="E1490">
        <v>268.3599853515625</v>
      </c>
    </row>
    <row r="1491" spans="1:5" x14ac:dyDescent="0.3">
      <c r="A1491" t="s">
        <v>2188</v>
      </c>
      <c r="B1491" t="s">
        <v>608</v>
      </c>
      <c r="C1491" t="s">
        <v>41</v>
      </c>
      <c r="D1491">
        <v>370</v>
      </c>
      <c r="E1491">
        <v>135.50999450683594</v>
      </c>
    </row>
    <row r="1492" spans="1:5" x14ac:dyDescent="0.3">
      <c r="A1492" t="s">
        <v>2189</v>
      </c>
      <c r="B1492" t="s">
        <v>392</v>
      </c>
      <c r="C1492" t="s">
        <v>54</v>
      </c>
      <c r="D1492">
        <v>30</v>
      </c>
      <c r="E1492">
        <v>405.92999267578125</v>
      </c>
    </row>
    <row r="1493" spans="1:5" x14ac:dyDescent="0.3">
      <c r="A1493" t="s">
        <v>2190</v>
      </c>
      <c r="B1493" t="s">
        <v>595</v>
      </c>
      <c r="C1493" t="s">
        <v>13</v>
      </c>
      <c r="D1493">
        <v>40</v>
      </c>
      <c r="E1493">
        <v>323.01998901367188</v>
      </c>
    </row>
    <row r="1494" spans="1:5" x14ac:dyDescent="0.3">
      <c r="A1494" t="s">
        <v>2191</v>
      </c>
      <c r="B1494" t="s">
        <v>145</v>
      </c>
      <c r="C1494" t="s">
        <v>70</v>
      </c>
      <c r="D1494">
        <v>330</v>
      </c>
      <c r="E1494">
        <v>388.010009765625</v>
      </c>
    </row>
    <row r="1495" spans="1:5" x14ac:dyDescent="0.3">
      <c r="A1495" t="s">
        <v>2192</v>
      </c>
      <c r="B1495" t="s">
        <v>2953</v>
      </c>
      <c r="C1495" t="s">
        <v>56</v>
      </c>
      <c r="D1495">
        <v>480</v>
      </c>
      <c r="E1495">
        <v>109.91999816894531</v>
      </c>
    </row>
    <row r="1496" spans="1:5" x14ac:dyDescent="0.3">
      <c r="A1496" t="s">
        <v>2193</v>
      </c>
      <c r="B1496" t="s">
        <v>2879</v>
      </c>
      <c r="C1496" t="s">
        <v>54</v>
      </c>
      <c r="D1496">
        <v>25000</v>
      </c>
      <c r="E1496">
        <v>488.04000854492188</v>
      </c>
    </row>
    <row r="1497" spans="1:5" x14ac:dyDescent="0.3">
      <c r="A1497" t="s">
        <v>2194</v>
      </c>
      <c r="B1497" t="s">
        <v>427</v>
      </c>
      <c r="C1497" t="s">
        <v>51</v>
      </c>
      <c r="D1497">
        <v>210</v>
      </c>
      <c r="E1497">
        <v>497.1099853515625</v>
      </c>
    </row>
    <row r="1498" spans="1:5" x14ac:dyDescent="0.3">
      <c r="A1498" t="s">
        <v>2195</v>
      </c>
      <c r="B1498" t="s">
        <v>2954</v>
      </c>
      <c r="C1498" t="s">
        <v>64</v>
      </c>
      <c r="D1498">
        <v>50</v>
      </c>
      <c r="E1498">
        <v>88.069999694824219</v>
      </c>
    </row>
    <row r="1499" spans="1:5" x14ac:dyDescent="0.3">
      <c r="A1499" t="s">
        <v>2196</v>
      </c>
      <c r="B1499" t="s">
        <v>1056</v>
      </c>
      <c r="C1499" t="s">
        <v>41</v>
      </c>
      <c r="D1499">
        <v>210</v>
      </c>
      <c r="E1499">
        <v>497.489990234375</v>
      </c>
    </row>
    <row r="1500" spans="1:5" x14ac:dyDescent="0.3">
      <c r="A1500" t="s">
        <v>2197</v>
      </c>
      <c r="B1500" t="s">
        <v>1747</v>
      </c>
      <c r="C1500" t="s">
        <v>55</v>
      </c>
      <c r="D1500">
        <v>50</v>
      </c>
      <c r="E1500">
        <v>376</v>
      </c>
    </row>
    <row r="1501" spans="1:5" x14ac:dyDescent="0.3">
      <c r="A1501" t="s">
        <v>2198</v>
      </c>
      <c r="B1501" t="s">
        <v>1388</v>
      </c>
      <c r="C1501" t="s">
        <v>70</v>
      </c>
      <c r="D1501">
        <v>390</v>
      </c>
      <c r="E1501">
        <v>38.299999237060547</v>
      </c>
    </row>
    <row r="1502" spans="1:5" x14ac:dyDescent="0.3">
      <c r="A1502" t="s">
        <v>2199</v>
      </c>
      <c r="B1502" t="s">
        <v>302</v>
      </c>
      <c r="C1502" t="s">
        <v>34</v>
      </c>
      <c r="D1502">
        <v>220</v>
      </c>
      <c r="E1502">
        <v>213.14999389648438</v>
      </c>
    </row>
    <row r="1503" spans="1:5" x14ac:dyDescent="0.3">
      <c r="A1503" t="s">
        <v>2200</v>
      </c>
      <c r="B1503" t="s">
        <v>941</v>
      </c>
      <c r="C1503" t="s">
        <v>58</v>
      </c>
      <c r="D1503">
        <v>500</v>
      </c>
      <c r="E1503">
        <v>293.3699951171875</v>
      </c>
    </row>
    <row r="1504" spans="1:5" x14ac:dyDescent="0.3">
      <c r="A1504" t="s">
        <v>2201</v>
      </c>
      <c r="B1504" t="s">
        <v>1751</v>
      </c>
      <c r="C1504" t="s">
        <v>66</v>
      </c>
      <c r="D1504">
        <v>380</v>
      </c>
      <c r="E1504">
        <v>85.849998474121094</v>
      </c>
    </row>
    <row r="1505" spans="1:5" x14ac:dyDescent="0.3">
      <c r="A1505" t="s">
        <v>2202</v>
      </c>
      <c r="B1505" t="s">
        <v>826</v>
      </c>
      <c r="C1505" t="s">
        <v>45</v>
      </c>
      <c r="D1505">
        <v>450</v>
      </c>
      <c r="E1505">
        <v>61.540000915527344</v>
      </c>
    </row>
    <row r="1506" spans="1:5" x14ac:dyDescent="0.3">
      <c r="A1506" t="s">
        <v>2203</v>
      </c>
      <c r="B1506" t="s">
        <v>2430</v>
      </c>
      <c r="C1506" t="s">
        <v>64</v>
      </c>
      <c r="D1506">
        <v>500</v>
      </c>
      <c r="E1506">
        <v>105.44000244140625</v>
      </c>
    </row>
    <row r="1507" spans="1:5" x14ac:dyDescent="0.3">
      <c r="A1507" t="s">
        <v>2204</v>
      </c>
      <c r="B1507" t="s">
        <v>541</v>
      </c>
      <c r="C1507" t="s">
        <v>36</v>
      </c>
      <c r="D1507">
        <v>260</v>
      </c>
      <c r="E1507">
        <v>266.6199951171875</v>
      </c>
    </row>
    <row r="1508" spans="1:5" x14ac:dyDescent="0.3">
      <c r="A1508" t="s">
        <v>2206</v>
      </c>
      <c r="B1508" t="s">
        <v>1823</v>
      </c>
      <c r="C1508" t="s">
        <v>64</v>
      </c>
      <c r="D1508">
        <v>170</v>
      </c>
      <c r="E1508">
        <v>508.23001098632813</v>
      </c>
    </row>
    <row r="1509" spans="1:5" x14ac:dyDescent="0.3">
      <c r="A1509" t="s">
        <v>2207</v>
      </c>
      <c r="B1509" t="s">
        <v>1390</v>
      </c>
      <c r="C1509" t="s">
        <v>43</v>
      </c>
      <c r="D1509">
        <v>90</v>
      </c>
      <c r="E1509">
        <v>457.45999145507813</v>
      </c>
    </row>
    <row r="1510" spans="1:5" x14ac:dyDescent="0.3">
      <c r="A1510" t="s">
        <v>2208</v>
      </c>
      <c r="B1510" t="s">
        <v>359</v>
      </c>
      <c r="C1510" t="s">
        <v>61</v>
      </c>
      <c r="D1510">
        <v>100</v>
      </c>
      <c r="E1510">
        <v>155.55999755859375</v>
      </c>
    </row>
    <row r="1511" spans="1:5" x14ac:dyDescent="0.3">
      <c r="A1511" t="s">
        <v>2209</v>
      </c>
      <c r="B1511" t="s">
        <v>2870</v>
      </c>
      <c r="C1511" t="s">
        <v>44</v>
      </c>
      <c r="D1511">
        <v>210</v>
      </c>
      <c r="E1511">
        <v>307.8699951171875</v>
      </c>
    </row>
    <row r="1512" spans="1:5" x14ac:dyDescent="0.3">
      <c r="A1512" t="s">
        <v>2210</v>
      </c>
      <c r="B1512" t="s">
        <v>1727</v>
      </c>
      <c r="C1512" t="s">
        <v>63</v>
      </c>
      <c r="D1512">
        <v>140</v>
      </c>
      <c r="E1512">
        <v>33.759998321533203</v>
      </c>
    </row>
    <row r="1513" spans="1:5" x14ac:dyDescent="0.3">
      <c r="A1513" t="s">
        <v>2211</v>
      </c>
      <c r="B1513" t="s">
        <v>2317</v>
      </c>
      <c r="C1513" t="s">
        <v>21</v>
      </c>
      <c r="D1513">
        <v>30</v>
      </c>
      <c r="E1513">
        <v>116.69000244140625</v>
      </c>
    </row>
    <row r="1514" spans="1:5" x14ac:dyDescent="0.3">
      <c r="A1514" t="s">
        <v>2212</v>
      </c>
      <c r="B1514" t="s">
        <v>2181</v>
      </c>
      <c r="C1514" t="s">
        <v>38</v>
      </c>
      <c r="D1514">
        <v>230</v>
      </c>
      <c r="E1514">
        <v>254.14999389648438</v>
      </c>
    </row>
    <row r="1515" spans="1:5" x14ac:dyDescent="0.3">
      <c r="A1515" t="s">
        <v>2213</v>
      </c>
      <c r="B1515" t="s">
        <v>1293</v>
      </c>
      <c r="C1515" t="s">
        <v>44</v>
      </c>
      <c r="D1515">
        <v>50</v>
      </c>
      <c r="E1515">
        <v>307.73001098632813</v>
      </c>
    </row>
    <row r="1516" spans="1:5" x14ac:dyDescent="0.3">
      <c r="A1516" t="s">
        <v>2214</v>
      </c>
      <c r="B1516" t="s">
        <v>431</v>
      </c>
      <c r="C1516" t="s">
        <v>17</v>
      </c>
      <c r="D1516">
        <v>480</v>
      </c>
      <c r="E1516">
        <v>53.060001373291016</v>
      </c>
    </row>
    <row r="1517" spans="1:5" x14ac:dyDescent="0.3">
      <c r="A1517" t="s">
        <v>2216</v>
      </c>
      <c r="B1517" t="s">
        <v>1561</v>
      </c>
      <c r="C1517" t="s">
        <v>62</v>
      </c>
      <c r="D1517">
        <v>450</v>
      </c>
      <c r="E1517">
        <v>429.83999633789063</v>
      </c>
    </row>
    <row r="1518" spans="1:5" x14ac:dyDescent="0.3">
      <c r="A1518" t="s">
        <v>2217</v>
      </c>
      <c r="B1518" t="s">
        <v>128</v>
      </c>
      <c r="C1518" t="s">
        <v>66</v>
      </c>
      <c r="D1518">
        <v>90</v>
      </c>
      <c r="E1518">
        <v>291.82998657226563</v>
      </c>
    </row>
    <row r="1519" spans="1:5" x14ac:dyDescent="0.3">
      <c r="A1519" t="s">
        <v>2218</v>
      </c>
      <c r="B1519" t="s">
        <v>1170</v>
      </c>
      <c r="C1519" t="s">
        <v>53</v>
      </c>
      <c r="D1519">
        <v>490</v>
      </c>
      <c r="E1519">
        <v>156.83999633789063</v>
      </c>
    </row>
    <row r="1520" spans="1:5" x14ac:dyDescent="0.3">
      <c r="A1520" t="s">
        <v>2219</v>
      </c>
      <c r="B1520" t="s">
        <v>648</v>
      </c>
      <c r="C1520" t="s">
        <v>68</v>
      </c>
      <c r="D1520">
        <v>410</v>
      </c>
      <c r="E1520">
        <v>456.76998901367188</v>
      </c>
    </row>
    <row r="1521" spans="1:5" x14ac:dyDescent="0.3">
      <c r="A1521" t="s">
        <v>2220</v>
      </c>
      <c r="B1521" t="s">
        <v>2045</v>
      </c>
      <c r="C1521" t="s">
        <v>59</v>
      </c>
      <c r="D1521">
        <v>70</v>
      </c>
      <c r="E1521">
        <v>287.55999755859375</v>
      </c>
    </row>
    <row r="1522" spans="1:5" x14ac:dyDescent="0.3">
      <c r="A1522" t="s">
        <v>2221</v>
      </c>
      <c r="B1522" t="s">
        <v>319</v>
      </c>
      <c r="C1522" t="s">
        <v>53</v>
      </c>
      <c r="D1522">
        <v>380</v>
      </c>
      <c r="E1522">
        <v>159.21000671386719</v>
      </c>
    </row>
    <row r="1523" spans="1:5" x14ac:dyDescent="0.3">
      <c r="A1523" t="s">
        <v>2222</v>
      </c>
      <c r="B1523" t="s">
        <v>293</v>
      </c>
      <c r="C1523" t="s">
        <v>25</v>
      </c>
      <c r="D1523">
        <v>210</v>
      </c>
      <c r="E1523">
        <v>245.82000732421875</v>
      </c>
    </row>
    <row r="1524" spans="1:5" x14ac:dyDescent="0.3">
      <c r="A1524" t="s">
        <v>2223</v>
      </c>
      <c r="B1524" t="s">
        <v>2932</v>
      </c>
      <c r="C1524" t="s">
        <v>124</v>
      </c>
      <c r="D1524">
        <v>360</v>
      </c>
      <c r="E1524">
        <v>117.84999847412109</v>
      </c>
    </row>
    <row r="1525" spans="1:5" x14ac:dyDescent="0.3">
      <c r="A1525" t="s">
        <v>2224</v>
      </c>
      <c r="B1525" t="s">
        <v>1379</v>
      </c>
      <c r="C1525" t="s">
        <v>62</v>
      </c>
      <c r="D1525">
        <v>420</v>
      </c>
      <c r="E1525">
        <v>84.529998779296875</v>
      </c>
    </row>
    <row r="1526" spans="1:5" x14ac:dyDescent="0.3">
      <c r="A1526" t="s">
        <v>2225</v>
      </c>
      <c r="B1526" t="s">
        <v>1340</v>
      </c>
      <c r="C1526" t="s">
        <v>67</v>
      </c>
      <c r="D1526">
        <v>440</v>
      </c>
      <c r="E1526">
        <v>313.29000854492188</v>
      </c>
    </row>
    <row r="1527" spans="1:5" x14ac:dyDescent="0.3">
      <c r="A1527" t="s">
        <v>2227</v>
      </c>
      <c r="B1527" t="s">
        <v>1049</v>
      </c>
      <c r="C1527" t="s">
        <v>60</v>
      </c>
      <c r="D1527">
        <v>130</v>
      </c>
      <c r="E1527">
        <v>444.04000854492188</v>
      </c>
    </row>
    <row r="1528" spans="1:5" x14ac:dyDescent="0.3">
      <c r="A1528" t="s">
        <v>2228</v>
      </c>
      <c r="B1528" t="s">
        <v>401</v>
      </c>
      <c r="C1528" t="s">
        <v>15</v>
      </c>
      <c r="D1528">
        <v>300</v>
      </c>
      <c r="E1528">
        <v>311.98001098632813</v>
      </c>
    </row>
    <row r="1529" spans="1:5" x14ac:dyDescent="0.3">
      <c r="A1529" t="s">
        <v>2229</v>
      </c>
      <c r="B1529" t="s">
        <v>2550</v>
      </c>
      <c r="C1529" t="s">
        <v>17</v>
      </c>
      <c r="D1529">
        <v>110</v>
      </c>
      <c r="E1529">
        <v>197.6300048828125</v>
      </c>
    </row>
    <row r="1530" spans="1:5" x14ac:dyDescent="0.3">
      <c r="A1530" t="s">
        <v>2230</v>
      </c>
      <c r="B1530" t="s">
        <v>162</v>
      </c>
      <c r="C1530" t="s">
        <v>33</v>
      </c>
      <c r="D1530">
        <v>300</v>
      </c>
      <c r="E1530">
        <v>76.80999755859375</v>
      </c>
    </row>
    <row r="1531" spans="1:5" x14ac:dyDescent="0.3">
      <c r="A1531" t="s">
        <v>2231</v>
      </c>
      <c r="B1531" t="s">
        <v>1553</v>
      </c>
      <c r="C1531" t="s">
        <v>60</v>
      </c>
      <c r="D1531">
        <v>490</v>
      </c>
      <c r="E1531">
        <v>370.67999267578125</v>
      </c>
    </row>
    <row r="1532" spans="1:5" x14ac:dyDescent="0.3">
      <c r="A1532" t="s">
        <v>2232</v>
      </c>
      <c r="B1532" t="s">
        <v>1963</v>
      </c>
      <c r="C1532" t="s">
        <v>59</v>
      </c>
      <c r="D1532">
        <v>390</v>
      </c>
      <c r="E1532">
        <v>195.67999267578125</v>
      </c>
    </row>
    <row r="1533" spans="1:5" x14ac:dyDescent="0.3">
      <c r="A1533" t="s">
        <v>2233</v>
      </c>
      <c r="B1533" t="s">
        <v>485</v>
      </c>
      <c r="C1533" t="s">
        <v>16</v>
      </c>
      <c r="D1533">
        <v>70</v>
      </c>
      <c r="E1533">
        <v>113.58999633789063</v>
      </c>
    </row>
    <row r="1534" spans="1:5" x14ac:dyDescent="0.3">
      <c r="A1534" t="s">
        <v>2235</v>
      </c>
      <c r="B1534" t="s">
        <v>1040</v>
      </c>
      <c r="C1534" t="s">
        <v>59</v>
      </c>
      <c r="D1534">
        <v>180</v>
      </c>
      <c r="E1534">
        <v>381.48001098632813</v>
      </c>
    </row>
    <row r="1535" spans="1:5" x14ac:dyDescent="0.3">
      <c r="A1535" t="s">
        <v>2237</v>
      </c>
      <c r="B1535" t="s">
        <v>182</v>
      </c>
      <c r="C1535" t="s">
        <v>42</v>
      </c>
      <c r="D1535">
        <v>250</v>
      </c>
      <c r="E1535">
        <v>201.74000549316406</v>
      </c>
    </row>
    <row r="1536" spans="1:5" x14ac:dyDescent="0.3">
      <c r="A1536" t="s">
        <v>2238</v>
      </c>
      <c r="B1536" t="s">
        <v>1174</v>
      </c>
      <c r="C1536" t="s">
        <v>69</v>
      </c>
      <c r="D1536">
        <v>390</v>
      </c>
      <c r="E1536">
        <v>472.08999633789063</v>
      </c>
    </row>
    <row r="1537" spans="1:5" x14ac:dyDescent="0.3">
      <c r="A1537" t="s">
        <v>2239</v>
      </c>
      <c r="B1537" t="s">
        <v>753</v>
      </c>
      <c r="C1537" t="s">
        <v>55</v>
      </c>
      <c r="D1537">
        <v>70</v>
      </c>
      <c r="E1537">
        <v>35.529998779296875</v>
      </c>
    </row>
    <row r="1538" spans="1:5" x14ac:dyDescent="0.3">
      <c r="A1538" t="s">
        <v>2240</v>
      </c>
      <c r="B1538" t="s">
        <v>874</v>
      </c>
      <c r="C1538" t="s">
        <v>23</v>
      </c>
      <c r="D1538">
        <v>360</v>
      </c>
      <c r="E1538">
        <v>430.39999389648438</v>
      </c>
    </row>
    <row r="1539" spans="1:5" x14ac:dyDescent="0.3">
      <c r="A1539" t="s">
        <v>2241</v>
      </c>
      <c r="B1539" t="s">
        <v>1049</v>
      </c>
      <c r="C1539" t="s">
        <v>56</v>
      </c>
      <c r="D1539">
        <v>190</v>
      </c>
      <c r="E1539">
        <v>140.33999633789063</v>
      </c>
    </row>
    <row r="1540" spans="1:5" x14ac:dyDescent="0.3">
      <c r="A1540" t="s">
        <v>2243</v>
      </c>
      <c r="B1540" t="s">
        <v>295</v>
      </c>
      <c r="C1540" t="s">
        <v>49</v>
      </c>
      <c r="D1540">
        <v>70</v>
      </c>
      <c r="E1540">
        <v>344.30999755859375</v>
      </c>
    </row>
    <row r="1541" spans="1:5" x14ac:dyDescent="0.3">
      <c r="A1541" t="s">
        <v>2244</v>
      </c>
      <c r="B1541" t="s">
        <v>893</v>
      </c>
      <c r="C1541" t="s">
        <v>61</v>
      </c>
      <c r="D1541">
        <v>380</v>
      </c>
      <c r="E1541">
        <v>166.58000183105469</v>
      </c>
    </row>
    <row r="1542" spans="1:5" x14ac:dyDescent="0.3">
      <c r="A1542" t="s">
        <v>2245</v>
      </c>
      <c r="B1542" t="s">
        <v>379</v>
      </c>
      <c r="C1542" t="s">
        <v>43</v>
      </c>
      <c r="D1542">
        <v>100</v>
      </c>
      <c r="E1542">
        <v>426.70999145507813</v>
      </c>
    </row>
    <row r="1543" spans="1:5" x14ac:dyDescent="0.3">
      <c r="A1543" t="s">
        <v>2246</v>
      </c>
      <c r="B1543" t="s">
        <v>2911</v>
      </c>
      <c r="C1543" t="s">
        <v>40</v>
      </c>
      <c r="D1543">
        <v>60</v>
      </c>
      <c r="E1543">
        <v>389.6199951171875</v>
      </c>
    </row>
    <row r="1544" spans="1:5" x14ac:dyDescent="0.3">
      <c r="A1544" t="s">
        <v>2247</v>
      </c>
      <c r="B1544" t="s">
        <v>643</v>
      </c>
      <c r="C1544" t="s">
        <v>45</v>
      </c>
      <c r="D1544">
        <v>190</v>
      </c>
      <c r="E1544">
        <v>15.489999771118164</v>
      </c>
    </row>
    <row r="1545" spans="1:5" x14ac:dyDescent="0.3">
      <c r="A1545" t="s">
        <v>2248</v>
      </c>
      <c r="B1545" t="s">
        <v>2870</v>
      </c>
      <c r="C1545" t="s">
        <v>36</v>
      </c>
      <c r="D1545">
        <v>260</v>
      </c>
      <c r="E1545">
        <v>209.86000061035156</v>
      </c>
    </row>
    <row r="1546" spans="1:5" x14ac:dyDescent="0.3">
      <c r="A1546" t="s">
        <v>2249</v>
      </c>
      <c r="B1546" t="s">
        <v>174</v>
      </c>
      <c r="C1546" t="s">
        <v>47</v>
      </c>
      <c r="D1546">
        <v>160</v>
      </c>
      <c r="E1546">
        <v>73.540000915527344</v>
      </c>
    </row>
    <row r="1547" spans="1:5" x14ac:dyDescent="0.3">
      <c r="A1547" t="s">
        <v>2250</v>
      </c>
      <c r="B1547" t="s">
        <v>1772</v>
      </c>
      <c r="C1547" t="s">
        <v>46</v>
      </c>
      <c r="D1547">
        <v>140</v>
      </c>
      <c r="E1547">
        <v>152.67999267578125</v>
      </c>
    </row>
    <row r="1548" spans="1:5" x14ac:dyDescent="0.3">
      <c r="A1548" t="s">
        <v>2251</v>
      </c>
      <c r="B1548" t="s">
        <v>1060</v>
      </c>
      <c r="C1548" t="s">
        <v>57</v>
      </c>
      <c r="D1548">
        <v>10</v>
      </c>
      <c r="E1548">
        <v>188.74000549316406</v>
      </c>
    </row>
    <row r="1549" spans="1:5" x14ac:dyDescent="0.3">
      <c r="A1549" t="s">
        <v>2252</v>
      </c>
      <c r="B1549" t="s">
        <v>1851</v>
      </c>
      <c r="C1549" t="s">
        <v>29</v>
      </c>
      <c r="D1549">
        <v>470</v>
      </c>
      <c r="E1549">
        <v>368.489990234375</v>
      </c>
    </row>
    <row r="1550" spans="1:5" x14ac:dyDescent="0.3">
      <c r="A1550" t="s">
        <v>2253</v>
      </c>
      <c r="B1550" t="s">
        <v>228</v>
      </c>
      <c r="C1550" t="s">
        <v>36</v>
      </c>
      <c r="D1550">
        <v>320</v>
      </c>
      <c r="E1550">
        <v>74</v>
      </c>
    </row>
    <row r="1551" spans="1:5" x14ac:dyDescent="0.3">
      <c r="A1551" t="s">
        <v>2254</v>
      </c>
      <c r="B1551" t="s">
        <v>2512</v>
      </c>
      <c r="C1551" t="s">
        <v>67</v>
      </c>
      <c r="D1551">
        <v>180</v>
      </c>
      <c r="E1551">
        <v>132.66999816894531</v>
      </c>
    </row>
    <row r="1552" spans="1:5" x14ac:dyDescent="0.3">
      <c r="A1552" t="s">
        <v>2255</v>
      </c>
      <c r="B1552" t="s">
        <v>572</v>
      </c>
      <c r="C1552" t="s">
        <v>13</v>
      </c>
      <c r="D1552">
        <v>310</v>
      </c>
      <c r="E1552">
        <v>67.199996948242188</v>
      </c>
    </row>
    <row r="1553" spans="1:5" x14ac:dyDescent="0.3">
      <c r="A1553" t="s">
        <v>2257</v>
      </c>
      <c r="B1553" t="s">
        <v>771</v>
      </c>
      <c r="C1553" t="s">
        <v>37</v>
      </c>
      <c r="D1553">
        <v>290</v>
      </c>
      <c r="E1553">
        <v>345.6099853515625</v>
      </c>
    </row>
    <row r="1554" spans="1:5" x14ac:dyDescent="0.3">
      <c r="A1554" t="s">
        <v>2259</v>
      </c>
      <c r="B1554" t="s">
        <v>861</v>
      </c>
      <c r="C1554" t="s">
        <v>56</v>
      </c>
      <c r="D1554">
        <v>330</v>
      </c>
      <c r="E1554">
        <v>131.22999572753906</v>
      </c>
    </row>
    <row r="1555" spans="1:5" x14ac:dyDescent="0.3">
      <c r="A1555" t="s">
        <v>2260</v>
      </c>
      <c r="B1555" t="s">
        <v>128</v>
      </c>
      <c r="C1555" t="s">
        <v>45</v>
      </c>
      <c r="D1555">
        <v>460</v>
      </c>
      <c r="E1555">
        <v>32.700000762939453</v>
      </c>
    </row>
    <row r="1556" spans="1:5" x14ac:dyDescent="0.3">
      <c r="A1556" t="s">
        <v>2261</v>
      </c>
      <c r="B1556" t="s">
        <v>1214</v>
      </c>
      <c r="C1556" t="s">
        <v>40</v>
      </c>
      <c r="D1556">
        <v>350</v>
      </c>
      <c r="E1556">
        <v>353.98001098632813</v>
      </c>
    </row>
    <row r="1557" spans="1:5" x14ac:dyDescent="0.3">
      <c r="A1557" t="s">
        <v>2262</v>
      </c>
      <c r="B1557" t="s">
        <v>2236</v>
      </c>
      <c r="C1557" t="s">
        <v>53</v>
      </c>
      <c r="D1557">
        <v>480</v>
      </c>
      <c r="E1557">
        <v>344.32998657226563</v>
      </c>
    </row>
    <row r="1558" spans="1:5" x14ac:dyDescent="0.3">
      <c r="A1558" t="s">
        <v>2263</v>
      </c>
      <c r="B1558" t="s">
        <v>724</v>
      </c>
      <c r="C1558" t="s">
        <v>47</v>
      </c>
      <c r="D1558">
        <v>460</v>
      </c>
      <c r="E1558">
        <v>448.33999633789063</v>
      </c>
    </row>
    <row r="1559" spans="1:5" x14ac:dyDescent="0.3">
      <c r="A1559" t="s">
        <v>2264</v>
      </c>
      <c r="B1559" t="s">
        <v>2317</v>
      </c>
      <c r="C1559" t="s">
        <v>28</v>
      </c>
      <c r="D1559">
        <v>250</v>
      </c>
      <c r="E1559">
        <v>55.900001525878906</v>
      </c>
    </row>
    <row r="1560" spans="1:5" x14ac:dyDescent="0.3">
      <c r="A1560" t="s">
        <v>2266</v>
      </c>
      <c r="B1560" t="s">
        <v>300</v>
      </c>
      <c r="C1560" t="s">
        <v>58</v>
      </c>
      <c r="D1560">
        <v>390</v>
      </c>
      <c r="E1560">
        <v>252.19999694824219</v>
      </c>
    </row>
    <row r="1561" spans="1:5" x14ac:dyDescent="0.3">
      <c r="A1561" t="s">
        <v>2268</v>
      </c>
      <c r="B1561" t="s">
        <v>1572</v>
      </c>
      <c r="C1561" t="s">
        <v>70</v>
      </c>
      <c r="D1561">
        <v>300</v>
      </c>
      <c r="E1561">
        <v>67.779998779296875</v>
      </c>
    </row>
    <row r="1562" spans="1:5" x14ac:dyDescent="0.3">
      <c r="A1562" t="s">
        <v>2269</v>
      </c>
      <c r="B1562" t="s">
        <v>931</v>
      </c>
      <c r="C1562" t="s">
        <v>63</v>
      </c>
      <c r="D1562">
        <v>480</v>
      </c>
      <c r="E1562">
        <v>228.46000671386719</v>
      </c>
    </row>
    <row r="1563" spans="1:5" x14ac:dyDescent="0.3">
      <c r="A1563" t="s">
        <v>2270</v>
      </c>
      <c r="B1563" t="s">
        <v>1128</v>
      </c>
      <c r="C1563" t="s">
        <v>67</v>
      </c>
      <c r="D1563">
        <v>290</v>
      </c>
      <c r="E1563">
        <v>405.3900146484375</v>
      </c>
    </row>
    <row r="1564" spans="1:5" x14ac:dyDescent="0.3">
      <c r="A1564" t="s">
        <v>2272</v>
      </c>
      <c r="B1564" t="s">
        <v>224</v>
      </c>
      <c r="C1564" t="s">
        <v>68</v>
      </c>
      <c r="D1564">
        <v>200</v>
      </c>
      <c r="E1564">
        <v>465.010009765625</v>
      </c>
    </row>
    <row r="1565" spans="1:5" x14ac:dyDescent="0.3">
      <c r="A1565" t="s">
        <v>2273</v>
      </c>
      <c r="B1565" t="s">
        <v>927</v>
      </c>
      <c r="C1565" t="s">
        <v>31</v>
      </c>
      <c r="D1565">
        <v>20</v>
      </c>
      <c r="E1565">
        <v>219.10000610351563</v>
      </c>
    </row>
    <row r="1566" spans="1:5" x14ac:dyDescent="0.3">
      <c r="A1566" t="s">
        <v>2274</v>
      </c>
      <c r="B1566" t="s">
        <v>1164</v>
      </c>
      <c r="C1566" t="s">
        <v>40</v>
      </c>
      <c r="D1566">
        <v>150</v>
      </c>
      <c r="E1566">
        <v>174.72999572753906</v>
      </c>
    </row>
    <row r="1567" spans="1:5" x14ac:dyDescent="0.3">
      <c r="A1567" t="s">
        <v>2276</v>
      </c>
      <c r="B1567" t="s">
        <v>2577</v>
      </c>
      <c r="C1567" t="s">
        <v>45</v>
      </c>
      <c r="D1567">
        <v>370</v>
      </c>
      <c r="E1567">
        <v>284.29998779296875</v>
      </c>
    </row>
    <row r="1568" spans="1:5" x14ac:dyDescent="0.3">
      <c r="A1568" t="s">
        <v>2277</v>
      </c>
      <c r="B1568" t="s">
        <v>1232</v>
      </c>
      <c r="C1568" t="s">
        <v>65</v>
      </c>
      <c r="D1568">
        <v>50</v>
      </c>
      <c r="E1568">
        <v>195.50999450683594</v>
      </c>
    </row>
    <row r="1569" spans="1:5" x14ac:dyDescent="0.3">
      <c r="A1569" t="s">
        <v>2278</v>
      </c>
      <c r="B1569" t="s">
        <v>2566</v>
      </c>
      <c r="C1569" t="s">
        <v>41</v>
      </c>
      <c r="D1569">
        <v>400</v>
      </c>
      <c r="E1569">
        <v>501.3900146484375</v>
      </c>
    </row>
    <row r="1570" spans="1:5" x14ac:dyDescent="0.3">
      <c r="A1570" t="s">
        <v>2280</v>
      </c>
      <c r="B1570" t="s">
        <v>1622</v>
      </c>
      <c r="C1570" t="s">
        <v>28</v>
      </c>
      <c r="D1570">
        <v>240</v>
      </c>
      <c r="E1570">
        <v>490.25</v>
      </c>
    </row>
    <row r="1571" spans="1:5" x14ac:dyDescent="0.3">
      <c r="A1571" t="s">
        <v>2281</v>
      </c>
      <c r="B1571" t="s">
        <v>216</v>
      </c>
      <c r="C1571" t="s">
        <v>69</v>
      </c>
      <c r="D1571">
        <v>250</v>
      </c>
      <c r="E1571">
        <v>395.75</v>
      </c>
    </row>
    <row r="1572" spans="1:5" x14ac:dyDescent="0.3">
      <c r="A1572" t="s">
        <v>2282</v>
      </c>
      <c r="B1572" t="s">
        <v>178</v>
      </c>
      <c r="C1572" t="s">
        <v>45</v>
      </c>
      <c r="D1572">
        <v>200</v>
      </c>
      <c r="E1572">
        <v>146.83999633789063</v>
      </c>
    </row>
    <row r="1573" spans="1:5" x14ac:dyDescent="0.3">
      <c r="A1573" t="s">
        <v>2283</v>
      </c>
      <c r="B1573" t="s">
        <v>1462</v>
      </c>
      <c r="C1573" t="s">
        <v>37</v>
      </c>
      <c r="D1573">
        <v>210</v>
      </c>
      <c r="E1573">
        <v>117.79000091552734</v>
      </c>
    </row>
    <row r="1574" spans="1:5" x14ac:dyDescent="0.3">
      <c r="A1574" t="s">
        <v>2284</v>
      </c>
      <c r="B1574" t="s">
        <v>799</v>
      </c>
      <c r="C1574" t="s">
        <v>19</v>
      </c>
      <c r="D1574">
        <v>20</v>
      </c>
      <c r="E1574">
        <v>378.17001342773438</v>
      </c>
    </row>
    <row r="1575" spans="1:5" x14ac:dyDescent="0.3">
      <c r="A1575" t="s">
        <v>2285</v>
      </c>
      <c r="B1575" t="s">
        <v>1429</v>
      </c>
      <c r="C1575" t="s">
        <v>18</v>
      </c>
      <c r="D1575">
        <v>190</v>
      </c>
      <c r="E1575">
        <v>442.8800048828125</v>
      </c>
    </row>
    <row r="1576" spans="1:5" x14ac:dyDescent="0.3">
      <c r="A1576" t="s">
        <v>2287</v>
      </c>
      <c r="B1576" t="s">
        <v>769</v>
      </c>
      <c r="C1576" t="s">
        <v>57</v>
      </c>
      <c r="D1576">
        <v>410</v>
      </c>
      <c r="E1576">
        <v>22.120000839233398</v>
      </c>
    </row>
    <row r="1577" spans="1:5" x14ac:dyDescent="0.3">
      <c r="A1577" t="s">
        <v>2288</v>
      </c>
      <c r="B1577" t="s">
        <v>2951</v>
      </c>
      <c r="C1577" t="s">
        <v>70</v>
      </c>
      <c r="D1577">
        <v>220</v>
      </c>
      <c r="E1577">
        <v>271.42001342773438</v>
      </c>
    </row>
    <row r="1578" spans="1:5" x14ac:dyDescent="0.3">
      <c r="A1578" t="s">
        <v>2290</v>
      </c>
      <c r="B1578" t="s">
        <v>119</v>
      </c>
      <c r="C1578" t="s">
        <v>17</v>
      </c>
      <c r="D1578">
        <v>240</v>
      </c>
      <c r="E1578">
        <v>41.590000152587891</v>
      </c>
    </row>
    <row r="1579" spans="1:5" x14ac:dyDescent="0.3">
      <c r="A1579" t="s">
        <v>2292</v>
      </c>
      <c r="B1579" t="s">
        <v>2876</v>
      </c>
      <c r="C1579" t="s">
        <v>67</v>
      </c>
      <c r="D1579">
        <v>460</v>
      </c>
      <c r="E1579">
        <v>128.80000305175781</v>
      </c>
    </row>
    <row r="1580" spans="1:5" x14ac:dyDescent="0.3">
      <c r="A1580" t="s">
        <v>2293</v>
      </c>
      <c r="B1580" t="s">
        <v>959</v>
      </c>
      <c r="C1580" t="s">
        <v>39</v>
      </c>
      <c r="D1580">
        <v>460</v>
      </c>
      <c r="E1580">
        <v>24.479999542236328</v>
      </c>
    </row>
    <row r="1581" spans="1:5" x14ac:dyDescent="0.3">
      <c r="A1581" t="s">
        <v>2295</v>
      </c>
      <c r="B1581" t="s">
        <v>97</v>
      </c>
      <c r="C1581" t="s">
        <v>23</v>
      </c>
      <c r="D1581">
        <v>190</v>
      </c>
      <c r="E1581">
        <v>165.39999389648438</v>
      </c>
    </row>
    <row r="1582" spans="1:5" x14ac:dyDescent="0.3">
      <c r="A1582" t="s">
        <v>2296</v>
      </c>
      <c r="B1582" t="s">
        <v>2918</v>
      </c>
      <c r="C1582" t="s">
        <v>10</v>
      </c>
      <c r="D1582">
        <v>180</v>
      </c>
      <c r="E1582">
        <v>183.66000366210938</v>
      </c>
    </row>
    <row r="1583" spans="1:5" x14ac:dyDescent="0.3">
      <c r="A1583" t="s">
        <v>2298</v>
      </c>
      <c r="B1583" t="s">
        <v>834</v>
      </c>
      <c r="C1583" t="s">
        <v>31</v>
      </c>
      <c r="D1583">
        <v>320</v>
      </c>
      <c r="E1583">
        <v>156.6300048828125</v>
      </c>
    </row>
    <row r="1584" spans="1:5" x14ac:dyDescent="0.3">
      <c r="A1584" t="s">
        <v>2299</v>
      </c>
      <c r="B1584" t="s">
        <v>121</v>
      </c>
      <c r="C1584" t="s">
        <v>43</v>
      </c>
      <c r="D1584">
        <v>110</v>
      </c>
      <c r="E1584">
        <v>357.02999877929688</v>
      </c>
    </row>
    <row r="1585" spans="1:5" x14ac:dyDescent="0.3">
      <c r="A1585" t="s">
        <v>2300</v>
      </c>
      <c r="B1585" t="s">
        <v>1384</v>
      </c>
      <c r="C1585" t="s">
        <v>65</v>
      </c>
      <c r="D1585">
        <v>390</v>
      </c>
      <c r="E1585">
        <v>502.8699951171875</v>
      </c>
    </row>
    <row r="1586" spans="1:5" x14ac:dyDescent="0.3">
      <c r="A1586" t="s">
        <v>2302</v>
      </c>
      <c r="B1586" t="s">
        <v>1492</v>
      </c>
      <c r="C1586" t="s">
        <v>58</v>
      </c>
      <c r="D1586">
        <v>100</v>
      </c>
      <c r="E1586">
        <v>507.48001098632813</v>
      </c>
    </row>
    <row r="1587" spans="1:5" x14ac:dyDescent="0.3">
      <c r="A1587" t="s">
        <v>2303</v>
      </c>
      <c r="B1587" t="s">
        <v>75</v>
      </c>
      <c r="C1587" t="s">
        <v>13</v>
      </c>
      <c r="D1587">
        <v>50</v>
      </c>
      <c r="E1587">
        <v>229.50999450683594</v>
      </c>
    </row>
    <row r="1588" spans="1:5" x14ac:dyDescent="0.3">
      <c r="A1588" t="s">
        <v>2305</v>
      </c>
      <c r="B1588" t="s">
        <v>2491</v>
      </c>
      <c r="C1588" t="s">
        <v>64</v>
      </c>
      <c r="D1588">
        <v>120</v>
      </c>
      <c r="E1588">
        <v>222.91000366210938</v>
      </c>
    </row>
    <row r="1589" spans="1:5" x14ac:dyDescent="0.3">
      <c r="A1589" t="s">
        <v>2306</v>
      </c>
      <c r="B1589" t="s">
        <v>1069</v>
      </c>
      <c r="C1589" t="s">
        <v>70</v>
      </c>
      <c r="D1589">
        <v>80</v>
      </c>
      <c r="E1589">
        <v>486.95001220703125</v>
      </c>
    </row>
    <row r="1590" spans="1:5" x14ac:dyDescent="0.3">
      <c r="A1590" t="s">
        <v>2307</v>
      </c>
      <c r="B1590" t="s">
        <v>562</v>
      </c>
      <c r="C1590" t="s">
        <v>29</v>
      </c>
      <c r="D1590">
        <v>270</v>
      </c>
      <c r="E1590">
        <v>216.19999694824219</v>
      </c>
    </row>
    <row r="1591" spans="1:5" x14ac:dyDescent="0.3">
      <c r="A1591" t="s">
        <v>2309</v>
      </c>
      <c r="B1591" t="s">
        <v>1349</v>
      </c>
      <c r="C1591" t="s">
        <v>21</v>
      </c>
      <c r="D1591">
        <v>400</v>
      </c>
      <c r="E1591">
        <v>50.560001373291016</v>
      </c>
    </row>
    <row r="1592" spans="1:5" x14ac:dyDescent="0.3">
      <c r="A1592" t="s">
        <v>2310</v>
      </c>
      <c r="B1592" t="s">
        <v>1906</v>
      </c>
      <c r="C1592" t="s">
        <v>41</v>
      </c>
      <c r="D1592">
        <v>260</v>
      </c>
      <c r="E1592">
        <v>325.239990234375</v>
      </c>
    </row>
    <row r="1593" spans="1:5" x14ac:dyDescent="0.3">
      <c r="A1593" t="s">
        <v>2311</v>
      </c>
      <c r="B1593" t="s">
        <v>743</v>
      </c>
      <c r="C1593" t="s">
        <v>37</v>
      </c>
      <c r="D1593">
        <v>30</v>
      </c>
      <c r="E1593">
        <v>320.75</v>
      </c>
    </row>
    <row r="1594" spans="1:5" x14ac:dyDescent="0.3">
      <c r="A1594" t="s">
        <v>2312</v>
      </c>
      <c r="B1594" t="s">
        <v>340</v>
      </c>
      <c r="C1594" t="s">
        <v>38</v>
      </c>
      <c r="D1594">
        <v>450</v>
      </c>
      <c r="E1594">
        <v>12.930000305175781</v>
      </c>
    </row>
    <row r="1595" spans="1:5" x14ac:dyDescent="0.3">
      <c r="A1595" t="s">
        <v>2313</v>
      </c>
      <c r="B1595" t="s">
        <v>81</v>
      </c>
      <c r="C1595" t="s">
        <v>47</v>
      </c>
      <c r="D1595">
        <v>140</v>
      </c>
      <c r="E1595">
        <v>322.91000366210938</v>
      </c>
    </row>
    <row r="1596" spans="1:5" x14ac:dyDescent="0.3">
      <c r="A1596" t="s">
        <v>2314</v>
      </c>
      <c r="B1596" t="s">
        <v>162</v>
      </c>
      <c r="C1596" t="s">
        <v>19</v>
      </c>
      <c r="D1596">
        <v>300</v>
      </c>
      <c r="E1596">
        <v>367.14999389648438</v>
      </c>
    </row>
    <row r="1597" spans="1:5" x14ac:dyDescent="0.3">
      <c r="A1597" t="s">
        <v>2315</v>
      </c>
      <c r="B1597" t="s">
        <v>968</v>
      </c>
      <c r="C1597" t="s">
        <v>70</v>
      </c>
      <c r="D1597">
        <v>500</v>
      </c>
      <c r="E1597">
        <v>207.41000366210938</v>
      </c>
    </row>
    <row r="1598" spans="1:5" x14ac:dyDescent="0.3">
      <c r="A1598" t="s">
        <v>2316</v>
      </c>
      <c r="B1598" t="s">
        <v>2954</v>
      </c>
      <c r="C1598" t="s">
        <v>16</v>
      </c>
      <c r="D1598">
        <v>25000</v>
      </c>
      <c r="E1598">
        <v>412.26998901367188</v>
      </c>
    </row>
    <row r="1599" spans="1:5" x14ac:dyDescent="0.3">
      <c r="A1599" t="s">
        <v>2318</v>
      </c>
      <c r="B1599" t="s">
        <v>2955</v>
      </c>
      <c r="C1599" t="s">
        <v>18</v>
      </c>
      <c r="D1599">
        <v>40</v>
      </c>
      <c r="E1599">
        <v>37.849998474121094</v>
      </c>
    </row>
    <row r="1600" spans="1:5" x14ac:dyDescent="0.3">
      <c r="A1600" t="s">
        <v>2319</v>
      </c>
      <c r="B1600" t="s">
        <v>979</v>
      </c>
      <c r="C1600" t="s">
        <v>67</v>
      </c>
      <c r="D1600">
        <v>450</v>
      </c>
      <c r="E1600">
        <v>500.3900146484375</v>
      </c>
    </row>
    <row r="1601" spans="1:5" x14ac:dyDescent="0.3">
      <c r="A1601" t="s">
        <v>2320</v>
      </c>
      <c r="B1601" t="s">
        <v>956</v>
      </c>
      <c r="C1601" t="s">
        <v>65</v>
      </c>
      <c r="D1601">
        <v>160</v>
      </c>
      <c r="E1601">
        <v>268.8800048828125</v>
      </c>
    </row>
    <row r="1602" spans="1:5" x14ac:dyDescent="0.3">
      <c r="A1602" t="s">
        <v>2321</v>
      </c>
      <c r="B1602" t="s">
        <v>165</v>
      </c>
      <c r="C1602" t="s">
        <v>69</v>
      </c>
      <c r="D1602">
        <v>220</v>
      </c>
      <c r="E1602">
        <v>413.8599853515625</v>
      </c>
    </row>
    <row r="1603" spans="1:5" x14ac:dyDescent="0.3">
      <c r="A1603" t="s">
        <v>2322</v>
      </c>
      <c r="B1603" t="s">
        <v>107</v>
      </c>
      <c r="C1603" t="s">
        <v>51</v>
      </c>
      <c r="D1603">
        <v>80</v>
      </c>
      <c r="E1603">
        <v>357.47000122070313</v>
      </c>
    </row>
    <row r="1604" spans="1:5" x14ac:dyDescent="0.3">
      <c r="A1604" t="s">
        <v>2323</v>
      </c>
      <c r="B1604" t="s">
        <v>965</v>
      </c>
      <c r="C1604" t="s">
        <v>23</v>
      </c>
      <c r="D1604">
        <v>310</v>
      </c>
      <c r="E1604">
        <v>123.38999938964844</v>
      </c>
    </row>
    <row r="1605" spans="1:5" x14ac:dyDescent="0.3">
      <c r="A1605" t="s">
        <v>2324</v>
      </c>
      <c r="B1605" t="s">
        <v>1012</v>
      </c>
      <c r="C1605" t="s">
        <v>45</v>
      </c>
      <c r="D1605">
        <v>380</v>
      </c>
      <c r="E1605">
        <v>86.849998474121094</v>
      </c>
    </row>
    <row r="1606" spans="1:5" x14ac:dyDescent="0.3">
      <c r="A1606" t="s">
        <v>2325</v>
      </c>
      <c r="B1606" t="s">
        <v>1462</v>
      </c>
      <c r="C1606" t="s">
        <v>41</v>
      </c>
      <c r="D1606">
        <v>370</v>
      </c>
      <c r="E1606">
        <v>224.66000366210938</v>
      </c>
    </row>
    <row r="1607" spans="1:5" x14ac:dyDescent="0.3">
      <c r="A1607" t="s">
        <v>2326</v>
      </c>
      <c r="B1607" t="s">
        <v>281</v>
      </c>
      <c r="C1607" t="s">
        <v>23</v>
      </c>
      <c r="D1607">
        <v>260</v>
      </c>
      <c r="E1607">
        <v>365.20001220703125</v>
      </c>
    </row>
    <row r="1608" spans="1:5" x14ac:dyDescent="0.3">
      <c r="A1608" t="s">
        <v>2327</v>
      </c>
      <c r="B1608" t="s">
        <v>1413</v>
      </c>
      <c r="C1608" t="s">
        <v>66</v>
      </c>
      <c r="D1608">
        <v>150</v>
      </c>
      <c r="E1608">
        <v>438.39999389648438</v>
      </c>
    </row>
    <row r="1609" spans="1:5" x14ac:dyDescent="0.3">
      <c r="A1609" t="s">
        <v>2329</v>
      </c>
      <c r="B1609" t="s">
        <v>2879</v>
      </c>
      <c r="C1609" t="s">
        <v>32</v>
      </c>
      <c r="D1609">
        <v>30</v>
      </c>
      <c r="E1609">
        <v>225.74000549316406</v>
      </c>
    </row>
    <row r="1610" spans="1:5" x14ac:dyDescent="0.3">
      <c r="A1610" t="s">
        <v>2330</v>
      </c>
      <c r="B1610" t="s">
        <v>799</v>
      </c>
      <c r="C1610" t="s">
        <v>67</v>
      </c>
      <c r="D1610">
        <v>30</v>
      </c>
      <c r="E1610">
        <v>110.29000091552734</v>
      </c>
    </row>
    <row r="1611" spans="1:5" x14ac:dyDescent="0.3">
      <c r="A1611" t="s">
        <v>2332</v>
      </c>
      <c r="B1611" t="s">
        <v>831</v>
      </c>
      <c r="C1611" t="s">
        <v>65</v>
      </c>
      <c r="D1611">
        <v>160</v>
      </c>
      <c r="E1611">
        <v>326.67001342773438</v>
      </c>
    </row>
    <row r="1612" spans="1:5" x14ac:dyDescent="0.3">
      <c r="A1612" t="s">
        <v>2333</v>
      </c>
      <c r="B1612" t="s">
        <v>1722</v>
      </c>
      <c r="C1612" t="s">
        <v>19</v>
      </c>
      <c r="D1612">
        <v>40</v>
      </c>
      <c r="E1612">
        <v>211.05000305175781</v>
      </c>
    </row>
    <row r="1613" spans="1:5" x14ac:dyDescent="0.3">
      <c r="A1613" t="s">
        <v>2334</v>
      </c>
      <c r="B1613" t="s">
        <v>147</v>
      </c>
      <c r="C1613" t="s">
        <v>23</v>
      </c>
      <c r="D1613">
        <v>200</v>
      </c>
      <c r="E1613">
        <v>451.17999267578125</v>
      </c>
    </row>
    <row r="1614" spans="1:5" x14ac:dyDescent="0.3">
      <c r="A1614" t="s">
        <v>2335</v>
      </c>
      <c r="B1614" t="s">
        <v>328</v>
      </c>
      <c r="C1614" t="s">
        <v>40</v>
      </c>
      <c r="D1614">
        <v>300</v>
      </c>
      <c r="E1614">
        <v>336.3800048828125</v>
      </c>
    </row>
    <row r="1615" spans="1:5" x14ac:dyDescent="0.3">
      <c r="A1615" t="s">
        <v>2336</v>
      </c>
      <c r="B1615" t="s">
        <v>2906</v>
      </c>
      <c r="C1615" t="s">
        <v>57</v>
      </c>
      <c r="D1615">
        <v>360</v>
      </c>
      <c r="E1615">
        <v>507.489990234375</v>
      </c>
    </row>
    <row r="1616" spans="1:5" x14ac:dyDescent="0.3">
      <c r="A1616" t="s">
        <v>2338</v>
      </c>
      <c r="B1616" t="s">
        <v>952</v>
      </c>
      <c r="C1616" t="s">
        <v>66</v>
      </c>
      <c r="D1616">
        <v>70</v>
      </c>
      <c r="E1616">
        <v>206.97000122070313</v>
      </c>
    </row>
    <row r="1617" spans="1:5" x14ac:dyDescent="0.3">
      <c r="A1617" t="s">
        <v>2340</v>
      </c>
      <c r="B1617" t="s">
        <v>1203</v>
      </c>
      <c r="C1617" t="s">
        <v>29</v>
      </c>
      <c r="D1617">
        <v>460</v>
      </c>
      <c r="E1617">
        <v>28.799999237060547</v>
      </c>
    </row>
    <row r="1618" spans="1:5" x14ac:dyDescent="0.3">
      <c r="A1618" t="s">
        <v>2341</v>
      </c>
      <c r="B1618" t="s">
        <v>500</v>
      </c>
      <c r="C1618" t="s">
        <v>70</v>
      </c>
      <c r="D1618">
        <v>230</v>
      </c>
      <c r="E1618">
        <v>168.53999328613281</v>
      </c>
    </row>
    <row r="1619" spans="1:5" x14ac:dyDescent="0.3">
      <c r="A1619" t="s">
        <v>2342</v>
      </c>
      <c r="B1619" t="s">
        <v>2885</v>
      </c>
      <c r="C1619" t="s">
        <v>59</v>
      </c>
      <c r="D1619">
        <v>450</v>
      </c>
      <c r="E1619">
        <v>173.30000305175781</v>
      </c>
    </row>
    <row r="1620" spans="1:5" x14ac:dyDescent="0.3">
      <c r="A1620" t="s">
        <v>2343</v>
      </c>
      <c r="B1620" t="s">
        <v>267</v>
      </c>
      <c r="C1620" t="s">
        <v>29</v>
      </c>
      <c r="D1620">
        <v>300</v>
      </c>
      <c r="E1620">
        <v>191.77999877929688</v>
      </c>
    </row>
    <row r="1621" spans="1:5" x14ac:dyDescent="0.3">
      <c r="A1621" t="s">
        <v>2345</v>
      </c>
      <c r="B1621" t="s">
        <v>1032</v>
      </c>
      <c r="C1621" t="s">
        <v>45</v>
      </c>
      <c r="D1621">
        <v>390</v>
      </c>
      <c r="E1621">
        <v>224.21000671386719</v>
      </c>
    </row>
    <row r="1622" spans="1:5" x14ac:dyDescent="0.3">
      <c r="A1622" t="s">
        <v>2346</v>
      </c>
      <c r="B1622" t="s">
        <v>2932</v>
      </c>
      <c r="C1622" t="s">
        <v>51</v>
      </c>
      <c r="D1622">
        <v>420</v>
      </c>
      <c r="E1622">
        <v>372.39999389648438</v>
      </c>
    </row>
    <row r="1623" spans="1:5" x14ac:dyDescent="0.3">
      <c r="A1623" t="s">
        <v>2347</v>
      </c>
      <c r="B1623" t="s">
        <v>317</v>
      </c>
      <c r="C1623" t="s">
        <v>12</v>
      </c>
      <c r="D1623">
        <v>490</v>
      </c>
      <c r="E1623">
        <v>89.730003356933594</v>
      </c>
    </row>
    <row r="1624" spans="1:5" x14ac:dyDescent="0.3">
      <c r="A1624" t="s">
        <v>2348</v>
      </c>
      <c r="B1624" t="s">
        <v>604</v>
      </c>
      <c r="C1624" t="s">
        <v>23</v>
      </c>
      <c r="D1624">
        <v>330</v>
      </c>
      <c r="E1624">
        <v>431.1099853515625</v>
      </c>
    </row>
    <row r="1625" spans="1:5" x14ac:dyDescent="0.3">
      <c r="A1625" t="s">
        <v>2350</v>
      </c>
      <c r="B1625" t="s">
        <v>1206</v>
      </c>
      <c r="C1625" t="s">
        <v>12</v>
      </c>
      <c r="D1625">
        <v>70</v>
      </c>
      <c r="E1625">
        <v>303.04998779296875</v>
      </c>
    </row>
    <row r="1626" spans="1:5" x14ac:dyDescent="0.3">
      <c r="A1626" t="s">
        <v>2351</v>
      </c>
      <c r="B1626" t="s">
        <v>168</v>
      </c>
      <c r="C1626" t="s">
        <v>37</v>
      </c>
      <c r="D1626">
        <v>430</v>
      </c>
      <c r="E1626">
        <v>213.60000610351563</v>
      </c>
    </row>
    <row r="1627" spans="1:5" x14ac:dyDescent="0.3">
      <c r="A1627" t="s">
        <v>2352</v>
      </c>
      <c r="B1627" t="s">
        <v>195</v>
      </c>
      <c r="C1627" t="s">
        <v>45</v>
      </c>
      <c r="D1627">
        <v>70</v>
      </c>
      <c r="E1627">
        <v>22.379999160766602</v>
      </c>
    </row>
    <row r="1628" spans="1:5" x14ac:dyDescent="0.3">
      <c r="A1628" t="s">
        <v>2353</v>
      </c>
      <c r="B1628" t="s">
        <v>1329</v>
      </c>
      <c r="C1628" t="s">
        <v>58</v>
      </c>
      <c r="D1628">
        <v>230</v>
      </c>
      <c r="E1628">
        <v>190.58000183105469</v>
      </c>
    </row>
    <row r="1629" spans="1:5" x14ac:dyDescent="0.3">
      <c r="A1629" t="s">
        <v>2354</v>
      </c>
      <c r="B1629" t="s">
        <v>477</v>
      </c>
      <c r="C1629" t="s">
        <v>60</v>
      </c>
      <c r="D1629">
        <v>70</v>
      </c>
      <c r="E1629">
        <v>30.930000305175781</v>
      </c>
    </row>
    <row r="1630" spans="1:5" x14ac:dyDescent="0.3">
      <c r="A1630" t="s">
        <v>2356</v>
      </c>
      <c r="B1630" t="s">
        <v>1177</v>
      </c>
      <c r="C1630" t="s">
        <v>29</v>
      </c>
      <c r="D1630">
        <v>360</v>
      </c>
      <c r="E1630">
        <v>457.75</v>
      </c>
    </row>
    <row r="1631" spans="1:5" x14ac:dyDescent="0.3">
      <c r="A1631" t="s">
        <v>2358</v>
      </c>
      <c r="B1631" t="s">
        <v>776</v>
      </c>
      <c r="C1631" t="s">
        <v>33</v>
      </c>
      <c r="D1631">
        <v>260</v>
      </c>
      <c r="E1631">
        <v>236.89999389648438</v>
      </c>
    </row>
    <row r="1632" spans="1:5" x14ac:dyDescent="0.3">
      <c r="A1632" t="s">
        <v>2359</v>
      </c>
      <c r="B1632" t="s">
        <v>448</v>
      </c>
      <c r="C1632" t="s">
        <v>70</v>
      </c>
      <c r="D1632">
        <v>70</v>
      </c>
      <c r="E1632">
        <v>235.80999755859375</v>
      </c>
    </row>
    <row r="1633" spans="1:5" x14ac:dyDescent="0.3">
      <c r="A1633" t="s">
        <v>2360</v>
      </c>
      <c r="B1633" t="s">
        <v>2956</v>
      </c>
      <c r="C1633" t="s">
        <v>62</v>
      </c>
      <c r="D1633">
        <v>470</v>
      </c>
      <c r="E1633">
        <v>173.49000549316406</v>
      </c>
    </row>
    <row r="1634" spans="1:5" x14ac:dyDescent="0.3">
      <c r="A1634" t="s">
        <v>2361</v>
      </c>
      <c r="B1634" t="s">
        <v>95</v>
      </c>
      <c r="C1634" t="s">
        <v>34</v>
      </c>
      <c r="D1634">
        <v>270</v>
      </c>
      <c r="E1634">
        <v>370.48001098632813</v>
      </c>
    </row>
    <row r="1635" spans="1:5" x14ac:dyDescent="0.3">
      <c r="A1635" t="s">
        <v>2362</v>
      </c>
      <c r="B1635" t="s">
        <v>2291</v>
      </c>
      <c r="C1635" t="s">
        <v>38</v>
      </c>
      <c r="D1635">
        <v>150</v>
      </c>
      <c r="E1635">
        <v>498.89999389648438</v>
      </c>
    </row>
    <row r="1636" spans="1:5" x14ac:dyDescent="0.3">
      <c r="A1636" t="s">
        <v>2363</v>
      </c>
      <c r="B1636" t="s">
        <v>1206</v>
      </c>
      <c r="C1636" t="s">
        <v>66</v>
      </c>
      <c r="D1636">
        <v>440</v>
      </c>
      <c r="E1636">
        <v>332.44000244140625</v>
      </c>
    </row>
    <row r="1637" spans="1:5" x14ac:dyDescent="0.3">
      <c r="A1637" t="s">
        <v>2365</v>
      </c>
      <c r="B1637" t="s">
        <v>2918</v>
      </c>
      <c r="C1637" t="s">
        <v>25</v>
      </c>
      <c r="D1637">
        <v>360</v>
      </c>
      <c r="E1637">
        <v>496.33999633789063</v>
      </c>
    </row>
    <row r="1638" spans="1:5" x14ac:dyDescent="0.3">
      <c r="A1638" t="s">
        <v>2366</v>
      </c>
      <c r="B1638" t="s">
        <v>1321</v>
      </c>
      <c r="C1638" t="s">
        <v>51</v>
      </c>
      <c r="D1638">
        <v>240</v>
      </c>
      <c r="E1638">
        <v>217.41000366210938</v>
      </c>
    </row>
    <row r="1639" spans="1:5" x14ac:dyDescent="0.3">
      <c r="A1639" t="s">
        <v>2368</v>
      </c>
      <c r="B1639" t="s">
        <v>974</v>
      </c>
      <c r="C1639" t="s">
        <v>61</v>
      </c>
      <c r="D1639">
        <v>300</v>
      </c>
      <c r="E1639">
        <v>74.010002136230469</v>
      </c>
    </row>
    <row r="1640" spans="1:5" x14ac:dyDescent="0.3">
      <c r="A1640" t="s">
        <v>2369</v>
      </c>
      <c r="B1640" t="s">
        <v>411</v>
      </c>
      <c r="C1640" t="s">
        <v>46</v>
      </c>
      <c r="D1640">
        <v>410</v>
      </c>
      <c r="E1640">
        <v>246.08000183105469</v>
      </c>
    </row>
    <row r="1641" spans="1:5" x14ac:dyDescent="0.3">
      <c r="A1641" t="s">
        <v>2370</v>
      </c>
      <c r="B1641" t="s">
        <v>399</v>
      </c>
      <c r="C1641" t="s">
        <v>68</v>
      </c>
      <c r="D1641">
        <v>300</v>
      </c>
      <c r="E1641">
        <v>265.1199951171875</v>
      </c>
    </row>
    <row r="1642" spans="1:5" x14ac:dyDescent="0.3">
      <c r="A1642" t="s">
        <v>2371</v>
      </c>
      <c r="B1642" t="s">
        <v>686</v>
      </c>
      <c r="C1642" t="s">
        <v>18</v>
      </c>
      <c r="D1642">
        <v>350</v>
      </c>
      <c r="E1642">
        <v>264.17001342773438</v>
      </c>
    </row>
    <row r="1643" spans="1:5" x14ac:dyDescent="0.3">
      <c r="A1643" t="s">
        <v>2372</v>
      </c>
      <c r="B1643" t="s">
        <v>359</v>
      </c>
      <c r="C1643" t="s">
        <v>52</v>
      </c>
      <c r="D1643">
        <v>310</v>
      </c>
      <c r="E1643">
        <v>227.86000061035156</v>
      </c>
    </row>
    <row r="1644" spans="1:5" x14ac:dyDescent="0.3">
      <c r="A1644" t="s">
        <v>2373</v>
      </c>
      <c r="B1644" t="s">
        <v>1060</v>
      </c>
      <c r="C1644" t="s">
        <v>68</v>
      </c>
      <c r="D1644">
        <v>60</v>
      </c>
      <c r="E1644">
        <v>242.3699951171875</v>
      </c>
    </row>
    <row r="1645" spans="1:5" x14ac:dyDescent="0.3">
      <c r="A1645" t="s">
        <v>2374</v>
      </c>
      <c r="B1645" t="s">
        <v>2945</v>
      </c>
      <c r="C1645" t="s">
        <v>15</v>
      </c>
      <c r="D1645">
        <v>390</v>
      </c>
      <c r="E1645">
        <v>245.44000244140625</v>
      </c>
    </row>
    <row r="1646" spans="1:5" x14ac:dyDescent="0.3">
      <c r="A1646" t="s">
        <v>2375</v>
      </c>
      <c r="B1646" t="s">
        <v>559</v>
      </c>
      <c r="C1646" t="s">
        <v>66</v>
      </c>
      <c r="D1646">
        <v>180</v>
      </c>
      <c r="E1646">
        <v>276.3900146484375</v>
      </c>
    </row>
    <row r="1647" spans="1:5" x14ac:dyDescent="0.3">
      <c r="A1647" t="s">
        <v>2376</v>
      </c>
      <c r="B1647" t="s">
        <v>295</v>
      </c>
      <c r="C1647" t="s">
        <v>62</v>
      </c>
      <c r="D1647">
        <v>240</v>
      </c>
      <c r="E1647">
        <v>226.07000732421875</v>
      </c>
    </row>
    <row r="1648" spans="1:5" x14ac:dyDescent="0.3">
      <c r="A1648" t="s">
        <v>2377</v>
      </c>
      <c r="B1648" t="s">
        <v>2001</v>
      </c>
      <c r="C1648" t="s">
        <v>18</v>
      </c>
      <c r="D1648">
        <v>470</v>
      </c>
      <c r="E1648">
        <v>86.919998168945313</v>
      </c>
    </row>
    <row r="1649" spans="1:5" x14ac:dyDescent="0.3">
      <c r="A1649" t="s">
        <v>2378</v>
      </c>
      <c r="B1649" t="s">
        <v>295</v>
      </c>
      <c r="C1649" t="s">
        <v>52</v>
      </c>
      <c r="D1649">
        <v>190</v>
      </c>
      <c r="E1649">
        <v>202.94000244140625</v>
      </c>
    </row>
    <row r="1650" spans="1:5" x14ac:dyDescent="0.3">
      <c r="A1650" t="s">
        <v>2379</v>
      </c>
      <c r="B1650" t="s">
        <v>2867</v>
      </c>
      <c r="C1650" t="s">
        <v>10</v>
      </c>
      <c r="D1650">
        <v>320</v>
      </c>
      <c r="E1650">
        <v>19.680000305175781</v>
      </c>
    </row>
    <row r="1651" spans="1:5" x14ac:dyDescent="0.3">
      <c r="A1651" t="s">
        <v>2380</v>
      </c>
      <c r="B1651" t="s">
        <v>2581</v>
      </c>
      <c r="C1651" t="s">
        <v>42</v>
      </c>
      <c r="D1651">
        <v>180</v>
      </c>
      <c r="E1651">
        <v>334.260009765625</v>
      </c>
    </row>
    <row r="1652" spans="1:5" x14ac:dyDescent="0.3">
      <c r="A1652" t="s">
        <v>2381</v>
      </c>
      <c r="B1652" t="s">
        <v>1740</v>
      </c>
      <c r="C1652" t="s">
        <v>19</v>
      </c>
      <c r="D1652">
        <v>220</v>
      </c>
      <c r="E1652">
        <v>45.369998931884766</v>
      </c>
    </row>
    <row r="1653" spans="1:5" x14ac:dyDescent="0.3">
      <c r="A1653" t="s">
        <v>2382</v>
      </c>
      <c r="B1653" t="s">
        <v>2935</v>
      </c>
      <c r="C1653" t="s">
        <v>51</v>
      </c>
      <c r="D1653">
        <v>280</v>
      </c>
      <c r="E1653">
        <v>403.239990234375</v>
      </c>
    </row>
    <row r="1654" spans="1:5" x14ac:dyDescent="0.3">
      <c r="A1654" t="s">
        <v>2383</v>
      </c>
      <c r="B1654" t="s">
        <v>1343</v>
      </c>
      <c r="C1654" t="s">
        <v>40</v>
      </c>
      <c r="D1654">
        <v>320</v>
      </c>
      <c r="E1654">
        <v>259.67999267578125</v>
      </c>
    </row>
    <row r="1655" spans="1:5" x14ac:dyDescent="0.3">
      <c r="A1655" t="s">
        <v>2385</v>
      </c>
      <c r="B1655" t="s">
        <v>1589</v>
      </c>
      <c r="C1655" t="s">
        <v>47</v>
      </c>
      <c r="D1655">
        <v>200</v>
      </c>
      <c r="E1655">
        <v>318.07000732421875</v>
      </c>
    </row>
    <row r="1656" spans="1:5" x14ac:dyDescent="0.3">
      <c r="A1656" t="s">
        <v>2386</v>
      </c>
      <c r="B1656" t="s">
        <v>562</v>
      </c>
      <c r="C1656" t="s">
        <v>70</v>
      </c>
      <c r="D1656">
        <v>380</v>
      </c>
      <c r="E1656">
        <v>383.32998657226563</v>
      </c>
    </row>
    <row r="1657" spans="1:5" x14ac:dyDescent="0.3">
      <c r="A1657" t="s">
        <v>2387</v>
      </c>
      <c r="B1657" t="s">
        <v>273</v>
      </c>
      <c r="C1657" t="s">
        <v>16</v>
      </c>
      <c r="D1657">
        <v>250</v>
      </c>
      <c r="E1657">
        <v>111.94999694824219</v>
      </c>
    </row>
    <row r="1658" spans="1:5" x14ac:dyDescent="0.3">
      <c r="A1658" t="s">
        <v>2389</v>
      </c>
      <c r="B1658" t="s">
        <v>356</v>
      </c>
      <c r="C1658" t="s">
        <v>25</v>
      </c>
      <c r="D1658">
        <v>290</v>
      </c>
      <c r="E1658">
        <v>262.010009765625</v>
      </c>
    </row>
    <row r="1659" spans="1:5" x14ac:dyDescent="0.3">
      <c r="A1659" t="s">
        <v>2390</v>
      </c>
      <c r="B1659" t="s">
        <v>89</v>
      </c>
      <c r="C1659" t="s">
        <v>21</v>
      </c>
      <c r="D1659">
        <v>380</v>
      </c>
      <c r="E1659">
        <v>443.10000610351563</v>
      </c>
    </row>
    <row r="1660" spans="1:5" x14ac:dyDescent="0.3">
      <c r="A1660" t="s">
        <v>2391</v>
      </c>
      <c r="B1660" t="s">
        <v>479</v>
      </c>
      <c r="C1660" t="s">
        <v>57</v>
      </c>
      <c r="D1660">
        <v>40</v>
      </c>
      <c r="E1660">
        <v>366.42999267578125</v>
      </c>
    </row>
    <row r="1661" spans="1:5" x14ac:dyDescent="0.3">
      <c r="A1661" t="s">
        <v>2392</v>
      </c>
      <c r="B1661" t="s">
        <v>135</v>
      </c>
      <c r="C1661" t="s">
        <v>16</v>
      </c>
      <c r="D1661">
        <v>160</v>
      </c>
      <c r="E1661">
        <v>94.720001220703125</v>
      </c>
    </row>
    <row r="1662" spans="1:5" x14ac:dyDescent="0.3">
      <c r="A1662" t="s">
        <v>2393</v>
      </c>
      <c r="B1662" t="s">
        <v>247</v>
      </c>
      <c r="C1662" t="s">
        <v>39</v>
      </c>
      <c r="D1662">
        <v>280</v>
      </c>
      <c r="E1662">
        <v>292.29000854492188</v>
      </c>
    </row>
    <row r="1663" spans="1:5" x14ac:dyDescent="0.3">
      <c r="A1663" t="s">
        <v>2395</v>
      </c>
      <c r="B1663" t="s">
        <v>626</v>
      </c>
      <c r="C1663" t="s">
        <v>33</v>
      </c>
      <c r="D1663">
        <v>300</v>
      </c>
      <c r="E1663">
        <v>475</v>
      </c>
    </row>
    <row r="1664" spans="1:5" x14ac:dyDescent="0.3">
      <c r="A1664" t="s">
        <v>2396</v>
      </c>
      <c r="B1664" t="s">
        <v>2897</v>
      </c>
      <c r="C1664" t="s">
        <v>37</v>
      </c>
      <c r="D1664">
        <v>270</v>
      </c>
      <c r="E1664">
        <v>260.29998779296875</v>
      </c>
    </row>
    <row r="1665" spans="1:5" x14ac:dyDescent="0.3">
      <c r="A1665" t="s">
        <v>2397</v>
      </c>
      <c r="B1665" t="s">
        <v>667</v>
      </c>
      <c r="C1665" t="s">
        <v>51</v>
      </c>
      <c r="D1665">
        <v>110</v>
      </c>
      <c r="E1665">
        <v>117.16000366210938</v>
      </c>
    </row>
    <row r="1666" spans="1:5" x14ac:dyDescent="0.3">
      <c r="A1666" t="s">
        <v>2398</v>
      </c>
      <c r="B1666" t="s">
        <v>2275</v>
      </c>
      <c r="C1666" t="s">
        <v>10</v>
      </c>
      <c r="D1666">
        <v>380</v>
      </c>
      <c r="E1666">
        <v>116.15000152587891</v>
      </c>
    </row>
    <row r="1667" spans="1:5" x14ac:dyDescent="0.3">
      <c r="A1667" t="s">
        <v>2399</v>
      </c>
      <c r="B1667" t="s">
        <v>941</v>
      </c>
      <c r="C1667" t="s">
        <v>10</v>
      </c>
      <c r="D1667">
        <v>40</v>
      </c>
      <c r="E1667">
        <v>179.38999938964844</v>
      </c>
    </row>
    <row r="1668" spans="1:5" x14ac:dyDescent="0.3">
      <c r="A1668" t="s">
        <v>2400</v>
      </c>
      <c r="B1668" t="s">
        <v>1722</v>
      </c>
      <c r="C1668" t="s">
        <v>68</v>
      </c>
      <c r="D1668">
        <v>140</v>
      </c>
      <c r="E1668">
        <v>330.55999755859375</v>
      </c>
    </row>
    <row r="1669" spans="1:5" x14ac:dyDescent="0.3">
      <c r="A1669" t="s">
        <v>2401</v>
      </c>
      <c r="B1669" t="s">
        <v>228</v>
      </c>
      <c r="C1669" t="s">
        <v>57</v>
      </c>
      <c r="D1669">
        <v>160</v>
      </c>
      <c r="E1669">
        <v>444.89999389648438</v>
      </c>
    </row>
    <row r="1670" spans="1:5" x14ac:dyDescent="0.3">
      <c r="A1670" t="s">
        <v>2402</v>
      </c>
      <c r="B1670" t="s">
        <v>2279</v>
      </c>
      <c r="C1670" t="s">
        <v>16</v>
      </c>
      <c r="D1670">
        <v>180</v>
      </c>
      <c r="E1670">
        <v>499.22000122070313</v>
      </c>
    </row>
    <row r="1671" spans="1:5" x14ac:dyDescent="0.3">
      <c r="A1671" t="s">
        <v>2404</v>
      </c>
      <c r="B1671" t="s">
        <v>965</v>
      </c>
      <c r="C1671" t="s">
        <v>32</v>
      </c>
      <c r="D1671">
        <v>170</v>
      </c>
      <c r="E1671">
        <v>321.8800048828125</v>
      </c>
    </row>
    <row r="1672" spans="1:5" x14ac:dyDescent="0.3">
      <c r="A1672" t="s">
        <v>2405</v>
      </c>
      <c r="B1672" t="s">
        <v>707</v>
      </c>
      <c r="C1672" t="s">
        <v>44</v>
      </c>
      <c r="D1672">
        <v>250</v>
      </c>
      <c r="E1672">
        <v>342.82998657226563</v>
      </c>
    </row>
    <row r="1673" spans="1:5" x14ac:dyDescent="0.3">
      <c r="A1673" t="s">
        <v>2406</v>
      </c>
      <c r="B1673" t="s">
        <v>311</v>
      </c>
      <c r="C1673" t="s">
        <v>40</v>
      </c>
      <c r="D1673">
        <v>-50</v>
      </c>
      <c r="E1673">
        <v>147.3800048828125</v>
      </c>
    </row>
    <row r="1674" spans="1:5" x14ac:dyDescent="0.3">
      <c r="A1674" t="s">
        <v>2407</v>
      </c>
      <c r="B1674" t="s">
        <v>1384</v>
      </c>
      <c r="C1674" t="s">
        <v>45</v>
      </c>
      <c r="D1674">
        <v>410</v>
      </c>
      <c r="E1674">
        <v>17.799999237060547</v>
      </c>
    </row>
    <row r="1675" spans="1:5" x14ac:dyDescent="0.3">
      <c r="A1675" t="s">
        <v>2408</v>
      </c>
      <c r="B1675" t="s">
        <v>856</v>
      </c>
      <c r="C1675" t="s">
        <v>51</v>
      </c>
      <c r="D1675">
        <v>100</v>
      </c>
      <c r="E1675">
        <v>188.97000122070313</v>
      </c>
    </row>
    <row r="1676" spans="1:5" x14ac:dyDescent="0.3">
      <c r="A1676" t="s">
        <v>2409</v>
      </c>
      <c r="B1676" t="s">
        <v>1369</v>
      </c>
      <c r="C1676" t="s">
        <v>42</v>
      </c>
      <c r="D1676">
        <v>300</v>
      </c>
      <c r="E1676">
        <v>198.25999450683594</v>
      </c>
    </row>
    <row r="1677" spans="1:5" x14ac:dyDescent="0.3">
      <c r="A1677" t="s">
        <v>2411</v>
      </c>
      <c r="B1677" t="s">
        <v>1024</v>
      </c>
      <c r="C1677" t="s">
        <v>21</v>
      </c>
      <c r="D1677">
        <v>70</v>
      </c>
      <c r="E1677">
        <v>122.08000183105469</v>
      </c>
    </row>
    <row r="1678" spans="1:5" x14ac:dyDescent="0.3">
      <c r="A1678" t="s">
        <v>2412</v>
      </c>
      <c r="B1678" t="s">
        <v>2355</v>
      </c>
      <c r="C1678" t="s">
        <v>16</v>
      </c>
      <c r="D1678">
        <v>50</v>
      </c>
      <c r="E1678">
        <v>325.89999389648438</v>
      </c>
    </row>
    <row r="1679" spans="1:5" x14ac:dyDescent="0.3">
      <c r="A1679" t="s">
        <v>2413</v>
      </c>
      <c r="B1679" t="s">
        <v>2957</v>
      </c>
      <c r="C1679" t="s">
        <v>40</v>
      </c>
      <c r="D1679">
        <v>180</v>
      </c>
      <c r="E1679">
        <v>214.27000427246094</v>
      </c>
    </row>
    <row r="1680" spans="1:5" x14ac:dyDescent="0.3">
      <c r="A1680" t="s">
        <v>2414</v>
      </c>
      <c r="B1680" t="s">
        <v>2410</v>
      </c>
      <c r="C1680" t="s">
        <v>57</v>
      </c>
      <c r="D1680">
        <v>470</v>
      </c>
      <c r="E1680">
        <v>480.79998779296875</v>
      </c>
    </row>
    <row r="1681" spans="1:5" x14ac:dyDescent="0.3">
      <c r="A1681" t="s">
        <v>2415</v>
      </c>
      <c r="B1681" t="s">
        <v>2650</v>
      </c>
      <c r="C1681" t="s">
        <v>36</v>
      </c>
      <c r="D1681">
        <v>270</v>
      </c>
      <c r="E1681">
        <v>358.1300048828125</v>
      </c>
    </row>
    <row r="1682" spans="1:5" x14ac:dyDescent="0.3">
      <c r="A1682" t="s">
        <v>2416</v>
      </c>
      <c r="B1682" t="s">
        <v>786</v>
      </c>
      <c r="C1682" t="s">
        <v>70</v>
      </c>
      <c r="D1682">
        <v>490</v>
      </c>
      <c r="E1682">
        <v>368.01998901367188</v>
      </c>
    </row>
    <row r="1683" spans="1:5" x14ac:dyDescent="0.3">
      <c r="A1683" t="s">
        <v>2417</v>
      </c>
      <c r="B1683" t="s">
        <v>630</v>
      </c>
      <c r="C1683" t="s">
        <v>21</v>
      </c>
      <c r="D1683">
        <v>25000</v>
      </c>
      <c r="E1683">
        <v>354.48001098632813</v>
      </c>
    </row>
    <row r="1684" spans="1:5" x14ac:dyDescent="0.3">
      <c r="A1684" t="s">
        <v>2418</v>
      </c>
      <c r="B1684" t="s">
        <v>1340</v>
      </c>
      <c r="C1684" t="s">
        <v>25</v>
      </c>
      <c r="D1684">
        <v>180</v>
      </c>
      <c r="E1684">
        <v>164.67999267578125</v>
      </c>
    </row>
    <row r="1685" spans="1:5" x14ac:dyDescent="0.3">
      <c r="A1685" t="s">
        <v>2419</v>
      </c>
      <c r="B1685" t="s">
        <v>300</v>
      </c>
      <c r="C1685" t="s">
        <v>28</v>
      </c>
      <c r="D1685">
        <v>25000</v>
      </c>
      <c r="E1685">
        <v>278.82000732421875</v>
      </c>
    </row>
    <row r="1686" spans="1:5" x14ac:dyDescent="0.3">
      <c r="A1686" t="s">
        <v>2420</v>
      </c>
      <c r="B1686" t="s">
        <v>203</v>
      </c>
      <c r="C1686" t="s">
        <v>28</v>
      </c>
      <c r="D1686">
        <v>450</v>
      </c>
      <c r="E1686">
        <v>295.8599853515625</v>
      </c>
    </row>
    <row r="1687" spans="1:5" x14ac:dyDescent="0.3">
      <c r="A1687" t="s">
        <v>2422</v>
      </c>
      <c r="B1687" t="s">
        <v>831</v>
      </c>
      <c r="C1687" t="s">
        <v>63</v>
      </c>
      <c r="D1687">
        <v>30</v>
      </c>
      <c r="E1687">
        <v>486.39999389648438</v>
      </c>
    </row>
    <row r="1688" spans="1:5" x14ac:dyDescent="0.3">
      <c r="A1688" t="s">
        <v>2423</v>
      </c>
      <c r="B1688" t="s">
        <v>315</v>
      </c>
      <c r="C1688" t="s">
        <v>19</v>
      </c>
      <c r="D1688">
        <v>250</v>
      </c>
      <c r="E1688">
        <v>73.339996337890625</v>
      </c>
    </row>
    <row r="1689" spans="1:5" x14ac:dyDescent="0.3">
      <c r="A1689" t="s">
        <v>2424</v>
      </c>
      <c r="B1689" t="s">
        <v>1625</v>
      </c>
      <c r="C1689" t="s">
        <v>124</v>
      </c>
      <c r="D1689">
        <v>460</v>
      </c>
      <c r="E1689">
        <v>379.25</v>
      </c>
    </row>
    <row r="1690" spans="1:5" x14ac:dyDescent="0.3">
      <c r="A1690" t="s">
        <v>2425</v>
      </c>
      <c r="B1690" t="s">
        <v>281</v>
      </c>
      <c r="C1690" t="s">
        <v>43</v>
      </c>
      <c r="D1690">
        <v>480</v>
      </c>
      <c r="E1690">
        <v>189.69000244140625</v>
      </c>
    </row>
    <row r="1691" spans="1:5" x14ac:dyDescent="0.3">
      <c r="A1691" t="s">
        <v>2426</v>
      </c>
      <c r="B1691" t="s">
        <v>1364</v>
      </c>
      <c r="C1691" t="s">
        <v>39</v>
      </c>
      <c r="D1691">
        <v>250</v>
      </c>
      <c r="E1691">
        <v>215.39999389648438</v>
      </c>
    </row>
    <row r="1692" spans="1:5" x14ac:dyDescent="0.3">
      <c r="A1692" t="s">
        <v>2427</v>
      </c>
      <c r="B1692" t="s">
        <v>1689</v>
      </c>
      <c r="C1692" t="s">
        <v>10</v>
      </c>
      <c r="D1692">
        <v>20</v>
      </c>
      <c r="E1692">
        <v>496.67001342773438</v>
      </c>
    </row>
    <row r="1693" spans="1:5" x14ac:dyDescent="0.3">
      <c r="A1693" t="s">
        <v>2428</v>
      </c>
      <c r="B1693" t="s">
        <v>952</v>
      </c>
      <c r="C1693" t="s">
        <v>62</v>
      </c>
      <c r="D1693">
        <v>420</v>
      </c>
      <c r="E1693">
        <v>331.60000610351563</v>
      </c>
    </row>
    <row r="1694" spans="1:5" x14ac:dyDescent="0.3">
      <c r="A1694" t="s">
        <v>2429</v>
      </c>
      <c r="B1694" t="s">
        <v>1405</v>
      </c>
      <c r="C1694" t="s">
        <v>19</v>
      </c>
      <c r="D1694">
        <v>280</v>
      </c>
      <c r="E1694">
        <v>26.090000152587891</v>
      </c>
    </row>
    <row r="1695" spans="1:5" x14ac:dyDescent="0.3">
      <c r="A1695" t="s">
        <v>2431</v>
      </c>
      <c r="B1695" t="s">
        <v>2898</v>
      </c>
      <c r="C1695" t="s">
        <v>45</v>
      </c>
      <c r="D1695">
        <v>330</v>
      </c>
      <c r="E1695">
        <v>143.8800048828125</v>
      </c>
    </row>
    <row r="1696" spans="1:5" x14ac:dyDescent="0.3">
      <c r="A1696" t="s">
        <v>2432</v>
      </c>
      <c r="B1696" t="s">
        <v>442</v>
      </c>
      <c r="C1696" t="s">
        <v>33</v>
      </c>
      <c r="D1696">
        <v>450</v>
      </c>
      <c r="E1696">
        <v>256.48001098632813</v>
      </c>
    </row>
    <row r="1697" spans="1:5" x14ac:dyDescent="0.3">
      <c r="A1697" t="s">
        <v>2433</v>
      </c>
      <c r="B1697" t="s">
        <v>1859</v>
      </c>
      <c r="C1697" t="s">
        <v>13</v>
      </c>
      <c r="D1697">
        <v>460</v>
      </c>
      <c r="E1697">
        <v>193.24000549316406</v>
      </c>
    </row>
    <row r="1698" spans="1:5" x14ac:dyDescent="0.3">
      <c r="A1698" t="s">
        <v>2435</v>
      </c>
      <c r="B1698" t="s">
        <v>944</v>
      </c>
      <c r="C1698" t="s">
        <v>17</v>
      </c>
      <c r="D1698">
        <v>320</v>
      </c>
      <c r="E1698">
        <v>291.32998657226563</v>
      </c>
    </row>
    <row r="1699" spans="1:5" x14ac:dyDescent="0.3">
      <c r="A1699" t="s">
        <v>2436</v>
      </c>
      <c r="B1699" t="s">
        <v>2956</v>
      </c>
      <c r="C1699" t="s">
        <v>18</v>
      </c>
      <c r="D1699">
        <v>420</v>
      </c>
      <c r="E1699">
        <v>145.72000122070313</v>
      </c>
    </row>
    <row r="1700" spans="1:5" x14ac:dyDescent="0.3">
      <c r="A1700" t="s">
        <v>2437</v>
      </c>
      <c r="B1700" t="s">
        <v>1145</v>
      </c>
      <c r="C1700" t="s">
        <v>43</v>
      </c>
      <c r="D1700">
        <v>310</v>
      </c>
      <c r="E1700">
        <v>359.17999267578125</v>
      </c>
    </row>
    <row r="1701" spans="1:5" x14ac:dyDescent="0.3">
      <c r="A1701" t="s">
        <v>2438</v>
      </c>
      <c r="B1701" t="s">
        <v>1285</v>
      </c>
      <c r="C1701" t="s">
        <v>61</v>
      </c>
      <c r="D1701">
        <v>460</v>
      </c>
      <c r="E1701">
        <v>292.32000732421875</v>
      </c>
    </row>
    <row r="1702" spans="1:5" x14ac:dyDescent="0.3">
      <c r="A1702" t="s">
        <v>2439</v>
      </c>
      <c r="B1702" t="s">
        <v>1684</v>
      </c>
      <c r="C1702" t="s">
        <v>46</v>
      </c>
      <c r="D1702">
        <v>480</v>
      </c>
      <c r="E1702">
        <v>313.52999877929688</v>
      </c>
    </row>
    <row r="1703" spans="1:5" x14ac:dyDescent="0.3">
      <c r="A1703" t="s">
        <v>2440</v>
      </c>
      <c r="B1703" t="s">
        <v>1673</v>
      </c>
      <c r="C1703" t="s">
        <v>37</v>
      </c>
      <c r="D1703">
        <v>420</v>
      </c>
      <c r="E1703">
        <v>49.049999237060547</v>
      </c>
    </row>
    <row r="1704" spans="1:5" x14ac:dyDescent="0.3">
      <c r="A1704" t="s">
        <v>2441</v>
      </c>
      <c r="B1704" t="s">
        <v>479</v>
      </c>
      <c r="C1704" t="s">
        <v>56</v>
      </c>
      <c r="D1704">
        <v>490</v>
      </c>
      <c r="E1704">
        <v>132.91000366210938</v>
      </c>
    </row>
    <row r="1705" spans="1:5" x14ac:dyDescent="0.3">
      <c r="A1705" t="s">
        <v>2442</v>
      </c>
      <c r="B1705" t="s">
        <v>2735</v>
      </c>
      <c r="C1705" t="s">
        <v>32</v>
      </c>
      <c r="D1705">
        <v>310</v>
      </c>
      <c r="E1705">
        <v>456.94000244140625</v>
      </c>
    </row>
    <row r="1706" spans="1:5" x14ac:dyDescent="0.3">
      <c r="A1706" t="s">
        <v>2443</v>
      </c>
      <c r="B1706" t="s">
        <v>354</v>
      </c>
      <c r="C1706" t="s">
        <v>51</v>
      </c>
      <c r="D1706">
        <v>150</v>
      </c>
      <c r="E1706">
        <v>420.80999755859375</v>
      </c>
    </row>
    <row r="1707" spans="1:5" x14ac:dyDescent="0.3">
      <c r="A1707" t="s">
        <v>2444</v>
      </c>
      <c r="B1707" t="s">
        <v>2367</v>
      </c>
      <c r="C1707" t="s">
        <v>37</v>
      </c>
      <c r="D1707">
        <v>220</v>
      </c>
      <c r="E1707">
        <v>182</v>
      </c>
    </row>
    <row r="1708" spans="1:5" x14ac:dyDescent="0.3">
      <c r="A1708" t="s">
        <v>2445</v>
      </c>
      <c r="B1708" t="s">
        <v>936</v>
      </c>
      <c r="C1708" t="s">
        <v>18</v>
      </c>
      <c r="D1708">
        <v>380</v>
      </c>
      <c r="E1708">
        <v>405.77999877929688</v>
      </c>
    </row>
    <row r="1709" spans="1:5" x14ac:dyDescent="0.3">
      <c r="A1709" t="s">
        <v>2446</v>
      </c>
      <c r="B1709" t="s">
        <v>911</v>
      </c>
      <c r="C1709" t="s">
        <v>52</v>
      </c>
      <c r="D1709">
        <v>400</v>
      </c>
      <c r="E1709">
        <v>15.239999771118164</v>
      </c>
    </row>
    <row r="1710" spans="1:5" x14ac:dyDescent="0.3">
      <c r="A1710" t="s">
        <v>2447</v>
      </c>
      <c r="B1710" t="s">
        <v>574</v>
      </c>
      <c r="C1710" t="s">
        <v>40</v>
      </c>
      <c r="D1710">
        <v>230</v>
      </c>
      <c r="E1710">
        <v>441.29998779296875</v>
      </c>
    </row>
    <row r="1711" spans="1:5" x14ac:dyDescent="0.3">
      <c r="A1711" t="s">
        <v>2448</v>
      </c>
      <c r="B1711" t="s">
        <v>1476</v>
      </c>
      <c r="C1711" t="s">
        <v>34</v>
      </c>
      <c r="D1711">
        <v>210</v>
      </c>
      <c r="E1711">
        <v>372.67999267578125</v>
      </c>
    </row>
    <row r="1712" spans="1:5" x14ac:dyDescent="0.3">
      <c r="A1712" t="s">
        <v>2449</v>
      </c>
      <c r="B1712" t="s">
        <v>1377</v>
      </c>
      <c r="C1712" t="s">
        <v>66</v>
      </c>
      <c r="D1712">
        <v>370</v>
      </c>
      <c r="E1712">
        <v>505.92001342773438</v>
      </c>
    </row>
    <row r="1713" spans="1:5" x14ac:dyDescent="0.3">
      <c r="A1713" t="s">
        <v>2450</v>
      </c>
      <c r="B1713" t="s">
        <v>2289</v>
      </c>
      <c r="C1713" t="s">
        <v>124</v>
      </c>
      <c r="D1713">
        <v>340</v>
      </c>
      <c r="E1713">
        <v>138.21000671386719</v>
      </c>
    </row>
    <row r="1714" spans="1:5" x14ac:dyDescent="0.3">
      <c r="A1714" t="s">
        <v>2451</v>
      </c>
      <c r="B1714" t="s">
        <v>628</v>
      </c>
      <c r="C1714" t="s">
        <v>13</v>
      </c>
      <c r="D1714">
        <v>460</v>
      </c>
      <c r="E1714">
        <v>105.23000335693359</v>
      </c>
    </row>
    <row r="1715" spans="1:5" x14ac:dyDescent="0.3">
      <c r="A1715" t="s">
        <v>2452</v>
      </c>
      <c r="B1715" t="s">
        <v>411</v>
      </c>
      <c r="C1715" t="s">
        <v>70</v>
      </c>
      <c r="D1715">
        <v>340</v>
      </c>
      <c r="E1715">
        <v>284.989990234375</v>
      </c>
    </row>
    <row r="1716" spans="1:5" x14ac:dyDescent="0.3">
      <c r="A1716" t="s">
        <v>2454</v>
      </c>
      <c r="B1716" t="s">
        <v>705</v>
      </c>
      <c r="C1716" t="s">
        <v>42</v>
      </c>
      <c r="D1716">
        <v>340</v>
      </c>
      <c r="E1716">
        <v>351.57000732421875</v>
      </c>
    </row>
    <row r="1717" spans="1:5" x14ac:dyDescent="0.3">
      <c r="A1717" t="s">
        <v>2455</v>
      </c>
      <c r="B1717" t="s">
        <v>472</v>
      </c>
      <c r="C1717" t="s">
        <v>54</v>
      </c>
      <c r="D1717">
        <v>20</v>
      </c>
      <c r="E1717">
        <v>393.1099853515625</v>
      </c>
    </row>
    <row r="1718" spans="1:5" x14ac:dyDescent="0.3">
      <c r="A1718" t="s">
        <v>2456</v>
      </c>
      <c r="B1718" t="s">
        <v>632</v>
      </c>
      <c r="C1718" t="s">
        <v>64</v>
      </c>
      <c r="D1718">
        <v>380</v>
      </c>
      <c r="E1718">
        <v>161.78999328613281</v>
      </c>
    </row>
    <row r="1719" spans="1:5" x14ac:dyDescent="0.3">
      <c r="A1719" t="s">
        <v>2457</v>
      </c>
      <c r="B1719" t="s">
        <v>222</v>
      </c>
      <c r="C1719" t="s">
        <v>68</v>
      </c>
      <c r="D1719">
        <v>110</v>
      </c>
      <c r="E1719">
        <v>323.8900146484375</v>
      </c>
    </row>
    <row r="1720" spans="1:5" x14ac:dyDescent="0.3">
      <c r="A1720" t="s">
        <v>2459</v>
      </c>
      <c r="B1720" t="s">
        <v>1203</v>
      </c>
      <c r="C1720" t="s">
        <v>61</v>
      </c>
      <c r="D1720">
        <v>350</v>
      </c>
      <c r="E1720">
        <v>209.71000671386719</v>
      </c>
    </row>
    <row r="1721" spans="1:5" x14ac:dyDescent="0.3">
      <c r="A1721" t="s">
        <v>2460</v>
      </c>
      <c r="B1721" t="s">
        <v>1037</v>
      </c>
      <c r="C1721" t="s">
        <v>69</v>
      </c>
      <c r="D1721">
        <v>440</v>
      </c>
      <c r="E1721">
        <v>63.659999847412109</v>
      </c>
    </row>
    <row r="1722" spans="1:5" x14ac:dyDescent="0.3">
      <c r="A1722" t="s">
        <v>2461</v>
      </c>
      <c r="B1722" t="s">
        <v>1450</v>
      </c>
      <c r="C1722" t="s">
        <v>13</v>
      </c>
      <c r="D1722">
        <v>160</v>
      </c>
      <c r="E1722">
        <v>294.16000366210938</v>
      </c>
    </row>
    <row r="1723" spans="1:5" x14ac:dyDescent="0.3">
      <c r="A1723" t="s">
        <v>2462</v>
      </c>
      <c r="B1723" t="s">
        <v>444</v>
      </c>
      <c r="C1723" t="s">
        <v>21</v>
      </c>
      <c r="D1723">
        <v>470</v>
      </c>
      <c r="E1723">
        <v>223.75</v>
      </c>
    </row>
    <row r="1724" spans="1:5" x14ac:dyDescent="0.3">
      <c r="A1724" t="s">
        <v>2463</v>
      </c>
      <c r="B1724" t="s">
        <v>442</v>
      </c>
      <c r="C1724" t="s">
        <v>51</v>
      </c>
      <c r="D1724">
        <v>320</v>
      </c>
      <c r="E1724">
        <v>338.97000122070313</v>
      </c>
    </row>
    <row r="1725" spans="1:5" x14ac:dyDescent="0.3">
      <c r="A1725" t="s">
        <v>2464</v>
      </c>
      <c r="B1725" t="s">
        <v>172</v>
      </c>
      <c r="C1725" t="s">
        <v>25</v>
      </c>
      <c r="D1725">
        <v>300</v>
      </c>
      <c r="E1725">
        <v>40.479999542236328</v>
      </c>
    </row>
    <row r="1726" spans="1:5" x14ac:dyDescent="0.3">
      <c r="A1726" t="s">
        <v>2465</v>
      </c>
      <c r="B1726" t="s">
        <v>155</v>
      </c>
      <c r="C1726" t="s">
        <v>62</v>
      </c>
      <c r="D1726">
        <v>480</v>
      </c>
      <c r="E1726">
        <v>392.97000122070313</v>
      </c>
    </row>
    <row r="1727" spans="1:5" x14ac:dyDescent="0.3">
      <c r="A1727" t="s">
        <v>2466</v>
      </c>
      <c r="B1727" t="s">
        <v>1961</v>
      </c>
      <c r="C1727" t="s">
        <v>69</v>
      </c>
      <c r="D1727">
        <v>130</v>
      </c>
      <c r="E1727">
        <v>375.19000244140625</v>
      </c>
    </row>
    <row r="1728" spans="1:5" x14ac:dyDescent="0.3">
      <c r="A1728" t="s">
        <v>2467</v>
      </c>
      <c r="B1728" t="s">
        <v>786</v>
      </c>
      <c r="C1728" t="s">
        <v>23</v>
      </c>
      <c r="D1728">
        <v>430</v>
      </c>
      <c r="E1728">
        <v>129.97000122070313</v>
      </c>
    </row>
    <row r="1729" spans="1:5" x14ac:dyDescent="0.3">
      <c r="A1729" t="s">
        <v>2468</v>
      </c>
      <c r="B1729" t="s">
        <v>240</v>
      </c>
      <c r="C1729" t="s">
        <v>52</v>
      </c>
      <c r="D1729">
        <v>300</v>
      </c>
      <c r="E1729">
        <v>214.19999694824219</v>
      </c>
    </row>
    <row r="1730" spans="1:5" x14ac:dyDescent="0.3">
      <c r="A1730" t="s">
        <v>2469</v>
      </c>
      <c r="B1730" t="s">
        <v>2089</v>
      </c>
      <c r="C1730" t="s">
        <v>44</v>
      </c>
      <c r="D1730">
        <v>70</v>
      </c>
      <c r="E1730">
        <v>348.82000732421875</v>
      </c>
    </row>
    <row r="1731" spans="1:5" x14ac:dyDescent="0.3">
      <c r="A1731" t="s">
        <v>2470</v>
      </c>
      <c r="B1731" t="s">
        <v>661</v>
      </c>
      <c r="C1731" t="s">
        <v>51</v>
      </c>
      <c r="D1731">
        <v>280</v>
      </c>
      <c r="E1731">
        <v>168.85000610351563</v>
      </c>
    </row>
    <row r="1732" spans="1:5" x14ac:dyDescent="0.3">
      <c r="A1732" t="s">
        <v>2471</v>
      </c>
      <c r="B1732" t="s">
        <v>422</v>
      </c>
      <c r="C1732" t="s">
        <v>61</v>
      </c>
      <c r="D1732">
        <v>410</v>
      </c>
      <c r="E1732">
        <v>473.33999633789063</v>
      </c>
    </row>
    <row r="1733" spans="1:5" x14ac:dyDescent="0.3">
      <c r="A1733" t="s">
        <v>2472</v>
      </c>
      <c r="B1733" t="s">
        <v>1010</v>
      </c>
      <c r="C1733" t="s">
        <v>46</v>
      </c>
      <c r="D1733">
        <v>150</v>
      </c>
      <c r="E1733">
        <v>475.45001220703125</v>
      </c>
    </row>
    <row r="1734" spans="1:5" x14ac:dyDescent="0.3">
      <c r="A1734" t="s">
        <v>2473</v>
      </c>
      <c r="B1734" t="s">
        <v>260</v>
      </c>
      <c r="C1734" t="s">
        <v>37</v>
      </c>
      <c r="D1734">
        <v>110</v>
      </c>
      <c r="E1734">
        <v>52.360000610351563</v>
      </c>
    </row>
    <row r="1735" spans="1:5" x14ac:dyDescent="0.3">
      <c r="A1735" t="s">
        <v>2474</v>
      </c>
      <c r="B1735" t="s">
        <v>1187</v>
      </c>
      <c r="C1735" t="s">
        <v>37</v>
      </c>
      <c r="D1735">
        <v>120</v>
      </c>
      <c r="E1735">
        <v>495.33999633789063</v>
      </c>
    </row>
    <row r="1736" spans="1:5" x14ac:dyDescent="0.3">
      <c r="A1736" t="s">
        <v>2476</v>
      </c>
      <c r="B1736" t="s">
        <v>431</v>
      </c>
      <c r="C1736" t="s">
        <v>57</v>
      </c>
      <c r="D1736">
        <v>450</v>
      </c>
      <c r="E1736">
        <v>259.70999145507813</v>
      </c>
    </row>
    <row r="1737" spans="1:5" x14ac:dyDescent="0.3">
      <c r="A1737" t="s">
        <v>2477</v>
      </c>
      <c r="B1737" t="s">
        <v>2001</v>
      </c>
      <c r="C1737" t="s">
        <v>28</v>
      </c>
      <c r="D1737">
        <v>40</v>
      </c>
      <c r="E1737">
        <v>214.85000610351563</v>
      </c>
    </row>
    <row r="1738" spans="1:5" x14ac:dyDescent="0.3">
      <c r="A1738" t="s">
        <v>2478</v>
      </c>
      <c r="B1738" t="s">
        <v>73</v>
      </c>
      <c r="C1738" t="s">
        <v>55</v>
      </c>
      <c r="D1738">
        <v>320</v>
      </c>
      <c r="E1738">
        <v>394.20001220703125</v>
      </c>
    </row>
    <row r="1739" spans="1:5" x14ac:dyDescent="0.3">
      <c r="A1739" t="s">
        <v>2479</v>
      </c>
      <c r="B1739" t="s">
        <v>2624</v>
      </c>
      <c r="C1739" t="s">
        <v>45</v>
      </c>
      <c r="D1739">
        <v>370</v>
      </c>
      <c r="E1739">
        <v>245.28999328613281</v>
      </c>
    </row>
    <row r="1740" spans="1:5" x14ac:dyDescent="0.3">
      <c r="A1740" t="s">
        <v>2480</v>
      </c>
      <c r="B1740" t="s">
        <v>1307</v>
      </c>
      <c r="C1740" t="s">
        <v>31</v>
      </c>
      <c r="D1740">
        <v>250</v>
      </c>
      <c r="E1740">
        <v>379.69000244140625</v>
      </c>
    </row>
    <row r="1741" spans="1:5" x14ac:dyDescent="0.3">
      <c r="A1741" t="s">
        <v>2481</v>
      </c>
      <c r="B1741" t="s">
        <v>767</v>
      </c>
      <c r="C1741" t="s">
        <v>68</v>
      </c>
      <c r="D1741">
        <v>190</v>
      </c>
      <c r="E1741">
        <v>323.01998901367188</v>
      </c>
    </row>
    <row r="1742" spans="1:5" x14ac:dyDescent="0.3">
      <c r="A1742" t="s">
        <v>2482</v>
      </c>
      <c r="B1742" t="s">
        <v>1153</v>
      </c>
      <c r="C1742" t="s">
        <v>58</v>
      </c>
      <c r="D1742">
        <v>390</v>
      </c>
      <c r="E1742">
        <v>264.98001098632813</v>
      </c>
    </row>
    <row r="1743" spans="1:5" x14ac:dyDescent="0.3">
      <c r="A1743" t="s">
        <v>2483</v>
      </c>
      <c r="B1743" t="s">
        <v>1551</v>
      </c>
      <c r="C1743" t="s">
        <v>38</v>
      </c>
      <c r="D1743">
        <v>220</v>
      </c>
      <c r="E1743">
        <v>309.33999633789063</v>
      </c>
    </row>
    <row r="1744" spans="1:5" x14ac:dyDescent="0.3">
      <c r="A1744" t="s">
        <v>2484</v>
      </c>
      <c r="B1744" t="s">
        <v>228</v>
      </c>
      <c r="C1744" t="s">
        <v>55</v>
      </c>
      <c r="D1744">
        <v>10</v>
      </c>
      <c r="E1744">
        <v>223.91000366210938</v>
      </c>
    </row>
    <row r="1745" spans="1:5" x14ac:dyDescent="0.3">
      <c r="A1745" t="s">
        <v>2485</v>
      </c>
      <c r="B1745" t="s">
        <v>1193</v>
      </c>
      <c r="C1745" t="s">
        <v>10</v>
      </c>
      <c r="D1745">
        <v>290</v>
      </c>
      <c r="E1745">
        <v>190.58999633789063</v>
      </c>
    </row>
    <row r="1746" spans="1:5" x14ac:dyDescent="0.3">
      <c r="A1746" t="s">
        <v>2486</v>
      </c>
      <c r="B1746" t="s">
        <v>711</v>
      </c>
      <c r="C1746" t="s">
        <v>62</v>
      </c>
      <c r="D1746">
        <v>30</v>
      </c>
      <c r="E1746">
        <v>55.310001373291016</v>
      </c>
    </row>
    <row r="1747" spans="1:5" x14ac:dyDescent="0.3">
      <c r="A1747" t="s">
        <v>2487</v>
      </c>
      <c r="B1747" t="s">
        <v>961</v>
      </c>
      <c r="C1747" t="s">
        <v>25</v>
      </c>
      <c r="D1747">
        <v>380</v>
      </c>
      <c r="E1747">
        <v>78.089996337890625</v>
      </c>
    </row>
    <row r="1748" spans="1:5" x14ac:dyDescent="0.3">
      <c r="A1748" t="s">
        <v>2488</v>
      </c>
      <c r="B1748" t="s">
        <v>2958</v>
      </c>
      <c r="C1748" t="s">
        <v>29</v>
      </c>
      <c r="D1748">
        <v>450</v>
      </c>
      <c r="E1748">
        <v>183</v>
      </c>
    </row>
    <row r="1749" spans="1:5" x14ac:dyDescent="0.3">
      <c r="A1749" t="s">
        <v>2489</v>
      </c>
      <c r="B1749" t="s">
        <v>1092</v>
      </c>
      <c r="C1749" t="s">
        <v>54</v>
      </c>
      <c r="D1749">
        <v>50</v>
      </c>
      <c r="E1749">
        <v>208.17999267578125</v>
      </c>
    </row>
    <row r="1750" spans="1:5" x14ac:dyDescent="0.3">
      <c r="A1750" t="s">
        <v>2490</v>
      </c>
      <c r="B1750" t="s">
        <v>1388</v>
      </c>
      <c r="C1750" t="s">
        <v>28</v>
      </c>
      <c r="D1750">
        <v>440</v>
      </c>
      <c r="E1750">
        <v>155.82000732421875</v>
      </c>
    </row>
    <row r="1751" spans="1:5" x14ac:dyDescent="0.3">
      <c r="A1751" t="s">
        <v>2492</v>
      </c>
      <c r="B1751" t="s">
        <v>952</v>
      </c>
      <c r="C1751" t="s">
        <v>32</v>
      </c>
      <c r="D1751">
        <v>40</v>
      </c>
      <c r="E1751">
        <v>442.17999267578125</v>
      </c>
    </row>
    <row r="1752" spans="1:5" x14ac:dyDescent="0.3">
      <c r="A1752" t="s">
        <v>2493</v>
      </c>
      <c r="B1752" t="s">
        <v>1132</v>
      </c>
      <c r="C1752" t="s">
        <v>32</v>
      </c>
      <c r="D1752">
        <v>260</v>
      </c>
      <c r="E1752">
        <v>147.58999633789063</v>
      </c>
    </row>
    <row r="1753" spans="1:5" x14ac:dyDescent="0.3">
      <c r="A1753" t="s">
        <v>2494</v>
      </c>
      <c r="B1753" t="s">
        <v>2926</v>
      </c>
      <c r="C1753" t="s">
        <v>28</v>
      </c>
      <c r="D1753">
        <v>180</v>
      </c>
      <c r="E1753">
        <v>266.42001342773438</v>
      </c>
    </row>
    <row r="1754" spans="1:5" x14ac:dyDescent="0.3">
      <c r="A1754" t="s">
        <v>2495</v>
      </c>
      <c r="B1754" t="s">
        <v>2083</v>
      </c>
      <c r="C1754" t="s">
        <v>25</v>
      </c>
      <c r="D1754">
        <v>320</v>
      </c>
      <c r="E1754">
        <v>457.1400146484375</v>
      </c>
    </row>
    <row r="1755" spans="1:5" x14ac:dyDescent="0.3">
      <c r="A1755" t="s">
        <v>2496</v>
      </c>
      <c r="B1755" t="s">
        <v>1212</v>
      </c>
      <c r="C1755" t="s">
        <v>65</v>
      </c>
      <c r="D1755">
        <v>420</v>
      </c>
      <c r="E1755">
        <v>292.23001098632813</v>
      </c>
    </row>
    <row r="1756" spans="1:5" x14ac:dyDescent="0.3">
      <c r="A1756" t="s">
        <v>2497</v>
      </c>
      <c r="B1756" t="s">
        <v>1024</v>
      </c>
      <c r="C1756" t="s">
        <v>12</v>
      </c>
      <c r="D1756">
        <v>150</v>
      </c>
      <c r="E1756">
        <v>508.29000854492188</v>
      </c>
    </row>
    <row r="1757" spans="1:5" x14ac:dyDescent="0.3">
      <c r="A1757" t="s">
        <v>2498</v>
      </c>
      <c r="B1757" t="s">
        <v>470</v>
      </c>
      <c r="C1757" t="s">
        <v>68</v>
      </c>
      <c r="D1757">
        <v>370</v>
      </c>
      <c r="E1757">
        <v>255.94000244140625</v>
      </c>
    </row>
    <row r="1758" spans="1:5" x14ac:dyDescent="0.3">
      <c r="A1758" t="s">
        <v>2500</v>
      </c>
      <c r="B1758" t="s">
        <v>350</v>
      </c>
      <c r="C1758" t="s">
        <v>13</v>
      </c>
      <c r="D1758">
        <v>390</v>
      </c>
      <c r="E1758">
        <v>349.8800048828125</v>
      </c>
    </row>
    <row r="1759" spans="1:5" x14ac:dyDescent="0.3">
      <c r="A1759" t="s">
        <v>2501</v>
      </c>
      <c r="B1759" t="s">
        <v>1307</v>
      </c>
      <c r="C1759" t="s">
        <v>33</v>
      </c>
      <c r="D1759">
        <v>220</v>
      </c>
      <c r="E1759">
        <v>18.870000839233398</v>
      </c>
    </row>
    <row r="1760" spans="1:5" x14ac:dyDescent="0.3">
      <c r="A1760" t="s">
        <v>2502</v>
      </c>
      <c r="B1760" t="s">
        <v>1256</v>
      </c>
      <c r="C1760" t="s">
        <v>60</v>
      </c>
      <c r="D1760">
        <v>310</v>
      </c>
      <c r="E1760">
        <v>155.74000549316406</v>
      </c>
    </row>
    <row r="1761" spans="1:5" x14ac:dyDescent="0.3">
      <c r="A1761" t="s">
        <v>2503</v>
      </c>
      <c r="B1761" t="s">
        <v>466</v>
      </c>
      <c r="C1761" t="s">
        <v>18</v>
      </c>
      <c r="D1761">
        <v>320</v>
      </c>
      <c r="E1761">
        <v>67.360000610351563</v>
      </c>
    </row>
    <row r="1762" spans="1:5" x14ac:dyDescent="0.3">
      <c r="A1762" t="s">
        <v>2504</v>
      </c>
      <c r="B1762" t="s">
        <v>126</v>
      </c>
      <c r="C1762" t="s">
        <v>12</v>
      </c>
      <c r="D1762">
        <v>330</v>
      </c>
      <c r="E1762">
        <v>224.69000244140625</v>
      </c>
    </row>
    <row r="1763" spans="1:5" x14ac:dyDescent="0.3">
      <c r="A1763" t="s">
        <v>2505</v>
      </c>
      <c r="B1763" t="s">
        <v>938</v>
      </c>
      <c r="C1763" t="s">
        <v>61</v>
      </c>
      <c r="D1763">
        <v>130</v>
      </c>
      <c r="E1763">
        <v>12.729999542236328</v>
      </c>
    </row>
    <row r="1764" spans="1:5" x14ac:dyDescent="0.3">
      <c r="A1764" t="s">
        <v>2506</v>
      </c>
      <c r="B1764" t="s">
        <v>2099</v>
      </c>
      <c r="C1764" t="s">
        <v>62</v>
      </c>
      <c r="D1764">
        <v>460</v>
      </c>
      <c r="E1764">
        <v>480.54998779296875</v>
      </c>
    </row>
    <row r="1765" spans="1:5" x14ac:dyDescent="0.3">
      <c r="A1765" t="s">
        <v>2507</v>
      </c>
      <c r="B1765" t="s">
        <v>876</v>
      </c>
      <c r="C1765" t="s">
        <v>12</v>
      </c>
      <c r="D1765">
        <v>250</v>
      </c>
      <c r="E1765">
        <v>91.300003051757813</v>
      </c>
    </row>
    <row r="1766" spans="1:5" x14ac:dyDescent="0.3">
      <c r="A1766" t="s">
        <v>2508</v>
      </c>
      <c r="B1766" t="s">
        <v>641</v>
      </c>
      <c r="C1766" t="s">
        <v>41</v>
      </c>
      <c r="D1766">
        <v>360</v>
      </c>
      <c r="E1766">
        <v>472.17001342773438</v>
      </c>
    </row>
    <row r="1767" spans="1:5" x14ac:dyDescent="0.3">
      <c r="A1767" t="s">
        <v>2509</v>
      </c>
      <c r="B1767" t="s">
        <v>714</v>
      </c>
      <c r="C1767" t="s">
        <v>55</v>
      </c>
      <c r="D1767">
        <v>370</v>
      </c>
      <c r="E1767">
        <v>164.41000366210938</v>
      </c>
    </row>
    <row r="1768" spans="1:5" x14ac:dyDescent="0.3">
      <c r="A1768" t="s">
        <v>2510</v>
      </c>
      <c r="B1768" t="s">
        <v>2071</v>
      </c>
      <c r="C1768" t="s">
        <v>40</v>
      </c>
      <c r="D1768">
        <v>300</v>
      </c>
      <c r="E1768">
        <v>373.3599853515625</v>
      </c>
    </row>
    <row r="1769" spans="1:5" x14ac:dyDescent="0.3">
      <c r="A1769" t="s">
        <v>2511</v>
      </c>
      <c r="B1769" t="s">
        <v>1606</v>
      </c>
      <c r="C1769" t="s">
        <v>68</v>
      </c>
      <c r="D1769">
        <v>350</v>
      </c>
      <c r="E1769">
        <v>218.38999938964844</v>
      </c>
    </row>
    <row r="1770" spans="1:5" x14ac:dyDescent="0.3">
      <c r="A1770" t="s">
        <v>2513</v>
      </c>
      <c r="B1770" t="s">
        <v>1878</v>
      </c>
      <c r="C1770" t="s">
        <v>47</v>
      </c>
      <c r="D1770">
        <v>170</v>
      </c>
      <c r="E1770">
        <v>482.95999145507813</v>
      </c>
    </row>
    <row r="1771" spans="1:5" x14ac:dyDescent="0.3">
      <c r="A1771" t="s">
        <v>2514</v>
      </c>
      <c r="B1771" t="s">
        <v>361</v>
      </c>
      <c r="C1771" t="s">
        <v>28</v>
      </c>
      <c r="D1771">
        <v>130</v>
      </c>
      <c r="E1771">
        <v>364.55999755859375</v>
      </c>
    </row>
    <row r="1772" spans="1:5" x14ac:dyDescent="0.3">
      <c r="A1772" t="s">
        <v>2515</v>
      </c>
      <c r="B1772" t="s">
        <v>1878</v>
      </c>
      <c r="C1772" t="s">
        <v>66</v>
      </c>
      <c r="D1772">
        <v>20</v>
      </c>
      <c r="E1772">
        <v>224.78999328613281</v>
      </c>
    </row>
    <row r="1773" spans="1:5" x14ac:dyDescent="0.3">
      <c r="A1773" t="s">
        <v>2516</v>
      </c>
      <c r="B1773" t="s">
        <v>1128</v>
      </c>
      <c r="C1773" t="s">
        <v>21</v>
      </c>
      <c r="D1773">
        <v>320</v>
      </c>
      <c r="E1773">
        <v>339.260009765625</v>
      </c>
    </row>
    <row r="1774" spans="1:5" x14ac:dyDescent="0.3">
      <c r="A1774" t="s">
        <v>2517</v>
      </c>
      <c r="B1774" t="s">
        <v>472</v>
      </c>
      <c r="C1774" t="s">
        <v>55</v>
      </c>
      <c r="D1774">
        <v>480</v>
      </c>
      <c r="E1774">
        <v>147.67999267578125</v>
      </c>
    </row>
    <row r="1775" spans="1:5" x14ac:dyDescent="0.3">
      <c r="A1775" t="s">
        <v>2518</v>
      </c>
      <c r="B1775" t="s">
        <v>2577</v>
      </c>
      <c r="C1775" t="s">
        <v>56</v>
      </c>
      <c r="D1775">
        <v>130</v>
      </c>
      <c r="E1775">
        <v>503.79998779296875</v>
      </c>
    </row>
    <row r="1776" spans="1:5" x14ac:dyDescent="0.3">
      <c r="A1776" t="s">
        <v>2519</v>
      </c>
      <c r="B1776" t="s">
        <v>1654</v>
      </c>
      <c r="C1776" t="s">
        <v>43</v>
      </c>
      <c r="D1776">
        <v>330</v>
      </c>
      <c r="E1776">
        <v>425.45999145507813</v>
      </c>
    </row>
    <row r="1777" spans="1:5" x14ac:dyDescent="0.3">
      <c r="A1777" t="s">
        <v>2520</v>
      </c>
      <c r="B1777" t="s">
        <v>2941</v>
      </c>
      <c r="C1777" t="s">
        <v>69</v>
      </c>
      <c r="D1777">
        <v>380</v>
      </c>
      <c r="E1777">
        <v>344.51998901367188</v>
      </c>
    </row>
    <row r="1778" spans="1:5" x14ac:dyDescent="0.3">
      <c r="A1778" t="s">
        <v>2521</v>
      </c>
      <c r="B1778" t="s">
        <v>119</v>
      </c>
      <c r="C1778" t="s">
        <v>16</v>
      </c>
      <c r="D1778">
        <v>480</v>
      </c>
      <c r="E1778">
        <v>356.95001220703125</v>
      </c>
    </row>
    <row r="1779" spans="1:5" x14ac:dyDescent="0.3">
      <c r="A1779" t="s">
        <v>2522</v>
      </c>
      <c r="B1779" t="s">
        <v>769</v>
      </c>
      <c r="C1779" t="s">
        <v>38</v>
      </c>
      <c r="D1779">
        <v>50</v>
      </c>
      <c r="E1779">
        <v>472.75</v>
      </c>
    </row>
    <row r="1780" spans="1:5" x14ac:dyDescent="0.3">
      <c r="A1780" t="s">
        <v>2523</v>
      </c>
      <c r="B1780" t="s">
        <v>1691</v>
      </c>
      <c r="C1780" t="s">
        <v>44</v>
      </c>
      <c r="D1780">
        <v>440</v>
      </c>
      <c r="E1780">
        <v>365.989990234375</v>
      </c>
    </row>
    <row r="1781" spans="1:5" x14ac:dyDescent="0.3">
      <c r="A1781" t="s">
        <v>2524</v>
      </c>
      <c r="B1781" t="s">
        <v>2893</v>
      </c>
      <c r="C1781" t="s">
        <v>52</v>
      </c>
      <c r="D1781">
        <v>220</v>
      </c>
      <c r="E1781">
        <v>124.80999755859375</v>
      </c>
    </row>
    <row r="1782" spans="1:5" x14ac:dyDescent="0.3">
      <c r="A1782" t="s">
        <v>2525</v>
      </c>
      <c r="B1782" t="s">
        <v>851</v>
      </c>
      <c r="C1782" t="s">
        <v>12</v>
      </c>
      <c r="D1782">
        <v>25000</v>
      </c>
      <c r="E1782">
        <v>381.70999145507813</v>
      </c>
    </row>
    <row r="1783" spans="1:5" x14ac:dyDescent="0.3">
      <c r="A1783" t="s">
        <v>2526</v>
      </c>
      <c r="B1783" t="s">
        <v>91</v>
      </c>
      <c r="C1783" t="s">
        <v>47</v>
      </c>
      <c r="D1783">
        <v>190</v>
      </c>
      <c r="E1783">
        <v>112.41999816894531</v>
      </c>
    </row>
    <row r="1784" spans="1:5" x14ac:dyDescent="0.3">
      <c r="A1784" t="s">
        <v>2527</v>
      </c>
      <c r="B1784" t="s">
        <v>370</v>
      </c>
      <c r="C1784" t="s">
        <v>58</v>
      </c>
      <c r="D1784">
        <v>120</v>
      </c>
      <c r="E1784">
        <v>57.630001068115234</v>
      </c>
    </row>
    <row r="1785" spans="1:5" x14ac:dyDescent="0.3">
      <c r="A1785" t="s">
        <v>2528</v>
      </c>
      <c r="B1785" t="s">
        <v>2735</v>
      </c>
      <c r="C1785" t="s">
        <v>69</v>
      </c>
      <c r="D1785">
        <v>80</v>
      </c>
      <c r="E1785">
        <v>52.520000457763672</v>
      </c>
    </row>
    <row r="1786" spans="1:5" x14ac:dyDescent="0.3">
      <c r="A1786" t="s">
        <v>2529</v>
      </c>
      <c r="B1786" t="s">
        <v>944</v>
      </c>
      <c r="C1786" t="s">
        <v>47</v>
      </c>
      <c r="D1786">
        <v>230</v>
      </c>
      <c r="E1786">
        <v>377.6199951171875</v>
      </c>
    </row>
    <row r="1787" spans="1:5" x14ac:dyDescent="0.3">
      <c r="A1787" t="s">
        <v>2530</v>
      </c>
      <c r="B1787" t="s">
        <v>2291</v>
      </c>
      <c r="C1787" t="s">
        <v>69</v>
      </c>
      <c r="D1787">
        <v>340</v>
      </c>
      <c r="E1787">
        <v>508.760009765625</v>
      </c>
    </row>
    <row r="1788" spans="1:5" x14ac:dyDescent="0.3">
      <c r="A1788" t="s">
        <v>2531</v>
      </c>
      <c r="B1788" t="s">
        <v>1214</v>
      </c>
      <c r="C1788" t="s">
        <v>31</v>
      </c>
      <c r="D1788">
        <v>10</v>
      </c>
      <c r="E1788">
        <v>367.07998657226563</v>
      </c>
    </row>
    <row r="1789" spans="1:5" x14ac:dyDescent="0.3">
      <c r="A1789" t="s">
        <v>2532</v>
      </c>
      <c r="B1789" t="s">
        <v>203</v>
      </c>
      <c r="C1789" t="s">
        <v>54</v>
      </c>
      <c r="D1789">
        <v>460</v>
      </c>
      <c r="E1789">
        <v>69.040000915527344</v>
      </c>
    </row>
    <row r="1790" spans="1:5" x14ac:dyDescent="0.3">
      <c r="A1790" t="s">
        <v>2533</v>
      </c>
      <c r="B1790" t="s">
        <v>448</v>
      </c>
      <c r="C1790" t="s">
        <v>15</v>
      </c>
      <c r="D1790">
        <v>240</v>
      </c>
      <c r="E1790">
        <v>176.38999938964844</v>
      </c>
    </row>
    <row r="1791" spans="1:5" x14ac:dyDescent="0.3">
      <c r="A1791" t="s">
        <v>2534</v>
      </c>
      <c r="B1791" t="s">
        <v>2753</v>
      </c>
      <c r="C1791" t="s">
        <v>41</v>
      </c>
      <c r="D1791">
        <v>20</v>
      </c>
      <c r="E1791">
        <v>446.239990234375</v>
      </c>
    </row>
    <row r="1792" spans="1:5" x14ac:dyDescent="0.3">
      <c r="A1792" t="s">
        <v>2535</v>
      </c>
      <c r="B1792" t="s">
        <v>1706</v>
      </c>
      <c r="C1792" t="s">
        <v>41</v>
      </c>
      <c r="D1792">
        <v>310</v>
      </c>
      <c r="E1792">
        <v>80.949996948242188</v>
      </c>
    </row>
    <row r="1793" spans="1:5" x14ac:dyDescent="0.3">
      <c r="A1793" t="s">
        <v>2536</v>
      </c>
      <c r="B1793" t="s">
        <v>1001</v>
      </c>
      <c r="C1793" t="s">
        <v>65</v>
      </c>
      <c r="D1793">
        <v>240</v>
      </c>
      <c r="E1793">
        <v>478.25</v>
      </c>
    </row>
    <row r="1794" spans="1:5" x14ac:dyDescent="0.3">
      <c r="A1794" t="s">
        <v>2537</v>
      </c>
      <c r="B1794" t="s">
        <v>2932</v>
      </c>
      <c r="C1794" t="s">
        <v>23</v>
      </c>
      <c r="D1794">
        <v>280</v>
      </c>
      <c r="E1794">
        <v>481.14999389648438</v>
      </c>
    </row>
    <row r="1795" spans="1:5" x14ac:dyDescent="0.3">
      <c r="A1795" t="s">
        <v>2538</v>
      </c>
      <c r="B1795" t="s">
        <v>1353</v>
      </c>
      <c r="C1795" t="s">
        <v>65</v>
      </c>
      <c r="D1795">
        <v>480</v>
      </c>
      <c r="E1795">
        <v>127.97000122070313</v>
      </c>
    </row>
    <row r="1796" spans="1:5" x14ac:dyDescent="0.3">
      <c r="A1796" t="s">
        <v>2539</v>
      </c>
      <c r="B1796" t="s">
        <v>2871</v>
      </c>
      <c r="C1796" t="s">
        <v>28</v>
      </c>
      <c r="D1796">
        <v>290</v>
      </c>
      <c r="E1796">
        <v>402.3699951171875</v>
      </c>
    </row>
    <row r="1797" spans="1:5" x14ac:dyDescent="0.3">
      <c r="A1797" t="s">
        <v>2540</v>
      </c>
      <c r="B1797" t="s">
        <v>263</v>
      </c>
      <c r="C1797" t="s">
        <v>45</v>
      </c>
      <c r="D1797">
        <v>210</v>
      </c>
      <c r="E1797">
        <v>483.29000854492188</v>
      </c>
    </row>
    <row r="1798" spans="1:5" x14ac:dyDescent="0.3">
      <c r="A1798" t="s">
        <v>2541</v>
      </c>
      <c r="B1798" t="s">
        <v>438</v>
      </c>
      <c r="C1798" t="s">
        <v>61</v>
      </c>
      <c r="D1798">
        <v>120</v>
      </c>
      <c r="E1798">
        <v>495.010009765625</v>
      </c>
    </row>
    <row r="1799" spans="1:5" x14ac:dyDescent="0.3">
      <c r="A1799" t="s">
        <v>2542</v>
      </c>
      <c r="B1799" t="s">
        <v>568</v>
      </c>
      <c r="C1799" t="s">
        <v>25</v>
      </c>
      <c r="D1799">
        <v>10</v>
      </c>
      <c r="E1799">
        <v>257.10000610351563</v>
      </c>
    </row>
    <row r="1800" spans="1:5" x14ac:dyDescent="0.3">
      <c r="A1800" t="s">
        <v>2543</v>
      </c>
      <c r="B1800" t="s">
        <v>902</v>
      </c>
      <c r="C1800" t="s">
        <v>41</v>
      </c>
      <c r="D1800">
        <v>200</v>
      </c>
      <c r="E1800">
        <v>34.450000762939453</v>
      </c>
    </row>
    <row r="1801" spans="1:5" x14ac:dyDescent="0.3">
      <c r="A1801" t="s">
        <v>2544</v>
      </c>
      <c r="B1801" t="s">
        <v>2897</v>
      </c>
      <c r="C1801" t="s">
        <v>44</v>
      </c>
      <c r="D1801">
        <v>120</v>
      </c>
      <c r="E1801">
        <v>287.27999877929688</v>
      </c>
    </row>
    <row r="1802" spans="1:5" x14ac:dyDescent="0.3">
      <c r="A1802" t="s">
        <v>2545</v>
      </c>
      <c r="B1802" t="s">
        <v>494</v>
      </c>
      <c r="C1802" t="s">
        <v>65</v>
      </c>
      <c r="D1802">
        <v>40</v>
      </c>
      <c r="E1802">
        <v>421.10000610351563</v>
      </c>
    </row>
    <row r="1803" spans="1:5" x14ac:dyDescent="0.3">
      <c r="A1803" t="s">
        <v>2546</v>
      </c>
      <c r="B1803" t="s">
        <v>851</v>
      </c>
      <c r="C1803" t="s">
        <v>32</v>
      </c>
      <c r="D1803">
        <v>360</v>
      </c>
      <c r="E1803">
        <v>36.729999542236328</v>
      </c>
    </row>
    <row r="1804" spans="1:5" x14ac:dyDescent="0.3">
      <c r="A1804" t="s">
        <v>2547</v>
      </c>
      <c r="B1804" t="s">
        <v>2945</v>
      </c>
      <c r="C1804" t="s">
        <v>16</v>
      </c>
      <c r="D1804">
        <v>310</v>
      </c>
      <c r="E1804">
        <v>180.33000183105469</v>
      </c>
    </row>
    <row r="1805" spans="1:5" x14ac:dyDescent="0.3">
      <c r="A1805" t="s">
        <v>2548</v>
      </c>
      <c r="B1805" t="s">
        <v>149</v>
      </c>
      <c r="C1805" t="s">
        <v>56</v>
      </c>
      <c r="D1805">
        <v>230</v>
      </c>
      <c r="E1805">
        <v>93.349998474121094</v>
      </c>
    </row>
    <row r="1806" spans="1:5" x14ac:dyDescent="0.3">
      <c r="A1806" t="s">
        <v>2549</v>
      </c>
      <c r="B1806" t="s">
        <v>1704</v>
      </c>
      <c r="C1806" t="s">
        <v>32</v>
      </c>
      <c r="D1806">
        <v>300</v>
      </c>
      <c r="E1806">
        <v>462.54998779296875</v>
      </c>
    </row>
    <row r="1807" spans="1:5" x14ac:dyDescent="0.3">
      <c r="A1807" t="s">
        <v>2551</v>
      </c>
      <c r="B1807" t="s">
        <v>343</v>
      </c>
      <c r="C1807" t="s">
        <v>16</v>
      </c>
      <c r="D1807">
        <v>310</v>
      </c>
      <c r="E1807">
        <v>170.00999450683594</v>
      </c>
    </row>
    <row r="1808" spans="1:5" x14ac:dyDescent="0.3">
      <c r="A1808" t="s">
        <v>2552</v>
      </c>
      <c r="B1808" t="s">
        <v>2933</v>
      </c>
      <c r="C1808" t="s">
        <v>70</v>
      </c>
      <c r="D1808">
        <v>400</v>
      </c>
      <c r="E1808">
        <v>43.130001068115234</v>
      </c>
    </row>
    <row r="1809" spans="1:5" x14ac:dyDescent="0.3">
      <c r="A1809" t="s">
        <v>2553</v>
      </c>
      <c r="B1809" t="s">
        <v>2020</v>
      </c>
      <c r="C1809" t="s">
        <v>13</v>
      </c>
      <c r="D1809">
        <v>320</v>
      </c>
      <c r="E1809">
        <v>104.61000061035156</v>
      </c>
    </row>
    <row r="1810" spans="1:5" x14ac:dyDescent="0.3">
      <c r="A1810" t="s">
        <v>2554</v>
      </c>
      <c r="B1810" t="s">
        <v>1635</v>
      </c>
      <c r="C1810" t="s">
        <v>67</v>
      </c>
      <c r="D1810">
        <v>150</v>
      </c>
      <c r="E1810">
        <v>322.47000122070313</v>
      </c>
    </row>
    <row r="1811" spans="1:5" x14ac:dyDescent="0.3">
      <c r="A1811" t="s">
        <v>2555</v>
      </c>
      <c r="B1811" t="s">
        <v>2076</v>
      </c>
      <c r="C1811" t="s">
        <v>42</v>
      </c>
      <c r="D1811">
        <v>110</v>
      </c>
      <c r="E1811">
        <v>360.04998779296875</v>
      </c>
    </row>
    <row r="1812" spans="1:5" x14ac:dyDescent="0.3">
      <c r="A1812" t="s">
        <v>2556</v>
      </c>
      <c r="B1812" t="s">
        <v>1995</v>
      </c>
      <c r="C1812" t="s">
        <v>16</v>
      </c>
      <c r="D1812">
        <v>220</v>
      </c>
      <c r="E1812">
        <v>325.97000122070313</v>
      </c>
    </row>
    <row r="1813" spans="1:5" x14ac:dyDescent="0.3">
      <c r="A1813" t="s">
        <v>2557</v>
      </c>
      <c r="B1813" t="s">
        <v>198</v>
      </c>
      <c r="C1813" t="s">
        <v>40</v>
      </c>
      <c r="D1813">
        <v>140</v>
      </c>
      <c r="E1813">
        <v>24.200000762939453</v>
      </c>
    </row>
    <row r="1814" spans="1:5" x14ac:dyDescent="0.3">
      <c r="A1814" t="s">
        <v>2558</v>
      </c>
      <c r="B1814" t="s">
        <v>2729</v>
      </c>
      <c r="C1814" t="s">
        <v>57</v>
      </c>
      <c r="D1814">
        <v>380</v>
      </c>
      <c r="E1814">
        <v>204.00999450683594</v>
      </c>
    </row>
    <row r="1815" spans="1:5" x14ac:dyDescent="0.3">
      <c r="A1815" t="s">
        <v>2559</v>
      </c>
      <c r="B1815" t="s">
        <v>2959</v>
      </c>
      <c r="C1815" t="s">
        <v>36</v>
      </c>
      <c r="D1815">
        <v>30</v>
      </c>
      <c r="E1815">
        <v>309.97000122070313</v>
      </c>
    </row>
    <row r="1816" spans="1:5" x14ac:dyDescent="0.3">
      <c r="A1816" t="s">
        <v>2560</v>
      </c>
      <c r="B1816" t="s">
        <v>91</v>
      </c>
      <c r="C1816" t="s">
        <v>33</v>
      </c>
      <c r="D1816">
        <v>40</v>
      </c>
      <c r="E1816">
        <v>231.97999572753906</v>
      </c>
    </row>
    <row r="1817" spans="1:5" x14ac:dyDescent="0.3">
      <c r="A1817" t="s">
        <v>2561</v>
      </c>
      <c r="B1817" t="s">
        <v>135</v>
      </c>
      <c r="C1817" t="s">
        <v>60</v>
      </c>
      <c r="D1817">
        <v>480</v>
      </c>
      <c r="E1817">
        <v>55.240001678466797</v>
      </c>
    </row>
    <row r="1818" spans="1:5" x14ac:dyDescent="0.3">
      <c r="A1818" t="s">
        <v>2562</v>
      </c>
      <c r="B1818" t="s">
        <v>733</v>
      </c>
      <c r="C1818" t="s">
        <v>47</v>
      </c>
      <c r="D1818">
        <v>240</v>
      </c>
      <c r="E1818">
        <v>310.27999877929688</v>
      </c>
    </row>
    <row r="1819" spans="1:5" x14ac:dyDescent="0.3">
      <c r="A1819" t="s">
        <v>2563</v>
      </c>
      <c r="B1819" t="s">
        <v>145</v>
      </c>
      <c r="C1819" t="s">
        <v>52</v>
      </c>
      <c r="D1819">
        <v>330</v>
      </c>
      <c r="E1819">
        <v>222.91000366210938</v>
      </c>
    </row>
    <row r="1820" spans="1:5" x14ac:dyDescent="0.3">
      <c r="A1820" t="s">
        <v>2564</v>
      </c>
      <c r="B1820" t="s">
        <v>1602</v>
      </c>
      <c r="C1820" t="s">
        <v>45</v>
      </c>
      <c r="D1820">
        <v>130</v>
      </c>
      <c r="E1820">
        <v>464.29000854492188</v>
      </c>
    </row>
    <row r="1821" spans="1:5" x14ac:dyDescent="0.3">
      <c r="A1821" t="s">
        <v>2565</v>
      </c>
      <c r="B1821" t="s">
        <v>1462</v>
      </c>
      <c r="C1821" t="s">
        <v>70</v>
      </c>
      <c r="D1821">
        <v>80</v>
      </c>
      <c r="E1821">
        <v>400.8599853515625</v>
      </c>
    </row>
    <row r="1822" spans="1:5" x14ac:dyDescent="0.3">
      <c r="A1822" t="s">
        <v>2567</v>
      </c>
      <c r="B1822" t="s">
        <v>1995</v>
      </c>
      <c r="C1822" t="s">
        <v>38</v>
      </c>
      <c r="D1822">
        <v>490</v>
      </c>
      <c r="E1822">
        <v>344.39999389648438</v>
      </c>
    </row>
    <row r="1823" spans="1:5" x14ac:dyDescent="0.3">
      <c r="A1823" t="s">
        <v>2568</v>
      </c>
      <c r="B1823" t="s">
        <v>267</v>
      </c>
      <c r="C1823" t="s">
        <v>28</v>
      </c>
      <c r="D1823">
        <v>300</v>
      </c>
      <c r="E1823">
        <v>301.989990234375</v>
      </c>
    </row>
    <row r="1824" spans="1:5" x14ac:dyDescent="0.3">
      <c r="A1824" t="s">
        <v>2569</v>
      </c>
      <c r="B1824" t="s">
        <v>954</v>
      </c>
      <c r="C1824" t="s">
        <v>53</v>
      </c>
      <c r="D1824">
        <v>250</v>
      </c>
      <c r="E1824">
        <v>226.00999450683594</v>
      </c>
    </row>
    <row r="1825" spans="1:5" x14ac:dyDescent="0.3">
      <c r="A1825" t="s">
        <v>2570</v>
      </c>
      <c r="B1825" t="s">
        <v>277</v>
      </c>
      <c r="C1825" t="s">
        <v>68</v>
      </c>
      <c r="D1825">
        <v>210</v>
      </c>
      <c r="E1825">
        <v>264.17999267578125</v>
      </c>
    </row>
    <row r="1826" spans="1:5" x14ac:dyDescent="0.3">
      <c r="A1826" t="s">
        <v>2571</v>
      </c>
      <c r="B1826" t="s">
        <v>1066</v>
      </c>
      <c r="C1826" t="s">
        <v>15</v>
      </c>
      <c r="D1826">
        <v>420</v>
      </c>
      <c r="E1826">
        <v>509.510009765625</v>
      </c>
    </row>
    <row r="1827" spans="1:5" x14ac:dyDescent="0.3">
      <c r="A1827" t="s">
        <v>2572</v>
      </c>
      <c r="B1827" t="s">
        <v>1606</v>
      </c>
      <c r="C1827" t="s">
        <v>13</v>
      </c>
      <c r="D1827">
        <v>180</v>
      </c>
      <c r="E1827">
        <v>250.32000732421875</v>
      </c>
    </row>
    <row r="1828" spans="1:5" x14ac:dyDescent="0.3">
      <c r="A1828" t="s">
        <v>2573</v>
      </c>
      <c r="B1828" t="s">
        <v>408</v>
      </c>
      <c r="C1828" t="s">
        <v>51</v>
      </c>
      <c r="D1828">
        <v>160</v>
      </c>
      <c r="E1828">
        <v>220.27999877929688</v>
      </c>
    </row>
    <row r="1829" spans="1:5" x14ac:dyDescent="0.3">
      <c r="A1829" t="s">
        <v>2574</v>
      </c>
      <c r="B1829" t="s">
        <v>1189</v>
      </c>
      <c r="C1829" t="s">
        <v>49</v>
      </c>
      <c r="D1829">
        <v>150</v>
      </c>
      <c r="E1829">
        <v>348.32000732421875</v>
      </c>
    </row>
    <row r="1830" spans="1:5" x14ac:dyDescent="0.3">
      <c r="A1830" t="s">
        <v>2575</v>
      </c>
      <c r="B1830" t="s">
        <v>1069</v>
      </c>
      <c r="C1830" t="s">
        <v>44</v>
      </c>
      <c r="D1830">
        <v>270</v>
      </c>
      <c r="E1830">
        <v>508.72000122070313</v>
      </c>
    </row>
    <row r="1831" spans="1:5" x14ac:dyDescent="0.3">
      <c r="A1831" t="s">
        <v>2576</v>
      </c>
      <c r="B1831" t="s">
        <v>2458</v>
      </c>
      <c r="C1831" t="s">
        <v>70</v>
      </c>
      <c r="D1831">
        <v>240</v>
      </c>
      <c r="E1831">
        <v>271.04998779296875</v>
      </c>
    </row>
    <row r="1832" spans="1:5" x14ac:dyDescent="0.3">
      <c r="A1832" t="s">
        <v>2578</v>
      </c>
      <c r="B1832" t="s">
        <v>690</v>
      </c>
      <c r="C1832" t="s">
        <v>32</v>
      </c>
      <c r="D1832">
        <v>140</v>
      </c>
      <c r="E1832">
        <v>150.21000671386719</v>
      </c>
    </row>
    <row r="1833" spans="1:5" x14ac:dyDescent="0.3">
      <c r="A1833" t="s">
        <v>2579</v>
      </c>
      <c r="B1833" t="s">
        <v>791</v>
      </c>
      <c r="C1833" t="s">
        <v>61</v>
      </c>
      <c r="D1833">
        <v>160</v>
      </c>
      <c r="E1833">
        <v>356.41000366210938</v>
      </c>
    </row>
    <row r="1834" spans="1:5" x14ac:dyDescent="0.3">
      <c r="A1834" t="s">
        <v>2580</v>
      </c>
      <c r="B1834" t="s">
        <v>172</v>
      </c>
      <c r="C1834" t="s">
        <v>53</v>
      </c>
      <c r="D1834">
        <v>320</v>
      </c>
      <c r="E1834">
        <v>45.159999847412109</v>
      </c>
    </row>
    <row r="1835" spans="1:5" x14ac:dyDescent="0.3">
      <c r="A1835" t="s">
        <v>2582</v>
      </c>
      <c r="B1835" t="s">
        <v>624</v>
      </c>
      <c r="C1835" t="s">
        <v>68</v>
      </c>
      <c r="D1835">
        <v>250</v>
      </c>
      <c r="E1835">
        <v>67.290000915527344</v>
      </c>
    </row>
    <row r="1836" spans="1:5" x14ac:dyDescent="0.3">
      <c r="A1836" t="s">
        <v>2583</v>
      </c>
      <c r="B1836" t="s">
        <v>522</v>
      </c>
      <c r="C1836" t="s">
        <v>49</v>
      </c>
      <c r="D1836">
        <v>450</v>
      </c>
      <c r="E1836">
        <v>218.94000244140625</v>
      </c>
    </row>
    <row r="1837" spans="1:5" x14ac:dyDescent="0.3">
      <c r="A1837" t="s">
        <v>2584</v>
      </c>
      <c r="B1837" t="s">
        <v>1924</v>
      </c>
      <c r="C1837" t="s">
        <v>45</v>
      </c>
      <c r="D1837">
        <v>500</v>
      </c>
      <c r="E1837">
        <v>491.57998657226563</v>
      </c>
    </row>
    <row r="1838" spans="1:5" x14ac:dyDescent="0.3">
      <c r="A1838" t="s">
        <v>2585</v>
      </c>
      <c r="B1838" t="s">
        <v>370</v>
      </c>
      <c r="C1838" t="s">
        <v>37</v>
      </c>
      <c r="D1838">
        <v>330</v>
      </c>
      <c r="E1838">
        <v>321.95999145507813</v>
      </c>
    </row>
    <row r="1839" spans="1:5" x14ac:dyDescent="0.3">
      <c r="A1839" t="s">
        <v>2586</v>
      </c>
      <c r="B1839" t="s">
        <v>1334</v>
      </c>
      <c r="C1839" t="s">
        <v>64</v>
      </c>
      <c r="D1839">
        <v>480</v>
      </c>
      <c r="E1839">
        <v>342.17001342773438</v>
      </c>
    </row>
    <row r="1840" spans="1:5" x14ac:dyDescent="0.3">
      <c r="A1840" t="s">
        <v>2587</v>
      </c>
      <c r="B1840" t="s">
        <v>755</v>
      </c>
      <c r="C1840" t="s">
        <v>41</v>
      </c>
      <c r="D1840">
        <v>350</v>
      </c>
      <c r="E1840">
        <v>129.58999633789063</v>
      </c>
    </row>
    <row r="1841" spans="1:5" x14ac:dyDescent="0.3">
      <c r="A1841" t="s">
        <v>2588</v>
      </c>
      <c r="B1841" t="s">
        <v>236</v>
      </c>
      <c r="C1841" t="s">
        <v>51</v>
      </c>
      <c r="D1841">
        <v>430</v>
      </c>
      <c r="E1841">
        <v>456.95001220703125</v>
      </c>
    </row>
    <row r="1842" spans="1:5" x14ac:dyDescent="0.3">
      <c r="A1842" t="s">
        <v>2589</v>
      </c>
      <c r="B1842" t="s">
        <v>1214</v>
      </c>
      <c r="C1842" t="s">
        <v>47</v>
      </c>
      <c r="D1842">
        <v>60</v>
      </c>
      <c r="E1842">
        <v>42.240001678466797</v>
      </c>
    </row>
    <row r="1843" spans="1:5" x14ac:dyDescent="0.3">
      <c r="A1843" t="s">
        <v>2590</v>
      </c>
      <c r="B1843" t="s">
        <v>2226</v>
      </c>
      <c r="C1843" t="s">
        <v>52</v>
      </c>
      <c r="D1843">
        <v>190</v>
      </c>
      <c r="E1843">
        <v>298.80999755859375</v>
      </c>
    </row>
    <row r="1844" spans="1:5" x14ac:dyDescent="0.3">
      <c r="A1844" t="s">
        <v>2591</v>
      </c>
      <c r="B1844" t="s">
        <v>1177</v>
      </c>
      <c r="C1844" t="s">
        <v>57</v>
      </c>
      <c r="D1844">
        <v>120</v>
      </c>
      <c r="E1844">
        <v>85.290000915527344</v>
      </c>
    </row>
    <row r="1845" spans="1:5" x14ac:dyDescent="0.3">
      <c r="A1845" t="s">
        <v>2592</v>
      </c>
      <c r="B1845" t="s">
        <v>1559</v>
      </c>
      <c r="C1845" t="s">
        <v>10</v>
      </c>
      <c r="D1845">
        <v>230</v>
      </c>
      <c r="E1845">
        <v>455.6400146484375</v>
      </c>
    </row>
    <row r="1846" spans="1:5" x14ac:dyDescent="0.3">
      <c r="A1846" t="s">
        <v>2593</v>
      </c>
      <c r="B1846" t="s">
        <v>2887</v>
      </c>
      <c r="C1846" t="s">
        <v>23</v>
      </c>
      <c r="D1846">
        <v>290</v>
      </c>
      <c r="E1846">
        <v>409.1300048828125</v>
      </c>
    </row>
    <row r="1847" spans="1:5" x14ac:dyDescent="0.3">
      <c r="A1847" t="s">
        <v>2594</v>
      </c>
      <c r="B1847" t="s">
        <v>1242</v>
      </c>
      <c r="C1847" t="s">
        <v>18</v>
      </c>
      <c r="D1847">
        <v>150</v>
      </c>
      <c r="E1847">
        <v>140.33000183105469</v>
      </c>
    </row>
    <row r="1848" spans="1:5" x14ac:dyDescent="0.3">
      <c r="A1848" t="s">
        <v>2595</v>
      </c>
      <c r="B1848" t="s">
        <v>1755</v>
      </c>
      <c r="C1848" t="s">
        <v>38</v>
      </c>
      <c r="D1848">
        <v>500</v>
      </c>
      <c r="E1848">
        <v>289.14999389648438</v>
      </c>
    </row>
    <row r="1849" spans="1:5" x14ac:dyDescent="0.3">
      <c r="A1849" t="s">
        <v>2597</v>
      </c>
      <c r="B1849" t="s">
        <v>2960</v>
      </c>
      <c r="C1849" t="s">
        <v>51</v>
      </c>
      <c r="D1849">
        <v>160</v>
      </c>
      <c r="E1849">
        <v>190.77999877929688</v>
      </c>
    </row>
    <row r="1850" spans="1:5" x14ac:dyDescent="0.3">
      <c r="A1850" t="s">
        <v>2598</v>
      </c>
      <c r="B1850" t="s">
        <v>101</v>
      </c>
      <c r="C1850" t="s">
        <v>16</v>
      </c>
      <c r="D1850">
        <v>280</v>
      </c>
      <c r="E1850">
        <v>125.73999786376953</v>
      </c>
    </row>
    <row r="1851" spans="1:5" x14ac:dyDescent="0.3">
      <c r="A1851" t="s">
        <v>2599</v>
      </c>
      <c r="B1851" t="s">
        <v>2076</v>
      </c>
      <c r="C1851" t="s">
        <v>32</v>
      </c>
      <c r="D1851">
        <v>120</v>
      </c>
      <c r="E1851">
        <v>69.870002746582031</v>
      </c>
    </row>
    <row r="1852" spans="1:5" x14ac:dyDescent="0.3">
      <c r="A1852" t="s">
        <v>2600</v>
      </c>
      <c r="B1852" t="s">
        <v>319</v>
      </c>
      <c r="C1852" t="s">
        <v>32</v>
      </c>
      <c r="D1852">
        <v>280</v>
      </c>
      <c r="E1852">
        <v>444.30999755859375</v>
      </c>
    </row>
    <row r="1853" spans="1:5" x14ac:dyDescent="0.3">
      <c r="A1853" t="s">
        <v>2601</v>
      </c>
      <c r="B1853" t="s">
        <v>2909</v>
      </c>
      <c r="C1853" t="s">
        <v>33</v>
      </c>
      <c r="D1853">
        <v>490</v>
      </c>
      <c r="E1853">
        <v>365.5</v>
      </c>
    </row>
    <row r="1854" spans="1:5" x14ac:dyDescent="0.3">
      <c r="A1854" t="s">
        <v>2602</v>
      </c>
      <c r="B1854" t="s">
        <v>500</v>
      </c>
      <c r="C1854" t="s">
        <v>25</v>
      </c>
      <c r="D1854">
        <v>290</v>
      </c>
      <c r="E1854">
        <v>395.22000122070313</v>
      </c>
    </row>
    <row r="1855" spans="1:5" x14ac:dyDescent="0.3">
      <c r="A1855" t="s">
        <v>2603</v>
      </c>
      <c r="B1855" t="s">
        <v>1901</v>
      </c>
      <c r="C1855" t="s">
        <v>12</v>
      </c>
      <c r="D1855">
        <v>360</v>
      </c>
      <c r="E1855">
        <v>290.54998779296875</v>
      </c>
    </row>
    <row r="1856" spans="1:5" x14ac:dyDescent="0.3">
      <c r="A1856" t="s">
        <v>2604</v>
      </c>
      <c r="B1856" t="s">
        <v>2267</v>
      </c>
      <c r="C1856" t="s">
        <v>37</v>
      </c>
      <c r="D1856">
        <v>220</v>
      </c>
      <c r="E1856">
        <v>253.8800048828125</v>
      </c>
    </row>
    <row r="1857" spans="1:5" x14ac:dyDescent="0.3">
      <c r="A1857" t="s">
        <v>2605</v>
      </c>
      <c r="B1857" t="s">
        <v>2897</v>
      </c>
      <c r="C1857" t="s">
        <v>12</v>
      </c>
      <c r="D1857">
        <v>470</v>
      </c>
      <c r="E1857">
        <v>182.91999816894531</v>
      </c>
    </row>
    <row r="1858" spans="1:5" x14ac:dyDescent="0.3">
      <c r="A1858" t="s">
        <v>2606</v>
      </c>
      <c r="B1858" t="s">
        <v>2394</v>
      </c>
      <c r="C1858" t="s">
        <v>42</v>
      </c>
      <c r="D1858">
        <v>90</v>
      </c>
      <c r="E1858">
        <v>420.67999267578125</v>
      </c>
    </row>
    <row r="1859" spans="1:5" x14ac:dyDescent="0.3">
      <c r="A1859" t="s">
        <v>2607</v>
      </c>
      <c r="B1859" t="s">
        <v>168</v>
      </c>
      <c r="C1859" t="s">
        <v>25</v>
      </c>
      <c r="D1859">
        <v>160</v>
      </c>
      <c r="E1859">
        <v>505.489990234375</v>
      </c>
    </row>
    <row r="1860" spans="1:5" x14ac:dyDescent="0.3">
      <c r="A1860" t="s">
        <v>2608</v>
      </c>
      <c r="B1860" t="s">
        <v>1277</v>
      </c>
      <c r="C1860" t="s">
        <v>44</v>
      </c>
      <c r="D1860">
        <v>80</v>
      </c>
      <c r="E1860">
        <v>421</v>
      </c>
    </row>
    <row r="1861" spans="1:5" x14ac:dyDescent="0.3">
      <c r="A1861" t="s">
        <v>2609</v>
      </c>
      <c r="B1861" t="s">
        <v>1572</v>
      </c>
      <c r="C1861" t="s">
        <v>54</v>
      </c>
      <c r="D1861">
        <v>380</v>
      </c>
      <c r="E1861">
        <v>346.16000366210938</v>
      </c>
    </row>
    <row r="1862" spans="1:5" x14ac:dyDescent="0.3">
      <c r="A1862" t="s">
        <v>2610</v>
      </c>
      <c r="B1862" t="s">
        <v>1250</v>
      </c>
      <c r="C1862" t="s">
        <v>57</v>
      </c>
      <c r="D1862">
        <v>450</v>
      </c>
      <c r="E1862">
        <v>405.239990234375</v>
      </c>
    </row>
    <row r="1863" spans="1:5" x14ac:dyDescent="0.3">
      <c r="A1863" t="s">
        <v>2611</v>
      </c>
      <c r="B1863" t="s">
        <v>692</v>
      </c>
      <c r="C1863" t="s">
        <v>60</v>
      </c>
      <c r="D1863">
        <v>260</v>
      </c>
      <c r="E1863">
        <v>417.82000732421875</v>
      </c>
    </row>
    <row r="1864" spans="1:5" x14ac:dyDescent="0.3">
      <c r="A1864" t="s">
        <v>2612</v>
      </c>
      <c r="B1864" t="s">
        <v>2947</v>
      </c>
      <c r="C1864" t="s">
        <v>52</v>
      </c>
      <c r="D1864">
        <v>120</v>
      </c>
      <c r="E1864">
        <v>148.78999328613281</v>
      </c>
    </row>
    <row r="1865" spans="1:5" x14ac:dyDescent="0.3">
      <c r="A1865" t="s">
        <v>2613</v>
      </c>
      <c r="B1865" t="s">
        <v>1326</v>
      </c>
      <c r="C1865" t="s">
        <v>19</v>
      </c>
      <c r="D1865">
        <v>490</v>
      </c>
      <c r="E1865">
        <v>58.349998474121094</v>
      </c>
    </row>
    <row r="1866" spans="1:5" x14ac:dyDescent="0.3">
      <c r="A1866" t="s">
        <v>2614</v>
      </c>
      <c r="B1866" t="s">
        <v>2640</v>
      </c>
      <c r="C1866" t="s">
        <v>67</v>
      </c>
      <c r="D1866">
        <v>130</v>
      </c>
      <c r="E1866">
        <v>52.029998779296875</v>
      </c>
    </row>
    <row r="1867" spans="1:5" x14ac:dyDescent="0.3">
      <c r="A1867" t="s">
        <v>2615</v>
      </c>
      <c r="B1867" t="s">
        <v>354</v>
      </c>
      <c r="C1867" t="s">
        <v>52</v>
      </c>
      <c r="D1867">
        <v>430</v>
      </c>
      <c r="E1867">
        <v>230.66000366210938</v>
      </c>
    </row>
    <row r="1868" spans="1:5" x14ac:dyDescent="0.3">
      <c r="A1868" t="s">
        <v>2616</v>
      </c>
      <c r="B1868" t="s">
        <v>1556</v>
      </c>
      <c r="C1868" t="s">
        <v>124</v>
      </c>
      <c r="D1868">
        <v>330</v>
      </c>
      <c r="E1868">
        <v>129.94999694824219</v>
      </c>
    </row>
    <row r="1869" spans="1:5" x14ac:dyDescent="0.3">
      <c r="A1869" t="s">
        <v>2618</v>
      </c>
      <c r="B1869" t="s">
        <v>2026</v>
      </c>
      <c r="C1869" t="s">
        <v>59</v>
      </c>
      <c r="D1869">
        <v>200</v>
      </c>
      <c r="E1869">
        <v>55.349998474121094</v>
      </c>
    </row>
    <row r="1870" spans="1:5" x14ac:dyDescent="0.3">
      <c r="A1870" t="s">
        <v>2619</v>
      </c>
      <c r="B1870" t="s">
        <v>203</v>
      </c>
      <c r="C1870" t="s">
        <v>42</v>
      </c>
      <c r="D1870">
        <v>160</v>
      </c>
      <c r="E1870">
        <v>399</v>
      </c>
    </row>
    <row r="1871" spans="1:5" x14ac:dyDescent="0.3">
      <c r="A1871" t="s">
        <v>2620</v>
      </c>
      <c r="B1871" t="s">
        <v>2364</v>
      </c>
      <c r="C1871" t="s">
        <v>42</v>
      </c>
      <c r="D1871">
        <v>360</v>
      </c>
      <c r="E1871">
        <v>450.20999145507813</v>
      </c>
    </row>
    <row r="1872" spans="1:5" x14ac:dyDescent="0.3">
      <c r="A1872" t="s">
        <v>2621</v>
      </c>
      <c r="B1872" t="s">
        <v>2961</v>
      </c>
      <c r="C1872" t="s">
        <v>54</v>
      </c>
      <c r="D1872">
        <v>350</v>
      </c>
      <c r="E1872">
        <v>349.83999633789063</v>
      </c>
    </row>
    <row r="1873" spans="1:5" x14ac:dyDescent="0.3">
      <c r="A1873" t="s">
        <v>2622</v>
      </c>
      <c r="B1873" t="s">
        <v>1280</v>
      </c>
      <c r="C1873" t="s">
        <v>64</v>
      </c>
      <c r="D1873">
        <v>290</v>
      </c>
      <c r="E1873">
        <v>340.32998657226563</v>
      </c>
    </row>
    <row r="1874" spans="1:5" x14ac:dyDescent="0.3">
      <c r="A1874" t="s">
        <v>2623</v>
      </c>
      <c r="B1874" t="s">
        <v>1476</v>
      </c>
      <c r="C1874" t="s">
        <v>37</v>
      </c>
      <c r="D1874">
        <v>240</v>
      </c>
      <c r="E1874">
        <v>15.680000305175781</v>
      </c>
    </row>
    <row r="1875" spans="1:5" x14ac:dyDescent="0.3">
      <c r="A1875" t="s">
        <v>2625</v>
      </c>
      <c r="B1875" t="s">
        <v>2026</v>
      </c>
      <c r="C1875" t="s">
        <v>36</v>
      </c>
      <c r="D1875">
        <v>370</v>
      </c>
      <c r="E1875">
        <v>71.430000305175781</v>
      </c>
    </row>
    <row r="1876" spans="1:5" x14ac:dyDescent="0.3">
      <c r="A1876" t="s">
        <v>2626</v>
      </c>
      <c r="B1876" t="s">
        <v>93</v>
      </c>
      <c r="C1876" t="s">
        <v>45</v>
      </c>
      <c r="D1876">
        <v>260</v>
      </c>
      <c r="E1876">
        <v>54.709999084472656</v>
      </c>
    </row>
    <row r="1877" spans="1:5" x14ac:dyDescent="0.3">
      <c r="A1877" t="s">
        <v>2627</v>
      </c>
      <c r="B1877" t="s">
        <v>2617</v>
      </c>
      <c r="C1877" t="s">
        <v>46</v>
      </c>
      <c r="D1877">
        <v>100</v>
      </c>
      <c r="E1877">
        <v>114.20999908447266</v>
      </c>
    </row>
    <row r="1878" spans="1:5" x14ac:dyDescent="0.3">
      <c r="A1878" t="s">
        <v>2628</v>
      </c>
      <c r="B1878" t="s">
        <v>2006</v>
      </c>
      <c r="C1878" t="s">
        <v>41</v>
      </c>
      <c r="D1878">
        <v>490</v>
      </c>
      <c r="E1878">
        <v>250.14999389648438</v>
      </c>
    </row>
    <row r="1879" spans="1:5" x14ac:dyDescent="0.3">
      <c r="A1879" t="s">
        <v>2630</v>
      </c>
      <c r="B1879" t="s">
        <v>2083</v>
      </c>
      <c r="C1879" t="s">
        <v>33</v>
      </c>
      <c r="D1879">
        <v>130</v>
      </c>
      <c r="E1879">
        <v>64.360000610351563</v>
      </c>
    </row>
    <row r="1880" spans="1:5" x14ac:dyDescent="0.3">
      <c r="A1880" t="s">
        <v>2631</v>
      </c>
      <c r="B1880" t="s">
        <v>1246</v>
      </c>
      <c r="C1880" t="s">
        <v>51</v>
      </c>
      <c r="D1880">
        <v>120</v>
      </c>
      <c r="E1880">
        <v>10.199999809265137</v>
      </c>
    </row>
    <row r="1881" spans="1:5" x14ac:dyDescent="0.3">
      <c r="A1881" t="s">
        <v>2632</v>
      </c>
      <c r="B1881" t="s">
        <v>749</v>
      </c>
      <c r="C1881" t="s">
        <v>61</v>
      </c>
      <c r="D1881">
        <v>200</v>
      </c>
      <c r="E1881">
        <v>142.60000610351563</v>
      </c>
    </row>
    <row r="1882" spans="1:5" x14ac:dyDescent="0.3">
      <c r="A1882" t="s">
        <v>2633</v>
      </c>
      <c r="B1882" t="s">
        <v>361</v>
      </c>
      <c r="C1882" t="s">
        <v>60</v>
      </c>
      <c r="D1882">
        <v>480</v>
      </c>
      <c r="E1882">
        <v>368.04998779296875</v>
      </c>
    </row>
    <row r="1883" spans="1:5" x14ac:dyDescent="0.3">
      <c r="A1883" t="s">
        <v>2634</v>
      </c>
      <c r="B1883" t="s">
        <v>1289</v>
      </c>
      <c r="C1883" t="s">
        <v>38</v>
      </c>
      <c r="D1883">
        <v>210</v>
      </c>
      <c r="E1883">
        <v>194.6199951171875</v>
      </c>
    </row>
    <row r="1884" spans="1:5" x14ac:dyDescent="0.3">
      <c r="A1884" t="s">
        <v>2635</v>
      </c>
      <c r="B1884" t="s">
        <v>634</v>
      </c>
      <c r="C1884" t="s">
        <v>68</v>
      </c>
      <c r="D1884">
        <v>20</v>
      </c>
      <c r="E1884">
        <v>481.92001342773438</v>
      </c>
    </row>
    <row r="1885" spans="1:5" x14ac:dyDescent="0.3">
      <c r="A1885" t="s">
        <v>2636</v>
      </c>
      <c r="B1885" t="s">
        <v>494</v>
      </c>
      <c r="C1885" t="s">
        <v>56</v>
      </c>
      <c r="D1885">
        <v>170</v>
      </c>
      <c r="E1885">
        <v>191.1300048828125</v>
      </c>
    </row>
    <row r="1886" spans="1:5" x14ac:dyDescent="0.3">
      <c r="A1886" t="s">
        <v>2637</v>
      </c>
      <c r="B1886" t="s">
        <v>2566</v>
      </c>
      <c r="C1886" t="s">
        <v>37</v>
      </c>
      <c r="D1886">
        <v>300</v>
      </c>
      <c r="E1886">
        <v>135</v>
      </c>
    </row>
    <row r="1887" spans="1:5" x14ac:dyDescent="0.3">
      <c r="A1887" t="s">
        <v>2638</v>
      </c>
      <c r="B1887" t="s">
        <v>1326</v>
      </c>
      <c r="C1887" t="s">
        <v>51</v>
      </c>
      <c r="D1887">
        <v>200</v>
      </c>
      <c r="E1887">
        <v>227.83000183105469</v>
      </c>
    </row>
    <row r="1888" spans="1:5" x14ac:dyDescent="0.3">
      <c r="A1888" t="s">
        <v>2639</v>
      </c>
      <c r="B1888" t="s">
        <v>2898</v>
      </c>
      <c r="C1888" t="s">
        <v>46</v>
      </c>
      <c r="D1888">
        <v>30</v>
      </c>
      <c r="E1888">
        <v>235.49000549316406</v>
      </c>
    </row>
    <row r="1889" spans="1:5" x14ac:dyDescent="0.3">
      <c r="A1889" t="s">
        <v>2641</v>
      </c>
      <c r="B1889" t="s">
        <v>143</v>
      </c>
      <c r="C1889" t="s">
        <v>29</v>
      </c>
      <c r="D1889">
        <v>80</v>
      </c>
      <c r="E1889">
        <v>25.420000076293945</v>
      </c>
    </row>
    <row r="1890" spans="1:5" x14ac:dyDescent="0.3">
      <c r="A1890" t="s">
        <v>2642</v>
      </c>
      <c r="B1890" t="s">
        <v>2893</v>
      </c>
      <c r="C1890" t="s">
        <v>29</v>
      </c>
      <c r="D1890">
        <v>30</v>
      </c>
      <c r="E1890">
        <v>316.6099853515625</v>
      </c>
    </row>
    <row r="1891" spans="1:5" x14ac:dyDescent="0.3">
      <c r="A1891" t="s">
        <v>2644</v>
      </c>
      <c r="B1891" t="s">
        <v>287</v>
      </c>
      <c r="C1891" t="s">
        <v>10</v>
      </c>
      <c r="D1891">
        <v>180</v>
      </c>
      <c r="E1891">
        <v>429.6199951171875</v>
      </c>
    </row>
    <row r="1892" spans="1:5" x14ac:dyDescent="0.3">
      <c r="A1892" t="s">
        <v>2645</v>
      </c>
      <c r="B1892" t="s">
        <v>2337</v>
      </c>
      <c r="C1892" t="s">
        <v>42</v>
      </c>
      <c r="D1892">
        <v>240</v>
      </c>
      <c r="E1892">
        <v>36.560001373291016</v>
      </c>
    </row>
    <row r="1893" spans="1:5" x14ac:dyDescent="0.3">
      <c r="A1893" t="s">
        <v>2646</v>
      </c>
      <c r="B1893" t="s">
        <v>356</v>
      </c>
      <c r="C1893" t="s">
        <v>44</v>
      </c>
      <c r="D1893">
        <v>20</v>
      </c>
      <c r="E1893">
        <v>411.1099853515625</v>
      </c>
    </row>
    <row r="1894" spans="1:5" x14ac:dyDescent="0.3">
      <c r="A1894" t="s">
        <v>2647</v>
      </c>
      <c r="B1894" t="s">
        <v>782</v>
      </c>
      <c r="C1894" t="s">
        <v>42</v>
      </c>
      <c r="D1894">
        <v>230</v>
      </c>
      <c r="E1894">
        <v>178.52999877929688</v>
      </c>
    </row>
    <row r="1895" spans="1:5" x14ac:dyDescent="0.3">
      <c r="A1895" t="s">
        <v>2648</v>
      </c>
      <c r="B1895" t="s">
        <v>1218</v>
      </c>
      <c r="C1895" t="s">
        <v>52</v>
      </c>
      <c r="D1895">
        <v>230</v>
      </c>
      <c r="E1895">
        <v>65.610000610351563</v>
      </c>
    </row>
    <row r="1896" spans="1:5" x14ac:dyDescent="0.3">
      <c r="A1896" t="s">
        <v>2649</v>
      </c>
      <c r="B1896" t="s">
        <v>739</v>
      </c>
      <c r="C1896" t="s">
        <v>57</v>
      </c>
      <c r="D1896">
        <v>210</v>
      </c>
      <c r="E1896">
        <v>150.72999572753906</v>
      </c>
    </row>
    <row r="1897" spans="1:5" x14ac:dyDescent="0.3">
      <c r="A1897" t="s">
        <v>2651</v>
      </c>
      <c r="B1897" t="s">
        <v>2242</v>
      </c>
      <c r="C1897" t="s">
        <v>43</v>
      </c>
      <c r="D1897">
        <v>60</v>
      </c>
      <c r="E1897">
        <v>113.81999969482422</v>
      </c>
    </row>
    <row r="1898" spans="1:5" x14ac:dyDescent="0.3">
      <c r="A1898" t="s">
        <v>2652</v>
      </c>
      <c r="B1898" t="s">
        <v>328</v>
      </c>
      <c r="C1898" t="s">
        <v>12</v>
      </c>
      <c r="D1898">
        <v>500</v>
      </c>
      <c r="E1898">
        <v>486.3699951171875</v>
      </c>
    </row>
    <row r="1899" spans="1:5" x14ac:dyDescent="0.3">
      <c r="A1899" t="s">
        <v>2653</v>
      </c>
      <c r="B1899" t="s">
        <v>655</v>
      </c>
      <c r="C1899" t="s">
        <v>42</v>
      </c>
      <c r="D1899">
        <v>410</v>
      </c>
      <c r="E1899">
        <v>401.44000244140625</v>
      </c>
    </row>
    <row r="1900" spans="1:5" x14ac:dyDescent="0.3">
      <c r="A1900" t="s">
        <v>2654</v>
      </c>
      <c r="B1900" t="s">
        <v>904</v>
      </c>
      <c r="C1900" t="s">
        <v>36</v>
      </c>
      <c r="D1900">
        <v>40</v>
      </c>
      <c r="E1900">
        <v>343.6400146484375</v>
      </c>
    </row>
    <row r="1901" spans="1:5" x14ac:dyDescent="0.3">
      <c r="A1901" t="s">
        <v>2655</v>
      </c>
      <c r="B1901" t="s">
        <v>641</v>
      </c>
      <c r="C1901" t="s">
        <v>25</v>
      </c>
      <c r="D1901">
        <v>280</v>
      </c>
      <c r="E1901">
        <v>399.17001342773438</v>
      </c>
    </row>
    <row r="1902" spans="1:5" x14ac:dyDescent="0.3">
      <c r="A1902" t="s">
        <v>2656</v>
      </c>
      <c r="B1902" t="s">
        <v>2904</v>
      </c>
      <c r="C1902" t="s">
        <v>69</v>
      </c>
      <c r="D1902">
        <v>400</v>
      </c>
      <c r="E1902">
        <v>505.760009765625</v>
      </c>
    </row>
    <row r="1903" spans="1:5" x14ac:dyDescent="0.3">
      <c r="A1903" t="s">
        <v>2657</v>
      </c>
      <c r="B1903" t="s">
        <v>661</v>
      </c>
      <c r="C1903" t="s">
        <v>49</v>
      </c>
      <c r="D1903">
        <v>310</v>
      </c>
      <c r="E1903">
        <v>202.72000122070313</v>
      </c>
    </row>
    <row r="1904" spans="1:5" x14ac:dyDescent="0.3">
      <c r="A1904" t="s">
        <v>2658</v>
      </c>
      <c r="B1904" t="s">
        <v>663</v>
      </c>
      <c r="C1904" t="s">
        <v>38</v>
      </c>
      <c r="D1904">
        <v>290</v>
      </c>
      <c r="E1904">
        <v>380.91000366210938</v>
      </c>
    </row>
    <row r="1905" spans="1:5" x14ac:dyDescent="0.3">
      <c r="A1905" t="s">
        <v>2659</v>
      </c>
      <c r="B1905" t="s">
        <v>1078</v>
      </c>
      <c r="C1905" t="s">
        <v>57</v>
      </c>
      <c r="D1905">
        <v>260</v>
      </c>
      <c r="E1905">
        <v>32.779998779296875</v>
      </c>
    </row>
    <row r="1906" spans="1:5" x14ac:dyDescent="0.3">
      <c r="A1906" t="s">
        <v>2660</v>
      </c>
      <c r="B1906" t="s">
        <v>2384</v>
      </c>
      <c r="C1906" t="s">
        <v>36</v>
      </c>
      <c r="D1906">
        <v>20</v>
      </c>
      <c r="E1906">
        <v>502.32000732421875</v>
      </c>
    </row>
    <row r="1907" spans="1:5" x14ac:dyDescent="0.3">
      <c r="A1907" t="s">
        <v>2661</v>
      </c>
      <c r="B1907" t="s">
        <v>2962</v>
      </c>
      <c r="C1907" t="s">
        <v>10</v>
      </c>
      <c r="D1907">
        <v>10</v>
      </c>
      <c r="E1907">
        <v>235.07000732421875</v>
      </c>
    </row>
    <row r="1908" spans="1:5" x14ac:dyDescent="0.3">
      <c r="A1908" t="s">
        <v>2662</v>
      </c>
      <c r="B1908" t="s">
        <v>1595</v>
      </c>
      <c r="C1908" t="s">
        <v>64</v>
      </c>
      <c r="D1908">
        <v>50</v>
      </c>
      <c r="E1908">
        <v>28.170000076293945</v>
      </c>
    </row>
    <row r="1909" spans="1:5" x14ac:dyDescent="0.3">
      <c r="A1909" t="s">
        <v>2663</v>
      </c>
      <c r="B1909" t="s">
        <v>1417</v>
      </c>
      <c r="C1909" t="s">
        <v>13</v>
      </c>
      <c r="D1909">
        <v>25000</v>
      </c>
      <c r="E1909">
        <v>84.870002746582031</v>
      </c>
    </row>
    <row r="1910" spans="1:5" x14ac:dyDescent="0.3">
      <c r="A1910" t="s">
        <v>2664</v>
      </c>
      <c r="B1910" t="s">
        <v>2367</v>
      </c>
      <c r="C1910" t="s">
        <v>63</v>
      </c>
      <c r="D1910">
        <v>400</v>
      </c>
      <c r="E1910">
        <v>443.85000610351563</v>
      </c>
    </row>
    <row r="1911" spans="1:5" x14ac:dyDescent="0.3">
      <c r="A1911" t="s">
        <v>2665</v>
      </c>
      <c r="B1911" t="s">
        <v>444</v>
      </c>
      <c r="C1911" t="s">
        <v>56</v>
      </c>
      <c r="D1911">
        <v>160</v>
      </c>
      <c r="E1911">
        <v>97.580001831054688</v>
      </c>
    </row>
    <row r="1912" spans="1:5" x14ac:dyDescent="0.3">
      <c r="A1912" t="s">
        <v>2666</v>
      </c>
      <c r="B1912" t="s">
        <v>741</v>
      </c>
      <c r="C1912" t="s">
        <v>19</v>
      </c>
      <c r="D1912">
        <v>230</v>
      </c>
      <c r="E1912">
        <v>394.92999267578125</v>
      </c>
    </row>
    <row r="1913" spans="1:5" x14ac:dyDescent="0.3">
      <c r="A1913" t="s">
        <v>2667</v>
      </c>
      <c r="B1913" t="s">
        <v>1119</v>
      </c>
      <c r="C1913" t="s">
        <v>54</v>
      </c>
      <c r="D1913">
        <v>380</v>
      </c>
      <c r="E1913">
        <v>317.58999633789063</v>
      </c>
    </row>
    <row r="1914" spans="1:5" x14ac:dyDescent="0.3">
      <c r="A1914" t="s">
        <v>2669</v>
      </c>
      <c r="B1914" t="s">
        <v>1553</v>
      </c>
      <c r="C1914" t="s">
        <v>33</v>
      </c>
      <c r="D1914">
        <v>410</v>
      </c>
      <c r="E1914">
        <v>230.07000732421875</v>
      </c>
    </row>
    <row r="1915" spans="1:5" x14ac:dyDescent="0.3">
      <c r="A1915" t="s">
        <v>2671</v>
      </c>
      <c r="B1915" t="s">
        <v>780</v>
      </c>
      <c r="C1915" t="s">
        <v>16</v>
      </c>
      <c r="D1915">
        <v>380</v>
      </c>
      <c r="E1915">
        <v>129.67999267578125</v>
      </c>
    </row>
    <row r="1916" spans="1:5" x14ac:dyDescent="0.3">
      <c r="A1916" t="s">
        <v>2672</v>
      </c>
      <c r="B1916" t="s">
        <v>367</v>
      </c>
      <c r="C1916" t="s">
        <v>51</v>
      </c>
      <c r="D1916">
        <v>440</v>
      </c>
      <c r="E1916">
        <v>396.54000854492188</v>
      </c>
    </row>
    <row r="1917" spans="1:5" x14ac:dyDescent="0.3">
      <c r="A1917" t="s">
        <v>2673</v>
      </c>
      <c r="B1917" t="s">
        <v>799</v>
      </c>
      <c r="C1917" t="s">
        <v>41</v>
      </c>
      <c r="D1917">
        <v>480</v>
      </c>
      <c r="E1917">
        <v>43.599998474121094</v>
      </c>
    </row>
    <row r="1918" spans="1:5" x14ac:dyDescent="0.3">
      <c r="A1918" t="s">
        <v>2674</v>
      </c>
      <c r="B1918" t="s">
        <v>661</v>
      </c>
      <c r="C1918" t="s">
        <v>54</v>
      </c>
      <c r="D1918">
        <v>470</v>
      </c>
      <c r="E1918">
        <v>466.6099853515625</v>
      </c>
    </row>
    <row r="1919" spans="1:5" x14ac:dyDescent="0.3">
      <c r="A1919" t="s">
        <v>2676</v>
      </c>
      <c r="B1919" t="s">
        <v>591</v>
      </c>
      <c r="C1919" t="s">
        <v>39</v>
      </c>
      <c r="D1919">
        <v>140</v>
      </c>
      <c r="E1919">
        <v>194.1300048828125</v>
      </c>
    </row>
    <row r="1920" spans="1:5" x14ac:dyDescent="0.3">
      <c r="A1920" t="s">
        <v>2677</v>
      </c>
      <c r="B1920" t="s">
        <v>2941</v>
      </c>
      <c r="C1920" t="s">
        <v>33</v>
      </c>
      <c r="D1920">
        <v>270</v>
      </c>
      <c r="E1920">
        <v>137.53999328613281</v>
      </c>
    </row>
    <row r="1921" spans="1:5" x14ac:dyDescent="0.3">
      <c r="A1921" t="s">
        <v>2678</v>
      </c>
      <c r="B1921" t="s">
        <v>123</v>
      </c>
      <c r="C1921" t="s">
        <v>70</v>
      </c>
      <c r="D1921">
        <v>430</v>
      </c>
      <c r="E1921">
        <v>341.01998901367188</v>
      </c>
    </row>
    <row r="1922" spans="1:5" x14ac:dyDescent="0.3">
      <c r="A1922" t="s">
        <v>2679</v>
      </c>
      <c r="B1922" t="s">
        <v>1307</v>
      </c>
      <c r="C1922" t="s">
        <v>51</v>
      </c>
      <c r="D1922">
        <v>230</v>
      </c>
      <c r="E1922">
        <v>231.58999633789063</v>
      </c>
    </row>
    <row r="1923" spans="1:5" x14ac:dyDescent="0.3">
      <c r="A1923" t="s">
        <v>2680</v>
      </c>
      <c r="B1923" t="s">
        <v>1593</v>
      </c>
      <c r="C1923" t="s">
        <v>36</v>
      </c>
      <c r="D1923">
        <v>60</v>
      </c>
      <c r="E1923">
        <v>369.04998779296875</v>
      </c>
    </row>
    <row r="1924" spans="1:5" x14ac:dyDescent="0.3">
      <c r="A1924" t="s">
        <v>2681</v>
      </c>
      <c r="B1924" t="s">
        <v>168</v>
      </c>
      <c r="C1924" t="s">
        <v>66</v>
      </c>
      <c r="D1924">
        <v>370</v>
      </c>
      <c r="E1924">
        <v>196.03999328613281</v>
      </c>
    </row>
    <row r="1925" spans="1:5" x14ac:dyDescent="0.3">
      <c r="A1925" t="s">
        <v>2682</v>
      </c>
      <c r="B1925" t="s">
        <v>519</v>
      </c>
      <c r="C1925" t="s">
        <v>69</v>
      </c>
      <c r="D1925">
        <v>370</v>
      </c>
      <c r="E1925">
        <v>287.98001098632813</v>
      </c>
    </row>
    <row r="1926" spans="1:5" x14ac:dyDescent="0.3">
      <c r="A1926" t="s">
        <v>2683</v>
      </c>
      <c r="B1926" t="s">
        <v>2388</v>
      </c>
      <c r="C1926" t="s">
        <v>59</v>
      </c>
      <c r="D1926">
        <v>330</v>
      </c>
      <c r="E1926">
        <v>103.13999938964844</v>
      </c>
    </row>
    <row r="1927" spans="1:5" x14ac:dyDescent="0.3">
      <c r="A1927" t="s">
        <v>2684</v>
      </c>
      <c r="B1927" t="s">
        <v>1384</v>
      </c>
      <c r="C1927" t="s">
        <v>46</v>
      </c>
      <c r="D1927">
        <v>300</v>
      </c>
      <c r="E1927">
        <v>232.58000183105469</v>
      </c>
    </row>
    <row r="1928" spans="1:5" x14ac:dyDescent="0.3">
      <c r="A1928" t="s">
        <v>2685</v>
      </c>
      <c r="B1928" t="s">
        <v>1132</v>
      </c>
      <c r="C1928" t="s">
        <v>13</v>
      </c>
      <c r="D1928">
        <v>380</v>
      </c>
      <c r="E1928">
        <v>150.16999816894531</v>
      </c>
    </row>
    <row r="1929" spans="1:5" x14ac:dyDescent="0.3">
      <c r="A1929" t="s">
        <v>2686</v>
      </c>
      <c r="B1929" t="s">
        <v>2902</v>
      </c>
      <c r="C1929" t="s">
        <v>13</v>
      </c>
      <c r="D1929">
        <v>440</v>
      </c>
      <c r="E1929">
        <v>462.60000610351563</v>
      </c>
    </row>
    <row r="1930" spans="1:5" x14ac:dyDescent="0.3">
      <c r="A1930" t="s">
        <v>2687</v>
      </c>
      <c r="B1930" t="s">
        <v>1153</v>
      </c>
      <c r="C1930" t="s">
        <v>62</v>
      </c>
      <c r="D1930">
        <v>410</v>
      </c>
      <c r="E1930">
        <v>159.3800048828125</v>
      </c>
    </row>
    <row r="1931" spans="1:5" x14ac:dyDescent="0.3">
      <c r="A1931" t="s">
        <v>2688</v>
      </c>
      <c r="B1931" t="s">
        <v>1164</v>
      </c>
      <c r="C1931" t="s">
        <v>54</v>
      </c>
      <c r="D1931">
        <v>490</v>
      </c>
      <c r="E1931">
        <v>362.82000732421875</v>
      </c>
    </row>
    <row r="1932" spans="1:5" x14ac:dyDescent="0.3">
      <c r="A1932" t="s">
        <v>2689</v>
      </c>
      <c r="B1932" t="s">
        <v>419</v>
      </c>
      <c r="C1932" t="s">
        <v>39</v>
      </c>
      <c r="D1932">
        <v>440</v>
      </c>
      <c r="E1932">
        <v>78.050003051757813</v>
      </c>
    </row>
    <row r="1933" spans="1:5" x14ac:dyDescent="0.3">
      <c r="A1933" t="s">
        <v>2690</v>
      </c>
      <c r="B1933" t="s">
        <v>1177</v>
      </c>
      <c r="C1933" t="s">
        <v>64</v>
      </c>
      <c r="D1933">
        <v>290</v>
      </c>
      <c r="E1933">
        <v>443.010009765625</v>
      </c>
    </row>
    <row r="1934" spans="1:5" x14ac:dyDescent="0.3">
      <c r="A1934" t="s">
        <v>2691</v>
      </c>
      <c r="B1934" t="s">
        <v>2006</v>
      </c>
      <c r="C1934" t="s">
        <v>39</v>
      </c>
      <c r="D1934">
        <v>110</v>
      </c>
      <c r="E1934">
        <v>478.44000244140625</v>
      </c>
    </row>
    <row r="1935" spans="1:5" x14ac:dyDescent="0.3">
      <c r="A1935" t="s">
        <v>2692</v>
      </c>
      <c r="B1935" t="s">
        <v>508</v>
      </c>
      <c r="C1935" t="s">
        <v>37</v>
      </c>
      <c r="D1935">
        <v>280</v>
      </c>
      <c r="E1935">
        <v>337.92001342773438</v>
      </c>
    </row>
    <row r="1936" spans="1:5" x14ac:dyDescent="0.3">
      <c r="A1936" t="s">
        <v>2694</v>
      </c>
      <c r="B1936" t="s">
        <v>2317</v>
      </c>
      <c r="C1936" t="s">
        <v>52</v>
      </c>
      <c r="D1936">
        <v>190</v>
      </c>
      <c r="E1936">
        <v>57.810001373291016</v>
      </c>
    </row>
    <row r="1937" spans="1:5" x14ac:dyDescent="0.3">
      <c r="A1937" t="s">
        <v>2695</v>
      </c>
      <c r="B1937" t="s">
        <v>705</v>
      </c>
      <c r="C1937" t="s">
        <v>17</v>
      </c>
      <c r="D1937">
        <v>50</v>
      </c>
      <c r="E1937">
        <v>307.32000732421875</v>
      </c>
    </row>
    <row r="1938" spans="1:5" x14ac:dyDescent="0.3">
      <c r="A1938" t="s">
        <v>2696</v>
      </c>
      <c r="B1938" t="s">
        <v>470</v>
      </c>
      <c r="C1938" t="s">
        <v>23</v>
      </c>
      <c r="D1938">
        <v>70</v>
      </c>
      <c r="E1938">
        <v>138.44000244140625</v>
      </c>
    </row>
    <row r="1939" spans="1:5" x14ac:dyDescent="0.3">
      <c r="A1939" t="s">
        <v>2697</v>
      </c>
      <c r="B1939" t="s">
        <v>203</v>
      </c>
      <c r="C1939" t="s">
        <v>32</v>
      </c>
      <c r="D1939">
        <v>300</v>
      </c>
      <c r="E1939">
        <v>235.99000549316406</v>
      </c>
    </row>
    <row r="1940" spans="1:5" x14ac:dyDescent="0.3">
      <c r="A1940" t="s">
        <v>2698</v>
      </c>
      <c r="B1940" t="s">
        <v>160</v>
      </c>
      <c r="C1940" t="s">
        <v>38</v>
      </c>
      <c r="D1940">
        <v>280</v>
      </c>
      <c r="E1940">
        <v>167.58000183105469</v>
      </c>
    </row>
    <row r="1941" spans="1:5" x14ac:dyDescent="0.3">
      <c r="A1941" t="s">
        <v>2699</v>
      </c>
      <c r="B1941" t="s">
        <v>2491</v>
      </c>
      <c r="C1941" t="s">
        <v>38</v>
      </c>
      <c r="D1941">
        <v>360</v>
      </c>
      <c r="E1941">
        <v>133.66999816894531</v>
      </c>
    </row>
    <row r="1942" spans="1:5" x14ac:dyDescent="0.3">
      <c r="A1942" t="s">
        <v>2701</v>
      </c>
      <c r="B1942" t="s">
        <v>2887</v>
      </c>
      <c r="C1942" t="s">
        <v>61</v>
      </c>
      <c r="D1942">
        <v>440</v>
      </c>
      <c r="E1942">
        <v>217.50999450683594</v>
      </c>
    </row>
    <row r="1943" spans="1:5" x14ac:dyDescent="0.3">
      <c r="A1943" t="s">
        <v>2702</v>
      </c>
      <c r="B1943" t="s">
        <v>1103</v>
      </c>
      <c r="C1943" t="s">
        <v>17</v>
      </c>
      <c r="D1943">
        <v>190</v>
      </c>
      <c r="E1943">
        <v>135.14999389648438</v>
      </c>
    </row>
    <row r="1944" spans="1:5" x14ac:dyDescent="0.3">
      <c r="A1944" t="s">
        <v>2703</v>
      </c>
      <c r="B1944" t="s">
        <v>2150</v>
      </c>
      <c r="C1944" t="s">
        <v>33</v>
      </c>
      <c r="D1944">
        <v>330</v>
      </c>
      <c r="E1944">
        <v>485.48001098632813</v>
      </c>
    </row>
    <row r="1945" spans="1:5" x14ac:dyDescent="0.3">
      <c r="A1945" t="s">
        <v>2704</v>
      </c>
      <c r="B1945" t="s">
        <v>466</v>
      </c>
      <c r="C1945" t="s">
        <v>39</v>
      </c>
      <c r="D1945">
        <v>-50</v>
      </c>
      <c r="E1945">
        <v>95.790000915527344</v>
      </c>
    </row>
    <row r="1946" spans="1:5" x14ac:dyDescent="0.3">
      <c r="A1946" t="s">
        <v>2705</v>
      </c>
      <c r="B1946" t="s">
        <v>1895</v>
      </c>
      <c r="C1946" t="s">
        <v>59</v>
      </c>
      <c r="D1946">
        <v>10</v>
      </c>
      <c r="E1946">
        <v>383.57000732421875</v>
      </c>
    </row>
    <row r="1947" spans="1:5" x14ac:dyDescent="0.3">
      <c r="A1947" t="s">
        <v>2706</v>
      </c>
      <c r="B1947" t="s">
        <v>1021</v>
      </c>
      <c r="C1947" t="s">
        <v>56</v>
      </c>
      <c r="D1947">
        <v>350</v>
      </c>
      <c r="E1947">
        <v>207.24000549316406</v>
      </c>
    </row>
    <row r="1948" spans="1:5" x14ac:dyDescent="0.3">
      <c r="A1948" t="s">
        <v>2708</v>
      </c>
      <c r="B1948" t="s">
        <v>1405</v>
      </c>
      <c r="C1948" t="s">
        <v>60</v>
      </c>
      <c r="D1948">
        <v>170</v>
      </c>
      <c r="E1948">
        <v>359.04000854492188</v>
      </c>
    </row>
    <row r="1949" spans="1:5" x14ac:dyDescent="0.3">
      <c r="A1949" t="s">
        <v>2709</v>
      </c>
      <c r="B1949" t="s">
        <v>2596</v>
      </c>
      <c r="C1949" t="s">
        <v>36</v>
      </c>
      <c r="D1949">
        <v>120</v>
      </c>
      <c r="E1949">
        <v>201.52000427246094</v>
      </c>
    </row>
    <row r="1950" spans="1:5" x14ac:dyDescent="0.3">
      <c r="A1950" t="s">
        <v>2710</v>
      </c>
      <c r="B1950" t="s">
        <v>302</v>
      </c>
      <c r="C1950" t="s">
        <v>16</v>
      </c>
      <c r="D1950">
        <v>30</v>
      </c>
      <c r="E1950">
        <v>417.54998779296875</v>
      </c>
    </row>
    <row r="1951" spans="1:5" x14ac:dyDescent="0.3">
      <c r="A1951" t="s">
        <v>2711</v>
      </c>
      <c r="B1951" t="s">
        <v>2916</v>
      </c>
      <c r="C1951" t="s">
        <v>54</v>
      </c>
      <c r="D1951">
        <v>250</v>
      </c>
      <c r="E1951">
        <v>260.29998779296875</v>
      </c>
    </row>
    <row r="1952" spans="1:5" x14ac:dyDescent="0.3">
      <c r="A1952" t="s">
        <v>2712</v>
      </c>
      <c r="B1952" t="s">
        <v>105</v>
      </c>
      <c r="C1952" t="s">
        <v>16</v>
      </c>
      <c r="D1952">
        <v>330</v>
      </c>
      <c r="E1952">
        <v>303.239990234375</v>
      </c>
    </row>
    <row r="1953" spans="1:5" x14ac:dyDescent="0.3">
      <c r="A1953" t="s">
        <v>2713</v>
      </c>
      <c r="B1953" t="s">
        <v>816</v>
      </c>
      <c r="C1953" t="s">
        <v>29</v>
      </c>
      <c r="D1953">
        <v>310</v>
      </c>
      <c r="E1953">
        <v>190.19000244140625</v>
      </c>
    </row>
    <row r="1954" spans="1:5" x14ac:dyDescent="0.3">
      <c r="A1954" t="s">
        <v>2714</v>
      </c>
      <c r="B1954" t="s">
        <v>367</v>
      </c>
      <c r="C1954" t="s">
        <v>41</v>
      </c>
      <c r="D1954">
        <v>450</v>
      </c>
      <c r="E1954">
        <v>385.25</v>
      </c>
    </row>
    <row r="1955" spans="1:5" x14ac:dyDescent="0.3">
      <c r="A1955" t="s">
        <v>2715</v>
      </c>
      <c r="B1955" t="s">
        <v>328</v>
      </c>
      <c r="C1955" t="s">
        <v>65</v>
      </c>
      <c r="D1955">
        <v>490</v>
      </c>
      <c r="E1955">
        <v>422.85000610351563</v>
      </c>
    </row>
    <row r="1956" spans="1:5" x14ac:dyDescent="0.3">
      <c r="A1956" t="s">
        <v>2716</v>
      </c>
      <c r="B1956" t="s">
        <v>2136</v>
      </c>
      <c r="C1956" t="s">
        <v>17</v>
      </c>
      <c r="D1956">
        <v>390</v>
      </c>
      <c r="E1956">
        <v>157.72000122070313</v>
      </c>
    </row>
    <row r="1957" spans="1:5" x14ac:dyDescent="0.3">
      <c r="A1957" t="s">
        <v>2717</v>
      </c>
      <c r="B1957" t="s">
        <v>444</v>
      </c>
      <c r="C1957" t="s">
        <v>52</v>
      </c>
      <c r="D1957">
        <v>100</v>
      </c>
      <c r="E1957">
        <v>14.920000076293945</v>
      </c>
    </row>
    <row r="1958" spans="1:5" x14ac:dyDescent="0.3">
      <c r="A1958" t="s">
        <v>2718</v>
      </c>
      <c r="B1958" t="s">
        <v>260</v>
      </c>
      <c r="C1958" t="s">
        <v>29</v>
      </c>
      <c r="D1958">
        <v>280</v>
      </c>
      <c r="E1958">
        <v>239.80000305175781</v>
      </c>
    </row>
    <row r="1959" spans="1:5" x14ac:dyDescent="0.3">
      <c r="A1959" t="s">
        <v>2719</v>
      </c>
      <c r="B1959" t="s">
        <v>1753</v>
      </c>
      <c r="C1959" t="s">
        <v>59</v>
      </c>
      <c r="D1959">
        <v>80</v>
      </c>
      <c r="E1959">
        <v>148.02999877929688</v>
      </c>
    </row>
    <row r="1960" spans="1:5" x14ac:dyDescent="0.3">
      <c r="A1960" t="s">
        <v>2720</v>
      </c>
      <c r="B1960" t="s">
        <v>434</v>
      </c>
      <c r="C1960" t="s">
        <v>32</v>
      </c>
      <c r="D1960">
        <v>370</v>
      </c>
      <c r="E1960">
        <v>375.6099853515625</v>
      </c>
    </row>
    <row r="1961" spans="1:5" x14ac:dyDescent="0.3">
      <c r="A1961" t="s">
        <v>2721</v>
      </c>
      <c r="B1961" t="s">
        <v>315</v>
      </c>
      <c r="C1961" t="s">
        <v>64</v>
      </c>
      <c r="D1961">
        <v>500</v>
      </c>
      <c r="E1961">
        <v>128.83000183105469</v>
      </c>
    </row>
    <row r="1962" spans="1:5" x14ac:dyDescent="0.3">
      <c r="A1962" t="s">
        <v>2722</v>
      </c>
      <c r="B1962" t="s">
        <v>1861</v>
      </c>
      <c r="C1962" t="s">
        <v>66</v>
      </c>
      <c r="D1962">
        <v>40</v>
      </c>
      <c r="E1962">
        <v>434.29998779296875</v>
      </c>
    </row>
    <row r="1963" spans="1:5" x14ac:dyDescent="0.3">
      <c r="A1963" t="s">
        <v>2724</v>
      </c>
      <c r="B1963" t="s">
        <v>2910</v>
      </c>
      <c r="C1963" t="s">
        <v>56</v>
      </c>
      <c r="D1963">
        <v>50</v>
      </c>
      <c r="E1963">
        <v>388.95999145507813</v>
      </c>
    </row>
    <row r="1964" spans="1:5" x14ac:dyDescent="0.3">
      <c r="A1964" t="s">
        <v>2725</v>
      </c>
      <c r="B1964" t="s">
        <v>244</v>
      </c>
      <c r="C1964" t="s">
        <v>10</v>
      </c>
      <c r="D1964">
        <v>290</v>
      </c>
      <c r="E1964">
        <v>410.01998901367188</v>
      </c>
    </row>
    <row r="1965" spans="1:5" x14ac:dyDescent="0.3">
      <c r="A1965" t="s">
        <v>2726</v>
      </c>
      <c r="B1965" t="s">
        <v>1861</v>
      </c>
      <c r="C1965" t="s">
        <v>38</v>
      </c>
      <c r="D1965">
        <v>30</v>
      </c>
      <c r="E1965">
        <v>485.04998779296875</v>
      </c>
    </row>
    <row r="1966" spans="1:5" x14ac:dyDescent="0.3">
      <c r="A1966" t="s">
        <v>2727</v>
      </c>
      <c r="B1966" t="s">
        <v>1369</v>
      </c>
      <c r="C1966" t="s">
        <v>61</v>
      </c>
      <c r="D1966">
        <v>250</v>
      </c>
      <c r="E1966">
        <v>421.89999389648438</v>
      </c>
    </row>
    <row r="1967" spans="1:5" x14ac:dyDescent="0.3">
      <c r="A1967" t="s">
        <v>2728</v>
      </c>
      <c r="B1967" t="s">
        <v>133</v>
      </c>
      <c r="C1967" t="s">
        <v>19</v>
      </c>
      <c r="D1967">
        <v>400</v>
      </c>
      <c r="E1967">
        <v>98.75</v>
      </c>
    </row>
    <row r="1968" spans="1:5" x14ac:dyDescent="0.3">
      <c r="A1968" t="s">
        <v>2730</v>
      </c>
      <c r="B1968" t="s">
        <v>628</v>
      </c>
      <c r="C1968" t="s">
        <v>55</v>
      </c>
      <c r="D1968">
        <v>160</v>
      </c>
      <c r="E1968">
        <v>214.08999633789063</v>
      </c>
    </row>
    <row r="1969" spans="1:5" x14ac:dyDescent="0.3">
      <c r="A1969" t="s">
        <v>2731</v>
      </c>
      <c r="B1969" t="s">
        <v>2339</v>
      </c>
      <c r="C1969" t="s">
        <v>49</v>
      </c>
      <c r="D1969">
        <v>210</v>
      </c>
      <c r="E1969">
        <v>36.709999084472656</v>
      </c>
    </row>
    <row r="1970" spans="1:5" x14ac:dyDescent="0.3">
      <c r="A1970" t="s">
        <v>2732</v>
      </c>
      <c r="B1970" t="s">
        <v>1307</v>
      </c>
      <c r="C1970" t="s">
        <v>37</v>
      </c>
      <c r="D1970">
        <v>410</v>
      </c>
      <c r="E1970">
        <v>155.72000122070313</v>
      </c>
    </row>
    <row r="1971" spans="1:5" x14ac:dyDescent="0.3">
      <c r="A1971" t="s">
        <v>2733</v>
      </c>
      <c r="B1971" t="s">
        <v>2942</v>
      </c>
      <c r="C1971" t="s">
        <v>42</v>
      </c>
      <c r="D1971">
        <v>150</v>
      </c>
      <c r="E1971">
        <v>230.55000305175781</v>
      </c>
    </row>
    <row r="1972" spans="1:5" x14ac:dyDescent="0.3">
      <c r="A1972" t="s">
        <v>2734</v>
      </c>
      <c r="B1972" t="s">
        <v>79</v>
      </c>
      <c r="C1972" t="s">
        <v>58</v>
      </c>
      <c r="D1972">
        <v>500</v>
      </c>
      <c r="E1972">
        <v>240.92999267578125</v>
      </c>
    </row>
    <row r="1973" spans="1:5" x14ac:dyDescent="0.3">
      <c r="A1973" t="s">
        <v>2736</v>
      </c>
      <c r="B1973" t="s">
        <v>234</v>
      </c>
      <c r="C1973" t="s">
        <v>65</v>
      </c>
      <c r="D1973">
        <v>40</v>
      </c>
      <c r="E1973">
        <v>236.91999816894531</v>
      </c>
    </row>
    <row r="1974" spans="1:5" x14ac:dyDescent="0.3">
      <c r="A1974" t="s">
        <v>2737</v>
      </c>
      <c r="B1974" t="s">
        <v>968</v>
      </c>
      <c r="C1974" t="s">
        <v>70</v>
      </c>
      <c r="D1974">
        <v>50</v>
      </c>
      <c r="E1974">
        <v>88.879997253417969</v>
      </c>
    </row>
    <row r="1975" spans="1:5" x14ac:dyDescent="0.3">
      <c r="A1975" t="s">
        <v>2738</v>
      </c>
      <c r="B1975" t="s">
        <v>107</v>
      </c>
      <c r="C1975" t="s">
        <v>16</v>
      </c>
      <c r="D1975">
        <v>310</v>
      </c>
      <c r="E1975">
        <v>237.47000122070313</v>
      </c>
    </row>
    <row r="1976" spans="1:5" x14ac:dyDescent="0.3">
      <c r="A1976" t="s">
        <v>2739</v>
      </c>
      <c r="B1976" t="s">
        <v>287</v>
      </c>
      <c r="C1976" t="s">
        <v>46</v>
      </c>
      <c r="D1976">
        <v>320</v>
      </c>
      <c r="E1976">
        <v>443.67999267578125</v>
      </c>
    </row>
    <row r="1977" spans="1:5" x14ac:dyDescent="0.3">
      <c r="A1977" t="s">
        <v>2740</v>
      </c>
      <c r="B1977" t="s">
        <v>99</v>
      </c>
      <c r="C1977" t="s">
        <v>54</v>
      </c>
      <c r="D1977">
        <v>40</v>
      </c>
      <c r="E1977">
        <v>38.819999694824219</v>
      </c>
    </row>
    <row r="1978" spans="1:5" x14ac:dyDescent="0.3">
      <c r="A1978" t="s">
        <v>2741</v>
      </c>
      <c r="B1978" t="s">
        <v>2930</v>
      </c>
      <c r="C1978" t="s">
        <v>17</v>
      </c>
      <c r="D1978">
        <v>180</v>
      </c>
      <c r="E1978">
        <v>174.5</v>
      </c>
    </row>
    <row r="1979" spans="1:5" x14ac:dyDescent="0.3">
      <c r="A1979" t="s">
        <v>2742</v>
      </c>
      <c r="B1979" t="s">
        <v>1135</v>
      </c>
      <c r="C1979" t="s">
        <v>39</v>
      </c>
      <c r="D1979">
        <v>410</v>
      </c>
      <c r="E1979">
        <v>72.629997253417969</v>
      </c>
    </row>
    <row r="1980" spans="1:5" x14ac:dyDescent="0.3">
      <c r="A1980" t="s">
        <v>2743</v>
      </c>
      <c r="B1980" t="s">
        <v>2640</v>
      </c>
      <c r="C1980" t="s">
        <v>46</v>
      </c>
      <c r="D1980">
        <v>140</v>
      </c>
      <c r="E1980">
        <v>275.45999145507813</v>
      </c>
    </row>
    <row r="1981" spans="1:5" x14ac:dyDescent="0.3">
      <c r="A1981" t="s">
        <v>2744</v>
      </c>
      <c r="B1981" t="s">
        <v>405</v>
      </c>
      <c r="C1981" t="s">
        <v>37</v>
      </c>
      <c r="D1981">
        <v>240</v>
      </c>
      <c r="E1981">
        <v>395.52999877929688</v>
      </c>
    </row>
    <row r="1982" spans="1:5" x14ac:dyDescent="0.3">
      <c r="A1982" t="s">
        <v>2745</v>
      </c>
      <c r="B1982" t="s">
        <v>1296</v>
      </c>
      <c r="C1982" t="s">
        <v>16</v>
      </c>
      <c r="D1982">
        <v>320</v>
      </c>
      <c r="E1982">
        <v>365.70999145507813</v>
      </c>
    </row>
    <row r="1983" spans="1:5" x14ac:dyDescent="0.3">
      <c r="A1983" t="s">
        <v>2746</v>
      </c>
      <c r="B1983" t="s">
        <v>1448</v>
      </c>
      <c r="C1983" t="s">
        <v>62</v>
      </c>
      <c r="D1983">
        <v>460</v>
      </c>
      <c r="E1983">
        <v>189.16999816894531</v>
      </c>
    </row>
    <row r="1984" spans="1:5" x14ac:dyDescent="0.3">
      <c r="A1984" t="s">
        <v>2747</v>
      </c>
      <c r="B1984" t="s">
        <v>242</v>
      </c>
      <c r="C1984" t="s">
        <v>18</v>
      </c>
      <c r="D1984">
        <v>470</v>
      </c>
      <c r="E1984">
        <v>189.38999938964844</v>
      </c>
    </row>
    <row r="1985" spans="1:5" x14ac:dyDescent="0.3">
      <c r="A1985" t="s">
        <v>2748</v>
      </c>
      <c r="B1985" t="s">
        <v>2301</v>
      </c>
      <c r="C1985" t="s">
        <v>37</v>
      </c>
      <c r="D1985">
        <v>140</v>
      </c>
      <c r="E1985">
        <v>260.17999267578125</v>
      </c>
    </row>
    <row r="1986" spans="1:5" x14ac:dyDescent="0.3">
      <c r="A1986" t="s">
        <v>2749</v>
      </c>
      <c r="B1986" t="s">
        <v>297</v>
      </c>
      <c r="C1986" t="s">
        <v>36</v>
      </c>
      <c r="D1986">
        <v>480</v>
      </c>
      <c r="E1986">
        <v>115.63999938964844</v>
      </c>
    </row>
    <row r="1987" spans="1:5" x14ac:dyDescent="0.3">
      <c r="A1987" t="s">
        <v>2750</v>
      </c>
      <c r="B1987" t="s">
        <v>574</v>
      </c>
      <c r="C1987" t="s">
        <v>59</v>
      </c>
      <c r="D1987">
        <v>470</v>
      </c>
      <c r="E1987">
        <v>40.200000762939453</v>
      </c>
    </row>
    <row r="1988" spans="1:5" x14ac:dyDescent="0.3">
      <c r="A1988" t="s">
        <v>2751</v>
      </c>
      <c r="B1988" t="s">
        <v>408</v>
      </c>
      <c r="C1988" t="s">
        <v>55</v>
      </c>
      <c r="D1988">
        <v>340</v>
      </c>
      <c r="E1988">
        <v>138.60000610351563</v>
      </c>
    </row>
    <row r="1989" spans="1:5" x14ac:dyDescent="0.3">
      <c r="A1989" t="s">
        <v>2752</v>
      </c>
      <c r="B1989" t="s">
        <v>249</v>
      </c>
      <c r="C1989" t="s">
        <v>16</v>
      </c>
      <c r="D1989">
        <v>270</v>
      </c>
      <c r="E1989">
        <v>85.879997253417969</v>
      </c>
    </row>
    <row r="1990" spans="1:5" x14ac:dyDescent="0.3">
      <c r="A1990" t="s">
        <v>2754</v>
      </c>
      <c r="B1990" t="s">
        <v>1499</v>
      </c>
      <c r="C1990" t="s">
        <v>33</v>
      </c>
      <c r="D1990">
        <v>180</v>
      </c>
      <c r="E1990">
        <v>377.41000366210938</v>
      </c>
    </row>
    <row r="1991" spans="1:5" x14ac:dyDescent="0.3">
      <c r="A1991" t="s">
        <v>2756</v>
      </c>
      <c r="B1991" t="s">
        <v>2357</v>
      </c>
      <c r="C1991" t="s">
        <v>51</v>
      </c>
      <c r="D1991">
        <v>460</v>
      </c>
      <c r="E1991">
        <v>78.860000610351563</v>
      </c>
    </row>
    <row r="1992" spans="1:5" x14ac:dyDescent="0.3">
      <c r="A1992" t="s">
        <v>2757</v>
      </c>
      <c r="B1992" t="s">
        <v>1955</v>
      </c>
      <c r="C1992" t="s">
        <v>53</v>
      </c>
      <c r="D1992">
        <v>250</v>
      </c>
      <c r="E1992">
        <v>76.209999084472656</v>
      </c>
    </row>
    <row r="1993" spans="1:5" x14ac:dyDescent="0.3">
      <c r="A1993" t="s">
        <v>2758</v>
      </c>
      <c r="B1993" t="s">
        <v>519</v>
      </c>
      <c r="C1993" t="s">
        <v>67</v>
      </c>
      <c r="D1993">
        <v>130</v>
      </c>
      <c r="E1993">
        <v>325.76998901367188</v>
      </c>
    </row>
    <row r="1994" spans="1:5" x14ac:dyDescent="0.3">
      <c r="A1994" t="s">
        <v>2759</v>
      </c>
      <c r="B1994" t="s">
        <v>1117</v>
      </c>
      <c r="C1994" t="s">
        <v>37</v>
      </c>
      <c r="D1994">
        <v>430</v>
      </c>
      <c r="E1994">
        <v>104.13999938964844</v>
      </c>
    </row>
    <row r="1995" spans="1:5" x14ac:dyDescent="0.3">
      <c r="A1995" t="s">
        <v>2760</v>
      </c>
      <c r="B1995" t="s">
        <v>2150</v>
      </c>
      <c r="C1995" t="s">
        <v>60</v>
      </c>
      <c r="D1995">
        <v>450</v>
      </c>
      <c r="E1995">
        <v>258.260009765625</v>
      </c>
    </row>
    <row r="1996" spans="1:5" x14ac:dyDescent="0.3">
      <c r="A1996" t="s">
        <v>2761</v>
      </c>
      <c r="B1996" t="s">
        <v>126</v>
      </c>
      <c r="C1996" t="s">
        <v>39</v>
      </c>
      <c r="D1996">
        <v>220</v>
      </c>
      <c r="E1996">
        <v>455.35000610351563</v>
      </c>
    </row>
    <row r="1997" spans="1:5" x14ac:dyDescent="0.3">
      <c r="A1997" t="s">
        <v>2762</v>
      </c>
      <c r="B1997" t="s">
        <v>2177</v>
      </c>
      <c r="C1997" t="s">
        <v>32</v>
      </c>
      <c r="D1997">
        <v>240</v>
      </c>
      <c r="E1997">
        <v>432.97000122070313</v>
      </c>
    </row>
    <row r="1998" spans="1:5" x14ac:dyDescent="0.3">
      <c r="A1998" t="s">
        <v>2763</v>
      </c>
      <c r="B1998" t="s">
        <v>1196</v>
      </c>
      <c r="C1998" t="s">
        <v>67</v>
      </c>
      <c r="D1998">
        <v>250</v>
      </c>
      <c r="E1998">
        <v>248.97000122070313</v>
      </c>
    </row>
    <row r="1999" spans="1:5" x14ac:dyDescent="0.3">
      <c r="A1999" t="s">
        <v>2764</v>
      </c>
      <c r="B1999" t="s">
        <v>801</v>
      </c>
      <c r="C1999" t="s">
        <v>56</v>
      </c>
      <c r="D1999">
        <v>440</v>
      </c>
      <c r="E1999">
        <v>31.530000686645508</v>
      </c>
    </row>
    <row r="2000" spans="1:5" x14ac:dyDescent="0.3">
      <c r="A2000" t="s">
        <v>2765</v>
      </c>
      <c r="B2000" t="s">
        <v>923</v>
      </c>
      <c r="C2000" t="s">
        <v>37</v>
      </c>
      <c r="D2000">
        <v>260</v>
      </c>
      <c r="E2000">
        <v>229.13999938964844</v>
      </c>
    </row>
    <row r="2001" spans="1:5" x14ac:dyDescent="0.3">
      <c r="A2001" t="s">
        <v>2766</v>
      </c>
      <c r="B2001" t="s">
        <v>2550</v>
      </c>
      <c r="C2001" t="s">
        <v>49</v>
      </c>
      <c r="D2001">
        <v>120</v>
      </c>
      <c r="E2001">
        <v>360.60000610351563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BFEDCD-CEF9-4ED5-BAAA-819E9D994F56}">
  <sheetPr codeName="Sheet2"/>
  <dimension ref="A1:D51"/>
  <sheetViews>
    <sheetView topLeftCell="A25" workbookViewId="0">
      <selection activeCell="A51" sqref="A51"/>
    </sheetView>
  </sheetViews>
  <sheetFormatPr defaultRowHeight="14.4" x14ac:dyDescent="0.3"/>
  <cols>
    <col min="1" max="1" width="10.6640625" bestFit="1" customWidth="1"/>
    <col min="2" max="2" width="23.77734375" bestFit="1" customWidth="1"/>
    <col min="3" max="3" width="8.44140625" bestFit="1" customWidth="1"/>
    <col min="4" max="4" width="26.77734375" bestFit="1" customWidth="1"/>
  </cols>
  <sheetData>
    <row r="1" spans="1:4" x14ac:dyDescent="0.3">
      <c r="A1" s="1" t="s">
        <v>9</v>
      </c>
      <c r="B1" s="1" t="s">
        <v>2</v>
      </c>
      <c r="C1" s="1" t="s">
        <v>3</v>
      </c>
      <c r="D1" s="1" t="s">
        <v>4</v>
      </c>
    </row>
    <row r="2" spans="1:4" x14ac:dyDescent="0.3">
      <c r="A2" t="s">
        <v>10</v>
      </c>
      <c r="B2" t="s">
        <v>2772</v>
      </c>
      <c r="C2" t="s">
        <v>24</v>
      </c>
      <c r="D2" t="s">
        <v>2773</v>
      </c>
    </row>
    <row r="3" spans="1:4" x14ac:dyDescent="0.3">
      <c r="A3" t="s">
        <v>12</v>
      </c>
      <c r="B3" t="s">
        <v>2774</v>
      </c>
      <c r="C3" t="s">
        <v>22</v>
      </c>
      <c r="D3" t="s">
        <v>2775</v>
      </c>
    </row>
    <row r="4" spans="1:4" x14ac:dyDescent="0.3">
      <c r="A4" t="s">
        <v>13</v>
      </c>
      <c r="B4" t="s">
        <v>2776</v>
      </c>
      <c r="C4" t="s">
        <v>11</v>
      </c>
      <c r="D4" t="s">
        <v>2777</v>
      </c>
    </row>
    <row r="5" spans="1:4" x14ac:dyDescent="0.3">
      <c r="A5" t="s">
        <v>15</v>
      </c>
      <c r="B5" t="s">
        <v>2778</v>
      </c>
      <c r="C5" t="s">
        <v>24</v>
      </c>
      <c r="D5" t="s">
        <v>2779</v>
      </c>
    </row>
    <row r="6" spans="1:4" x14ac:dyDescent="0.3">
      <c r="A6" t="s">
        <v>16</v>
      </c>
      <c r="B6" t="s">
        <v>2780</v>
      </c>
      <c r="C6" t="s">
        <v>14</v>
      </c>
      <c r="D6" t="s">
        <v>2781</v>
      </c>
    </row>
    <row r="7" spans="1:4" x14ac:dyDescent="0.3">
      <c r="A7" t="s">
        <v>17</v>
      </c>
      <c r="B7" t="s">
        <v>2782</v>
      </c>
      <c r="C7" t="s">
        <v>14</v>
      </c>
      <c r="D7" t="s">
        <v>2783</v>
      </c>
    </row>
    <row r="8" spans="1:4" x14ac:dyDescent="0.3">
      <c r="A8" t="s">
        <v>18</v>
      </c>
      <c r="B8" t="s">
        <v>2784</v>
      </c>
      <c r="C8" t="s">
        <v>14</v>
      </c>
      <c r="D8" t="s">
        <v>2785</v>
      </c>
    </row>
    <row r="9" spans="1:4" x14ac:dyDescent="0.3">
      <c r="A9" t="s">
        <v>19</v>
      </c>
      <c r="B9" t="s">
        <v>2786</v>
      </c>
      <c r="C9" t="s">
        <v>22</v>
      </c>
      <c r="D9" t="s">
        <v>2787</v>
      </c>
    </row>
    <row r="10" spans="1:4" x14ac:dyDescent="0.3">
      <c r="A10" t="s">
        <v>21</v>
      </c>
      <c r="B10" t="s">
        <v>2788</v>
      </c>
      <c r="C10" t="s">
        <v>24</v>
      </c>
      <c r="D10" t="s">
        <v>2789</v>
      </c>
    </row>
    <row r="11" spans="1:4" x14ac:dyDescent="0.3">
      <c r="A11" t="s">
        <v>23</v>
      </c>
      <c r="B11" t="s">
        <v>2790</v>
      </c>
      <c r="C11" t="s">
        <v>11</v>
      </c>
      <c r="D11" t="s">
        <v>2791</v>
      </c>
    </row>
    <row r="12" spans="1:4" x14ac:dyDescent="0.3">
      <c r="A12" t="s">
        <v>25</v>
      </c>
      <c r="B12" t="s">
        <v>26</v>
      </c>
      <c r="C12" t="s">
        <v>11</v>
      </c>
      <c r="D12" t="s">
        <v>2792</v>
      </c>
    </row>
    <row r="13" spans="1:4" x14ac:dyDescent="0.3">
      <c r="A13" t="s">
        <v>28</v>
      </c>
      <c r="B13" t="s">
        <v>2793</v>
      </c>
      <c r="C13" t="s">
        <v>27</v>
      </c>
      <c r="D13" t="s">
        <v>2794</v>
      </c>
    </row>
    <row r="14" spans="1:4" x14ac:dyDescent="0.3">
      <c r="A14" t="s">
        <v>29</v>
      </c>
      <c r="B14" t="s">
        <v>30</v>
      </c>
      <c r="C14" t="s">
        <v>14</v>
      </c>
      <c r="D14" t="s">
        <v>2795</v>
      </c>
    </row>
    <row r="15" spans="1:4" x14ac:dyDescent="0.3">
      <c r="A15" t="s">
        <v>31</v>
      </c>
      <c r="B15" t="s">
        <v>2796</v>
      </c>
      <c r="C15" t="s">
        <v>11</v>
      </c>
      <c r="D15" t="s">
        <v>2797</v>
      </c>
    </row>
    <row r="16" spans="1:4" x14ac:dyDescent="0.3">
      <c r="A16" t="s">
        <v>32</v>
      </c>
      <c r="B16" t="s">
        <v>2798</v>
      </c>
      <c r="C16" t="s">
        <v>14</v>
      </c>
      <c r="D16" t="s">
        <v>2799</v>
      </c>
    </row>
    <row r="17" spans="1:4" x14ac:dyDescent="0.3">
      <c r="A17" t="s">
        <v>33</v>
      </c>
      <c r="B17" t="s">
        <v>2800</v>
      </c>
      <c r="C17" t="s">
        <v>11</v>
      </c>
      <c r="D17" t="s">
        <v>2801</v>
      </c>
    </row>
    <row r="18" spans="1:4" x14ac:dyDescent="0.3">
      <c r="A18" t="s">
        <v>34</v>
      </c>
      <c r="B18" t="s">
        <v>35</v>
      </c>
      <c r="C18" t="s">
        <v>11</v>
      </c>
      <c r="D18" t="s">
        <v>2802</v>
      </c>
    </row>
    <row r="19" spans="1:4" x14ac:dyDescent="0.3">
      <c r="A19" t="s">
        <v>36</v>
      </c>
      <c r="B19" t="s">
        <v>2803</v>
      </c>
      <c r="C19" t="s">
        <v>14</v>
      </c>
      <c r="D19" t="s">
        <v>2804</v>
      </c>
    </row>
    <row r="20" spans="1:4" x14ac:dyDescent="0.3">
      <c r="A20" t="s">
        <v>37</v>
      </c>
      <c r="B20" t="s">
        <v>2805</v>
      </c>
      <c r="C20" t="s">
        <v>14</v>
      </c>
      <c r="D20" t="s">
        <v>2806</v>
      </c>
    </row>
    <row r="21" spans="1:4" x14ac:dyDescent="0.3">
      <c r="A21" t="s">
        <v>38</v>
      </c>
      <c r="B21" t="s">
        <v>2807</v>
      </c>
      <c r="C21" t="s">
        <v>24</v>
      </c>
      <c r="D21" t="s">
        <v>2808</v>
      </c>
    </row>
    <row r="22" spans="1:4" x14ac:dyDescent="0.3">
      <c r="A22" t="s">
        <v>39</v>
      </c>
      <c r="B22" t="s">
        <v>2809</v>
      </c>
      <c r="C22" t="s">
        <v>20</v>
      </c>
      <c r="D22" t="s">
        <v>2810</v>
      </c>
    </row>
    <row r="23" spans="1:4" x14ac:dyDescent="0.3">
      <c r="A23" t="s">
        <v>40</v>
      </c>
      <c r="B23" t="s">
        <v>2811</v>
      </c>
      <c r="C23" t="s">
        <v>22</v>
      </c>
      <c r="D23" t="s">
        <v>2812</v>
      </c>
    </row>
    <row r="24" spans="1:4" x14ac:dyDescent="0.3">
      <c r="A24" t="s">
        <v>41</v>
      </c>
      <c r="B24" t="s">
        <v>2813</v>
      </c>
      <c r="C24" t="s">
        <v>14</v>
      </c>
      <c r="D24" t="s">
        <v>2814</v>
      </c>
    </row>
    <row r="25" spans="1:4" x14ac:dyDescent="0.3">
      <c r="A25" t="s">
        <v>42</v>
      </c>
      <c r="B25" t="s">
        <v>2815</v>
      </c>
      <c r="C25" t="s">
        <v>20</v>
      </c>
      <c r="D25" t="s">
        <v>2816</v>
      </c>
    </row>
    <row r="26" spans="1:4" x14ac:dyDescent="0.3">
      <c r="A26" t="s">
        <v>43</v>
      </c>
      <c r="B26" t="s">
        <v>2817</v>
      </c>
      <c r="C26" t="s">
        <v>27</v>
      </c>
      <c r="D26" t="s">
        <v>2818</v>
      </c>
    </row>
    <row r="27" spans="1:4" x14ac:dyDescent="0.3">
      <c r="A27" t="s">
        <v>44</v>
      </c>
      <c r="B27" t="s">
        <v>2819</v>
      </c>
      <c r="C27" t="s">
        <v>11</v>
      </c>
      <c r="D27" t="s">
        <v>2820</v>
      </c>
    </row>
    <row r="28" spans="1:4" x14ac:dyDescent="0.3">
      <c r="A28" t="s">
        <v>45</v>
      </c>
      <c r="B28" t="s">
        <v>2821</v>
      </c>
      <c r="C28" t="s">
        <v>27</v>
      </c>
      <c r="D28" t="s">
        <v>2822</v>
      </c>
    </row>
    <row r="29" spans="1:4" x14ac:dyDescent="0.3">
      <c r="A29" t="s">
        <v>46</v>
      </c>
      <c r="B29" t="s">
        <v>2823</v>
      </c>
      <c r="C29" t="s">
        <v>11</v>
      </c>
      <c r="D29" t="s">
        <v>2824</v>
      </c>
    </row>
    <row r="30" spans="1:4" x14ac:dyDescent="0.3">
      <c r="A30" t="s">
        <v>47</v>
      </c>
      <c r="B30" t="s">
        <v>48</v>
      </c>
      <c r="C30" t="s">
        <v>14</v>
      </c>
      <c r="D30" t="s">
        <v>2825</v>
      </c>
    </row>
    <row r="31" spans="1:4" x14ac:dyDescent="0.3">
      <c r="A31" t="s">
        <v>49</v>
      </c>
      <c r="B31" t="s">
        <v>50</v>
      </c>
      <c r="C31" t="s">
        <v>24</v>
      </c>
      <c r="D31" t="s">
        <v>2826</v>
      </c>
    </row>
    <row r="32" spans="1:4" x14ac:dyDescent="0.3">
      <c r="A32" t="s">
        <v>51</v>
      </c>
      <c r="B32" t="s">
        <v>2827</v>
      </c>
      <c r="C32" t="s">
        <v>11</v>
      </c>
      <c r="D32" t="s">
        <v>2828</v>
      </c>
    </row>
    <row r="33" spans="1:4" x14ac:dyDescent="0.3">
      <c r="A33" t="s">
        <v>52</v>
      </c>
      <c r="B33" t="s">
        <v>2829</v>
      </c>
      <c r="C33" t="s">
        <v>14</v>
      </c>
      <c r="D33" t="s">
        <v>2830</v>
      </c>
    </row>
    <row r="34" spans="1:4" x14ac:dyDescent="0.3">
      <c r="A34" t="s">
        <v>53</v>
      </c>
      <c r="B34" t="s">
        <v>2831</v>
      </c>
      <c r="C34" t="s">
        <v>24</v>
      </c>
      <c r="D34" t="s">
        <v>2832</v>
      </c>
    </row>
    <row r="35" spans="1:4" x14ac:dyDescent="0.3">
      <c r="A35" t="s">
        <v>54</v>
      </c>
      <c r="B35" t="s">
        <v>2833</v>
      </c>
      <c r="C35" t="s">
        <v>24</v>
      </c>
      <c r="D35" t="s">
        <v>2834</v>
      </c>
    </row>
    <row r="36" spans="1:4" x14ac:dyDescent="0.3">
      <c r="A36" t="s">
        <v>55</v>
      </c>
      <c r="B36" t="s">
        <v>2835</v>
      </c>
      <c r="C36" t="s">
        <v>24</v>
      </c>
      <c r="D36" t="s">
        <v>2836</v>
      </c>
    </row>
    <row r="37" spans="1:4" x14ac:dyDescent="0.3">
      <c r="A37" t="s">
        <v>56</v>
      </c>
      <c r="B37" t="s">
        <v>2837</v>
      </c>
      <c r="C37" t="s">
        <v>24</v>
      </c>
      <c r="D37" t="s">
        <v>2838</v>
      </c>
    </row>
    <row r="38" spans="1:4" x14ac:dyDescent="0.3">
      <c r="A38" t="s">
        <v>57</v>
      </c>
      <c r="B38" t="s">
        <v>2839</v>
      </c>
      <c r="C38" t="s">
        <v>24</v>
      </c>
      <c r="D38" t="s">
        <v>2840</v>
      </c>
    </row>
    <row r="39" spans="1:4" x14ac:dyDescent="0.3">
      <c r="A39" t="s">
        <v>58</v>
      </c>
      <c r="B39" t="s">
        <v>2841</v>
      </c>
      <c r="C39" t="s">
        <v>20</v>
      </c>
      <c r="D39" t="s">
        <v>2842</v>
      </c>
    </row>
    <row r="40" spans="1:4" x14ac:dyDescent="0.3">
      <c r="A40" t="s">
        <v>59</v>
      </c>
      <c r="B40" t="s">
        <v>2843</v>
      </c>
      <c r="C40" t="s">
        <v>20</v>
      </c>
      <c r="D40" t="s">
        <v>2844</v>
      </c>
    </row>
    <row r="41" spans="1:4" x14ac:dyDescent="0.3">
      <c r="A41" t="s">
        <v>60</v>
      </c>
      <c r="B41" t="s">
        <v>2845</v>
      </c>
      <c r="C41" t="s">
        <v>22</v>
      </c>
      <c r="D41" t="s">
        <v>2846</v>
      </c>
    </row>
    <row r="42" spans="1:4" x14ac:dyDescent="0.3">
      <c r="A42" t="s">
        <v>61</v>
      </c>
      <c r="B42" t="s">
        <v>2847</v>
      </c>
      <c r="C42" t="s">
        <v>24</v>
      </c>
      <c r="D42" t="s">
        <v>2848</v>
      </c>
    </row>
    <row r="43" spans="1:4" x14ac:dyDescent="0.3">
      <c r="A43" t="s">
        <v>62</v>
      </c>
      <c r="B43" t="s">
        <v>2849</v>
      </c>
      <c r="C43" t="s">
        <v>11</v>
      </c>
      <c r="D43" t="s">
        <v>2850</v>
      </c>
    </row>
    <row r="44" spans="1:4" x14ac:dyDescent="0.3">
      <c r="A44" t="s">
        <v>63</v>
      </c>
      <c r="B44" t="s">
        <v>2851</v>
      </c>
      <c r="C44" t="s">
        <v>27</v>
      </c>
      <c r="D44" t="s">
        <v>2852</v>
      </c>
    </row>
    <row r="45" spans="1:4" x14ac:dyDescent="0.3">
      <c r="A45" t="s">
        <v>64</v>
      </c>
      <c r="B45" t="s">
        <v>2853</v>
      </c>
      <c r="C45" t="s">
        <v>14</v>
      </c>
      <c r="D45" t="s">
        <v>2854</v>
      </c>
    </row>
    <row r="46" spans="1:4" x14ac:dyDescent="0.3">
      <c r="A46" t="s">
        <v>65</v>
      </c>
      <c r="B46" t="s">
        <v>2855</v>
      </c>
      <c r="C46" t="s">
        <v>27</v>
      </c>
      <c r="D46" t="s">
        <v>2856</v>
      </c>
    </row>
    <row r="47" spans="1:4" x14ac:dyDescent="0.3">
      <c r="A47" t="s">
        <v>66</v>
      </c>
      <c r="B47" t="s">
        <v>2857</v>
      </c>
      <c r="C47" t="s">
        <v>11</v>
      </c>
      <c r="D47" t="s">
        <v>2858</v>
      </c>
    </row>
    <row r="48" spans="1:4" x14ac:dyDescent="0.3">
      <c r="A48" t="s">
        <v>67</v>
      </c>
      <c r="B48" t="s">
        <v>2859</v>
      </c>
      <c r="C48" t="s">
        <v>22</v>
      </c>
      <c r="D48" t="s">
        <v>2860</v>
      </c>
    </row>
    <row r="49" spans="1:4" x14ac:dyDescent="0.3">
      <c r="A49" t="s">
        <v>68</v>
      </c>
      <c r="B49" t="s">
        <v>2861</v>
      </c>
      <c r="C49" t="s">
        <v>20</v>
      </c>
      <c r="D49" t="s">
        <v>2862</v>
      </c>
    </row>
    <row r="50" spans="1:4" x14ac:dyDescent="0.3">
      <c r="A50" t="s">
        <v>69</v>
      </c>
      <c r="B50" t="s">
        <v>2863</v>
      </c>
      <c r="C50" t="s">
        <v>24</v>
      </c>
      <c r="D50" t="s">
        <v>2864</v>
      </c>
    </row>
    <row r="51" spans="1:4" x14ac:dyDescent="0.3">
      <c r="A51" t="s">
        <v>70</v>
      </c>
      <c r="B51" t="s">
        <v>2865</v>
      </c>
      <c r="C51" t="s">
        <v>20</v>
      </c>
      <c r="D51" t="s">
        <v>2866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CB0097-5BB3-4EA9-9362-216B27E3BE42}">
  <sheetPr codeName="Sheet3"/>
  <dimension ref="A1:I2001"/>
  <sheetViews>
    <sheetView zoomScale="92" zoomScaleNormal="100" workbookViewId="0">
      <selection activeCell="L7" sqref="L7"/>
    </sheetView>
  </sheetViews>
  <sheetFormatPr defaultRowHeight="14.4" x14ac:dyDescent="0.3"/>
  <cols>
    <col min="1" max="1" width="9.21875" bestFit="1" customWidth="1"/>
    <col min="2" max="2" width="12.88671875" bestFit="1" customWidth="1"/>
    <col min="3" max="3" width="23.77734375" bestFit="1" customWidth="1"/>
    <col min="4" max="4" width="8.44140625" bestFit="1" customWidth="1"/>
    <col min="5" max="5" width="26.77734375" bestFit="1" customWidth="1"/>
    <col min="6" max="6" width="8.109375" bestFit="1" customWidth="1"/>
    <col min="7" max="7" width="12" bestFit="1" customWidth="1"/>
    <col min="8" max="8" width="12.6640625" bestFit="1" customWidth="1"/>
    <col min="9" max="9" width="24.77734375" bestFit="1" customWidth="1"/>
  </cols>
  <sheetData>
    <row r="1" spans="1:9" x14ac:dyDescent="0.3">
      <c r="A1" s="1" t="s">
        <v>0</v>
      </c>
      <c r="B1" s="1" t="s">
        <v>1</v>
      </c>
      <c r="C1" s="1" t="s">
        <v>2</v>
      </c>
      <c r="D1" s="1" t="s">
        <v>3</v>
      </c>
      <c r="E1" s="1" t="s">
        <v>4</v>
      </c>
      <c r="F1" s="1" t="s">
        <v>5</v>
      </c>
      <c r="G1" s="1" t="s">
        <v>6</v>
      </c>
      <c r="H1" s="1" t="s">
        <v>7</v>
      </c>
      <c r="I1" s="1" t="s">
        <v>8</v>
      </c>
    </row>
    <row r="2" spans="1:9" x14ac:dyDescent="0.3">
      <c r="A2" t="str">
        <f>FO_Capture!A2</f>
        <v>TRD00001</v>
      </c>
      <c r="B2" t="str">
        <f>FO_Capture!B2</f>
        <v>INE006A01070</v>
      </c>
      <c r="C2" t="str">
        <f>IFERROR(VLOOKUP(FO_Capture!C2, Reference_Data!A:D, 2, FALSE), "UNKNOWN")</f>
        <v>Alpha Global 46</v>
      </c>
      <c r="D2" t="str">
        <f>IFERROR(VLOOKUP(FO_Capture!C2, Reference_Data!A:D, 3, FALSE), "XXX")</f>
        <v>USD</v>
      </c>
      <c r="E2" t="str">
        <f>IFERROR(VLOOKUP(FO_Capture!C2, Reference_Data!A:D, 4, FALSE), "MISSING SSI")</f>
        <v>Citi A/C 700450</v>
      </c>
      <c r="F2">
        <f>FO_Capture!D2</f>
        <v>480</v>
      </c>
      <c r="G2">
        <f>FO_Capture!E2</f>
        <v>314.57998657226563</v>
      </c>
      <c r="H2">
        <f>F2 * G2</f>
        <v>150998.3935546875</v>
      </c>
      <c r="I2" t="str">
        <f>IF(C2="UNKNOWN", "Fail - Missing Ref Data", IF(OR(F2&lt;=0, G2&lt;=0), "Fail - Invalid Price/Qty", IF(H2&gt;1000000, "Exception - Limit Breach", "Pass - Ready for Confirmation")))</f>
        <v>Pass - Ready for Confirmation</v>
      </c>
    </row>
    <row r="3" spans="1:9" x14ac:dyDescent="0.3">
      <c r="A3" t="str">
        <f>FO_Capture!A3</f>
        <v>TRD00002</v>
      </c>
      <c r="B3" t="str">
        <f>FO_Capture!B3</f>
        <v>INE004A01022</v>
      </c>
      <c r="C3" t="str">
        <f>IFERROR(VLOOKUP(FO_Capture!C3, Reference_Data!A:D, 2, FALSE), "UNKNOWN")</f>
        <v>Alpha Quant Fund 27</v>
      </c>
      <c r="D3" t="str">
        <f>IFERROR(VLOOKUP(FO_Capture!C3, Reference_Data!A:D, 3, FALSE), "XXX")</f>
        <v>EUR</v>
      </c>
      <c r="E3" t="str">
        <f>IFERROR(VLOOKUP(FO_Capture!C3, Reference_Data!A:D, 4, FALSE), "MISSING SSI")</f>
        <v>Standard Chartered A/C 331839</v>
      </c>
      <c r="F3">
        <f>FO_Capture!D3</f>
        <v>260</v>
      </c>
      <c r="G3">
        <f>FO_Capture!E3</f>
        <v>266.20999145507813</v>
      </c>
      <c r="H3">
        <f t="shared" ref="H3:H66" si="0">F3 * G3</f>
        <v>69214.597778320313</v>
      </c>
      <c r="I3" t="str">
        <f t="shared" ref="I3:I66" si="1">IF(C3="UNKNOWN", "Fail - Missing Ref Data", IF(OR(F3&lt;=0, G3&lt;=0), "Fail - Invalid Price/Qty", IF(H3&gt;1000000, "Exception - Limit Breach", "Pass - Ready for Confirmation")))</f>
        <v>Pass - Ready for Confirmation</v>
      </c>
    </row>
    <row r="4" spans="1:9" x14ac:dyDescent="0.3">
      <c r="A4" t="str">
        <f>FO_Capture!A4</f>
        <v>TRD00003</v>
      </c>
      <c r="B4" t="str">
        <f>FO_Capture!B4</f>
        <v>INE005A01073</v>
      </c>
      <c r="C4" t="str">
        <f>IFERROR(VLOOKUP(FO_Capture!C4, Reference_Data!A:D, 2, FALSE), "UNKNOWN")</f>
        <v>Alpha Quant Fund 34</v>
      </c>
      <c r="D4" t="str">
        <f>IFERROR(VLOOKUP(FO_Capture!C4, Reference_Data!A:D, 3, FALSE), "XXX")</f>
        <v>JPY</v>
      </c>
      <c r="E4" t="str">
        <f>IFERROR(VLOOKUP(FO_Capture!C4, Reference_Data!A:D, 4, FALSE), "MISSING SSI")</f>
        <v>Citi A/C 837378</v>
      </c>
      <c r="F4">
        <f>FO_Capture!D4</f>
        <v>300</v>
      </c>
      <c r="G4">
        <f>FO_Capture!E4</f>
        <v>169.60000610351563</v>
      </c>
      <c r="H4">
        <f t="shared" si="0"/>
        <v>50880.001831054688</v>
      </c>
      <c r="I4" t="str">
        <f t="shared" si="1"/>
        <v>Pass - Ready for Confirmation</v>
      </c>
    </row>
    <row r="5" spans="1:9" x14ac:dyDescent="0.3">
      <c r="A5" t="str">
        <f>FO_Capture!A5</f>
        <v>TRD00004</v>
      </c>
      <c r="B5" t="str">
        <f>FO_Capture!B5</f>
        <v>INE004A01066</v>
      </c>
      <c r="C5" t="str">
        <f>IFERROR(VLOOKUP(FO_Capture!C5, Reference_Data!A:D, 2, FALSE), "UNKNOWN")</f>
        <v>Alpha Asset Management 4</v>
      </c>
      <c r="D5" t="str">
        <f>IFERROR(VLOOKUP(FO_Capture!C5, Reference_Data!A:D, 3, FALSE), "XXX")</f>
        <v>JPY</v>
      </c>
      <c r="E5" t="str">
        <f>IFERROR(VLOOKUP(FO_Capture!C5, Reference_Data!A:D, 4, FALSE), "MISSING SSI")</f>
        <v>Deutsche Bank A/C 126543</v>
      </c>
      <c r="F5">
        <f>FO_Capture!D5</f>
        <v>490</v>
      </c>
      <c r="G5">
        <f>FO_Capture!E5</f>
        <v>128.5</v>
      </c>
      <c r="H5">
        <f t="shared" si="0"/>
        <v>62965</v>
      </c>
      <c r="I5" t="str">
        <f t="shared" si="1"/>
        <v>Pass - Ready for Confirmation</v>
      </c>
    </row>
    <row r="6" spans="1:9" x14ac:dyDescent="0.3">
      <c r="A6" t="str">
        <f>FO_Capture!A6</f>
        <v>TRD00005</v>
      </c>
      <c r="B6" t="str">
        <f>FO_Capture!B6</f>
        <v>INE009A01087</v>
      </c>
      <c r="C6" t="str">
        <f>IFERROR(VLOOKUP(FO_Capture!C6, Reference_Data!A:D, 2, FALSE), "UNKNOWN")</f>
        <v>Alpha Partners 26</v>
      </c>
      <c r="D6" t="str">
        <f>IFERROR(VLOOKUP(FO_Capture!C6, Reference_Data!A:D, 3, FALSE), "XXX")</f>
        <v>USD</v>
      </c>
      <c r="E6" t="str">
        <f>IFERROR(VLOOKUP(FO_Capture!C6, Reference_Data!A:D, 4, FALSE), "MISSING SSI")</f>
        <v>HSBC A/C 867781</v>
      </c>
      <c r="F6">
        <f>FO_Capture!D6</f>
        <v>160</v>
      </c>
      <c r="G6">
        <f>FO_Capture!E6</f>
        <v>410.75</v>
      </c>
      <c r="H6">
        <f t="shared" si="0"/>
        <v>65720</v>
      </c>
      <c r="I6" t="str">
        <f t="shared" si="1"/>
        <v>Pass - Ready for Confirmation</v>
      </c>
    </row>
    <row r="7" spans="1:9" x14ac:dyDescent="0.3">
      <c r="A7" t="str">
        <f>FO_Capture!A7</f>
        <v>TRD00006</v>
      </c>
      <c r="B7" t="str">
        <f>FO_Capture!B7</f>
        <v>INE009A01019</v>
      </c>
      <c r="C7" t="str">
        <f>IFERROR(VLOOKUP(FO_Capture!C7, Reference_Data!A:D, 2, FALSE), "UNKNOWN")</f>
        <v>Alpha Holdings 21</v>
      </c>
      <c r="D7" t="str">
        <f>IFERROR(VLOOKUP(FO_Capture!C7, Reference_Data!A:D, 3, FALSE), "XXX")</f>
        <v>SGD</v>
      </c>
      <c r="E7" t="str">
        <f>IFERROR(VLOOKUP(FO_Capture!C7, Reference_Data!A:D, 4, FALSE), "MISSING SSI")</f>
        <v>HSBC A/C 562956</v>
      </c>
      <c r="F7">
        <f>FO_Capture!D7</f>
        <v>340</v>
      </c>
      <c r="G7">
        <f>FO_Capture!E7</f>
        <v>198.22999572753906</v>
      </c>
      <c r="H7">
        <f t="shared" si="0"/>
        <v>67398.198547363281</v>
      </c>
      <c r="I7" t="str">
        <f t="shared" si="1"/>
        <v>Pass - Ready for Confirmation</v>
      </c>
    </row>
    <row r="8" spans="1:9" x14ac:dyDescent="0.3">
      <c r="A8" t="str">
        <f>FO_Capture!A8</f>
        <v>TRD00007</v>
      </c>
      <c r="B8" t="str">
        <f>FO_Capture!B8</f>
        <v>INE008A01087</v>
      </c>
      <c r="C8" t="str">
        <f>IFERROR(VLOOKUP(FO_Capture!C8, Reference_Data!A:D, 2, FALSE), "UNKNOWN")</f>
        <v>Alpha Capital 11</v>
      </c>
      <c r="D8" t="str">
        <f>IFERROR(VLOOKUP(FO_Capture!C8, Reference_Data!A:D, 3, FALSE), "XXX")</f>
        <v>USD</v>
      </c>
      <c r="E8" t="str">
        <f>IFERROR(VLOOKUP(FO_Capture!C8, Reference_Data!A:D, 4, FALSE), "MISSING SSI")</f>
        <v>JPMorgan A/C 987170</v>
      </c>
      <c r="F8">
        <f>FO_Capture!D8</f>
        <v>480</v>
      </c>
      <c r="G8">
        <f>FO_Capture!E8</f>
        <v>336.8800048828125</v>
      </c>
      <c r="H8">
        <f t="shared" si="0"/>
        <v>161702.40234375</v>
      </c>
      <c r="I8" t="str">
        <f t="shared" si="1"/>
        <v>Pass - Ready for Confirmation</v>
      </c>
    </row>
    <row r="9" spans="1:9" x14ac:dyDescent="0.3">
      <c r="A9" t="str">
        <f>FO_Capture!A9</f>
        <v>TRD00008</v>
      </c>
      <c r="B9" t="str">
        <f>FO_Capture!B9</f>
        <v>INE002A01017</v>
      </c>
      <c r="C9" t="str">
        <f>IFERROR(VLOOKUP(FO_Capture!C9, Reference_Data!A:D, 2, FALSE), "UNKNOWN")</f>
        <v>Alpha Partners 48</v>
      </c>
      <c r="D9" t="str">
        <f>IFERROR(VLOOKUP(FO_Capture!C9, Reference_Data!A:D, 3, FALSE), "XXX")</f>
        <v>SGD</v>
      </c>
      <c r="E9" t="str">
        <f>IFERROR(VLOOKUP(FO_Capture!C9, Reference_Data!A:D, 4, FALSE), "MISSING SSI")</f>
        <v>JPMorgan A/C 391364</v>
      </c>
      <c r="F9">
        <f>FO_Capture!D9</f>
        <v>250</v>
      </c>
      <c r="G9">
        <f>FO_Capture!E9</f>
        <v>86.709999084472656</v>
      </c>
      <c r="H9">
        <f t="shared" si="0"/>
        <v>21677.499771118164</v>
      </c>
      <c r="I9" t="str">
        <f t="shared" si="1"/>
        <v>Pass - Ready for Confirmation</v>
      </c>
    </row>
    <row r="10" spans="1:9" x14ac:dyDescent="0.3">
      <c r="A10" t="str">
        <f>FO_Capture!A10</f>
        <v>TRD00009</v>
      </c>
      <c r="B10" t="str">
        <f>FO_Capture!B10</f>
        <v>INE007A01073</v>
      </c>
      <c r="C10" t="str">
        <f>IFERROR(VLOOKUP(FO_Capture!C10, Reference_Data!A:D, 2, FALSE), "UNKNOWN")</f>
        <v>Alpha Global 39</v>
      </c>
      <c r="D10" t="str">
        <f>IFERROR(VLOOKUP(FO_Capture!C10, Reference_Data!A:D, 3, FALSE), "XXX")</f>
        <v>SGD</v>
      </c>
      <c r="E10" t="str">
        <f>IFERROR(VLOOKUP(FO_Capture!C10, Reference_Data!A:D, 4, FALSE), "MISSING SSI")</f>
        <v>Deutsche Bank A/C 917029</v>
      </c>
      <c r="F10">
        <f>FO_Capture!D10</f>
        <v>270</v>
      </c>
      <c r="G10">
        <f>FO_Capture!E10</f>
        <v>371.79998779296875</v>
      </c>
      <c r="H10">
        <f t="shared" si="0"/>
        <v>100385.99670410156</v>
      </c>
      <c r="I10" t="str">
        <f t="shared" si="1"/>
        <v>Pass - Ready for Confirmation</v>
      </c>
    </row>
    <row r="11" spans="1:9" x14ac:dyDescent="0.3">
      <c r="A11" t="str">
        <f>FO_Capture!A11</f>
        <v>TRD00010</v>
      </c>
      <c r="B11" t="str">
        <f>FO_Capture!B11</f>
        <v>INE005A01023</v>
      </c>
      <c r="C11" t="str">
        <f>IFERROR(VLOOKUP(FO_Capture!C11, Reference_Data!A:D, 2, FALSE), "UNKNOWN")</f>
        <v>Alpha Global 20</v>
      </c>
      <c r="D11" t="str">
        <f>IFERROR(VLOOKUP(FO_Capture!C11, Reference_Data!A:D, 3, FALSE), "XXX")</f>
        <v>JPY</v>
      </c>
      <c r="E11" t="str">
        <f>IFERROR(VLOOKUP(FO_Capture!C11, Reference_Data!A:D, 4, FALSE), "MISSING SSI")</f>
        <v>Barclays A/C 560891</v>
      </c>
      <c r="F11">
        <f>FO_Capture!D11</f>
        <v>330</v>
      </c>
      <c r="G11">
        <f>FO_Capture!E11</f>
        <v>30.280000686645508</v>
      </c>
      <c r="H11">
        <f t="shared" si="0"/>
        <v>9992.4002265930176</v>
      </c>
      <c r="I11" t="str">
        <f t="shared" si="1"/>
        <v>Pass - Ready for Confirmation</v>
      </c>
    </row>
    <row r="12" spans="1:9" x14ac:dyDescent="0.3">
      <c r="A12" t="str">
        <f>FO_Capture!A12</f>
        <v>TRD00011</v>
      </c>
      <c r="B12" t="str">
        <f>FO_Capture!B12</f>
        <v>INE001A01071</v>
      </c>
      <c r="C12" t="str">
        <f>IFERROR(VLOOKUP(FO_Capture!C12, Reference_Data!A:D, 2, FALSE), "UNKNOWN")</f>
        <v>Alpha Quant Fund 27</v>
      </c>
      <c r="D12" t="str">
        <f>IFERROR(VLOOKUP(FO_Capture!C12, Reference_Data!A:D, 3, FALSE), "XXX")</f>
        <v>EUR</v>
      </c>
      <c r="E12" t="str">
        <f>IFERROR(VLOOKUP(FO_Capture!C12, Reference_Data!A:D, 4, FALSE), "MISSING SSI")</f>
        <v>Standard Chartered A/C 331839</v>
      </c>
      <c r="F12">
        <f>FO_Capture!D12</f>
        <v>180</v>
      </c>
      <c r="G12">
        <f>FO_Capture!E12</f>
        <v>64.339996337890625</v>
      </c>
      <c r="H12">
        <f t="shared" si="0"/>
        <v>11581.199340820313</v>
      </c>
      <c r="I12" t="str">
        <f t="shared" si="1"/>
        <v>Pass - Ready for Confirmation</v>
      </c>
    </row>
    <row r="13" spans="1:9" x14ac:dyDescent="0.3">
      <c r="A13" t="str">
        <f>FO_Capture!A13</f>
        <v>TRD00012</v>
      </c>
      <c r="B13" t="str">
        <f>FO_Capture!B13</f>
        <v>INE008A01025</v>
      </c>
      <c r="C13" t="str">
        <f>IFERROR(VLOOKUP(FO_Capture!C13, Reference_Data!A:D, 2, FALSE), "UNKNOWN")</f>
        <v>Alpha Global 30</v>
      </c>
      <c r="D13" t="str">
        <f>IFERROR(VLOOKUP(FO_Capture!C13, Reference_Data!A:D, 3, FALSE), "XXX")</f>
        <v>JPY</v>
      </c>
      <c r="E13" t="str">
        <f>IFERROR(VLOOKUP(FO_Capture!C13, Reference_Data!A:D, 4, FALSE), "MISSING SSI")</f>
        <v>Deutsche Bank A/C 917262</v>
      </c>
      <c r="F13">
        <f>FO_Capture!D13</f>
        <v>270</v>
      </c>
      <c r="G13">
        <f>FO_Capture!E13</f>
        <v>390.260009765625</v>
      </c>
      <c r="H13">
        <f t="shared" si="0"/>
        <v>105370.20263671875</v>
      </c>
      <c r="I13" t="str">
        <f t="shared" si="1"/>
        <v>Pass - Ready for Confirmation</v>
      </c>
    </row>
    <row r="14" spans="1:9" x14ac:dyDescent="0.3">
      <c r="A14" t="str">
        <f>FO_Capture!A14</f>
        <v>TRD00013</v>
      </c>
      <c r="B14" t="str">
        <f>FO_Capture!B14</f>
        <v>INE007A01032</v>
      </c>
      <c r="C14" t="str">
        <f>IFERROR(VLOOKUP(FO_Capture!C14, Reference_Data!A:D, 2, FALSE), "UNKNOWN")</f>
        <v>Alpha Quant Fund 50</v>
      </c>
      <c r="D14" t="str">
        <f>IFERROR(VLOOKUP(FO_Capture!C14, Reference_Data!A:D, 3, FALSE), "XXX")</f>
        <v>SGD</v>
      </c>
      <c r="E14" t="str">
        <f>IFERROR(VLOOKUP(FO_Capture!C14, Reference_Data!A:D, 4, FALSE), "MISSING SSI")</f>
        <v>Standard Chartered A/C 307017</v>
      </c>
      <c r="F14">
        <f>FO_Capture!D14</f>
        <v>-50</v>
      </c>
      <c r="G14">
        <f>FO_Capture!E14</f>
        <v>477.41000366210938</v>
      </c>
      <c r="H14">
        <f t="shared" si="0"/>
        <v>-23870.500183105469</v>
      </c>
      <c r="I14" t="str">
        <f t="shared" si="1"/>
        <v>Fail - Invalid Price/Qty</v>
      </c>
    </row>
    <row r="15" spans="1:9" x14ac:dyDescent="0.3">
      <c r="A15" t="str">
        <f>FO_Capture!A15</f>
        <v>TRD00014</v>
      </c>
      <c r="B15" t="str">
        <f>FO_Capture!B15</f>
        <v>INE009A01015</v>
      </c>
      <c r="C15" t="str">
        <f>IFERROR(VLOOKUP(FO_Capture!C15, Reference_Data!A:D, 2, FALSE), "UNKNOWN")</f>
        <v>Alpha Partners 19</v>
      </c>
      <c r="D15" t="str">
        <f>IFERROR(VLOOKUP(FO_Capture!C15, Reference_Data!A:D, 3, FALSE), "XXX")</f>
        <v>INR</v>
      </c>
      <c r="E15" t="str">
        <f>IFERROR(VLOOKUP(FO_Capture!C15, Reference_Data!A:D, 4, FALSE), "MISSING SSI")</f>
        <v>Citi A/C 543819</v>
      </c>
      <c r="F15">
        <f>FO_Capture!D15</f>
        <v>490</v>
      </c>
      <c r="G15">
        <f>FO_Capture!E15</f>
        <v>374.94000244140625</v>
      </c>
      <c r="H15">
        <f t="shared" si="0"/>
        <v>183720.60119628906</v>
      </c>
      <c r="I15" t="str">
        <f t="shared" si="1"/>
        <v>Pass - Ready for Confirmation</v>
      </c>
    </row>
    <row r="16" spans="1:9" x14ac:dyDescent="0.3">
      <c r="A16" t="str">
        <f>FO_Capture!A16</f>
        <v>TRD00015</v>
      </c>
      <c r="B16" t="str">
        <f>FO_Capture!B16</f>
        <v>INE008A01028</v>
      </c>
      <c r="C16" t="str">
        <f>IFERROR(VLOOKUP(FO_Capture!C16, Reference_Data!A:D, 2, FALSE), "UNKNOWN")</f>
        <v>Alpha Investments 15</v>
      </c>
      <c r="D16" t="str">
        <f>IFERROR(VLOOKUP(FO_Capture!C16, Reference_Data!A:D, 3, FALSE), "XXX")</f>
        <v>INR</v>
      </c>
      <c r="E16" t="str">
        <f>IFERROR(VLOOKUP(FO_Capture!C16, Reference_Data!A:D, 4, FALSE), "MISSING SSI")</f>
        <v>Deutsche Bank A/C 330518</v>
      </c>
      <c r="F16">
        <f>FO_Capture!D16</f>
        <v>420</v>
      </c>
      <c r="G16">
        <f>FO_Capture!E16</f>
        <v>162.41000366210938</v>
      </c>
      <c r="H16">
        <f t="shared" si="0"/>
        <v>68212.201538085938</v>
      </c>
      <c r="I16" t="str">
        <f t="shared" si="1"/>
        <v>Pass - Ready for Confirmation</v>
      </c>
    </row>
    <row r="17" spans="1:9" x14ac:dyDescent="0.3">
      <c r="A17" t="str">
        <f>FO_Capture!A17</f>
        <v>TRD00016</v>
      </c>
      <c r="B17" t="str">
        <f>FO_Capture!B17</f>
        <v>INE002A01046</v>
      </c>
      <c r="C17" t="str">
        <f>IFERROR(VLOOKUP(FO_Capture!C17, Reference_Data!A:D, 2, FALSE), "UNKNOWN")</f>
        <v>Alpha Partners 48</v>
      </c>
      <c r="D17" t="str">
        <f>IFERROR(VLOOKUP(FO_Capture!C17, Reference_Data!A:D, 3, FALSE), "XXX")</f>
        <v>SGD</v>
      </c>
      <c r="E17" t="str">
        <f>IFERROR(VLOOKUP(FO_Capture!C17, Reference_Data!A:D, 4, FALSE), "MISSING SSI")</f>
        <v>JPMorgan A/C 391364</v>
      </c>
      <c r="F17">
        <f>FO_Capture!D17</f>
        <v>30</v>
      </c>
      <c r="G17">
        <f>FO_Capture!E17</f>
        <v>347.8599853515625</v>
      </c>
      <c r="H17">
        <f t="shared" si="0"/>
        <v>10435.799560546875</v>
      </c>
      <c r="I17" t="str">
        <f t="shared" si="1"/>
        <v>Pass - Ready for Confirmation</v>
      </c>
    </row>
    <row r="18" spans="1:9" x14ac:dyDescent="0.3">
      <c r="A18" t="str">
        <f>FO_Capture!A18</f>
        <v>TRD00017</v>
      </c>
      <c r="B18" t="str">
        <f>FO_Capture!B18</f>
        <v>INE005A01083</v>
      </c>
      <c r="C18" t="str">
        <f>IFERROR(VLOOKUP(FO_Capture!C18, Reference_Data!A:D, 2, FALSE), "UNKNOWN")</f>
        <v>Alpha Capital 33</v>
      </c>
      <c r="D18" t="str">
        <f>IFERROR(VLOOKUP(FO_Capture!C18, Reference_Data!A:D, 3, FALSE), "XXX")</f>
        <v>JPY</v>
      </c>
      <c r="E18" t="str">
        <f>IFERROR(VLOOKUP(FO_Capture!C18, Reference_Data!A:D, 4, FALSE), "MISSING SSI")</f>
        <v>HSBC A/C 172861</v>
      </c>
      <c r="F18">
        <f>FO_Capture!D18</f>
        <v>450</v>
      </c>
      <c r="G18">
        <f>FO_Capture!E18</f>
        <v>290.92001342773438</v>
      </c>
      <c r="H18">
        <f t="shared" si="0"/>
        <v>130914.00604248047</v>
      </c>
      <c r="I18" t="str">
        <f t="shared" si="1"/>
        <v>Pass - Ready for Confirmation</v>
      </c>
    </row>
    <row r="19" spans="1:9" x14ac:dyDescent="0.3">
      <c r="A19" t="str">
        <f>FO_Capture!A19</f>
        <v>TRD00018</v>
      </c>
      <c r="B19" t="str">
        <f>FO_Capture!B19</f>
        <v>INE001A01087</v>
      </c>
      <c r="C19" t="str">
        <f>IFERROR(VLOOKUP(FO_Capture!C19, Reference_Data!A:D, 2, FALSE), "UNKNOWN")</f>
        <v>Alpha Asset Management 32</v>
      </c>
      <c r="D19" t="str">
        <f>IFERROR(VLOOKUP(FO_Capture!C19, Reference_Data!A:D, 3, FALSE), "XXX")</f>
        <v>INR</v>
      </c>
      <c r="E19" t="str">
        <f>IFERROR(VLOOKUP(FO_Capture!C19, Reference_Data!A:D, 4, FALSE), "MISSING SSI")</f>
        <v>Barclays A/C 302646</v>
      </c>
      <c r="F19">
        <f>FO_Capture!D19</f>
        <v>450</v>
      </c>
      <c r="G19">
        <f>FO_Capture!E19</f>
        <v>452.76998901367188</v>
      </c>
      <c r="H19">
        <f t="shared" si="0"/>
        <v>203746.49505615234</v>
      </c>
      <c r="I19" t="str">
        <f t="shared" si="1"/>
        <v>Pass - Ready for Confirmation</v>
      </c>
    </row>
    <row r="20" spans="1:9" x14ac:dyDescent="0.3">
      <c r="A20" t="str">
        <f>FO_Capture!A20</f>
        <v>TRD00019</v>
      </c>
      <c r="B20" t="str">
        <f>FO_Capture!B20</f>
        <v>INE007A01088</v>
      </c>
      <c r="C20" t="str">
        <f>IFERROR(VLOOKUP(FO_Capture!C20, Reference_Data!A:D, 2, FALSE), "UNKNOWN")</f>
        <v>Alpha Asset Management 32</v>
      </c>
      <c r="D20" t="str">
        <f>IFERROR(VLOOKUP(FO_Capture!C20, Reference_Data!A:D, 3, FALSE), "XXX")</f>
        <v>INR</v>
      </c>
      <c r="E20" t="str">
        <f>IFERROR(VLOOKUP(FO_Capture!C20, Reference_Data!A:D, 4, FALSE), "MISSING SSI")</f>
        <v>Barclays A/C 302646</v>
      </c>
      <c r="F20">
        <f>FO_Capture!D20</f>
        <v>170</v>
      </c>
      <c r="G20">
        <f>FO_Capture!E20</f>
        <v>146.14999389648438</v>
      </c>
      <c r="H20">
        <f t="shared" si="0"/>
        <v>24845.498962402344</v>
      </c>
      <c r="I20" t="str">
        <f t="shared" si="1"/>
        <v>Pass - Ready for Confirmation</v>
      </c>
    </row>
    <row r="21" spans="1:9" x14ac:dyDescent="0.3">
      <c r="A21" t="str">
        <f>FO_Capture!A21</f>
        <v>TRD00020</v>
      </c>
      <c r="B21" t="str">
        <f>FO_Capture!B21</f>
        <v>INE009A01049</v>
      </c>
      <c r="C21" t="str">
        <f>IFERROR(VLOOKUP(FO_Capture!C21, Reference_Data!A:D, 2, FALSE), "UNKNOWN")</f>
        <v>Alpha Investments 15</v>
      </c>
      <c r="D21" t="str">
        <f>IFERROR(VLOOKUP(FO_Capture!C21, Reference_Data!A:D, 3, FALSE), "XXX")</f>
        <v>INR</v>
      </c>
      <c r="E21" t="str">
        <f>IFERROR(VLOOKUP(FO_Capture!C21, Reference_Data!A:D, 4, FALSE), "MISSING SSI")</f>
        <v>Deutsche Bank A/C 330518</v>
      </c>
      <c r="F21">
        <f>FO_Capture!D21</f>
        <v>390</v>
      </c>
      <c r="G21">
        <f>FO_Capture!E21</f>
        <v>285.3699951171875</v>
      </c>
      <c r="H21">
        <f t="shared" si="0"/>
        <v>111294.29809570313</v>
      </c>
      <c r="I21" t="str">
        <f t="shared" si="1"/>
        <v>Pass - Ready for Confirmation</v>
      </c>
    </row>
    <row r="22" spans="1:9" x14ac:dyDescent="0.3">
      <c r="A22" t="str">
        <f>FO_Capture!A22</f>
        <v>TRD00021</v>
      </c>
      <c r="B22" t="str">
        <f>FO_Capture!B22</f>
        <v>INE008A01016</v>
      </c>
      <c r="C22" t="str">
        <f>IFERROR(VLOOKUP(FO_Capture!C22, Reference_Data!A:D, 2, FALSE), "UNKNOWN")</f>
        <v>Alpha Capital 38</v>
      </c>
      <c r="D22" t="str">
        <f>IFERROR(VLOOKUP(FO_Capture!C22, Reference_Data!A:D, 3, FALSE), "XXX")</f>
        <v>SGD</v>
      </c>
      <c r="E22" t="str">
        <f>IFERROR(VLOOKUP(FO_Capture!C22, Reference_Data!A:D, 4, FALSE), "MISSING SSI")</f>
        <v>Deutsche Bank A/C 153521</v>
      </c>
      <c r="F22">
        <f>FO_Capture!D22</f>
        <v>270</v>
      </c>
      <c r="G22">
        <f>FO_Capture!E22</f>
        <v>136.30000305175781</v>
      </c>
      <c r="H22">
        <f t="shared" si="0"/>
        <v>36801.000823974609</v>
      </c>
      <c r="I22" t="str">
        <f t="shared" si="1"/>
        <v>Pass - Ready for Confirmation</v>
      </c>
    </row>
    <row r="23" spans="1:9" x14ac:dyDescent="0.3">
      <c r="A23" t="str">
        <f>FO_Capture!A23</f>
        <v>TRD00022</v>
      </c>
      <c r="B23" t="str">
        <f>FO_Capture!B23</f>
        <v>INE003A01067</v>
      </c>
      <c r="C23" t="str">
        <f>IFERROR(VLOOKUP(FO_Capture!C23, Reference_Data!A:D, 2, FALSE), "UNKNOWN")</f>
        <v>Alpha Asset Management 4</v>
      </c>
      <c r="D23" t="str">
        <f>IFERROR(VLOOKUP(FO_Capture!C23, Reference_Data!A:D, 3, FALSE), "XXX")</f>
        <v>JPY</v>
      </c>
      <c r="E23" t="str">
        <f>IFERROR(VLOOKUP(FO_Capture!C23, Reference_Data!A:D, 4, FALSE), "MISSING SSI")</f>
        <v>Deutsche Bank A/C 126543</v>
      </c>
      <c r="F23">
        <f>FO_Capture!D23</f>
        <v>100</v>
      </c>
      <c r="G23">
        <f>FO_Capture!E23</f>
        <v>66.360000610351563</v>
      </c>
      <c r="H23">
        <f t="shared" si="0"/>
        <v>6636.0000610351563</v>
      </c>
      <c r="I23" t="str">
        <f t="shared" si="1"/>
        <v>Pass - Ready for Confirmation</v>
      </c>
    </row>
    <row r="24" spans="1:9" x14ac:dyDescent="0.3">
      <c r="A24" t="str">
        <f>FO_Capture!A24</f>
        <v>TRD00023</v>
      </c>
      <c r="B24" t="str">
        <f>FO_Capture!B24</f>
        <v>INE005A01063</v>
      </c>
      <c r="C24" t="str">
        <f>IFERROR(VLOOKUP(FO_Capture!C24, Reference_Data!A:D, 2, FALSE), "UNKNOWN")</f>
        <v>Alpha Global 39</v>
      </c>
      <c r="D24" t="str">
        <f>IFERROR(VLOOKUP(FO_Capture!C24, Reference_Data!A:D, 3, FALSE), "XXX")</f>
        <v>SGD</v>
      </c>
      <c r="E24" t="str">
        <f>IFERROR(VLOOKUP(FO_Capture!C24, Reference_Data!A:D, 4, FALSE), "MISSING SSI")</f>
        <v>Deutsche Bank A/C 917029</v>
      </c>
      <c r="F24">
        <f>FO_Capture!D24</f>
        <v>70</v>
      </c>
      <c r="G24">
        <f>FO_Capture!E24</f>
        <v>294.57000732421875</v>
      </c>
      <c r="H24">
        <f t="shared" si="0"/>
        <v>20619.900512695313</v>
      </c>
      <c r="I24" t="str">
        <f t="shared" si="1"/>
        <v>Pass - Ready for Confirmation</v>
      </c>
    </row>
    <row r="25" spans="1:9" x14ac:dyDescent="0.3">
      <c r="A25" t="str">
        <f>FO_Capture!A25</f>
        <v>TRD00024</v>
      </c>
      <c r="B25" t="str">
        <f>FO_Capture!B25</f>
        <v>INE008A0100</v>
      </c>
      <c r="C25" t="str">
        <f>IFERROR(VLOOKUP(FO_Capture!C25, Reference_Data!A:D, 2, FALSE), "UNKNOWN")</f>
        <v>Alpha Holdings 16</v>
      </c>
      <c r="D25" t="str">
        <f>IFERROR(VLOOKUP(FO_Capture!C25, Reference_Data!A:D, 3, FALSE), "XXX")</f>
        <v>USD</v>
      </c>
      <c r="E25" t="str">
        <f>IFERROR(VLOOKUP(FO_Capture!C25, Reference_Data!A:D, 4, FALSE), "MISSING SSI")</f>
        <v>Barclays A/C 197229</v>
      </c>
      <c r="F25">
        <f>FO_Capture!D25</f>
        <v>480</v>
      </c>
      <c r="G25">
        <f>FO_Capture!E25</f>
        <v>141.46000671386719</v>
      </c>
      <c r="H25">
        <f t="shared" si="0"/>
        <v>67900.80322265625</v>
      </c>
      <c r="I25" t="str">
        <f t="shared" si="1"/>
        <v>Pass - Ready for Confirmation</v>
      </c>
    </row>
    <row r="26" spans="1:9" x14ac:dyDescent="0.3">
      <c r="A26" t="str">
        <f>FO_Capture!A26</f>
        <v>TRD00025</v>
      </c>
      <c r="B26" t="str">
        <f>FO_Capture!B26</f>
        <v>INE008A01053</v>
      </c>
      <c r="C26" t="str">
        <f>IFERROR(VLOOKUP(FO_Capture!C26, Reference_Data!A:D, 2, FALSE), "UNKNOWN")</f>
        <v>Alpha Quant Fund 34</v>
      </c>
      <c r="D26" t="str">
        <f>IFERROR(VLOOKUP(FO_Capture!C26, Reference_Data!A:D, 3, FALSE), "XXX")</f>
        <v>JPY</v>
      </c>
      <c r="E26" t="str">
        <f>IFERROR(VLOOKUP(FO_Capture!C26, Reference_Data!A:D, 4, FALSE), "MISSING SSI")</f>
        <v>Citi A/C 837378</v>
      </c>
      <c r="F26">
        <f>FO_Capture!D26</f>
        <v>30</v>
      </c>
      <c r="G26">
        <f>FO_Capture!E26</f>
        <v>279.16000366210938</v>
      </c>
      <c r="H26">
        <f t="shared" si="0"/>
        <v>8374.8001098632813</v>
      </c>
      <c r="I26" t="str">
        <f t="shared" si="1"/>
        <v>Pass - Ready for Confirmation</v>
      </c>
    </row>
    <row r="27" spans="1:9" x14ac:dyDescent="0.3">
      <c r="A27" t="str">
        <f>FO_Capture!A27</f>
        <v>TRD00026</v>
      </c>
      <c r="B27" t="str">
        <f>FO_Capture!B27</f>
        <v>INE008A01033</v>
      </c>
      <c r="C27" t="str">
        <f>IFERROR(VLOOKUP(FO_Capture!C27, Reference_Data!A:D, 2, FALSE), "UNKNOWN")</f>
        <v>Alpha Asset Management 35</v>
      </c>
      <c r="D27" t="str">
        <f>IFERROR(VLOOKUP(FO_Capture!C27, Reference_Data!A:D, 3, FALSE), "XXX")</f>
        <v>JPY</v>
      </c>
      <c r="E27" t="str">
        <f>IFERROR(VLOOKUP(FO_Capture!C27, Reference_Data!A:D, 4, FALSE), "MISSING SSI")</f>
        <v>HSBC A/C 604357</v>
      </c>
      <c r="F27">
        <f>FO_Capture!D27</f>
        <v>30</v>
      </c>
      <c r="G27">
        <f>FO_Capture!E27</f>
        <v>481.35000610351563</v>
      </c>
      <c r="H27">
        <f t="shared" si="0"/>
        <v>14440.500183105469</v>
      </c>
      <c r="I27" t="str">
        <f t="shared" si="1"/>
        <v>Pass - Ready for Confirmation</v>
      </c>
    </row>
    <row r="28" spans="1:9" x14ac:dyDescent="0.3">
      <c r="A28" t="str">
        <f>FO_Capture!A28</f>
        <v>TRD00027</v>
      </c>
      <c r="B28" t="str">
        <f>FO_Capture!B28</f>
        <v>INE008A01031</v>
      </c>
      <c r="C28" t="str">
        <f>IFERROR(VLOOKUP(FO_Capture!C28, Reference_Data!A:D, 2, FALSE), "UNKNOWN")</f>
        <v>Alpha Capital 36</v>
      </c>
      <c r="D28" t="str">
        <f>IFERROR(VLOOKUP(FO_Capture!C28, Reference_Data!A:D, 3, FALSE), "XXX")</f>
        <v>JPY</v>
      </c>
      <c r="E28" t="str">
        <f>IFERROR(VLOOKUP(FO_Capture!C28, Reference_Data!A:D, 4, FALSE), "MISSING SSI")</f>
        <v>Citi A/C 359789</v>
      </c>
      <c r="F28">
        <f>FO_Capture!D28</f>
        <v>210</v>
      </c>
      <c r="G28">
        <f>FO_Capture!E28</f>
        <v>373.27999877929688</v>
      </c>
      <c r="H28">
        <f t="shared" si="0"/>
        <v>78388.799743652344</v>
      </c>
      <c r="I28" t="str">
        <f t="shared" si="1"/>
        <v>Pass - Ready for Confirmation</v>
      </c>
    </row>
    <row r="29" spans="1:9" x14ac:dyDescent="0.3">
      <c r="A29" t="str">
        <f>FO_Capture!A29</f>
        <v>TRD00028</v>
      </c>
      <c r="B29" t="str">
        <f>FO_Capture!B29</f>
        <v>INE005A01074</v>
      </c>
      <c r="C29" t="str">
        <f>IFERROR(VLOOKUP(FO_Capture!C29, Reference_Data!A:D, 2, FALSE), "UNKNOWN")</f>
        <v>Alpha Partners 3</v>
      </c>
      <c r="D29" t="str">
        <f>IFERROR(VLOOKUP(FO_Capture!C29, Reference_Data!A:D, 3, FALSE), "XXX")</f>
        <v>USD</v>
      </c>
      <c r="E29" t="str">
        <f>IFERROR(VLOOKUP(FO_Capture!C29, Reference_Data!A:D, 4, FALSE), "MISSING SSI")</f>
        <v>Citi A/C 508769</v>
      </c>
      <c r="F29">
        <f>FO_Capture!D29</f>
        <v>390</v>
      </c>
      <c r="G29">
        <f>FO_Capture!E29</f>
        <v>181.75</v>
      </c>
      <c r="H29">
        <f t="shared" si="0"/>
        <v>70882.5</v>
      </c>
      <c r="I29" t="str">
        <f t="shared" si="1"/>
        <v>Pass - Ready for Confirmation</v>
      </c>
    </row>
    <row r="30" spans="1:9" x14ac:dyDescent="0.3">
      <c r="A30" t="str">
        <f>FO_Capture!A30</f>
        <v>TRD00029</v>
      </c>
      <c r="B30" t="str">
        <f>FO_Capture!B30</f>
        <v>INE001A01071</v>
      </c>
      <c r="C30" t="str">
        <f>IFERROR(VLOOKUP(FO_Capture!C30, Reference_Data!A:D, 2, FALSE), "UNKNOWN")</f>
        <v>Alpha Holdings 21</v>
      </c>
      <c r="D30" t="str">
        <f>IFERROR(VLOOKUP(FO_Capture!C30, Reference_Data!A:D, 3, FALSE), "XXX")</f>
        <v>SGD</v>
      </c>
      <c r="E30" t="str">
        <f>IFERROR(VLOOKUP(FO_Capture!C30, Reference_Data!A:D, 4, FALSE), "MISSING SSI")</f>
        <v>HSBC A/C 562956</v>
      </c>
      <c r="F30">
        <f>FO_Capture!D30</f>
        <v>310</v>
      </c>
      <c r="G30">
        <f>FO_Capture!E30</f>
        <v>485.1300048828125</v>
      </c>
      <c r="H30">
        <f t="shared" si="0"/>
        <v>150390.30151367188</v>
      </c>
      <c r="I30" t="str">
        <f t="shared" si="1"/>
        <v>Pass - Ready for Confirmation</v>
      </c>
    </row>
    <row r="31" spans="1:9" x14ac:dyDescent="0.3">
      <c r="A31" t="str">
        <f>FO_Capture!A31</f>
        <v>TRD00030</v>
      </c>
      <c r="B31" t="str">
        <f>FO_Capture!B31</f>
        <v>INE004A01061</v>
      </c>
      <c r="C31" t="str">
        <f>IFERROR(VLOOKUP(FO_Capture!C31, Reference_Data!A:D, 2, FALSE), "UNKNOWN")</f>
        <v>Alpha Quant Fund 27</v>
      </c>
      <c r="D31" t="str">
        <f>IFERROR(VLOOKUP(FO_Capture!C31, Reference_Data!A:D, 3, FALSE), "XXX")</f>
        <v>EUR</v>
      </c>
      <c r="E31" t="str">
        <f>IFERROR(VLOOKUP(FO_Capture!C31, Reference_Data!A:D, 4, FALSE), "MISSING SSI")</f>
        <v>Standard Chartered A/C 331839</v>
      </c>
      <c r="F31">
        <f>FO_Capture!D31</f>
        <v>310</v>
      </c>
      <c r="G31">
        <f>FO_Capture!E31</f>
        <v>463.35000610351563</v>
      </c>
      <c r="H31">
        <f t="shared" si="0"/>
        <v>143638.50189208984</v>
      </c>
      <c r="I31" t="str">
        <f t="shared" si="1"/>
        <v>Pass - Ready for Confirmation</v>
      </c>
    </row>
    <row r="32" spans="1:9" x14ac:dyDescent="0.3">
      <c r="A32" t="str">
        <f>FO_Capture!A32</f>
        <v>TRD00031</v>
      </c>
      <c r="B32" t="str">
        <f>FO_Capture!B32</f>
        <v>INE001A01069</v>
      </c>
      <c r="C32" t="str">
        <f>IFERROR(VLOOKUP(FO_Capture!C32, Reference_Data!A:D, 2, FALSE), "UNKNOWN")</f>
        <v>Alpha Quant Fund 27</v>
      </c>
      <c r="D32" t="str">
        <f>IFERROR(VLOOKUP(FO_Capture!C32, Reference_Data!A:D, 3, FALSE), "XXX")</f>
        <v>EUR</v>
      </c>
      <c r="E32" t="str">
        <f>IFERROR(VLOOKUP(FO_Capture!C32, Reference_Data!A:D, 4, FALSE), "MISSING SSI")</f>
        <v>Standard Chartered A/C 331839</v>
      </c>
      <c r="F32">
        <f>FO_Capture!D32</f>
        <v>150</v>
      </c>
      <c r="G32">
        <f>FO_Capture!E32</f>
        <v>147.91000366210938</v>
      </c>
      <c r="H32">
        <f t="shared" si="0"/>
        <v>22186.500549316406</v>
      </c>
      <c r="I32" t="str">
        <f t="shared" si="1"/>
        <v>Pass - Ready for Confirmation</v>
      </c>
    </row>
    <row r="33" spans="1:9" x14ac:dyDescent="0.3">
      <c r="A33" t="str">
        <f>FO_Capture!A33</f>
        <v>TRD00032</v>
      </c>
      <c r="B33" t="str">
        <f>FO_Capture!B33</f>
        <v>INE003A01052</v>
      </c>
      <c r="C33" t="str">
        <f>IFERROR(VLOOKUP(FO_Capture!C33, Reference_Data!A:D, 2, FALSE), "UNKNOWN")</f>
        <v>Alpha Partners 26</v>
      </c>
      <c r="D33" t="str">
        <f>IFERROR(VLOOKUP(FO_Capture!C33, Reference_Data!A:D, 3, FALSE), "XXX")</f>
        <v>USD</v>
      </c>
      <c r="E33" t="str">
        <f>IFERROR(VLOOKUP(FO_Capture!C33, Reference_Data!A:D, 4, FALSE), "MISSING SSI")</f>
        <v>HSBC A/C 867781</v>
      </c>
      <c r="F33">
        <f>FO_Capture!D33</f>
        <v>190</v>
      </c>
      <c r="G33">
        <f>FO_Capture!E33</f>
        <v>171.8699951171875</v>
      </c>
      <c r="H33">
        <f t="shared" si="0"/>
        <v>32655.299072265625</v>
      </c>
      <c r="I33" t="str">
        <f t="shared" si="1"/>
        <v>Pass - Ready for Confirmation</v>
      </c>
    </row>
    <row r="34" spans="1:9" x14ac:dyDescent="0.3">
      <c r="A34" t="str">
        <f>FO_Capture!A34</f>
        <v>TRD00033</v>
      </c>
      <c r="B34" t="str">
        <f>FO_Capture!B34</f>
        <v>INE007A01049</v>
      </c>
      <c r="C34" t="str">
        <f>IFERROR(VLOOKUP(FO_Capture!C34, Reference_Data!A:D, 2, FALSE), "UNKNOWN")</f>
        <v>Alpha Partners 3</v>
      </c>
      <c r="D34" t="str">
        <f>IFERROR(VLOOKUP(FO_Capture!C34, Reference_Data!A:D, 3, FALSE), "XXX")</f>
        <v>USD</v>
      </c>
      <c r="E34" t="str">
        <f>IFERROR(VLOOKUP(FO_Capture!C34, Reference_Data!A:D, 4, FALSE), "MISSING SSI")</f>
        <v>Citi A/C 508769</v>
      </c>
      <c r="F34">
        <f>FO_Capture!D34</f>
        <v>180</v>
      </c>
      <c r="G34">
        <f>FO_Capture!E34</f>
        <v>19.840000152587891</v>
      </c>
      <c r="H34">
        <f t="shared" si="0"/>
        <v>3571.2000274658203</v>
      </c>
      <c r="I34" t="str">
        <f t="shared" si="1"/>
        <v>Pass - Ready for Confirmation</v>
      </c>
    </row>
    <row r="35" spans="1:9" x14ac:dyDescent="0.3">
      <c r="A35" t="str">
        <f>FO_Capture!A35</f>
        <v>TRD00034</v>
      </c>
      <c r="B35" t="str">
        <f>FO_Capture!B35</f>
        <v>INE002A01032</v>
      </c>
      <c r="C35" t="str">
        <f>IFERROR(VLOOKUP(FO_Capture!C35, Reference_Data!A:D, 2, FALSE), "UNKNOWN")</f>
        <v>Alpha Asset Management 32</v>
      </c>
      <c r="D35" t="str">
        <f>IFERROR(VLOOKUP(FO_Capture!C35, Reference_Data!A:D, 3, FALSE), "XXX")</f>
        <v>INR</v>
      </c>
      <c r="E35" t="str">
        <f>IFERROR(VLOOKUP(FO_Capture!C35, Reference_Data!A:D, 4, FALSE), "MISSING SSI")</f>
        <v>Barclays A/C 302646</v>
      </c>
      <c r="F35">
        <f>FO_Capture!D35</f>
        <v>30</v>
      </c>
      <c r="G35">
        <f>FO_Capture!E35</f>
        <v>278</v>
      </c>
      <c r="H35">
        <f t="shared" si="0"/>
        <v>8340</v>
      </c>
      <c r="I35" t="str">
        <f t="shared" si="1"/>
        <v>Pass - Ready for Confirmation</v>
      </c>
    </row>
    <row r="36" spans="1:9" x14ac:dyDescent="0.3">
      <c r="A36" t="str">
        <f>FO_Capture!A36</f>
        <v>TRD00035</v>
      </c>
      <c r="B36" t="str">
        <f>FO_Capture!B36</f>
        <v>INE004A01057</v>
      </c>
      <c r="C36" t="str">
        <f>IFERROR(VLOOKUP(FO_Capture!C36, Reference_Data!A:D, 2, FALSE), "UNKNOWN")</f>
        <v>Alpha Quant Fund 12</v>
      </c>
      <c r="D36" t="str">
        <f>IFERROR(VLOOKUP(FO_Capture!C36, Reference_Data!A:D, 3, FALSE), "XXX")</f>
        <v>EUR</v>
      </c>
      <c r="E36" t="str">
        <f>IFERROR(VLOOKUP(FO_Capture!C36, Reference_Data!A:D, 4, FALSE), "MISSING SSI")</f>
        <v>Deutsche Bank A/C 324710</v>
      </c>
      <c r="F36">
        <f>FO_Capture!D36</f>
        <v>480</v>
      </c>
      <c r="G36">
        <f>FO_Capture!E36</f>
        <v>384.10000610351563</v>
      </c>
      <c r="H36">
        <f t="shared" si="0"/>
        <v>184368.0029296875</v>
      </c>
      <c r="I36" t="str">
        <f t="shared" si="1"/>
        <v>Pass - Ready for Confirmation</v>
      </c>
    </row>
    <row r="37" spans="1:9" x14ac:dyDescent="0.3">
      <c r="A37" t="str">
        <f>FO_Capture!A37</f>
        <v>TRD00036</v>
      </c>
      <c r="B37" t="str">
        <f>FO_Capture!B37</f>
        <v>INE004A01011</v>
      </c>
      <c r="C37" t="str">
        <f>IFERROR(VLOOKUP(FO_Capture!C37, Reference_Data!A:D, 2, FALSE), "UNKNOWN")</f>
        <v>Alpha Capital 38</v>
      </c>
      <c r="D37" t="str">
        <f>IFERROR(VLOOKUP(FO_Capture!C37, Reference_Data!A:D, 3, FALSE), "XXX")</f>
        <v>SGD</v>
      </c>
      <c r="E37" t="str">
        <f>IFERROR(VLOOKUP(FO_Capture!C37, Reference_Data!A:D, 4, FALSE), "MISSING SSI")</f>
        <v>Deutsche Bank A/C 153521</v>
      </c>
      <c r="F37">
        <f>FO_Capture!D37</f>
        <v>460</v>
      </c>
      <c r="G37">
        <f>FO_Capture!E37</f>
        <v>377.44000244140625</v>
      </c>
      <c r="H37">
        <f t="shared" si="0"/>
        <v>173622.40112304688</v>
      </c>
      <c r="I37" t="str">
        <f t="shared" si="1"/>
        <v>Pass - Ready for Confirmation</v>
      </c>
    </row>
    <row r="38" spans="1:9" x14ac:dyDescent="0.3">
      <c r="A38" t="str">
        <f>FO_Capture!A38</f>
        <v>TRD00037</v>
      </c>
      <c r="B38" t="str">
        <f>FO_Capture!B38</f>
        <v>INE005A01065</v>
      </c>
      <c r="C38" t="str">
        <f>IFERROR(VLOOKUP(FO_Capture!C38, Reference_Data!A:D, 2, FALSE), "UNKNOWN")</f>
        <v>Alpha Investments 29</v>
      </c>
      <c r="D38" t="str">
        <f>IFERROR(VLOOKUP(FO_Capture!C38, Reference_Data!A:D, 3, FALSE), "XXX")</f>
        <v>INR</v>
      </c>
      <c r="E38" t="str">
        <f>IFERROR(VLOOKUP(FO_Capture!C38, Reference_Data!A:D, 4, FALSE), "MISSING SSI")</f>
        <v>HSBC A/C 785870</v>
      </c>
      <c r="F38">
        <f>FO_Capture!D38</f>
        <v>240</v>
      </c>
      <c r="G38">
        <f>FO_Capture!E38</f>
        <v>148.89999389648438</v>
      </c>
      <c r="H38">
        <f t="shared" si="0"/>
        <v>35735.99853515625</v>
      </c>
      <c r="I38" t="str">
        <f t="shared" si="1"/>
        <v>Pass - Ready for Confirmation</v>
      </c>
    </row>
    <row r="39" spans="1:9" x14ac:dyDescent="0.3">
      <c r="A39" t="str">
        <f>FO_Capture!A39</f>
        <v>TRD00038</v>
      </c>
      <c r="B39" t="str">
        <f>FO_Capture!B39</f>
        <v>INE006A01023</v>
      </c>
      <c r="C39" t="str">
        <f>IFERROR(VLOOKUP(FO_Capture!C39, Reference_Data!A:D, 2, FALSE), "UNKNOWN")</f>
        <v>Alpha Partners 1</v>
      </c>
      <c r="D39" t="str">
        <f>IFERROR(VLOOKUP(FO_Capture!C39, Reference_Data!A:D, 3, FALSE), "XXX")</f>
        <v>JPY</v>
      </c>
      <c r="E39" t="str">
        <f>IFERROR(VLOOKUP(FO_Capture!C39, Reference_Data!A:D, 4, FALSE), "MISSING SSI")</f>
        <v>Standard Chartered A/C 277005</v>
      </c>
      <c r="F39">
        <f>FO_Capture!D39</f>
        <v>250</v>
      </c>
      <c r="G39">
        <f>FO_Capture!E39</f>
        <v>190.91000366210938</v>
      </c>
      <c r="H39">
        <f t="shared" si="0"/>
        <v>47727.500915527344</v>
      </c>
      <c r="I39" t="str">
        <f t="shared" si="1"/>
        <v>Pass - Ready for Confirmation</v>
      </c>
    </row>
    <row r="40" spans="1:9" x14ac:dyDescent="0.3">
      <c r="A40" t="str">
        <f>FO_Capture!A40</f>
        <v>TRD00039</v>
      </c>
      <c r="B40" t="str">
        <f>FO_Capture!B40</f>
        <v>INE005A01070</v>
      </c>
      <c r="C40" t="str">
        <f>IFERROR(VLOOKUP(FO_Capture!C40, Reference_Data!A:D, 2, FALSE), "UNKNOWN")</f>
        <v>Alpha Investments 43</v>
      </c>
      <c r="D40" t="str">
        <f>IFERROR(VLOOKUP(FO_Capture!C40, Reference_Data!A:D, 3, FALSE), "XXX")</f>
        <v>EUR</v>
      </c>
      <c r="E40" t="str">
        <f>IFERROR(VLOOKUP(FO_Capture!C40, Reference_Data!A:D, 4, FALSE), "MISSING SSI")</f>
        <v>Citi A/C 714496</v>
      </c>
      <c r="F40">
        <f>FO_Capture!D40</f>
        <v>25000</v>
      </c>
      <c r="G40">
        <f>FO_Capture!E40</f>
        <v>284.57000732421875</v>
      </c>
      <c r="H40">
        <f t="shared" si="0"/>
        <v>7114250.1831054688</v>
      </c>
      <c r="I40" t="str">
        <f t="shared" si="1"/>
        <v>Exception - Limit Breach</v>
      </c>
    </row>
    <row r="41" spans="1:9" x14ac:dyDescent="0.3">
      <c r="A41" t="str">
        <f>FO_Capture!A41</f>
        <v>TRD00040</v>
      </c>
      <c r="B41" t="str">
        <f>FO_Capture!B41</f>
        <v>INE007A01050</v>
      </c>
      <c r="C41" t="str">
        <f>IFERROR(VLOOKUP(FO_Capture!C41, Reference_Data!A:D, 2, FALSE), "UNKNOWN")</f>
        <v>Alpha Investments 15</v>
      </c>
      <c r="D41" t="str">
        <f>IFERROR(VLOOKUP(FO_Capture!C41, Reference_Data!A:D, 3, FALSE), "XXX")</f>
        <v>INR</v>
      </c>
      <c r="E41" t="str">
        <f>IFERROR(VLOOKUP(FO_Capture!C41, Reference_Data!A:D, 4, FALSE), "MISSING SSI")</f>
        <v>Deutsche Bank A/C 330518</v>
      </c>
      <c r="F41">
        <f>FO_Capture!D41</f>
        <v>340</v>
      </c>
      <c r="G41">
        <f>FO_Capture!E41</f>
        <v>279.82000732421875</v>
      </c>
      <c r="H41">
        <f t="shared" si="0"/>
        <v>95138.802490234375</v>
      </c>
      <c r="I41" t="str">
        <f t="shared" si="1"/>
        <v>Pass - Ready for Confirmation</v>
      </c>
    </row>
    <row r="42" spans="1:9" x14ac:dyDescent="0.3">
      <c r="A42" t="str">
        <f>FO_Capture!A42</f>
        <v>TRD00041</v>
      </c>
      <c r="B42" t="str">
        <f>FO_Capture!B42</f>
        <v>INE001A01049</v>
      </c>
      <c r="C42" t="str">
        <f>IFERROR(VLOOKUP(FO_Capture!C42, Reference_Data!A:D, 2, FALSE), "UNKNOWN")</f>
        <v>Alpha Investments 40</v>
      </c>
      <c r="D42" t="str">
        <f>IFERROR(VLOOKUP(FO_Capture!C42, Reference_Data!A:D, 3, FALSE), "XXX")</f>
        <v>GBP</v>
      </c>
      <c r="E42" t="str">
        <f>IFERROR(VLOOKUP(FO_Capture!C42, Reference_Data!A:D, 4, FALSE), "MISSING SSI")</f>
        <v>HDFC A/C 897530</v>
      </c>
      <c r="F42">
        <f>FO_Capture!D42</f>
        <v>280</v>
      </c>
      <c r="G42">
        <f>FO_Capture!E42</f>
        <v>54.430000305175781</v>
      </c>
      <c r="H42">
        <f t="shared" si="0"/>
        <v>15240.400085449219</v>
      </c>
      <c r="I42" t="str">
        <f t="shared" si="1"/>
        <v>Pass - Ready for Confirmation</v>
      </c>
    </row>
    <row r="43" spans="1:9" x14ac:dyDescent="0.3">
      <c r="A43" t="str">
        <f>FO_Capture!A43</f>
        <v>TRD00042</v>
      </c>
      <c r="B43" t="str">
        <f>FO_Capture!B43</f>
        <v>INE003A01016</v>
      </c>
      <c r="C43" t="str">
        <f>IFERROR(VLOOKUP(FO_Capture!C43, Reference_Data!A:D, 2, FALSE), "UNKNOWN")</f>
        <v>Alpha Partners 19</v>
      </c>
      <c r="D43" t="str">
        <f>IFERROR(VLOOKUP(FO_Capture!C43, Reference_Data!A:D, 3, FALSE), "XXX")</f>
        <v>INR</v>
      </c>
      <c r="E43" t="str">
        <f>IFERROR(VLOOKUP(FO_Capture!C43, Reference_Data!A:D, 4, FALSE), "MISSING SSI")</f>
        <v>Citi A/C 543819</v>
      </c>
      <c r="F43">
        <f>FO_Capture!D43</f>
        <v>440</v>
      </c>
      <c r="G43">
        <f>FO_Capture!E43</f>
        <v>58.849998474121094</v>
      </c>
      <c r="H43">
        <f t="shared" si="0"/>
        <v>25893.999328613281</v>
      </c>
      <c r="I43" t="str">
        <f t="shared" si="1"/>
        <v>Pass - Ready for Confirmation</v>
      </c>
    </row>
    <row r="44" spans="1:9" x14ac:dyDescent="0.3">
      <c r="A44" t="str">
        <f>FO_Capture!A44</f>
        <v>TRD00043</v>
      </c>
      <c r="B44" t="str">
        <f>FO_Capture!B44</f>
        <v>INE009A01062</v>
      </c>
      <c r="C44" t="str">
        <f>IFERROR(VLOOKUP(FO_Capture!C44, Reference_Data!A:D, 2, FALSE), "UNKNOWN")</f>
        <v>Alpha Partners 1</v>
      </c>
      <c r="D44" t="str">
        <f>IFERROR(VLOOKUP(FO_Capture!C44, Reference_Data!A:D, 3, FALSE), "XXX")</f>
        <v>JPY</v>
      </c>
      <c r="E44" t="str">
        <f>IFERROR(VLOOKUP(FO_Capture!C44, Reference_Data!A:D, 4, FALSE), "MISSING SSI")</f>
        <v>Standard Chartered A/C 277005</v>
      </c>
      <c r="F44">
        <f>FO_Capture!D44</f>
        <v>440</v>
      </c>
      <c r="G44">
        <f>FO_Capture!E44</f>
        <v>126.33000183105469</v>
      </c>
      <c r="H44">
        <f t="shared" si="0"/>
        <v>55585.200805664063</v>
      </c>
      <c r="I44" t="str">
        <f t="shared" si="1"/>
        <v>Pass - Ready for Confirmation</v>
      </c>
    </row>
    <row r="45" spans="1:9" x14ac:dyDescent="0.3">
      <c r="A45" t="str">
        <f>FO_Capture!A45</f>
        <v>TRD00044</v>
      </c>
      <c r="B45" t="str">
        <f>FO_Capture!B45</f>
        <v>INE006A01087</v>
      </c>
      <c r="C45" t="str">
        <f>IFERROR(VLOOKUP(FO_Capture!C45, Reference_Data!A:D, 2, FALSE), "UNKNOWN")</f>
        <v>Alpha Capital 33</v>
      </c>
      <c r="D45" t="str">
        <f>IFERROR(VLOOKUP(FO_Capture!C45, Reference_Data!A:D, 3, FALSE), "XXX")</f>
        <v>JPY</v>
      </c>
      <c r="E45" t="str">
        <f>IFERROR(VLOOKUP(FO_Capture!C45, Reference_Data!A:D, 4, FALSE), "MISSING SSI")</f>
        <v>HSBC A/C 172861</v>
      </c>
      <c r="F45">
        <f>FO_Capture!D45</f>
        <v>220</v>
      </c>
      <c r="G45">
        <f>FO_Capture!E45</f>
        <v>222.92999267578125</v>
      </c>
      <c r="H45">
        <f t="shared" si="0"/>
        <v>49044.598388671875</v>
      </c>
      <c r="I45" t="str">
        <f t="shared" si="1"/>
        <v>Pass - Ready for Confirmation</v>
      </c>
    </row>
    <row r="46" spans="1:9" x14ac:dyDescent="0.3">
      <c r="A46" t="str">
        <f>FO_Capture!A46</f>
        <v>TRD00045</v>
      </c>
      <c r="B46" t="str">
        <f>FO_Capture!B46</f>
        <v>INE009A01031</v>
      </c>
      <c r="C46" t="str">
        <f>IFERROR(VLOOKUP(FO_Capture!C46, Reference_Data!A:D, 2, FALSE), "UNKNOWN")</f>
        <v>Alpha Partners 42</v>
      </c>
      <c r="D46" t="str">
        <f>IFERROR(VLOOKUP(FO_Capture!C46, Reference_Data!A:D, 3, FALSE), "XXX")</f>
        <v>USD</v>
      </c>
      <c r="E46" t="str">
        <f>IFERROR(VLOOKUP(FO_Capture!C46, Reference_Data!A:D, 4, FALSE), "MISSING SSI")</f>
        <v>Citi A/C 416082</v>
      </c>
      <c r="F46">
        <f>FO_Capture!D46</f>
        <v>230</v>
      </c>
      <c r="G46">
        <f>FO_Capture!E46</f>
        <v>197.52999877929688</v>
      </c>
      <c r="H46">
        <f t="shared" si="0"/>
        <v>45431.899719238281</v>
      </c>
      <c r="I46" t="str">
        <f t="shared" si="1"/>
        <v>Pass - Ready for Confirmation</v>
      </c>
    </row>
    <row r="47" spans="1:9" x14ac:dyDescent="0.3">
      <c r="A47" t="str">
        <f>FO_Capture!A47</f>
        <v>TRD00046</v>
      </c>
      <c r="B47" t="str">
        <f>FO_Capture!B47</f>
        <v>INE005A01021</v>
      </c>
      <c r="C47" t="str">
        <f>IFERROR(VLOOKUP(FO_Capture!C47, Reference_Data!A:D, 2, FALSE), "UNKNOWN")</f>
        <v>Alpha Asset Management 4</v>
      </c>
      <c r="D47" t="str">
        <f>IFERROR(VLOOKUP(FO_Capture!C47, Reference_Data!A:D, 3, FALSE), "XXX")</f>
        <v>JPY</v>
      </c>
      <c r="E47" t="str">
        <f>IFERROR(VLOOKUP(FO_Capture!C47, Reference_Data!A:D, 4, FALSE), "MISSING SSI")</f>
        <v>Deutsche Bank A/C 126543</v>
      </c>
      <c r="F47">
        <f>FO_Capture!D47</f>
        <v>250</v>
      </c>
      <c r="G47">
        <f>FO_Capture!E47</f>
        <v>31.809999465942383</v>
      </c>
      <c r="H47">
        <f t="shared" si="0"/>
        <v>7952.4998664855957</v>
      </c>
      <c r="I47" t="str">
        <f t="shared" si="1"/>
        <v>Pass - Ready for Confirmation</v>
      </c>
    </row>
    <row r="48" spans="1:9" x14ac:dyDescent="0.3">
      <c r="A48" t="str">
        <f>FO_Capture!A48</f>
        <v>TRD00047</v>
      </c>
      <c r="B48" t="str">
        <f>FO_Capture!B48</f>
        <v>INE007A01024</v>
      </c>
      <c r="C48" t="str">
        <f>IFERROR(VLOOKUP(FO_Capture!C48, Reference_Data!A:D, 2, FALSE), "UNKNOWN")</f>
        <v>Alpha Partners 19</v>
      </c>
      <c r="D48" t="str">
        <f>IFERROR(VLOOKUP(FO_Capture!C48, Reference_Data!A:D, 3, FALSE), "XXX")</f>
        <v>INR</v>
      </c>
      <c r="E48" t="str">
        <f>IFERROR(VLOOKUP(FO_Capture!C48, Reference_Data!A:D, 4, FALSE), "MISSING SSI")</f>
        <v>Citi A/C 543819</v>
      </c>
      <c r="F48">
        <f>FO_Capture!D48</f>
        <v>50</v>
      </c>
      <c r="G48">
        <f>FO_Capture!E48</f>
        <v>90.290000915527344</v>
      </c>
      <c r="H48">
        <f t="shared" si="0"/>
        <v>4514.5000457763672</v>
      </c>
      <c r="I48" t="str">
        <f t="shared" si="1"/>
        <v>Pass - Ready for Confirmation</v>
      </c>
    </row>
    <row r="49" spans="1:9" x14ac:dyDescent="0.3">
      <c r="A49" t="str">
        <f>FO_Capture!A49</f>
        <v>TRD00048</v>
      </c>
      <c r="B49" t="str">
        <f>FO_Capture!B49</f>
        <v>INE001A01095</v>
      </c>
      <c r="C49" t="str">
        <f>IFERROR(VLOOKUP(FO_Capture!C49, Reference_Data!A:D, 2, FALSE), "UNKNOWN")</f>
        <v>Alpha Partners 42</v>
      </c>
      <c r="D49" t="str">
        <f>IFERROR(VLOOKUP(FO_Capture!C49, Reference_Data!A:D, 3, FALSE), "XXX")</f>
        <v>USD</v>
      </c>
      <c r="E49" t="str">
        <f>IFERROR(VLOOKUP(FO_Capture!C49, Reference_Data!A:D, 4, FALSE), "MISSING SSI")</f>
        <v>Citi A/C 416082</v>
      </c>
      <c r="F49">
        <f>FO_Capture!D49</f>
        <v>230</v>
      </c>
      <c r="G49">
        <f>FO_Capture!E49</f>
        <v>370.260009765625</v>
      </c>
      <c r="H49">
        <f t="shared" si="0"/>
        <v>85159.80224609375</v>
      </c>
      <c r="I49" t="str">
        <f t="shared" si="1"/>
        <v>Pass - Ready for Confirmation</v>
      </c>
    </row>
    <row r="50" spans="1:9" x14ac:dyDescent="0.3">
      <c r="A50" t="str">
        <f>FO_Capture!A50</f>
        <v>TRD00049</v>
      </c>
      <c r="B50" t="str">
        <f>FO_Capture!B50</f>
        <v>INE008A01031</v>
      </c>
      <c r="C50" t="str">
        <f>IFERROR(VLOOKUP(FO_Capture!C50, Reference_Data!A:D, 2, FALSE), "UNKNOWN")</f>
        <v>Alpha Holdings 49</v>
      </c>
      <c r="D50" t="str">
        <f>IFERROR(VLOOKUP(FO_Capture!C50, Reference_Data!A:D, 3, FALSE), "XXX")</f>
        <v>JPY</v>
      </c>
      <c r="E50" t="str">
        <f>IFERROR(VLOOKUP(FO_Capture!C50, Reference_Data!A:D, 4, FALSE), "MISSING SSI")</f>
        <v>HDFC A/C 679335</v>
      </c>
      <c r="F50">
        <f>FO_Capture!D50</f>
        <v>420</v>
      </c>
      <c r="G50">
        <f>FO_Capture!E50</f>
        <v>251.8699951171875</v>
      </c>
      <c r="H50">
        <f t="shared" si="0"/>
        <v>105785.39794921875</v>
      </c>
      <c r="I50" t="str">
        <f t="shared" si="1"/>
        <v>Pass - Ready for Confirmation</v>
      </c>
    </row>
    <row r="51" spans="1:9" x14ac:dyDescent="0.3">
      <c r="A51" t="str">
        <f>FO_Capture!A51</f>
        <v>TRD00050</v>
      </c>
      <c r="B51" t="str">
        <f>FO_Capture!B51</f>
        <v>INE005A01016</v>
      </c>
      <c r="C51" t="str">
        <f>IFERROR(VLOOKUP(FO_Capture!C51, Reference_Data!A:D, 2, FALSE), "UNKNOWN")</f>
        <v>Alpha Partners 19</v>
      </c>
      <c r="D51" t="str">
        <f>IFERROR(VLOOKUP(FO_Capture!C51, Reference_Data!A:D, 3, FALSE), "XXX")</f>
        <v>INR</v>
      </c>
      <c r="E51" t="str">
        <f>IFERROR(VLOOKUP(FO_Capture!C51, Reference_Data!A:D, 4, FALSE), "MISSING SSI")</f>
        <v>Citi A/C 543819</v>
      </c>
      <c r="F51">
        <f>FO_Capture!D51</f>
        <v>10</v>
      </c>
      <c r="G51">
        <f>FO_Capture!E51</f>
        <v>248.05999755859375</v>
      </c>
      <c r="H51">
        <f t="shared" si="0"/>
        <v>2480.5999755859375</v>
      </c>
      <c r="I51" t="str">
        <f t="shared" si="1"/>
        <v>Pass - Ready for Confirmation</v>
      </c>
    </row>
    <row r="52" spans="1:9" x14ac:dyDescent="0.3">
      <c r="A52" t="str">
        <f>FO_Capture!A52</f>
        <v>TRD00051</v>
      </c>
      <c r="B52" t="str">
        <f>FO_Capture!B52</f>
        <v>INE003A01072</v>
      </c>
      <c r="C52" t="str">
        <f>IFERROR(VLOOKUP(FO_Capture!C52, Reference_Data!A:D, 2, FALSE), "UNKNOWN")</f>
        <v>Alpha Capital 9</v>
      </c>
      <c r="D52" t="str">
        <f>IFERROR(VLOOKUP(FO_Capture!C52, Reference_Data!A:D, 3, FALSE), "XXX")</f>
        <v>JPY</v>
      </c>
      <c r="E52" t="str">
        <f>IFERROR(VLOOKUP(FO_Capture!C52, Reference_Data!A:D, 4, FALSE), "MISSING SSI")</f>
        <v>Citi A/C 744145</v>
      </c>
      <c r="F52">
        <f>FO_Capture!D52</f>
        <v>470</v>
      </c>
      <c r="G52">
        <f>FO_Capture!E52</f>
        <v>254.55999755859375</v>
      </c>
      <c r="H52">
        <f t="shared" si="0"/>
        <v>119643.19885253906</v>
      </c>
      <c r="I52" t="str">
        <f t="shared" si="1"/>
        <v>Pass - Ready for Confirmation</v>
      </c>
    </row>
    <row r="53" spans="1:9" x14ac:dyDescent="0.3">
      <c r="A53" t="str">
        <f>FO_Capture!A53</f>
        <v>TRD00052</v>
      </c>
      <c r="B53" t="str">
        <f>FO_Capture!B53</f>
        <v>INE005A01013</v>
      </c>
      <c r="C53" t="str">
        <f>IFERROR(VLOOKUP(FO_Capture!C53, Reference_Data!A:D, 2, FALSE), "UNKNOWN")</f>
        <v>Alpha Holdings 23</v>
      </c>
      <c r="D53" t="str">
        <f>IFERROR(VLOOKUP(FO_Capture!C53, Reference_Data!A:D, 3, FALSE), "XXX")</f>
        <v>INR</v>
      </c>
      <c r="E53" t="str">
        <f>IFERROR(VLOOKUP(FO_Capture!C53, Reference_Data!A:D, 4, FALSE), "MISSING SSI")</f>
        <v>Deutsche Bank A/C 983712</v>
      </c>
      <c r="F53">
        <f>FO_Capture!D53</f>
        <v>30</v>
      </c>
      <c r="G53">
        <f>FO_Capture!E53</f>
        <v>299.95001220703125</v>
      </c>
      <c r="H53">
        <f t="shared" si="0"/>
        <v>8998.5003662109375</v>
      </c>
      <c r="I53" t="str">
        <f t="shared" si="1"/>
        <v>Pass - Ready for Confirmation</v>
      </c>
    </row>
    <row r="54" spans="1:9" x14ac:dyDescent="0.3">
      <c r="A54" t="str">
        <f>FO_Capture!A54</f>
        <v>TRD00053</v>
      </c>
      <c r="B54" t="str">
        <f>FO_Capture!B54</f>
        <v>INE003A01089</v>
      </c>
      <c r="C54" t="str">
        <f>IFERROR(VLOOKUP(FO_Capture!C54, Reference_Data!A:D, 2, FALSE), "UNKNOWN")</f>
        <v>Alpha Partners 42</v>
      </c>
      <c r="D54" t="str">
        <f>IFERROR(VLOOKUP(FO_Capture!C54, Reference_Data!A:D, 3, FALSE), "XXX")</f>
        <v>USD</v>
      </c>
      <c r="E54" t="str">
        <f>IFERROR(VLOOKUP(FO_Capture!C54, Reference_Data!A:D, 4, FALSE), "MISSING SSI")</f>
        <v>Citi A/C 416082</v>
      </c>
      <c r="F54">
        <f>FO_Capture!D54</f>
        <v>480</v>
      </c>
      <c r="G54">
        <f>FO_Capture!E54</f>
        <v>295.60000610351563</v>
      </c>
      <c r="H54">
        <f t="shared" si="0"/>
        <v>141888.0029296875</v>
      </c>
      <c r="I54" t="str">
        <f t="shared" si="1"/>
        <v>Pass - Ready for Confirmation</v>
      </c>
    </row>
    <row r="55" spans="1:9" x14ac:dyDescent="0.3">
      <c r="A55" t="str">
        <f>FO_Capture!A55</f>
        <v>TRD00054</v>
      </c>
      <c r="B55" t="str">
        <f>FO_Capture!B55</f>
        <v>INE008A01042</v>
      </c>
      <c r="C55" t="str">
        <f>IFERROR(VLOOKUP(FO_Capture!C55, Reference_Data!A:D, 2, FALSE), "UNKNOWN")</f>
        <v>Alpha Holdings 49</v>
      </c>
      <c r="D55" t="str">
        <f>IFERROR(VLOOKUP(FO_Capture!C55, Reference_Data!A:D, 3, FALSE), "XXX")</f>
        <v>JPY</v>
      </c>
      <c r="E55" t="str">
        <f>IFERROR(VLOOKUP(FO_Capture!C55, Reference_Data!A:D, 4, FALSE), "MISSING SSI")</f>
        <v>HDFC A/C 679335</v>
      </c>
      <c r="F55">
        <f>FO_Capture!D55</f>
        <v>380</v>
      </c>
      <c r="G55">
        <f>FO_Capture!E55</f>
        <v>285.70999145507813</v>
      </c>
      <c r="H55">
        <f t="shared" si="0"/>
        <v>108569.79675292969</v>
      </c>
      <c r="I55" t="str">
        <f t="shared" si="1"/>
        <v>Pass - Ready for Confirmation</v>
      </c>
    </row>
    <row r="56" spans="1:9" x14ac:dyDescent="0.3">
      <c r="A56" t="str">
        <f>FO_Capture!A56</f>
        <v>TRD00055</v>
      </c>
      <c r="B56" t="str">
        <f>FO_Capture!B56</f>
        <v>INE003A01050</v>
      </c>
      <c r="C56" t="str">
        <f>IFERROR(VLOOKUP(FO_Capture!C56, Reference_Data!A:D, 2, FALSE), "UNKNOWN")</f>
        <v>Alpha Global 2</v>
      </c>
      <c r="D56" t="str">
        <f>IFERROR(VLOOKUP(FO_Capture!C56, Reference_Data!A:D, 3, FALSE), "XXX")</f>
        <v>GBP</v>
      </c>
      <c r="E56" t="str">
        <f>IFERROR(VLOOKUP(FO_Capture!C56, Reference_Data!A:D, 4, FALSE), "MISSING SSI")</f>
        <v>JPMorgan A/C 582379</v>
      </c>
      <c r="F56">
        <f>FO_Capture!D56</f>
        <v>340</v>
      </c>
      <c r="G56">
        <f>FO_Capture!E56</f>
        <v>197.27000427246094</v>
      </c>
      <c r="H56">
        <f t="shared" si="0"/>
        <v>67071.801452636719</v>
      </c>
      <c r="I56" t="str">
        <f t="shared" si="1"/>
        <v>Pass - Ready for Confirmation</v>
      </c>
    </row>
    <row r="57" spans="1:9" x14ac:dyDescent="0.3">
      <c r="A57" t="str">
        <f>FO_Capture!A57</f>
        <v>TRD00056</v>
      </c>
      <c r="B57" t="str">
        <f>FO_Capture!B57</f>
        <v>INE005A01082</v>
      </c>
      <c r="C57" t="str">
        <f>IFERROR(VLOOKUP(FO_Capture!C57, Reference_Data!A:D, 2, FALSE), "UNKNOWN")</f>
        <v>Alpha Capital 9</v>
      </c>
      <c r="D57" t="str">
        <f>IFERROR(VLOOKUP(FO_Capture!C57, Reference_Data!A:D, 3, FALSE), "XXX")</f>
        <v>JPY</v>
      </c>
      <c r="E57" t="str">
        <f>IFERROR(VLOOKUP(FO_Capture!C57, Reference_Data!A:D, 4, FALSE), "MISSING SSI")</f>
        <v>Citi A/C 744145</v>
      </c>
      <c r="F57">
        <f>FO_Capture!D57</f>
        <v>260</v>
      </c>
      <c r="G57">
        <f>FO_Capture!E57</f>
        <v>90.110000610351563</v>
      </c>
      <c r="H57">
        <f t="shared" si="0"/>
        <v>23428.600158691406</v>
      </c>
      <c r="I57" t="str">
        <f t="shared" si="1"/>
        <v>Pass - Ready for Confirmation</v>
      </c>
    </row>
    <row r="58" spans="1:9" x14ac:dyDescent="0.3">
      <c r="A58" t="str">
        <f>FO_Capture!A58</f>
        <v>TRD00057</v>
      </c>
      <c r="B58" t="str">
        <f>FO_Capture!B58</f>
        <v>INE008A01047</v>
      </c>
      <c r="C58" t="str">
        <f>IFERROR(VLOOKUP(FO_Capture!C58, Reference_Data!A:D, 2, FALSE), "UNKNOWN")</f>
        <v>Alpha Asset Management 5</v>
      </c>
      <c r="D58" t="str">
        <f>IFERROR(VLOOKUP(FO_Capture!C58, Reference_Data!A:D, 3, FALSE), "XXX")</f>
        <v>INR</v>
      </c>
      <c r="E58" t="str">
        <f>IFERROR(VLOOKUP(FO_Capture!C58, Reference_Data!A:D, 4, FALSE), "MISSING SSI")</f>
        <v>JPMorgan A/C 860462</v>
      </c>
      <c r="F58">
        <f>FO_Capture!D58</f>
        <v>60</v>
      </c>
      <c r="G58">
        <f>FO_Capture!E58</f>
        <v>406.83999633789063</v>
      </c>
      <c r="H58">
        <f t="shared" si="0"/>
        <v>24410.399780273438</v>
      </c>
      <c r="I58" t="str">
        <f t="shared" si="1"/>
        <v>Pass - Ready for Confirmation</v>
      </c>
    </row>
    <row r="59" spans="1:9" x14ac:dyDescent="0.3">
      <c r="A59" t="str">
        <f>FO_Capture!A59</f>
        <v>TRD00058</v>
      </c>
      <c r="B59" t="str">
        <f>FO_Capture!B59</f>
        <v>INE009A01039</v>
      </c>
      <c r="C59" t="str">
        <f>IFERROR(VLOOKUP(FO_Capture!C59, Reference_Data!A:D, 2, FALSE), "UNKNOWN")</f>
        <v>Alpha Global 25</v>
      </c>
      <c r="D59" t="str">
        <f>IFERROR(VLOOKUP(FO_Capture!C59, Reference_Data!A:D, 3, FALSE), "XXX")</f>
        <v>EUR</v>
      </c>
      <c r="E59" t="str">
        <f>IFERROR(VLOOKUP(FO_Capture!C59, Reference_Data!A:D, 4, FALSE), "MISSING SSI")</f>
        <v>Standard Chartered A/C 438949</v>
      </c>
      <c r="F59">
        <f>FO_Capture!D59</f>
        <v>490</v>
      </c>
      <c r="G59">
        <f>FO_Capture!E59</f>
        <v>222.89999389648438</v>
      </c>
      <c r="H59">
        <f t="shared" si="0"/>
        <v>109220.99700927734</v>
      </c>
      <c r="I59" t="str">
        <f t="shared" si="1"/>
        <v>Pass - Ready for Confirmation</v>
      </c>
    </row>
    <row r="60" spans="1:9" x14ac:dyDescent="0.3">
      <c r="A60" t="str">
        <f>FO_Capture!A60</f>
        <v>TRD00059</v>
      </c>
      <c r="B60" t="str">
        <f>FO_Capture!B60</f>
        <v>INE001A01096</v>
      </c>
      <c r="C60" t="str">
        <f>IFERROR(VLOOKUP(FO_Capture!C60, Reference_Data!A:D, 2, FALSE), "UNKNOWN")</f>
        <v>Alpha Asset Management 31</v>
      </c>
      <c r="D60" t="str">
        <f>IFERROR(VLOOKUP(FO_Capture!C60, Reference_Data!A:D, 3, FALSE), "XXX")</f>
        <v>USD</v>
      </c>
      <c r="E60" t="str">
        <f>IFERROR(VLOOKUP(FO_Capture!C60, Reference_Data!A:D, 4, FALSE), "MISSING SSI")</f>
        <v>Citi A/C 194841</v>
      </c>
      <c r="F60">
        <f>FO_Capture!D60</f>
        <v>300</v>
      </c>
      <c r="G60">
        <f>FO_Capture!E60</f>
        <v>496.55999755859375</v>
      </c>
      <c r="H60">
        <f t="shared" si="0"/>
        <v>148967.99926757813</v>
      </c>
      <c r="I60" t="str">
        <f t="shared" si="1"/>
        <v>Pass - Ready for Confirmation</v>
      </c>
    </row>
    <row r="61" spans="1:9" x14ac:dyDescent="0.3">
      <c r="A61" t="str">
        <f>FO_Capture!A61</f>
        <v>TRD00060</v>
      </c>
      <c r="B61" t="str">
        <f>FO_Capture!B61</f>
        <v>INE007A01043</v>
      </c>
      <c r="C61" t="str">
        <f>IFERROR(VLOOKUP(FO_Capture!C61, Reference_Data!A:D, 2, FALSE), "UNKNOWN")</f>
        <v>Alpha Quant Fund 34</v>
      </c>
      <c r="D61" t="str">
        <f>IFERROR(VLOOKUP(FO_Capture!C61, Reference_Data!A:D, 3, FALSE), "XXX")</f>
        <v>JPY</v>
      </c>
      <c r="E61" t="str">
        <f>IFERROR(VLOOKUP(FO_Capture!C61, Reference_Data!A:D, 4, FALSE), "MISSING SSI")</f>
        <v>Citi A/C 837378</v>
      </c>
      <c r="F61">
        <f>FO_Capture!D61</f>
        <v>40</v>
      </c>
      <c r="G61">
        <f>FO_Capture!E61</f>
        <v>318.8599853515625</v>
      </c>
      <c r="H61">
        <f t="shared" si="0"/>
        <v>12754.3994140625</v>
      </c>
      <c r="I61" t="str">
        <f t="shared" si="1"/>
        <v>Pass - Ready for Confirmation</v>
      </c>
    </row>
    <row r="62" spans="1:9" x14ac:dyDescent="0.3">
      <c r="A62" t="str">
        <f>FO_Capture!A62</f>
        <v>TRD00061</v>
      </c>
      <c r="B62" t="str">
        <f>FO_Capture!B62</f>
        <v>INE001A01043</v>
      </c>
      <c r="C62" t="str">
        <f>IFERROR(VLOOKUP(FO_Capture!C62, Reference_Data!A:D, 2, FALSE), "UNKNOWN")</f>
        <v>Alpha Holdings 21</v>
      </c>
      <c r="D62" t="str">
        <f>IFERROR(VLOOKUP(FO_Capture!C62, Reference_Data!A:D, 3, FALSE), "XXX")</f>
        <v>SGD</v>
      </c>
      <c r="E62" t="str">
        <f>IFERROR(VLOOKUP(FO_Capture!C62, Reference_Data!A:D, 4, FALSE), "MISSING SSI")</f>
        <v>HSBC A/C 562956</v>
      </c>
      <c r="F62">
        <f>FO_Capture!D62</f>
        <v>310</v>
      </c>
      <c r="G62">
        <f>FO_Capture!E62</f>
        <v>163.69999694824219</v>
      </c>
      <c r="H62">
        <f t="shared" si="0"/>
        <v>50746.999053955078</v>
      </c>
      <c r="I62" t="str">
        <f t="shared" si="1"/>
        <v>Pass - Ready for Confirmation</v>
      </c>
    </row>
    <row r="63" spans="1:9" x14ac:dyDescent="0.3">
      <c r="A63" t="str">
        <f>FO_Capture!A63</f>
        <v>TRD00062</v>
      </c>
      <c r="B63" t="str">
        <f>FO_Capture!B63</f>
        <v>INE005A01049</v>
      </c>
      <c r="C63" t="str">
        <f>IFERROR(VLOOKUP(FO_Capture!C63, Reference_Data!A:D, 2, FALSE), "UNKNOWN")</f>
        <v>Alpha Asset Management 31</v>
      </c>
      <c r="D63" t="str">
        <f>IFERROR(VLOOKUP(FO_Capture!C63, Reference_Data!A:D, 3, FALSE), "XXX")</f>
        <v>USD</v>
      </c>
      <c r="E63" t="str">
        <f>IFERROR(VLOOKUP(FO_Capture!C63, Reference_Data!A:D, 4, FALSE), "MISSING SSI")</f>
        <v>Citi A/C 194841</v>
      </c>
      <c r="F63">
        <f>FO_Capture!D63</f>
        <v>480</v>
      </c>
      <c r="G63">
        <f>FO_Capture!E63</f>
        <v>137.75999450683594</v>
      </c>
      <c r="H63">
        <f t="shared" si="0"/>
        <v>66124.79736328125</v>
      </c>
      <c r="I63" t="str">
        <f t="shared" si="1"/>
        <v>Pass - Ready for Confirmation</v>
      </c>
    </row>
    <row r="64" spans="1:9" x14ac:dyDescent="0.3">
      <c r="A64" t="str">
        <f>FO_Capture!A64</f>
        <v>TRD00063</v>
      </c>
      <c r="B64" t="str">
        <f>FO_Capture!B64</f>
        <v>INE002A01053</v>
      </c>
      <c r="C64" t="str">
        <f>IFERROR(VLOOKUP(FO_Capture!C64, Reference_Data!A:D, 2, FALSE), "UNKNOWN")</f>
        <v>Alpha Investments 29</v>
      </c>
      <c r="D64" t="str">
        <f>IFERROR(VLOOKUP(FO_Capture!C64, Reference_Data!A:D, 3, FALSE), "XXX")</f>
        <v>INR</v>
      </c>
      <c r="E64" t="str">
        <f>IFERROR(VLOOKUP(FO_Capture!C64, Reference_Data!A:D, 4, FALSE), "MISSING SSI")</f>
        <v>HSBC A/C 785870</v>
      </c>
      <c r="F64">
        <f>FO_Capture!D64</f>
        <v>490</v>
      </c>
      <c r="G64">
        <f>FO_Capture!E64</f>
        <v>230.52999877929688</v>
      </c>
      <c r="H64">
        <f t="shared" si="0"/>
        <v>112959.69940185547</v>
      </c>
      <c r="I64" t="str">
        <f t="shared" si="1"/>
        <v>Pass - Ready for Confirmation</v>
      </c>
    </row>
    <row r="65" spans="1:9" x14ac:dyDescent="0.3">
      <c r="A65" t="str">
        <f>FO_Capture!A65</f>
        <v>TRD00064</v>
      </c>
      <c r="B65" t="str">
        <f>FO_Capture!B65</f>
        <v>INE005A01037</v>
      </c>
      <c r="C65" t="str">
        <f>IFERROR(VLOOKUP(FO_Capture!C65, Reference_Data!A:D, 2, FALSE), "UNKNOWN")</f>
        <v>Alpha Investments 29</v>
      </c>
      <c r="D65" t="str">
        <f>IFERROR(VLOOKUP(FO_Capture!C65, Reference_Data!A:D, 3, FALSE), "XXX")</f>
        <v>INR</v>
      </c>
      <c r="E65" t="str">
        <f>IFERROR(VLOOKUP(FO_Capture!C65, Reference_Data!A:D, 4, FALSE), "MISSING SSI")</f>
        <v>HSBC A/C 785870</v>
      </c>
      <c r="F65">
        <f>FO_Capture!D65</f>
        <v>30</v>
      </c>
      <c r="G65">
        <f>FO_Capture!E65</f>
        <v>64.339996337890625</v>
      </c>
      <c r="H65">
        <f t="shared" si="0"/>
        <v>1930.1998901367188</v>
      </c>
      <c r="I65" t="str">
        <f t="shared" si="1"/>
        <v>Pass - Ready for Confirmation</v>
      </c>
    </row>
    <row r="66" spans="1:9" x14ac:dyDescent="0.3">
      <c r="A66" t="str">
        <f>FO_Capture!A66</f>
        <v>TRD00065</v>
      </c>
      <c r="B66" t="str">
        <f>FO_Capture!B66</f>
        <v>INE003A01020</v>
      </c>
      <c r="C66" t="str">
        <f>IFERROR(VLOOKUP(FO_Capture!C66, Reference_Data!A:D, 2, FALSE), "UNKNOWN")</f>
        <v>Alpha Partners 22</v>
      </c>
      <c r="D66" t="str">
        <f>IFERROR(VLOOKUP(FO_Capture!C66, Reference_Data!A:D, 3, FALSE), "XXX")</f>
        <v>GBP</v>
      </c>
      <c r="E66" t="str">
        <f>IFERROR(VLOOKUP(FO_Capture!C66, Reference_Data!A:D, 4, FALSE), "MISSING SSI")</f>
        <v>JPMorgan A/C 488546</v>
      </c>
      <c r="F66">
        <f>FO_Capture!D66</f>
        <v>350</v>
      </c>
      <c r="G66">
        <f>FO_Capture!E66</f>
        <v>144.32000732421875</v>
      </c>
      <c r="H66">
        <f t="shared" si="0"/>
        <v>50512.002563476563</v>
      </c>
      <c r="I66" t="str">
        <f t="shared" si="1"/>
        <v>Pass - Ready for Confirmation</v>
      </c>
    </row>
    <row r="67" spans="1:9" x14ac:dyDescent="0.3">
      <c r="A67" t="str">
        <f>FO_Capture!A67</f>
        <v>TRD00066</v>
      </c>
      <c r="B67" t="str">
        <f>FO_Capture!B67</f>
        <v>INE009A01012</v>
      </c>
      <c r="C67" t="str">
        <f>IFERROR(VLOOKUP(FO_Capture!C67, Reference_Data!A:D, 2, FALSE), "UNKNOWN")</f>
        <v>Alpha Quant Fund 50</v>
      </c>
      <c r="D67" t="str">
        <f>IFERROR(VLOOKUP(FO_Capture!C67, Reference_Data!A:D, 3, FALSE), "XXX")</f>
        <v>SGD</v>
      </c>
      <c r="E67" t="str">
        <f>IFERROR(VLOOKUP(FO_Capture!C67, Reference_Data!A:D, 4, FALSE), "MISSING SSI")</f>
        <v>Standard Chartered A/C 307017</v>
      </c>
      <c r="F67">
        <f>FO_Capture!D67</f>
        <v>500</v>
      </c>
      <c r="G67">
        <f>FO_Capture!E67</f>
        <v>108.40000152587891</v>
      </c>
      <c r="H67">
        <f t="shared" ref="H67:H130" si="2">F67 * G67</f>
        <v>54200.000762939453</v>
      </c>
      <c r="I67" t="str">
        <f t="shared" ref="I67:I130" si="3">IF(C67="UNKNOWN", "Fail - Missing Ref Data", IF(OR(F67&lt;=0, G67&lt;=0), "Fail - Invalid Price/Qty", IF(H67&gt;1000000, "Exception - Limit Breach", "Pass - Ready for Confirmation")))</f>
        <v>Pass - Ready for Confirmation</v>
      </c>
    </row>
    <row r="68" spans="1:9" x14ac:dyDescent="0.3">
      <c r="A68" t="str">
        <f>FO_Capture!A68</f>
        <v>TRD00067</v>
      </c>
      <c r="B68" t="str">
        <f>FO_Capture!B68</f>
        <v>INE003A01060</v>
      </c>
      <c r="C68" t="str">
        <f>IFERROR(VLOOKUP(FO_Capture!C68, Reference_Data!A:D, 2, FALSE), "UNKNOWN")</f>
        <v>Alpha Investments 29</v>
      </c>
      <c r="D68" t="str">
        <f>IFERROR(VLOOKUP(FO_Capture!C68, Reference_Data!A:D, 3, FALSE), "XXX")</f>
        <v>INR</v>
      </c>
      <c r="E68" t="str">
        <f>IFERROR(VLOOKUP(FO_Capture!C68, Reference_Data!A:D, 4, FALSE), "MISSING SSI")</f>
        <v>HSBC A/C 785870</v>
      </c>
      <c r="F68">
        <f>FO_Capture!D68</f>
        <v>40</v>
      </c>
      <c r="G68">
        <f>FO_Capture!E68</f>
        <v>477.32998657226563</v>
      </c>
      <c r="H68">
        <f t="shared" si="2"/>
        <v>19093.199462890625</v>
      </c>
      <c r="I68" t="str">
        <f t="shared" si="3"/>
        <v>Pass - Ready for Confirmation</v>
      </c>
    </row>
    <row r="69" spans="1:9" x14ac:dyDescent="0.3">
      <c r="A69" t="str">
        <f>FO_Capture!A69</f>
        <v>TRD00068</v>
      </c>
      <c r="B69" t="str">
        <f>FO_Capture!B69</f>
        <v>INE005A0104</v>
      </c>
      <c r="C69" t="str">
        <f>IFERROR(VLOOKUP(FO_Capture!C69, Reference_Data!A:D, 2, FALSE), "UNKNOWN")</f>
        <v>Alpha Investments 29</v>
      </c>
      <c r="D69" t="str">
        <f>IFERROR(VLOOKUP(FO_Capture!C69, Reference_Data!A:D, 3, FALSE), "XXX")</f>
        <v>INR</v>
      </c>
      <c r="E69" t="str">
        <f>IFERROR(VLOOKUP(FO_Capture!C69, Reference_Data!A:D, 4, FALSE), "MISSING SSI")</f>
        <v>HSBC A/C 785870</v>
      </c>
      <c r="F69">
        <f>FO_Capture!D69</f>
        <v>350</v>
      </c>
      <c r="G69">
        <f>FO_Capture!E69</f>
        <v>404.67001342773438</v>
      </c>
      <c r="H69">
        <f t="shared" si="2"/>
        <v>141634.50469970703</v>
      </c>
      <c r="I69" t="str">
        <f t="shared" si="3"/>
        <v>Pass - Ready for Confirmation</v>
      </c>
    </row>
    <row r="70" spans="1:9" x14ac:dyDescent="0.3">
      <c r="A70" t="str">
        <f>FO_Capture!A70</f>
        <v>TRD00069</v>
      </c>
      <c r="B70" t="str">
        <f>FO_Capture!B70</f>
        <v>INE003A01017</v>
      </c>
      <c r="C70" t="str">
        <f>IFERROR(VLOOKUP(FO_Capture!C70, Reference_Data!A:D, 2, FALSE), "UNKNOWN")</f>
        <v>Alpha Partners 42</v>
      </c>
      <c r="D70" t="str">
        <f>IFERROR(VLOOKUP(FO_Capture!C70, Reference_Data!A:D, 3, FALSE), "XXX")</f>
        <v>USD</v>
      </c>
      <c r="E70" t="str">
        <f>IFERROR(VLOOKUP(FO_Capture!C70, Reference_Data!A:D, 4, FALSE), "MISSING SSI")</f>
        <v>Citi A/C 416082</v>
      </c>
      <c r="F70">
        <f>FO_Capture!D70</f>
        <v>330</v>
      </c>
      <c r="G70">
        <f>FO_Capture!E70</f>
        <v>426.82000732421875</v>
      </c>
      <c r="H70">
        <f t="shared" si="2"/>
        <v>140850.60241699219</v>
      </c>
      <c r="I70" t="str">
        <f t="shared" si="3"/>
        <v>Pass - Ready for Confirmation</v>
      </c>
    </row>
    <row r="71" spans="1:9" x14ac:dyDescent="0.3">
      <c r="A71" t="str">
        <f>FO_Capture!A71</f>
        <v>TRD00070</v>
      </c>
      <c r="B71" t="str">
        <f>FO_Capture!B71</f>
        <v>INE008A01067</v>
      </c>
      <c r="C71" t="str">
        <f>IFERROR(VLOOKUP(FO_Capture!C71, Reference_Data!A:D, 2, FALSE), "UNKNOWN")</f>
        <v>Alpha Asset Management 13</v>
      </c>
      <c r="D71" t="str">
        <f>IFERROR(VLOOKUP(FO_Capture!C71, Reference_Data!A:D, 3, FALSE), "XXX")</f>
        <v>INR</v>
      </c>
      <c r="E71" t="str">
        <f>IFERROR(VLOOKUP(FO_Capture!C71, Reference_Data!A:D, 4, FALSE), "MISSING SSI")</f>
        <v>HSBC A/C 972195</v>
      </c>
      <c r="F71">
        <f>FO_Capture!D71</f>
        <v>180</v>
      </c>
      <c r="G71">
        <f>FO_Capture!E71</f>
        <v>212.94999694824219</v>
      </c>
      <c r="H71">
        <f t="shared" si="2"/>
        <v>38330.999450683594</v>
      </c>
      <c r="I71" t="str">
        <f t="shared" si="3"/>
        <v>Pass - Ready for Confirmation</v>
      </c>
    </row>
    <row r="72" spans="1:9" x14ac:dyDescent="0.3">
      <c r="A72" t="str">
        <f>FO_Capture!A72</f>
        <v>TRD00071</v>
      </c>
      <c r="B72" t="str">
        <f>FO_Capture!B72</f>
        <v>INE008A01058</v>
      </c>
      <c r="C72" t="str">
        <f>IFERROR(VLOOKUP(FO_Capture!C72, Reference_Data!A:D, 2, FALSE), "UNKNOWN")</f>
        <v>Alpha Global 14</v>
      </c>
      <c r="D72" t="str">
        <f>IFERROR(VLOOKUP(FO_Capture!C72, Reference_Data!A:D, 3, FALSE), "XXX")</f>
        <v>USD</v>
      </c>
      <c r="E72" t="str">
        <f>IFERROR(VLOOKUP(FO_Capture!C72, Reference_Data!A:D, 4, FALSE), "MISSING SSI")</f>
        <v>HSBC A/C 864249</v>
      </c>
      <c r="F72">
        <f>FO_Capture!D72</f>
        <v>110</v>
      </c>
      <c r="G72">
        <f>FO_Capture!E72</f>
        <v>315.05999755859375</v>
      </c>
      <c r="H72">
        <f t="shared" si="2"/>
        <v>34656.599731445313</v>
      </c>
      <c r="I72" t="str">
        <f t="shared" si="3"/>
        <v>Pass - Ready for Confirmation</v>
      </c>
    </row>
    <row r="73" spans="1:9" x14ac:dyDescent="0.3">
      <c r="A73" t="str">
        <f>FO_Capture!A73</f>
        <v>TRD00072</v>
      </c>
      <c r="B73" t="str">
        <f>FO_Capture!B73</f>
        <v>INE002A01083</v>
      </c>
      <c r="C73" t="str">
        <f>IFERROR(VLOOKUP(FO_Capture!C73, Reference_Data!A:D, 2, FALSE), "UNKNOWN")</f>
        <v>Alpha Investments 15</v>
      </c>
      <c r="D73" t="str">
        <f>IFERROR(VLOOKUP(FO_Capture!C73, Reference_Data!A:D, 3, FALSE), "XXX")</f>
        <v>INR</v>
      </c>
      <c r="E73" t="str">
        <f>IFERROR(VLOOKUP(FO_Capture!C73, Reference_Data!A:D, 4, FALSE), "MISSING SSI")</f>
        <v>Deutsche Bank A/C 330518</v>
      </c>
      <c r="F73">
        <f>FO_Capture!D73</f>
        <v>170</v>
      </c>
      <c r="G73">
        <f>FO_Capture!E73</f>
        <v>417.98001098632813</v>
      </c>
      <c r="H73">
        <f t="shared" si="2"/>
        <v>71056.601867675781</v>
      </c>
      <c r="I73" t="str">
        <f t="shared" si="3"/>
        <v>Pass - Ready for Confirmation</v>
      </c>
    </row>
    <row r="74" spans="1:9" x14ac:dyDescent="0.3">
      <c r="A74" t="str">
        <f>FO_Capture!A74</f>
        <v>TRD00073</v>
      </c>
      <c r="B74" t="str">
        <f>FO_Capture!B74</f>
        <v>INE005A01075</v>
      </c>
      <c r="C74" t="str">
        <f>IFERROR(VLOOKUP(FO_Capture!C74, Reference_Data!A:D, 2, FALSE), "UNKNOWN")</f>
        <v>UNKNOWN</v>
      </c>
      <c r="D74" t="str">
        <f>IFERROR(VLOOKUP(FO_Capture!C74, Reference_Data!A:D, 3, FALSE), "XXX")</f>
        <v>XXX</v>
      </c>
      <c r="E74" t="str">
        <f>IFERROR(VLOOKUP(FO_Capture!C74, Reference_Data!A:D, 4, FALSE), "MISSING SSI")</f>
        <v>MISSING SSI</v>
      </c>
      <c r="F74">
        <f>FO_Capture!D74</f>
        <v>90</v>
      </c>
      <c r="G74">
        <f>FO_Capture!E74</f>
        <v>405.32998657226563</v>
      </c>
      <c r="H74">
        <f t="shared" si="2"/>
        <v>36479.698791503906</v>
      </c>
      <c r="I74" t="str">
        <f t="shared" si="3"/>
        <v>Fail - Missing Ref Data</v>
      </c>
    </row>
    <row r="75" spans="1:9" x14ac:dyDescent="0.3">
      <c r="A75" t="str">
        <f>FO_Capture!A75</f>
        <v>TRD00074</v>
      </c>
      <c r="B75" t="str">
        <f>FO_Capture!B75</f>
        <v>INE002A01074</v>
      </c>
      <c r="C75" t="str">
        <f>IFERROR(VLOOKUP(FO_Capture!C75, Reference_Data!A:D, 2, FALSE), "UNKNOWN")</f>
        <v>Alpha Quant Fund 12</v>
      </c>
      <c r="D75" t="str">
        <f>IFERROR(VLOOKUP(FO_Capture!C75, Reference_Data!A:D, 3, FALSE), "XXX")</f>
        <v>EUR</v>
      </c>
      <c r="E75" t="str">
        <f>IFERROR(VLOOKUP(FO_Capture!C75, Reference_Data!A:D, 4, FALSE), "MISSING SSI")</f>
        <v>Deutsche Bank A/C 324710</v>
      </c>
      <c r="F75">
        <f>FO_Capture!D75</f>
        <v>390</v>
      </c>
      <c r="G75">
        <f>FO_Capture!E75</f>
        <v>164.91999816894531</v>
      </c>
      <c r="H75">
        <f t="shared" si="2"/>
        <v>64318.799285888672</v>
      </c>
      <c r="I75" t="str">
        <f t="shared" si="3"/>
        <v>Pass - Ready for Confirmation</v>
      </c>
    </row>
    <row r="76" spans="1:9" x14ac:dyDescent="0.3">
      <c r="A76" t="str">
        <f>FO_Capture!A76</f>
        <v>TRD00075</v>
      </c>
      <c r="B76" t="str">
        <f>FO_Capture!B76</f>
        <v>INE001A01029</v>
      </c>
      <c r="C76" t="str">
        <f>IFERROR(VLOOKUP(FO_Capture!C76, Reference_Data!A:D, 2, FALSE), "UNKNOWN")</f>
        <v>Alpha Holdings 49</v>
      </c>
      <c r="D76" t="str">
        <f>IFERROR(VLOOKUP(FO_Capture!C76, Reference_Data!A:D, 3, FALSE), "XXX")</f>
        <v>JPY</v>
      </c>
      <c r="E76" t="str">
        <f>IFERROR(VLOOKUP(FO_Capture!C76, Reference_Data!A:D, 4, FALSE), "MISSING SSI")</f>
        <v>HDFC A/C 679335</v>
      </c>
      <c r="F76">
        <f>FO_Capture!D76</f>
        <v>440</v>
      </c>
      <c r="G76">
        <f>FO_Capture!E76</f>
        <v>341</v>
      </c>
      <c r="H76">
        <f t="shared" si="2"/>
        <v>150040</v>
      </c>
      <c r="I76" t="str">
        <f t="shared" si="3"/>
        <v>Pass - Ready for Confirmation</v>
      </c>
    </row>
    <row r="77" spans="1:9" x14ac:dyDescent="0.3">
      <c r="A77" t="str">
        <f>FO_Capture!A77</f>
        <v>TRD00076</v>
      </c>
      <c r="B77" t="str">
        <f>FO_Capture!B77</f>
        <v>INE006A01011</v>
      </c>
      <c r="C77" t="str">
        <f>IFERROR(VLOOKUP(FO_Capture!C77, Reference_Data!A:D, 2, FALSE), "UNKNOWN")</f>
        <v>Alpha Asset Management 13</v>
      </c>
      <c r="D77" t="str">
        <f>IFERROR(VLOOKUP(FO_Capture!C77, Reference_Data!A:D, 3, FALSE), "XXX")</f>
        <v>INR</v>
      </c>
      <c r="E77" t="str">
        <f>IFERROR(VLOOKUP(FO_Capture!C77, Reference_Data!A:D, 4, FALSE), "MISSING SSI")</f>
        <v>HSBC A/C 972195</v>
      </c>
      <c r="F77">
        <f>FO_Capture!D77</f>
        <v>410</v>
      </c>
      <c r="G77">
        <f>FO_Capture!E77</f>
        <v>111.52999877929688</v>
      </c>
      <c r="H77">
        <f t="shared" si="2"/>
        <v>45727.299499511719</v>
      </c>
      <c r="I77" t="str">
        <f t="shared" si="3"/>
        <v>Pass - Ready for Confirmation</v>
      </c>
    </row>
    <row r="78" spans="1:9" x14ac:dyDescent="0.3">
      <c r="A78" t="str">
        <f>FO_Capture!A78</f>
        <v>TRD00077</v>
      </c>
      <c r="B78" t="str">
        <f>FO_Capture!B78</f>
        <v>INE004A01041</v>
      </c>
      <c r="C78" t="str">
        <f>IFERROR(VLOOKUP(FO_Capture!C78, Reference_Data!A:D, 2, FALSE), "UNKNOWN")</f>
        <v>Alpha Global 46</v>
      </c>
      <c r="D78" t="str">
        <f>IFERROR(VLOOKUP(FO_Capture!C78, Reference_Data!A:D, 3, FALSE), "XXX")</f>
        <v>USD</v>
      </c>
      <c r="E78" t="str">
        <f>IFERROR(VLOOKUP(FO_Capture!C78, Reference_Data!A:D, 4, FALSE), "MISSING SSI")</f>
        <v>Citi A/C 700450</v>
      </c>
      <c r="F78">
        <f>FO_Capture!D78</f>
        <v>330</v>
      </c>
      <c r="G78">
        <f>FO_Capture!E78</f>
        <v>193.57000732421875</v>
      </c>
      <c r="H78">
        <f t="shared" si="2"/>
        <v>63878.102416992188</v>
      </c>
      <c r="I78" t="str">
        <f t="shared" si="3"/>
        <v>Pass - Ready for Confirmation</v>
      </c>
    </row>
    <row r="79" spans="1:9" x14ac:dyDescent="0.3">
      <c r="A79" t="str">
        <f>FO_Capture!A79</f>
        <v>TRD00078</v>
      </c>
      <c r="B79" t="str">
        <f>FO_Capture!B79</f>
        <v>INE004A01011</v>
      </c>
      <c r="C79" t="str">
        <f>IFERROR(VLOOKUP(FO_Capture!C79, Reference_Data!A:D, 2, FALSE), "UNKNOWN")</f>
        <v>Alpha Asset Management 5</v>
      </c>
      <c r="D79" t="str">
        <f>IFERROR(VLOOKUP(FO_Capture!C79, Reference_Data!A:D, 3, FALSE), "XXX")</f>
        <v>INR</v>
      </c>
      <c r="E79" t="str">
        <f>IFERROR(VLOOKUP(FO_Capture!C79, Reference_Data!A:D, 4, FALSE), "MISSING SSI")</f>
        <v>JPMorgan A/C 860462</v>
      </c>
      <c r="F79">
        <f>FO_Capture!D79</f>
        <v>260</v>
      </c>
      <c r="G79">
        <f>FO_Capture!E79</f>
        <v>93.209999084472656</v>
      </c>
      <c r="H79">
        <f t="shared" si="2"/>
        <v>24234.599761962891</v>
      </c>
      <c r="I79" t="str">
        <f t="shared" si="3"/>
        <v>Pass - Ready for Confirmation</v>
      </c>
    </row>
    <row r="80" spans="1:9" x14ac:dyDescent="0.3">
      <c r="A80" t="str">
        <f>FO_Capture!A80</f>
        <v>TRD00079</v>
      </c>
      <c r="B80" t="str">
        <f>FO_Capture!B80</f>
        <v>INE003A01030</v>
      </c>
      <c r="C80" t="str">
        <f>IFERROR(VLOOKUP(FO_Capture!C80, Reference_Data!A:D, 2, FALSE), "UNKNOWN")</f>
        <v>Alpha Global 39</v>
      </c>
      <c r="D80" t="str">
        <f>IFERROR(VLOOKUP(FO_Capture!C80, Reference_Data!A:D, 3, FALSE), "XXX")</f>
        <v>SGD</v>
      </c>
      <c r="E80" t="str">
        <f>IFERROR(VLOOKUP(FO_Capture!C80, Reference_Data!A:D, 4, FALSE), "MISSING SSI")</f>
        <v>Deutsche Bank A/C 917029</v>
      </c>
      <c r="F80">
        <f>FO_Capture!D80</f>
        <v>120</v>
      </c>
      <c r="G80">
        <f>FO_Capture!E80</f>
        <v>355.6199951171875</v>
      </c>
      <c r="H80">
        <f t="shared" si="2"/>
        <v>42674.3994140625</v>
      </c>
      <c r="I80" t="str">
        <f t="shared" si="3"/>
        <v>Pass - Ready for Confirmation</v>
      </c>
    </row>
    <row r="81" spans="1:9" x14ac:dyDescent="0.3">
      <c r="A81" t="str">
        <f>FO_Capture!A81</f>
        <v>TRD00080</v>
      </c>
      <c r="B81" t="str">
        <f>FO_Capture!B81</f>
        <v>INE002A01079</v>
      </c>
      <c r="C81" t="str">
        <f>IFERROR(VLOOKUP(FO_Capture!C81, Reference_Data!A:D, 2, FALSE), "UNKNOWN")</f>
        <v>Alpha Investments 15</v>
      </c>
      <c r="D81" t="str">
        <f>IFERROR(VLOOKUP(FO_Capture!C81, Reference_Data!A:D, 3, FALSE), "XXX")</f>
        <v>INR</v>
      </c>
      <c r="E81" t="str">
        <f>IFERROR(VLOOKUP(FO_Capture!C81, Reference_Data!A:D, 4, FALSE), "MISSING SSI")</f>
        <v>Deutsche Bank A/C 330518</v>
      </c>
      <c r="F81">
        <f>FO_Capture!D81</f>
        <v>380</v>
      </c>
      <c r="G81">
        <f>FO_Capture!E81</f>
        <v>315.02999877929688</v>
      </c>
      <c r="H81">
        <f t="shared" si="2"/>
        <v>119711.39953613281</v>
      </c>
      <c r="I81" t="str">
        <f t="shared" si="3"/>
        <v>Pass - Ready for Confirmation</v>
      </c>
    </row>
    <row r="82" spans="1:9" x14ac:dyDescent="0.3">
      <c r="A82" t="str">
        <f>FO_Capture!A82</f>
        <v>TRD00081</v>
      </c>
      <c r="B82" t="str">
        <f>FO_Capture!B82</f>
        <v>INE005A01062</v>
      </c>
      <c r="C82" t="str">
        <f>IFERROR(VLOOKUP(FO_Capture!C82, Reference_Data!A:D, 2, FALSE), "UNKNOWN")</f>
        <v>Alpha Investments 40</v>
      </c>
      <c r="D82" t="str">
        <f>IFERROR(VLOOKUP(FO_Capture!C82, Reference_Data!A:D, 3, FALSE), "XXX")</f>
        <v>GBP</v>
      </c>
      <c r="E82" t="str">
        <f>IFERROR(VLOOKUP(FO_Capture!C82, Reference_Data!A:D, 4, FALSE), "MISSING SSI")</f>
        <v>HDFC A/C 897530</v>
      </c>
      <c r="F82">
        <f>FO_Capture!D82</f>
        <v>320</v>
      </c>
      <c r="G82">
        <f>FO_Capture!E82</f>
        <v>344.72000122070313</v>
      </c>
      <c r="H82">
        <f t="shared" si="2"/>
        <v>110310.400390625</v>
      </c>
      <c r="I82" t="str">
        <f t="shared" si="3"/>
        <v>Pass - Ready for Confirmation</v>
      </c>
    </row>
    <row r="83" spans="1:9" x14ac:dyDescent="0.3">
      <c r="A83" t="str">
        <f>FO_Capture!A83</f>
        <v>TRD00082</v>
      </c>
      <c r="B83" t="str">
        <f>FO_Capture!B83</f>
        <v>INE007A01050</v>
      </c>
      <c r="C83" t="str">
        <f>IFERROR(VLOOKUP(FO_Capture!C83, Reference_Data!A:D, 2, FALSE), "UNKNOWN")</f>
        <v>Alpha Partners 37</v>
      </c>
      <c r="D83" t="str">
        <f>IFERROR(VLOOKUP(FO_Capture!C83, Reference_Data!A:D, 3, FALSE), "XXX")</f>
        <v>JPY</v>
      </c>
      <c r="E83" t="str">
        <f>IFERROR(VLOOKUP(FO_Capture!C83, Reference_Data!A:D, 4, FALSE), "MISSING SSI")</f>
        <v>HSBC A/C 994063</v>
      </c>
      <c r="F83">
        <f>FO_Capture!D83</f>
        <v>310</v>
      </c>
      <c r="G83">
        <f>FO_Capture!E83</f>
        <v>107.05999755859375</v>
      </c>
      <c r="H83">
        <f t="shared" si="2"/>
        <v>33188.599243164063</v>
      </c>
      <c r="I83" t="str">
        <f t="shared" si="3"/>
        <v>Pass - Ready for Confirmation</v>
      </c>
    </row>
    <row r="84" spans="1:9" x14ac:dyDescent="0.3">
      <c r="A84" t="str">
        <f>FO_Capture!A84</f>
        <v>TRD00083</v>
      </c>
      <c r="B84" t="str">
        <f>FO_Capture!B84</f>
        <v>INE002A01035</v>
      </c>
      <c r="C84" t="str">
        <f>IFERROR(VLOOKUP(FO_Capture!C84, Reference_Data!A:D, 2, FALSE), "UNKNOWN")</f>
        <v>Alpha Partners 22</v>
      </c>
      <c r="D84" t="str">
        <f>IFERROR(VLOOKUP(FO_Capture!C84, Reference_Data!A:D, 3, FALSE), "XXX")</f>
        <v>GBP</v>
      </c>
      <c r="E84" t="str">
        <f>IFERROR(VLOOKUP(FO_Capture!C84, Reference_Data!A:D, 4, FALSE), "MISSING SSI")</f>
        <v>JPMorgan A/C 488546</v>
      </c>
      <c r="F84">
        <f>FO_Capture!D84</f>
        <v>40</v>
      </c>
      <c r="G84">
        <f>FO_Capture!E84</f>
        <v>303.45999145507813</v>
      </c>
      <c r="H84">
        <f t="shared" si="2"/>
        <v>12138.399658203125</v>
      </c>
      <c r="I84" t="str">
        <f t="shared" si="3"/>
        <v>Pass - Ready for Confirmation</v>
      </c>
    </row>
    <row r="85" spans="1:9" x14ac:dyDescent="0.3">
      <c r="A85" t="str">
        <f>FO_Capture!A85</f>
        <v>TRD00084</v>
      </c>
      <c r="B85" t="str">
        <f>FO_Capture!B85</f>
        <v>INE003A01078</v>
      </c>
      <c r="C85" t="str">
        <f>IFERROR(VLOOKUP(FO_Capture!C85, Reference_Data!A:D, 2, FALSE), "UNKNOWN")</f>
        <v>Alpha Partners 26</v>
      </c>
      <c r="D85" t="str">
        <f>IFERROR(VLOOKUP(FO_Capture!C85, Reference_Data!A:D, 3, FALSE), "XXX")</f>
        <v>USD</v>
      </c>
      <c r="E85" t="str">
        <f>IFERROR(VLOOKUP(FO_Capture!C85, Reference_Data!A:D, 4, FALSE), "MISSING SSI")</f>
        <v>HSBC A/C 867781</v>
      </c>
      <c r="F85">
        <f>FO_Capture!D85</f>
        <v>250</v>
      </c>
      <c r="G85">
        <f>FO_Capture!E85</f>
        <v>424.39999389648438</v>
      </c>
      <c r="H85">
        <f t="shared" si="2"/>
        <v>106099.99847412109</v>
      </c>
      <c r="I85" t="str">
        <f t="shared" si="3"/>
        <v>Pass - Ready for Confirmation</v>
      </c>
    </row>
    <row r="86" spans="1:9" x14ac:dyDescent="0.3">
      <c r="A86" t="str">
        <f>FO_Capture!A86</f>
        <v>TRD00085</v>
      </c>
      <c r="B86" t="str">
        <f>FO_Capture!B86</f>
        <v>INE005A01064</v>
      </c>
      <c r="C86" t="str">
        <f>IFERROR(VLOOKUP(FO_Capture!C86, Reference_Data!A:D, 2, FALSE), "UNKNOWN")</f>
        <v>Alpha Holdings 21</v>
      </c>
      <c r="D86" t="str">
        <f>IFERROR(VLOOKUP(FO_Capture!C86, Reference_Data!A:D, 3, FALSE), "XXX")</f>
        <v>SGD</v>
      </c>
      <c r="E86" t="str">
        <f>IFERROR(VLOOKUP(FO_Capture!C86, Reference_Data!A:D, 4, FALSE), "MISSING SSI")</f>
        <v>HSBC A/C 562956</v>
      </c>
      <c r="F86">
        <f>FO_Capture!D86</f>
        <v>20</v>
      </c>
      <c r="G86">
        <f>FO_Capture!E86</f>
        <v>499.42001342773438</v>
      </c>
      <c r="H86">
        <f t="shared" si="2"/>
        <v>9988.4002685546875</v>
      </c>
      <c r="I86" t="str">
        <f t="shared" si="3"/>
        <v>Pass - Ready for Confirmation</v>
      </c>
    </row>
    <row r="87" spans="1:9" x14ac:dyDescent="0.3">
      <c r="A87" t="str">
        <f>FO_Capture!A87</f>
        <v>TRD00086</v>
      </c>
      <c r="B87" t="str">
        <f>FO_Capture!B87</f>
        <v>INE003A01046</v>
      </c>
      <c r="C87" t="str">
        <f>IFERROR(VLOOKUP(FO_Capture!C87, Reference_Data!A:D, 2, FALSE), "UNKNOWN")</f>
        <v>Alpha Partners 48</v>
      </c>
      <c r="D87" t="str">
        <f>IFERROR(VLOOKUP(FO_Capture!C87, Reference_Data!A:D, 3, FALSE), "XXX")</f>
        <v>SGD</v>
      </c>
      <c r="E87" t="str">
        <f>IFERROR(VLOOKUP(FO_Capture!C87, Reference_Data!A:D, 4, FALSE), "MISSING SSI")</f>
        <v>JPMorgan A/C 391364</v>
      </c>
      <c r="F87">
        <f>FO_Capture!D87</f>
        <v>490</v>
      </c>
      <c r="G87">
        <f>FO_Capture!E87</f>
        <v>347.1199951171875</v>
      </c>
      <c r="H87">
        <f t="shared" si="2"/>
        <v>170088.79760742188</v>
      </c>
      <c r="I87" t="str">
        <f t="shared" si="3"/>
        <v>Pass - Ready for Confirmation</v>
      </c>
    </row>
    <row r="88" spans="1:9" x14ac:dyDescent="0.3">
      <c r="A88" t="str">
        <f>FO_Capture!A88</f>
        <v>TRD00087</v>
      </c>
      <c r="B88" t="str">
        <f>FO_Capture!B88</f>
        <v>INE001A01096</v>
      </c>
      <c r="C88" t="str">
        <f>IFERROR(VLOOKUP(FO_Capture!C88, Reference_Data!A:D, 2, FALSE), "UNKNOWN")</f>
        <v>Alpha Partners 37</v>
      </c>
      <c r="D88" t="str">
        <f>IFERROR(VLOOKUP(FO_Capture!C88, Reference_Data!A:D, 3, FALSE), "XXX")</f>
        <v>JPY</v>
      </c>
      <c r="E88" t="str">
        <f>IFERROR(VLOOKUP(FO_Capture!C88, Reference_Data!A:D, 4, FALSE), "MISSING SSI")</f>
        <v>HSBC A/C 994063</v>
      </c>
      <c r="F88">
        <f>FO_Capture!D88</f>
        <v>140</v>
      </c>
      <c r="G88">
        <f>FO_Capture!E88</f>
        <v>325.16000366210938</v>
      </c>
      <c r="H88">
        <f t="shared" si="2"/>
        <v>45522.400512695313</v>
      </c>
      <c r="I88" t="str">
        <f t="shared" si="3"/>
        <v>Pass - Ready for Confirmation</v>
      </c>
    </row>
    <row r="89" spans="1:9" x14ac:dyDescent="0.3">
      <c r="A89" t="str">
        <f>FO_Capture!A89</f>
        <v>TRD00088</v>
      </c>
      <c r="B89" t="str">
        <f>FO_Capture!B89</f>
        <v>INE003A01060</v>
      </c>
      <c r="C89" t="str">
        <f>IFERROR(VLOOKUP(FO_Capture!C89, Reference_Data!A:D, 2, FALSE), "UNKNOWN")</f>
        <v>Alpha Asset Management 35</v>
      </c>
      <c r="D89" t="str">
        <f>IFERROR(VLOOKUP(FO_Capture!C89, Reference_Data!A:D, 3, FALSE), "XXX")</f>
        <v>JPY</v>
      </c>
      <c r="E89" t="str">
        <f>IFERROR(VLOOKUP(FO_Capture!C89, Reference_Data!A:D, 4, FALSE), "MISSING SSI")</f>
        <v>HSBC A/C 604357</v>
      </c>
      <c r="F89">
        <f>FO_Capture!D89</f>
        <v>480</v>
      </c>
      <c r="G89">
        <f>FO_Capture!E89</f>
        <v>80.290000915527344</v>
      </c>
      <c r="H89">
        <f t="shared" si="2"/>
        <v>38539.200439453125</v>
      </c>
      <c r="I89" t="str">
        <f t="shared" si="3"/>
        <v>Pass - Ready for Confirmation</v>
      </c>
    </row>
    <row r="90" spans="1:9" x14ac:dyDescent="0.3">
      <c r="A90" t="str">
        <f>FO_Capture!A90</f>
        <v>TRD00089</v>
      </c>
      <c r="B90" t="str">
        <f>FO_Capture!B90</f>
        <v>INE005A0101</v>
      </c>
      <c r="C90" t="str">
        <f>IFERROR(VLOOKUP(FO_Capture!C90, Reference_Data!A:D, 2, FALSE), "UNKNOWN")</f>
        <v>Alpha Global 30</v>
      </c>
      <c r="D90" t="str">
        <f>IFERROR(VLOOKUP(FO_Capture!C90, Reference_Data!A:D, 3, FALSE), "XXX")</f>
        <v>JPY</v>
      </c>
      <c r="E90" t="str">
        <f>IFERROR(VLOOKUP(FO_Capture!C90, Reference_Data!A:D, 4, FALSE), "MISSING SSI")</f>
        <v>Deutsche Bank A/C 917262</v>
      </c>
      <c r="F90">
        <f>FO_Capture!D90</f>
        <v>380</v>
      </c>
      <c r="G90">
        <f>FO_Capture!E90</f>
        <v>298.27999877929688</v>
      </c>
      <c r="H90">
        <f t="shared" si="2"/>
        <v>113346.39953613281</v>
      </c>
      <c r="I90" t="str">
        <f t="shared" si="3"/>
        <v>Pass - Ready for Confirmation</v>
      </c>
    </row>
    <row r="91" spans="1:9" x14ac:dyDescent="0.3">
      <c r="A91" t="str">
        <f>FO_Capture!A91</f>
        <v>TRD00090</v>
      </c>
      <c r="B91" t="str">
        <f>FO_Capture!B91</f>
        <v>INE002A01052</v>
      </c>
      <c r="C91" t="str">
        <f>IFERROR(VLOOKUP(FO_Capture!C91, Reference_Data!A:D, 2, FALSE), "UNKNOWN")</f>
        <v>Alpha Quant Fund 27</v>
      </c>
      <c r="D91" t="str">
        <f>IFERROR(VLOOKUP(FO_Capture!C91, Reference_Data!A:D, 3, FALSE), "XXX")</f>
        <v>EUR</v>
      </c>
      <c r="E91" t="str">
        <f>IFERROR(VLOOKUP(FO_Capture!C91, Reference_Data!A:D, 4, FALSE), "MISSING SSI")</f>
        <v>Standard Chartered A/C 331839</v>
      </c>
      <c r="F91">
        <f>FO_Capture!D91</f>
        <v>260</v>
      </c>
      <c r="G91">
        <f>FO_Capture!E91</f>
        <v>453.989990234375</v>
      </c>
      <c r="H91">
        <f t="shared" si="2"/>
        <v>118037.3974609375</v>
      </c>
      <c r="I91" t="str">
        <f t="shared" si="3"/>
        <v>Pass - Ready for Confirmation</v>
      </c>
    </row>
    <row r="92" spans="1:9" x14ac:dyDescent="0.3">
      <c r="A92" t="str">
        <f>FO_Capture!A92</f>
        <v>TRD00091</v>
      </c>
      <c r="B92" t="str">
        <f>FO_Capture!B92</f>
        <v>INE009A01069</v>
      </c>
      <c r="C92" t="str">
        <f>IFERROR(VLOOKUP(FO_Capture!C92, Reference_Data!A:D, 2, FALSE), "UNKNOWN")</f>
        <v>Alpha Holdings 23</v>
      </c>
      <c r="D92" t="str">
        <f>IFERROR(VLOOKUP(FO_Capture!C92, Reference_Data!A:D, 3, FALSE), "XXX")</f>
        <v>INR</v>
      </c>
      <c r="E92" t="str">
        <f>IFERROR(VLOOKUP(FO_Capture!C92, Reference_Data!A:D, 4, FALSE), "MISSING SSI")</f>
        <v>Deutsche Bank A/C 983712</v>
      </c>
      <c r="F92">
        <f>FO_Capture!D92</f>
        <v>370</v>
      </c>
      <c r="G92">
        <f>FO_Capture!E92</f>
        <v>61.340000152587891</v>
      </c>
      <c r="H92">
        <f t="shared" si="2"/>
        <v>22695.80005645752</v>
      </c>
      <c r="I92" t="str">
        <f t="shared" si="3"/>
        <v>Pass - Ready for Confirmation</v>
      </c>
    </row>
    <row r="93" spans="1:9" x14ac:dyDescent="0.3">
      <c r="A93" t="str">
        <f>FO_Capture!A93</f>
        <v>TRD00092</v>
      </c>
      <c r="B93" t="str">
        <f>FO_Capture!B93</f>
        <v>INE002A01077</v>
      </c>
      <c r="C93" t="str">
        <f>IFERROR(VLOOKUP(FO_Capture!C93, Reference_Data!A:D, 2, FALSE), "UNKNOWN")</f>
        <v>Alpha Asset Management 31</v>
      </c>
      <c r="D93" t="str">
        <f>IFERROR(VLOOKUP(FO_Capture!C93, Reference_Data!A:D, 3, FALSE), "XXX")</f>
        <v>USD</v>
      </c>
      <c r="E93" t="str">
        <f>IFERROR(VLOOKUP(FO_Capture!C93, Reference_Data!A:D, 4, FALSE), "MISSING SSI")</f>
        <v>Citi A/C 194841</v>
      </c>
      <c r="F93">
        <f>FO_Capture!D93</f>
        <v>20</v>
      </c>
      <c r="G93">
        <f>FO_Capture!E93</f>
        <v>423.30999755859375</v>
      </c>
      <c r="H93">
        <f t="shared" si="2"/>
        <v>8466.199951171875</v>
      </c>
      <c r="I93" t="str">
        <f t="shared" si="3"/>
        <v>Pass - Ready for Confirmation</v>
      </c>
    </row>
    <row r="94" spans="1:9" x14ac:dyDescent="0.3">
      <c r="A94" t="str">
        <f>FO_Capture!A94</f>
        <v>TRD00093</v>
      </c>
      <c r="B94" t="str">
        <f>FO_Capture!B94</f>
        <v>INE006A01023</v>
      </c>
      <c r="C94" t="str">
        <f>IFERROR(VLOOKUP(FO_Capture!C94, Reference_Data!A:D, 2, FALSE), "UNKNOWN")</f>
        <v>Alpha Asset Management 4</v>
      </c>
      <c r="D94" t="str">
        <f>IFERROR(VLOOKUP(FO_Capture!C94, Reference_Data!A:D, 3, FALSE), "XXX")</f>
        <v>JPY</v>
      </c>
      <c r="E94" t="str">
        <f>IFERROR(VLOOKUP(FO_Capture!C94, Reference_Data!A:D, 4, FALSE), "MISSING SSI")</f>
        <v>Deutsche Bank A/C 126543</v>
      </c>
      <c r="F94">
        <f>FO_Capture!D94</f>
        <v>350</v>
      </c>
      <c r="G94">
        <f>FO_Capture!E94</f>
        <v>381.92999267578125</v>
      </c>
      <c r="H94">
        <f t="shared" si="2"/>
        <v>133675.49743652344</v>
      </c>
      <c r="I94" t="str">
        <f t="shared" si="3"/>
        <v>Pass - Ready for Confirmation</v>
      </c>
    </row>
    <row r="95" spans="1:9" x14ac:dyDescent="0.3">
      <c r="A95" t="str">
        <f>FO_Capture!A95</f>
        <v>TRD00094</v>
      </c>
      <c r="B95" t="str">
        <f>FO_Capture!B95</f>
        <v>INE006A01020</v>
      </c>
      <c r="C95" t="str">
        <f>IFERROR(VLOOKUP(FO_Capture!C95, Reference_Data!A:D, 2, FALSE), "UNKNOWN")</f>
        <v>Alpha Asset Management 13</v>
      </c>
      <c r="D95" t="str">
        <f>IFERROR(VLOOKUP(FO_Capture!C95, Reference_Data!A:D, 3, FALSE), "XXX")</f>
        <v>INR</v>
      </c>
      <c r="E95" t="str">
        <f>IFERROR(VLOOKUP(FO_Capture!C95, Reference_Data!A:D, 4, FALSE), "MISSING SSI")</f>
        <v>HSBC A/C 972195</v>
      </c>
      <c r="F95">
        <f>FO_Capture!D95</f>
        <v>70</v>
      </c>
      <c r="G95">
        <f>FO_Capture!E95</f>
        <v>68.30999755859375</v>
      </c>
      <c r="H95">
        <f t="shared" si="2"/>
        <v>4781.6998291015625</v>
      </c>
      <c r="I95" t="str">
        <f t="shared" si="3"/>
        <v>Pass - Ready for Confirmation</v>
      </c>
    </row>
    <row r="96" spans="1:9" x14ac:dyDescent="0.3">
      <c r="A96" t="str">
        <f>FO_Capture!A96</f>
        <v>TRD00095</v>
      </c>
      <c r="B96" t="str">
        <f>FO_Capture!B96</f>
        <v>INE001A0105</v>
      </c>
      <c r="C96" t="str">
        <f>IFERROR(VLOOKUP(FO_Capture!C96, Reference_Data!A:D, 2, FALSE), "UNKNOWN")</f>
        <v>Alpha Global 20</v>
      </c>
      <c r="D96" t="str">
        <f>IFERROR(VLOOKUP(FO_Capture!C96, Reference_Data!A:D, 3, FALSE), "XXX")</f>
        <v>JPY</v>
      </c>
      <c r="E96" t="str">
        <f>IFERROR(VLOOKUP(FO_Capture!C96, Reference_Data!A:D, 4, FALSE), "MISSING SSI")</f>
        <v>Barclays A/C 560891</v>
      </c>
      <c r="F96">
        <f>FO_Capture!D96</f>
        <v>200</v>
      </c>
      <c r="G96">
        <f>FO_Capture!E96</f>
        <v>152.6199951171875</v>
      </c>
      <c r="H96">
        <f t="shared" si="2"/>
        <v>30523.9990234375</v>
      </c>
      <c r="I96" t="str">
        <f t="shared" si="3"/>
        <v>Pass - Ready for Confirmation</v>
      </c>
    </row>
    <row r="97" spans="1:9" x14ac:dyDescent="0.3">
      <c r="A97" t="str">
        <f>FO_Capture!A97</f>
        <v>TRD00096</v>
      </c>
      <c r="B97" t="str">
        <f>FO_Capture!B97</f>
        <v>INE003A01084</v>
      </c>
      <c r="C97" t="str">
        <f>IFERROR(VLOOKUP(FO_Capture!C97, Reference_Data!A:D, 2, FALSE), "UNKNOWN")</f>
        <v>Alpha Partners 3</v>
      </c>
      <c r="D97" t="str">
        <f>IFERROR(VLOOKUP(FO_Capture!C97, Reference_Data!A:D, 3, FALSE), "XXX")</f>
        <v>USD</v>
      </c>
      <c r="E97" t="str">
        <f>IFERROR(VLOOKUP(FO_Capture!C97, Reference_Data!A:D, 4, FALSE), "MISSING SSI")</f>
        <v>Citi A/C 508769</v>
      </c>
      <c r="F97">
        <f>FO_Capture!D97</f>
        <v>330</v>
      </c>
      <c r="G97">
        <f>FO_Capture!E97</f>
        <v>94.080001831054688</v>
      </c>
      <c r="H97">
        <f t="shared" si="2"/>
        <v>31046.400604248047</v>
      </c>
      <c r="I97" t="str">
        <f t="shared" si="3"/>
        <v>Pass - Ready for Confirmation</v>
      </c>
    </row>
    <row r="98" spans="1:9" x14ac:dyDescent="0.3">
      <c r="A98" t="str">
        <f>FO_Capture!A98</f>
        <v>TRD00097</v>
      </c>
      <c r="B98" t="str">
        <f>FO_Capture!B98</f>
        <v>INE009A01085</v>
      </c>
      <c r="C98" t="str">
        <f>IFERROR(VLOOKUP(FO_Capture!C98, Reference_Data!A:D, 2, FALSE), "UNKNOWN")</f>
        <v>Alpha Capital 33</v>
      </c>
      <c r="D98" t="str">
        <f>IFERROR(VLOOKUP(FO_Capture!C98, Reference_Data!A:D, 3, FALSE), "XXX")</f>
        <v>JPY</v>
      </c>
      <c r="E98" t="str">
        <f>IFERROR(VLOOKUP(FO_Capture!C98, Reference_Data!A:D, 4, FALSE), "MISSING SSI")</f>
        <v>HSBC A/C 172861</v>
      </c>
      <c r="F98">
        <f>FO_Capture!D98</f>
        <v>390</v>
      </c>
      <c r="G98">
        <f>FO_Capture!E98</f>
        <v>390.989990234375</v>
      </c>
      <c r="H98">
        <f t="shared" si="2"/>
        <v>152486.09619140625</v>
      </c>
      <c r="I98" t="str">
        <f t="shared" si="3"/>
        <v>Pass - Ready for Confirmation</v>
      </c>
    </row>
    <row r="99" spans="1:9" x14ac:dyDescent="0.3">
      <c r="A99" t="str">
        <f>FO_Capture!A99</f>
        <v>TRD00098</v>
      </c>
      <c r="B99" t="str">
        <f>FO_Capture!B99</f>
        <v>INE008A0104</v>
      </c>
      <c r="C99" t="str">
        <f>IFERROR(VLOOKUP(FO_Capture!C99, Reference_Data!A:D, 2, FALSE), "UNKNOWN")</f>
        <v>Alpha Global 45</v>
      </c>
      <c r="D99" t="str">
        <f>IFERROR(VLOOKUP(FO_Capture!C99, Reference_Data!A:D, 3, FALSE), "XXX")</f>
        <v>EUR</v>
      </c>
      <c r="E99" t="str">
        <f>IFERROR(VLOOKUP(FO_Capture!C99, Reference_Data!A:D, 4, FALSE), "MISSING SSI")</f>
        <v>HSBC A/C 540659</v>
      </c>
      <c r="F99">
        <f>FO_Capture!D99</f>
        <v>370</v>
      </c>
      <c r="G99">
        <f>FO_Capture!E99</f>
        <v>330.70001220703125</v>
      </c>
      <c r="H99">
        <f t="shared" si="2"/>
        <v>122359.00451660156</v>
      </c>
      <c r="I99" t="str">
        <f t="shared" si="3"/>
        <v>Pass - Ready for Confirmation</v>
      </c>
    </row>
    <row r="100" spans="1:9" x14ac:dyDescent="0.3">
      <c r="A100" t="str">
        <f>FO_Capture!A100</f>
        <v>TRD00099</v>
      </c>
      <c r="B100" t="str">
        <f>FO_Capture!B100</f>
        <v>INE005A01057</v>
      </c>
      <c r="C100" t="str">
        <f>IFERROR(VLOOKUP(FO_Capture!C100, Reference_Data!A:D, 2, FALSE), "UNKNOWN")</f>
        <v>Alpha Holdings 16</v>
      </c>
      <c r="D100" t="str">
        <f>IFERROR(VLOOKUP(FO_Capture!C100, Reference_Data!A:D, 3, FALSE), "XXX")</f>
        <v>USD</v>
      </c>
      <c r="E100" t="str">
        <f>IFERROR(VLOOKUP(FO_Capture!C100, Reference_Data!A:D, 4, FALSE), "MISSING SSI")</f>
        <v>Barclays A/C 197229</v>
      </c>
      <c r="F100">
        <f>FO_Capture!D100</f>
        <v>60</v>
      </c>
      <c r="G100">
        <f>FO_Capture!E100</f>
        <v>239.6300048828125</v>
      </c>
      <c r="H100">
        <f t="shared" si="2"/>
        <v>14377.80029296875</v>
      </c>
      <c r="I100" t="str">
        <f t="shared" si="3"/>
        <v>Pass - Ready for Confirmation</v>
      </c>
    </row>
    <row r="101" spans="1:9" x14ac:dyDescent="0.3">
      <c r="A101" t="str">
        <f>FO_Capture!A101</f>
        <v>TRD00100</v>
      </c>
      <c r="B101" t="str">
        <f>FO_Capture!B101</f>
        <v>INE006A01034</v>
      </c>
      <c r="C101" t="str">
        <f>IFERROR(VLOOKUP(FO_Capture!C101, Reference_Data!A:D, 2, FALSE), "UNKNOWN")</f>
        <v>Alpha Holdings 41</v>
      </c>
      <c r="D101" t="str">
        <f>IFERROR(VLOOKUP(FO_Capture!C101, Reference_Data!A:D, 3, FALSE), "XXX")</f>
        <v>JPY</v>
      </c>
      <c r="E101" t="str">
        <f>IFERROR(VLOOKUP(FO_Capture!C101, Reference_Data!A:D, 4, FALSE), "MISSING SSI")</f>
        <v>HSBC A/C 468615</v>
      </c>
      <c r="F101">
        <f>FO_Capture!D101</f>
        <v>360</v>
      </c>
      <c r="G101">
        <f>FO_Capture!E101</f>
        <v>233.24000549316406</v>
      </c>
      <c r="H101">
        <f t="shared" si="2"/>
        <v>83966.401977539063</v>
      </c>
      <c r="I101" t="str">
        <f t="shared" si="3"/>
        <v>Pass - Ready for Confirmation</v>
      </c>
    </row>
    <row r="102" spans="1:9" x14ac:dyDescent="0.3">
      <c r="A102" t="str">
        <f>FO_Capture!A102</f>
        <v>TRD00101</v>
      </c>
      <c r="B102" t="str">
        <f>FO_Capture!B102</f>
        <v>INE008A01041</v>
      </c>
      <c r="C102" t="str">
        <f>IFERROR(VLOOKUP(FO_Capture!C102, Reference_Data!A:D, 2, FALSE), "UNKNOWN")</f>
        <v>Alpha Partners 6</v>
      </c>
      <c r="D102" t="str">
        <f>IFERROR(VLOOKUP(FO_Capture!C102, Reference_Data!A:D, 3, FALSE), "XXX")</f>
        <v>INR</v>
      </c>
      <c r="E102" t="str">
        <f>IFERROR(VLOOKUP(FO_Capture!C102, Reference_Data!A:D, 4, FALSE), "MISSING SSI")</f>
        <v>Standard Chartered A/C 441247</v>
      </c>
      <c r="F102">
        <f>FO_Capture!D102</f>
        <v>450</v>
      </c>
      <c r="G102">
        <f>FO_Capture!E102</f>
        <v>466.10000610351563</v>
      </c>
      <c r="H102">
        <f t="shared" si="2"/>
        <v>209745.00274658203</v>
      </c>
      <c r="I102" t="str">
        <f t="shared" si="3"/>
        <v>Pass - Ready for Confirmation</v>
      </c>
    </row>
    <row r="103" spans="1:9" x14ac:dyDescent="0.3">
      <c r="A103" t="str">
        <f>FO_Capture!A103</f>
        <v>TRD00102</v>
      </c>
      <c r="B103" t="str">
        <f>FO_Capture!B103</f>
        <v>INE008A01056</v>
      </c>
      <c r="C103" t="str">
        <f>IFERROR(VLOOKUP(FO_Capture!C103, Reference_Data!A:D, 2, FALSE), "UNKNOWN")</f>
        <v>Alpha Capital 11</v>
      </c>
      <c r="D103" t="str">
        <f>IFERROR(VLOOKUP(FO_Capture!C103, Reference_Data!A:D, 3, FALSE), "XXX")</f>
        <v>USD</v>
      </c>
      <c r="E103" t="str">
        <f>IFERROR(VLOOKUP(FO_Capture!C103, Reference_Data!A:D, 4, FALSE), "MISSING SSI")</f>
        <v>JPMorgan A/C 987170</v>
      </c>
      <c r="F103">
        <f>FO_Capture!D103</f>
        <v>110</v>
      </c>
      <c r="G103">
        <f>FO_Capture!E103</f>
        <v>381.79000854492188</v>
      </c>
      <c r="H103">
        <f t="shared" si="2"/>
        <v>41996.900939941406</v>
      </c>
      <c r="I103" t="str">
        <f t="shared" si="3"/>
        <v>Pass - Ready for Confirmation</v>
      </c>
    </row>
    <row r="104" spans="1:9" x14ac:dyDescent="0.3">
      <c r="A104" t="str">
        <f>FO_Capture!A104</f>
        <v>TRD00103</v>
      </c>
      <c r="B104" t="str">
        <f>FO_Capture!B104</f>
        <v>INE005A01079</v>
      </c>
      <c r="C104" t="str">
        <f>IFERROR(VLOOKUP(FO_Capture!C104, Reference_Data!A:D, 2, FALSE), "UNKNOWN")</f>
        <v>Alpha Partners 1</v>
      </c>
      <c r="D104" t="str">
        <f>IFERROR(VLOOKUP(FO_Capture!C104, Reference_Data!A:D, 3, FALSE), "XXX")</f>
        <v>JPY</v>
      </c>
      <c r="E104" t="str">
        <f>IFERROR(VLOOKUP(FO_Capture!C104, Reference_Data!A:D, 4, FALSE), "MISSING SSI")</f>
        <v>Standard Chartered A/C 277005</v>
      </c>
      <c r="F104">
        <f>FO_Capture!D104</f>
        <v>430</v>
      </c>
      <c r="G104">
        <f>FO_Capture!E104</f>
        <v>462.98001098632813</v>
      </c>
      <c r="H104">
        <f t="shared" si="2"/>
        <v>199081.40472412109</v>
      </c>
      <c r="I104" t="str">
        <f t="shared" si="3"/>
        <v>Pass - Ready for Confirmation</v>
      </c>
    </row>
    <row r="105" spans="1:9" x14ac:dyDescent="0.3">
      <c r="A105" t="str">
        <f>FO_Capture!A105</f>
        <v>TRD00104</v>
      </c>
      <c r="B105" t="str">
        <f>FO_Capture!B105</f>
        <v>INE003A01078</v>
      </c>
      <c r="C105" t="str">
        <f>IFERROR(VLOOKUP(FO_Capture!C105, Reference_Data!A:D, 2, FALSE), "UNKNOWN")</f>
        <v>Alpha Quant Fund 34</v>
      </c>
      <c r="D105" t="str">
        <f>IFERROR(VLOOKUP(FO_Capture!C105, Reference_Data!A:D, 3, FALSE), "XXX")</f>
        <v>JPY</v>
      </c>
      <c r="E105" t="str">
        <f>IFERROR(VLOOKUP(FO_Capture!C105, Reference_Data!A:D, 4, FALSE), "MISSING SSI")</f>
        <v>Citi A/C 837378</v>
      </c>
      <c r="F105">
        <f>FO_Capture!D105</f>
        <v>60</v>
      </c>
      <c r="G105">
        <f>FO_Capture!E105</f>
        <v>481.41000366210938</v>
      </c>
      <c r="H105">
        <f t="shared" si="2"/>
        <v>28884.600219726563</v>
      </c>
      <c r="I105" t="str">
        <f t="shared" si="3"/>
        <v>Pass - Ready for Confirmation</v>
      </c>
    </row>
    <row r="106" spans="1:9" x14ac:dyDescent="0.3">
      <c r="A106" t="str">
        <f>FO_Capture!A106</f>
        <v>TRD00105</v>
      </c>
      <c r="B106" t="str">
        <f>FO_Capture!B106</f>
        <v>INE003A01043</v>
      </c>
      <c r="C106" t="str">
        <f>IFERROR(VLOOKUP(FO_Capture!C106, Reference_Data!A:D, 2, FALSE), "UNKNOWN")</f>
        <v>Alpha Quant Fund 12</v>
      </c>
      <c r="D106" t="str">
        <f>IFERROR(VLOOKUP(FO_Capture!C106, Reference_Data!A:D, 3, FALSE), "XXX")</f>
        <v>EUR</v>
      </c>
      <c r="E106" t="str">
        <f>IFERROR(VLOOKUP(FO_Capture!C106, Reference_Data!A:D, 4, FALSE), "MISSING SSI")</f>
        <v>Deutsche Bank A/C 324710</v>
      </c>
      <c r="F106">
        <f>FO_Capture!D106</f>
        <v>490</v>
      </c>
      <c r="G106">
        <f>FO_Capture!E106</f>
        <v>247.8699951171875</v>
      </c>
      <c r="H106">
        <f t="shared" si="2"/>
        <v>121456.29760742188</v>
      </c>
      <c r="I106" t="str">
        <f t="shared" si="3"/>
        <v>Pass - Ready for Confirmation</v>
      </c>
    </row>
    <row r="107" spans="1:9" x14ac:dyDescent="0.3">
      <c r="A107" t="str">
        <f>FO_Capture!A107</f>
        <v>TRD00106</v>
      </c>
      <c r="B107" t="str">
        <f>FO_Capture!B107</f>
        <v>INE008A01031</v>
      </c>
      <c r="C107" t="str">
        <f>IFERROR(VLOOKUP(FO_Capture!C107, Reference_Data!A:D, 2, FALSE), "UNKNOWN")</f>
        <v>Alpha Global 2</v>
      </c>
      <c r="D107" t="str">
        <f>IFERROR(VLOOKUP(FO_Capture!C107, Reference_Data!A:D, 3, FALSE), "XXX")</f>
        <v>GBP</v>
      </c>
      <c r="E107" t="str">
        <f>IFERROR(VLOOKUP(FO_Capture!C107, Reference_Data!A:D, 4, FALSE), "MISSING SSI")</f>
        <v>JPMorgan A/C 582379</v>
      </c>
      <c r="F107">
        <f>FO_Capture!D107</f>
        <v>260</v>
      </c>
      <c r="G107">
        <f>FO_Capture!E107</f>
        <v>362.20001220703125</v>
      </c>
      <c r="H107">
        <f t="shared" si="2"/>
        <v>94172.003173828125</v>
      </c>
      <c r="I107" t="str">
        <f t="shared" si="3"/>
        <v>Pass - Ready for Confirmation</v>
      </c>
    </row>
    <row r="108" spans="1:9" x14ac:dyDescent="0.3">
      <c r="A108" t="str">
        <f>FO_Capture!A108</f>
        <v>TRD00107</v>
      </c>
      <c r="B108" t="str">
        <f>FO_Capture!B108</f>
        <v>INE002A01024</v>
      </c>
      <c r="C108" t="str">
        <f>IFERROR(VLOOKUP(FO_Capture!C108, Reference_Data!A:D, 2, FALSE), "UNKNOWN")</f>
        <v>Alpha Asset Management 13</v>
      </c>
      <c r="D108" t="str">
        <f>IFERROR(VLOOKUP(FO_Capture!C108, Reference_Data!A:D, 3, FALSE), "XXX")</f>
        <v>INR</v>
      </c>
      <c r="E108" t="str">
        <f>IFERROR(VLOOKUP(FO_Capture!C108, Reference_Data!A:D, 4, FALSE), "MISSING SSI")</f>
        <v>HSBC A/C 972195</v>
      </c>
      <c r="F108">
        <f>FO_Capture!D108</f>
        <v>240</v>
      </c>
      <c r="G108">
        <f>FO_Capture!E108</f>
        <v>463.32000732421875</v>
      </c>
      <c r="H108">
        <f t="shared" si="2"/>
        <v>111196.8017578125</v>
      </c>
      <c r="I108" t="str">
        <f t="shared" si="3"/>
        <v>Pass - Ready for Confirmation</v>
      </c>
    </row>
    <row r="109" spans="1:9" x14ac:dyDescent="0.3">
      <c r="A109" t="str">
        <f>FO_Capture!A109</f>
        <v>TRD00108</v>
      </c>
      <c r="B109" t="str">
        <f>FO_Capture!B109</f>
        <v>INE006A01071</v>
      </c>
      <c r="C109" t="str">
        <f>IFERROR(VLOOKUP(FO_Capture!C109, Reference_Data!A:D, 2, FALSE), "UNKNOWN")</f>
        <v>Alpha Global 20</v>
      </c>
      <c r="D109" t="str">
        <f>IFERROR(VLOOKUP(FO_Capture!C109, Reference_Data!A:D, 3, FALSE), "XXX")</f>
        <v>JPY</v>
      </c>
      <c r="E109" t="str">
        <f>IFERROR(VLOOKUP(FO_Capture!C109, Reference_Data!A:D, 4, FALSE), "MISSING SSI")</f>
        <v>Barclays A/C 560891</v>
      </c>
      <c r="F109">
        <f>FO_Capture!D109</f>
        <v>390</v>
      </c>
      <c r="G109">
        <f>FO_Capture!E109</f>
        <v>479.22000122070313</v>
      </c>
      <c r="H109">
        <f t="shared" si="2"/>
        <v>186895.80047607422</v>
      </c>
      <c r="I109" t="str">
        <f t="shared" si="3"/>
        <v>Pass - Ready for Confirmation</v>
      </c>
    </row>
    <row r="110" spans="1:9" x14ac:dyDescent="0.3">
      <c r="A110" t="str">
        <f>FO_Capture!A110</f>
        <v>TRD00109</v>
      </c>
      <c r="B110" t="str">
        <f>FO_Capture!B110</f>
        <v>INE004A01044</v>
      </c>
      <c r="C110" t="str">
        <f>IFERROR(VLOOKUP(FO_Capture!C110, Reference_Data!A:D, 2, FALSE), "UNKNOWN")</f>
        <v>Alpha Investments 40</v>
      </c>
      <c r="D110" t="str">
        <f>IFERROR(VLOOKUP(FO_Capture!C110, Reference_Data!A:D, 3, FALSE), "XXX")</f>
        <v>GBP</v>
      </c>
      <c r="E110" t="str">
        <f>IFERROR(VLOOKUP(FO_Capture!C110, Reference_Data!A:D, 4, FALSE), "MISSING SSI")</f>
        <v>HDFC A/C 897530</v>
      </c>
      <c r="F110">
        <f>FO_Capture!D110</f>
        <v>440</v>
      </c>
      <c r="G110">
        <f>FO_Capture!E110</f>
        <v>376.92999267578125</v>
      </c>
      <c r="H110">
        <f t="shared" si="2"/>
        <v>165849.19677734375</v>
      </c>
      <c r="I110" t="str">
        <f t="shared" si="3"/>
        <v>Pass - Ready for Confirmation</v>
      </c>
    </row>
    <row r="111" spans="1:9" x14ac:dyDescent="0.3">
      <c r="A111" t="str">
        <f>FO_Capture!A111</f>
        <v>TRD00110</v>
      </c>
      <c r="B111" t="str">
        <f>FO_Capture!B111</f>
        <v>INE001A01081</v>
      </c>
      <c r="C111" t="str">
        <f>IFERROR(VLOOKUP(FO_Capture!C111, Reference_Data!A:D, 2, FALSE), "UNKNOWN")</f>
        <v>UNKNOWN</v>
      </c>
      <c r="D111" t="str">
        <f>IFERROR(VLOOKUP(FO_Capture!C111, Reference_Data!A:D, 3, FALSE), "XXX")</f>
        <v>XXX</v>
      </c>
      <c r="E111" t="str">
        <f>IFERROR(VLOOKUP(FO_Capture!C111, Reference_Data!A:D, 4, FALSE), "MISSING SSI")</f>
        <v>MISSING SSI</v>
      </c>
      <c r="F111">
        <f>FO_Capture!D111</f>
        <v>280</v>
      </c>
      <c r="G111">
        <f>FO_Capture!E111</f>
        <v>257.07000732421875</v>
      </c>
      <c r="H111">
        <f t="shared" si="2"/>
        <v>71979.60205078125</v>
      </c>
      <c r="I111" t="str">
        <f t="shared" si="3"/>
        <v>Fail - Missing Ref Data</v>
      </c>
    </row>
    <row r="112" spans="1:9" x14ac:dyDescent="0.3">
      <c r="A112" t="str">
        <f>FO_Capture!A112</f>
        <v>TRD00111</v>
      </c>
      <c r="B112" t="str">
        <f>FO_Capture!B112</f>
        <v>INE008A01059</v>
      </c>
      <c r="C112" t="str">
        <f>IFERROR(VLOOKUP(FO_Capture!C112, Reference_Data!A:D, 2, FALSE), "UNKNOWN")</f>
        <v>Alpha Partners 42</v>
      </c>
      <c r="D112" t="str">
        <f>IFERROR(VLOOKUP(FO_Capture!C112, Reference_Data!A:D, 3, FALSE), "XXX")</f>
        <v>USD</v>
      </c>
      <c r="E112" t="str">
        <f>IFERROR(VLOOKUP(FO_Capture!C112, Reference_Data!A:D, 4, FALSE), "MISSING SSI")</f>
        <v>Citi A/C 416082</v>
      </c>
      <c r="F112">
        <f>FO_Capture!D112</f>
        <v>390</v>
      </c>
      <c r="G112">
        <f>FO_Capture!E112</f>
        <v>464.51998901367188</v>
      </c>
      <c r="H112">
        <f t="shared" si="2"/>
        <v>181162.79571533203</v>
      </c>
      <c r="I112" t="str">
        <f t="shared" si="3"/>
        <v>Pass - Ready for Confirmation</v>
      </c>
    </row>
    <row r="113" spans="1:9" x14ac:dyDescent="0.3">
      <c r="A113" t="str">
        <f>FO_Capture!A113</f>
        <v>TRD00112</v>
      </c>
      <c r="B113" t="str">
        <f>FO_Capture!B113</f>
        <v>INE007A01073</v>
      </c>
      <c r="C113" t="str">
        <f>IFERROR(VLOOKUP(FO_Capture!C113, Reference_Data!A:D, 2, FALSE), "UNKNOWN")</f>
        <v>Alpha Global 39</v>
      </c>
      <c r="D113" t="str">
        <f>IFERROR(VLOOKUP(FO_Capture!C113, Reference_Data!A:D, 3, FALSE), "XXX")</f>
        <v>SGD</v>
      </c>
      <c r="E113" t="str">
        <f>IFERROR(VLOOKUP(FO_Capture!C113, Reference_Data!A:D, 4, FALSE), "MISSING SSI")</f>
        <v>Deutsche Bank A/C 917029</v>
      </c>
      <c r="F113">
        <f>FO_Capture!D113</f>
        <v>150</v>
      </c>
      <c r="G113">
        <f>FO_Capture!E113</f>
        <v>293.80999755859375</v>
      </c>
      <c r="H113">
        <f t="shared" si="2"/>
        <v>44071.499633789063</v>
      </c>
      <c r="I113" t="str">
        <f t="shared" si="3"/>
        <v>Pass - Ready for Confirmation</v>
      </c>
    </row>
    <row r="114" spans="1:9" x14ac:dyDescent="0.3">
      <c r="A114" t="str">
        <f>FO_Capture!A114</f>
        <v>TRD00113</v>
      </c>
      <c r="B114" t="str">
        <f>FO_Capture!B114</f>
        <v>INE007A01047</v>
      </c>
      <c r="C114" t="str">
        <f>IFERROR(VLOOKUP(FO_Capture!C114, Reference_Data!A:D, 2, FALSE), "UNKNOWN")</f>
        <v>Alpha Capital 38</v>
      </c>
      <c r="D114" t="str">
        <f>IFERROR(VLOOKUP(FO_Capture!C114, Reference_Data!A:D, 3, FALSE), "XXX")</f>
        <v>SGD</v>
      </c>
      <c r="E114" t="str">
        <f>IFERROR(VLOOKUP(FO_Capture!C114, Reference_Data!A:D, 4, FALSE), "MISSING SSI")</f>
        <v>Deutsche Bank A/C 153521</v>
      </c>
      <c r="F114">
        <f>FO_Capture!D114</f>
        <v>440</v>
      </c>
      <c r="G114">
        <f>FO_Capture!E114</f>
        <v>287.16000366210938</v>
      </c>
      <c r="H114">
        <f t="shared" si="2"/>
        <v>126350.40161132813</v>
      </c>
      <c r="I114" t="str">
        <f t="shared" si="3"/>
        <v>Pass - Ready for Confirmation</v>
      </c>
    </row>
    <row r="115" spans="1:9" x14ac:dyDescent="0.3">
      <c r="A115" t="str">
        <f>FO_Capture!A115</f>
        <v>TRD00114</v>
      </c>
      <c r="B115" t="str">
        <f>FO_Capture!B115</f>
        <v>INE009A01057</v>
      </c>
      <c r="C115" t="str">
        <f>IFERROR(VLOOKUP(FO_Capture!C115, Reference_Data!A:D, 2, FALSE), "UNKNOWN")</f>
        <v>Alpha Asset Management 32</v>
      </c>
      <c r="D115" t="str">
        <f>IFERROR(VLOOKUP(FO_Capture!C115, Reference_Data!A:D, 3, FALSE), "XXX")</f>
        <v>INR</v>
      </c>
      <c r="E115" t="str">
        <f>IFERROR(VLOOKUP(FO_Capture!C115, Reference_Data!A:D, 4, FALSE), "MISSING SSI")</f>
        <v>Barclays A/C 302646</v>
      </c>
      <c r="F115">
        <f>FO_Capture!D115</f>
        <v>160</v>
      </c>
      <c r="G115">
        <f>FO_Capture!E115</f>
        <v>57.139999389648438</v>
      </c>
      <c r="H115">
        <f t="shared" si="2"/>
        <v>9142.39990234375</v>
      </c>
      <c r="I115" t="str">
        <f t="shared" si="3"/>
        <v>Pass - Ready for Confirmation</v>
      </c>
    </row>
    <row r="116" spans="1:9" x14ac:dyDescent="0.3">
      <c r="A116" t="str">
        <f>FO_Capture!A116</f>
        <v>TRD00115</v>
      </c>
      <c r="B116" t="str">
        <f>FO_Capture!B116</f>
        <v>INE003A0106</v>
      </c>
      <c r="C116" t="str">
        <f>IFERROR(VLOOKUP(FO_Capture!C116, Reference_Data!A:D, 2, FALSE), "UNKNOWN")</f>
        <v>Alpha Asset Management 32</v>
      </c>
      <c r="D116" t="str">
        <f>IFERROR(VLOOKUP(FO_Capture!C116, Reference_Data!A:D, 3, FALSE), "XXX")</f>
        <v>INR</v>
      </c>
      <c r="E116" t="str">
        <f>IFERROR(VLOOKUP(FO_Capture!C116, Reference_Data!A:D, 4, FALSE), "MISSING SSI")</f>
        <v>Barclays A/C 302646</v>
      </c>
      <c r="F116">
        <f>FO_Capture!D116</f>
        <v>400</v>
      </c>
      <c r="G116">
        <f>FO_Capture!E116</f>
        <v>36.590000152587891</v>
      </c>
      <c r="H116">
        <f t="shared" si="2"/>
        <v>14636.000061035156</v>
      </c>
      <c r="I116" t="str">
        <f t="shared" si="3"/>
        <v>Pass - Ready for Confirmation</v>
      </c>
    </row>
    <row r="117" spans="1:9" x14ac:dyDescent="0.3">
      <c r="A117" t="str">
        <f>FO_Capture!A117</f>
        <v>TRD00116</v>
      </c>
      <c r="B117" t="str">
        <f>FO_Capture!B117</f>
        <v>INE007A01072</v>
      </c>
      <c r="C117" t="str">
        <f>IFERROR(VLOOKUP(FO_Capture!C117, Reference_Data!A:D, 2, FALSE), "UNKNOWN")</f>
        <v>Alpha Global 45</v>
      </c>
      <c r="D117" t="str">
        <f>IFERROR(VLOOKUP(FO_Capture!C117, Reference_Data!A:D, 3, FALSE), "XXX")</f>
        <v>EUR</v>
      </c>
      <c r="E117" t="str">
        <f>IFERROR(VLOOKUP(FO_Capture!C117, Reference_Data!A:D, 4, FALSE), "MISSING SSI")</f>
        <v>HSBC A/C 540659</v>
      </c>
      <c r="F117">
        <f>FO_Capture!D117</f>
        <v>260</v>
      </c>
      <c r="G117">
        <f>FO_Capture!E117</f>
        <v>228.69999694824219</v>
      </c>
      <c r="H117">
        <f t="shared" si="2"/>
        <v>59461.999206542969</v>
      </c>
      <c r="I117" t="str">
        <f t="shared" si="3"/>
        <v>Pass - Ready for Confirmation</v>
      </c>
    </row>
    <row r="118" spans="1:9" x14ac:dyDescent="0.3">
      <c r="A118" t="str">
        <f>FO_Capture!A118</f>
        <v>TRD00117</v>
      </c>
      <c r="B118" t="str">
        <f>FO_Capture!B118</f>
        <v>INE005A01062</v>
      </c>
      <c r="C118" t="str">
        <f>IFERROR(VLOOKUP(FO_Capture!C118, Reference_Data!A:D, 2, FALSE), "UNKNOWN")</f>
        <v>Alpha Global 46</v>
      </c>
      <c r="D118" t="str">
        <f>IFERROR(VLOOKUP(FO_Capture!C118, Reference_Data!A:D, 3, FALSE), "XXX")</f>
        <v>USD</v>
      </c>
      <c r="E118" t="str">
        <f>IFERROR(VLOOKUP(FO_Capture!C118, Reference_Data!A:D, 4, FALSE), "MISSING SSI")</f>
        <v>Citi A/C 700450</v>
      </c>
      <c r="F118">
        <f>FO_Capture!D118</f>
        <v>30</v>
      </c>
      <c r="G118">
        <f>FO_Capture!E118</f>
        <v>456.95001220703125</v>
      </c>
      <c r="H118">
        <f t="shared" si="2"/>
        <v>13708.500366210938</v>
      </c>
      <c r="I118" t="str">
        <f t="shared" si="3"/>
        <v>Pass - Ready for Confirmation</v>
      </c>
    </row>
    <row r="119" spans="1:9" x14ac:dyDescent="0.3">
      <c r="A119" t="str">
        <f>FO_Capture!A119</f>
        <v>TRD00118</v>
      </c>
      <c r="B119" t="str">
        <f>FO_Capture!B119</f>
        <v>INE005A01057</v>
      </c>
      <c r="C119" t="str">
        <f>IFERROR(VLOOKUP(FO_Capture!C119, Reference_Data!A:D, 2, FALSE), "UNKNOWN")</f>
        <v>Alpha Asset Management 5</v>
      </c>
      <c r="D119" t="str">
        <f>IFERROR(VLOOKUP(FO_Capture!C119, Reference_Data!A:D, 3, FALSE), "XXX")</f>
        <v>INR</v>
      </c>
      <c r="E119" t="str">
        <f>IFERROR(VLOOKUP(FO_Capture!C119, Reference_Data!A:D, 4, FALSE), "MISSING SSI")</f>
        <v>JPMorgan A/C 860462</v>
      </c>
      <c r="F119">
        <f>FO_Capture!D119</f>
        <v>500</v>
      </c>
      <c r="G119">
        <f>FO_Capture!E119</f>
        <v>115.13999938964844</v>
      </c>
      <c r="H119">
        <f t="shared" si="2"/>
        <v>57569.999694824219</v>
      </c>
      <c r="I119" t="str">
        <f t="shared" si="3"/>
        <v>Pass - Ready for Confirmation</v>
      </c>
    </row>
    <row r="120" spans="1:9" x14ac:dyDescent="0.3">
      <c r="A120" t="str">
        <f>FO_Capture!A120</f>
        <v>TRD00119</v>
      </c>
      <c r="B120" t="str">
        <f>FO_Capture!B120</f>
        <v>INE005A01067</v>
      </c>
      <c r="C120" t="str">
        <f>IFERROR(VLOOKUP(FO_Capture!C120, Reference_Data!A:D, 2, FALSE), "UNKNOWN")</f>
        <v>Alpha Quant Fund 12</v>
      </c>
      <c r="D120" t="str">
        <f>IFERROR(VLOOKUP(FO_Capture!C120, Reference_Data!A:D, 3, FALSE), "XXX")</f>
        <v>EUR</v>
      </c>
      <c r="E120" t="str">
        <f>IFERROR(VLOOKUP(FO_Capture!C120, Reference_Data!A:D, 4, FALSE), "MISSING SSI")</f>
        <v>Deutsche Bank A/C 324710</v>
      </c>
      <c r="F120">
        <f>FO_Capture!D120</f>
        <v>190</v>
      </c>
      <c r="G120">
        <f>FO_Capture!E120</f>
        <v>417.3800048828125</v>
      </c>
      <c r="H120">
        <f t="shared" si="2"/>
        <v>79302.200927734375</v>
      </c>
      <c r="I120" t="str">
        <f t="shared" si="3"/>
        <v>Pass - Ready for Confirmation</v>
      </c>
    </row>
    <row r="121" spans="1:9" x14ac:dyDescent="0.3">
      <c r="A121" t="str">
        <f>FO_Capture!A121</f>
        <v>TRD00120</v>
      </c>
      <c r="B121" t="str">
        <f>FO_Capture!B121</f>
        <v>INE001A01076</v>
      </c>
      <c r="C121" t="str">
        <f>IFERROR(VLOOKUP(FO_Capture!C121, Reference_Data!A:D, 2, FALSE), "UNKNOWN")</f>
        <v>Alpha Global 2</v>
      </c>
      <c r="D121" t="str">
        <f>IFERROR(VLOOKUP(FO_Capture!C121, Reference_Data!A:D, 3, FALSE), "XXX")</f>
        <v>GBP</v>
      </c>
      <c r="E121" t="str">
        <f>IFERROR(VLOOKUP(FO_Capture!C121, Reference_Data!A:D, 4, FALSE), "MISSING SSI")</f>
        <v>JPMorgan A/C 582379</v>
      </c>
      <c r="F121">
        <f>FO_Capture!D121</f>
        <v>80</v>
      </c>
      <c r="G121">
        <f>FO_Capture!E121</f>
        <v>148.08999633789063</v>
      </c>
      <c r="H121">
        <f t="shared" si="2"/>
        <v>11847.19970703125</v>
      </c>
      <c r="I121" t="str">
        <f t="shared" si="3"/>
        <v>Pass - Ready for Confirmation</v>
      </c>
    </row>
    <row r="122" spans="1:9" x14ac:dyDescent="0.3">
      <c r="A122" t="str">
        <f>FO_Capture!A122</f>
        <v>TRD00121</v>
      </c>
      <c r="B122" t="str">
        <f>FO_Capture!B122</f>
        <v>INE007A01098</v>
      </c>
      <c r="C122" t="str">
        <f>IFERROR(VLOOKUP(FO_Capture!C122, Reference_Data!A:D, 2, FALSE), "UNKNOWN")</f>
        <v>Alpha Global 28</v>
      </c>
      <c r="D122" t="str">
        <f>IFERROR(VLOOKUP(FO_Capture!C122, Reference_Data!A:D, 3, FALSE), "XXX")</f>
        <v>USD</v>
      </c>
      <c r="E122" t="str">
        <f>IFERROR(VLOOKUP(FO_Capture!C122, Reference_Data!A:D, 4, FALSE), "MISSING SSI")</f>
        <v>HDFC A/C 638209</v>
      </c>
      <c r="F122">
        <f>FO_Capture!D122</f>
        <v>390</v>
      </c>
      <c r="G122">
        <f>FO_Capture!E122</f>
        <v>412.01998901367188</v>
      </c>
      <c r="H122">
        <f t="shared" si="2"/>
        <v>160687.79571533203</v>
      </c>
      <c r="I122" t="str">
        <f t="shared" si="3"/>
        <v>Pass - Ready for Confirmation</v>
      </c>
    </row>
    <row r="123" spans="1:9" x14ac:dyDescent="0.3">
      <c r="A123" t="str">
        <f>FO_Capture!A123</f>
        <v>TRD00122</v>
      </c>
      <c r="B123" t="str">
        <f>FO_Capture!B123</f>
        <v>INE005A01021</v>
      </c>
      <c r="C123" t="str">
        <f>IFERROR(VLOOKUP(FO_Capture!C123, Reference_Data!A:D, 2, FALSE), "UNKNOWN")</f>
        <v>Alpha Capital 38</v>
      </c>
      <c r="D123" t="str">
        <f>IFERROR(VLOOKUP(FO_Capture!C123, Reference_Data!A:D, 3, FALSE), "XXX")</f>
        <v>SGD</v>
      </c>
      <c r="E123" t="str">
        <f>IFERROR(VLOOKUP(FO_Capture!C123, Reference_Data!A:D, 4, FALSE), "MISSING SSI")</f>
        <v>Deutsche Bank A/C 153521</v>
      </c>
      <c r="F123">
        <f>FO_Capture!D123</f>
        <v>310</v>
      </c>
      <c r="G123">
        <f>FO_Capture!E123</f>
        <v>384.20001220703125</v>
      </c>
      <c r="H123">
        <f t="shared" si="2"/>
        <v>119102.00378417969</v>
      </c>
      <c r="I123" t="str">
        <f t="shared" si="3"/>
        <v>Pass - Ready for Confirmation</v>
      </c>
    </row>
    <row r="124" spans="1:9" x14ac:dyDescent="0.3">
      <c r="A124" t="str">
        <f>FO_Capture!A124</f>
        <v>TRD00123</v>
      </c>
      <c r="B124" t="str">
        <f>FO_Capture!B124</f>
        <v>INE007A01058</v>
      </c>
      <c r="C124" t="str">
        <f>IFERROR(VLOOKUP(FO_Capture!C124, Reference_Data!A:D, 2, FALSE), "UNKNOWN")</f>
        <v>Alpha Partners 1</v>
      </c>
      <c r="D124" t="str">
        <f>IFERROR(VLOOKUP(FO_Capture!C124, Reference_Data!A:D, 3, FALSE), "XXX")</f>
        <v>JPY</v>
      </c>
      <c r="E124" t="str">
        <f>IFERROR(VLOOKUP(FO_Capture!C124, Reference_Data!A:D, 4, FALSE), "MISSING SSI")</f>
        <v>Standard Chartered A/C 277005</v>
      </c>
      <c r="F124">
        <f>FO_Capture!D124</f>
        <v>260</v>
      </c>
      <c r="G124">
        <f>FO_Capture!E124</f>
        <v>60.009998321533203</v>
      </c>
      <c r="H124">
        <f t="shared" si="2"/>
        <v>15602.599563598633</v>
      </c>
      <c r="I124" t="str">
        <f t="shared" si="3"/>
        <v>Pass - Ready for Confirmation</v>
      </c>
    </row>
    <row r="125" spans="1:9" x14ac:dyDescent="0.3">
      <c r="A125" t="str">
        <f>FO_Capture!A125</f>
        <v>TRD00124</v>
      </c>
      <c r="B125" t="str">
        <f>FO_Capture!B125</f>
        <v>INE001A0103</v>
      </c>
      <c r="C125" t="str">
        <f>IFERROR(VLOOKUP(FO_Capture!C125, Reference_Data!A:D, 2, FALSE), "UNKNOWN")</f>
        <v>Alpha Investments 29</v>
      </c>
      <c r="D125" t="str">
        <f>IFERROR(VLOOKUP(FO_Capture!C125, Reference_Data!A:D, 3, FALSE), "XXX")</f>
        <v>INR</v>
      </c>
      <c r="E125" t="str">
        <f>IFERROR(VLOOKUP(FO_Capture!C125, Reference_Data!A:D, 4, FALSE), "MISSING SSI")</f>
        <v>HSBC A/C 785870</v>
      </c>
      <c r="F125">
        <f>FO_Capture!D125</f>
        <v>130</v>
      </c>
      <c r="G125">
        <f>FO_Capture!E125</f>
        <v>505.1099853515625</v>
      </c>
      <c r="H125">
        <f t="shared" si="2"/>
        <v>65664.298095703125</v>
      </c>
      <c r="I125" t="str">
        <f t="shared" si="3"/>
        <v>Pass - Ready for Confirmation</v>
      </c>
    </row>
    <row r="126" spans="1:9" x14ac:dyDescent="0.3">
      <c r="A126" t="str">
        <f>FO_Capture!A126</f>
        <v>TRD00125</v>
      </c>
      <c r="B126" t="str">
        <f>FO_Capture!B126</f>
        <v>INE005A01072</v>
      </c>
      <c r="C126" t="str">
        <f>IFERROR(VLOOKUP(FO_Capture!C126, Reference_Data!A:D, 2, FALSE), "UNKNOWN")</f>
        <v>Alpha Asset Management 4</v>
      </c>
      <c r="D126" t="str">
        <f>IFERROR(VLOOKUP(FO_Capture!C126, Reference_Data!A:D, 3, FALSE), "XXX")</f>
        <v>JPY</v>
      </c>
      <c r="E126" t="str">
        <f>IFERROR(VLOOKUP(FO_Capture!C126, Reference_Data!A:D, 4, FALSE), "MISSING SSI")</f>
        <v>Deutsche Bank A/C 126543</v>
      </c>
      <c r="F126">
        <f>FO_Capture!D126</f>
        <v>40</v>
      </c>
      <c r="G126">
        <f>FO_Capture!E126</f>
        <v>105.48999786376953</v>
      </c>
      <c r="H126">
        <f t="shared" si="2"/>
        <v>4219.5999145507813</v>
      </c>
      <c r="I126" t="str">
        <f t="shared" si="3"/>
        <v>Pass - Ready for Confirmation</v>
      </c>
    </row>
    <row r="127" spans="1:9" x14ac:dyDescent="0.3">
      <c r="A127" t="str">
        <f>FO_Capture!A127</f>
        <v>TRD00126</v>
      </c>
      <c r="B127" t="str">
        <f>FO_Capture!B127</f>
        <v>INE004A01063</v>
      </c>
      <c r="C127" t="str">
        <f>IFERROR(VLOOKUP(FO_Capture!C127, Reference_Data!A:D, 2, FALSE), "UNKNOWN")</f>
        <v>Alpha Partners 3</v>
      </c>
      <c r="D127" t="str">
        <f>IFERROR(VLOOKUP(FO_Capture!C127, Reference_Data!A:D, 3, FALSE), "XXX")</f>
        <v>USD</v>
      </c>
      <c r="E127" t="str">
        <f>IFERROR(VLOOKUP(FO_Capture!C127, Reference_Data!A:D, 4, FALSE), "MISSING SSI")</f>
        <v>Citi A/C 508769</v>
      </c>
      <c r="F127">
        <f>FO_Capture!D127</f>
        <v>100</v>
      </c>
      <c r="G127">
        <f>FO_Capture!E127</f>
        <v>317.45001220703125</v>
      </c>
      <c r="H127">
        <f t="shared" si="2"/>
        <v>31745.001220703125</v>
      </c>
      <c r="I127" t="str">
        <f t="shared" si="3"/>
        <v>Pass - Ready for Confirmation</v>
      </c>
    </row>
    <row r="128" spans="1:9" x14ac:dyDescent="0.3">
      <c r="A128" t="str">
        <f>FO_Capture!A128</f>
        <v>TRD00127</v>
      </c>
      <c r="B128" t="str">
        <f>FO_Capture!B128</f>
        <v>INE003A01094</v>
      </c>
      <c r="C128" t="str">
        <f>IFERROR(VLOOKUP(FO_Capture!C128, Reference_Data!A:D, 2, FALSE), "UNKNOWN")</f>
        <v>Alpha Global 20</v>
      </c>
      <c r="D128" t="str">
        <f>IFERROR(VLOOKUP(FO_Capture!C128, Reference_Data!A:D, 3, FALSE), "XXX")</f>
        <v>JPY</v>
      </c>
      <c r="E128" t="str">
        <f>IFERROR(VLOOKUP(FO_Capture!C128, Reference_Data!A:D, 4, FALSE), "MISSING SSI")</f>
        <v>Barclays A/C 560891</v>
      </c>
      <c r="F128">
        <f>FO_Capture!D128</f>
        <v>130</v>
      </c>
      <c r="G128">
        <f>FO_Capture!E128</f>
        <v>417.60000610351563</v>
      </c>
      <c r="H128">
        <f t="shared" si="2"/>
        <v>54288.000793457031</v>
      </c>
      <c r="I128" t="str">
        <f t="shared" si="3"/>
        <v>Pass - Ready for Confirmation</v>
      </c>
    </row>
    <row r="129" spans="1:9" x14ac:dyDescent="0.3">
      <c r="A129" t="str">
        <f>FO_Capture!A129</f>
        <v>TRD00128</v>
      </c>
      <c r="B129" t="str">
        <f>FO_Capture!B129</f>
        <v>INE001A01065</v>
      </c>
      <c r="C129" t="str">
        <f>IFERROR(VLOOKUP(FO_Capture!C129, Reference_Data!A:D, 2, FALSE), "UNKNOWN")</f>
        <v>Alpha Partners 48</v>
      </c>
      <c r="D129" t="str">
        <f>IFERROR(VLOOKUP(FO_Capture!C129, Reference_Data!A:D, 3, FALSE), "XXX")</f>
        <v>SGD</v>
      </c>
      <c r="E129" t="str">
        <f>IFERROR(VLOOKUP(FO_Capture!C129, Reference_Data!A:D, 4, FALSE), "MISSING SSI")</f>
        <v>JPMorgan A/C 391364</v>
      </c>
      <c r="F129">
        <f>FO_Capture!D129</f>
        <v>420</v>
      </c>
      <c r="G129">
        <f>FO_Capture!E129</f>
        <v>252.8699951171875</v>
      </c>
      <c r="H129">
        <f t="shared" si="2"/>
        <v>106205.39794921875</v>
      </c>
      <c r="I129" t="str">
        <f t="shared" si="3"/>
        <v>Pass - Ready for Confirmation</v>
      </c>
    </row>
    <row r="130" spans="1:9" x14ac:dyDescent="0.3">
      <c r="A130" t="str">
        <f>FO_Capture!A130</f>
        <v>TRD00129</v>
      </c>
      <c r="B130" t="str">
        <f>FO_Capture!B130</f>
        <v>INE003A0101</v>
      </c>
      <c r="C130" t="str">
        <f>IFERROR(VLOOKUP(FO_Capture!C130, Reference_Data!A:D, 2, FALSE), "UNKNOWN")</f>
        <v>UNKNOWN</v>
      </c>
      <c r="D130" t="str">
        <f>IFERROR(VLOOKUP(FO_Capture!C130, Reference_Data!A:D, 3, FALSE), "XXX")</f>
        <v>XXX</v>
      </c>
      <c r="E130" t="str">
        <f>IFERROR(VLOOKUP(FO_Capture!C130, Reference_Data!A:D, 4, FALSE), "MISSING SSI")</f>
        <v>MISSING SSI</v>
      </c>
      <c r="F130">
        <f>FO_Capture!D130</f>
        <v>410</v>
      </c>
      <c r="G130">
        <f>FO_Capture!E130</f>
        <v>17.760000228881836</v>
      </c>
      <c r="H130">
        <f t="shared" si="2"/>
        <v>7281.6000938415527</v>
      </c>
      <c r="I130" t="str">
        <f t="shared" si="3"/>
        <v>Fail - Missing Ref Data</v>
      </c>
    </row>
    <row r="131" spans="1:9" x14ac:dyDescent="0.3">
      <c r="A131" t="str">
        <f>FO_Capture!A131</f>
        <v>TRD00130</v>
      </c>
      <c r="B131" t="str">
        <f>FO_Capture!B131</f>
        <v>INE009A01028</v>
      </c>
      <c r="C131" t="str">
        <f>IFERROR(VLOOKUP(FO_Capture!C131, Reference_Data!A:D, 2, FALSE), "UNKNOWN")</f>
        <v>Alpha Capital 9</v>
      </c>
      <c r="D131" t="str">
        <f>IFERROR(VLOOKUP(FO_Capture!C131, Reference_Data!A:D, 3, FALSE), "XXX")</f>
        <v>JPY</v>
      </c>
      <c r="E131" t="str">
        <f>IFERROR(VLOOKUP(FO_Capture!C131, Reference_Data!A:D, 4, FALSE), "MISSING SSI")</f>
        <v>Citi A/C 744145</v>
      </c>
      <c r="F131">
        <f>FO_Capture!D131</f>
        <v>80</v>
      </c>
      <c r="G131">
        <f>FO_Capture!E131</f>
        <v>406.98001098632813</v>
      </c>
      <c r="H131">
        <f t="shared" ref="H131:H194" si="4">F131 * G131</f>
        <v>32558.40087890625</v>
      </c>
      <c r="I131" t="str">
        <f t="shared" ref="I131:I194" si="5">IF(C131="UNKNOWN", "Fail - Missing Ref Data", IF(OR(F131&lt;=0, G131&lt;=0), "Fail - Invalid Price/Qty", IF(H131&gt;1000000, "Exception - Limit Breach", "Pass - Ready for Confirmation")))</f>
        <v>Pass - Ready for Confirmation</v>
      </c>
    </row>
    <row r="132" spans="1:9" x14ac:dyDescent="0.3">
      <c r="A132" t="str">
        <f>FO_Capture!A132</f>
        <v>TRD00131</v>
      </c>
      <c r="B132" t="str">
        <f>FO_Capture!B132</f>
        <v>INE007A01024</v>
      </c>
      <c r="C132" t="str">
        <f>IFERROR(VLOOKUP(FO_Capture!C132, Reference_Data!A:D, 2, FALSE), "UNKNOWN")</f>
        <v>Alpha Quant Fund 24</v>
      </c>
      <c r="D132" t="str">
        <f>IFERROR(VLOOKUP(FO_Capture!C132, Reference_Data!A:D, 3, FALSE), "XXX")</f>
        <v>SGD</v>
      </c>
      <c r="E132" t="str">
        <f>IFERROR(VLOOKUP(FO_Capture!C132, Reference_Data!A:D, 4, FALSE), "MISSING SSI")</f>
        <v>JPMorgan A/C 603587</v>
      </c>
      <c r="F132">
        <f>FO_Capture!D132</f>
        <v>25000</v>
      </c>
      <c r="G132">
        <f>FO_Capture!E132</f>
        <v>98.269996643066406</v>
      </c>
      <c r="H132">
        <f t="shared" si="4"/>
        <v>2456749.9160766602</v>
      </c>
      <c r="I132" t="str">
        <f t="shared" si="5"/>
        <v>Exception - Limit Breach</v>
      </c>
    </row>
    <row r="133" spans="1:9" x14ac:dyDescent="0.3">
      <c r="A133" t="str">
        <f>FO_Capture!A133</f>
        <v>TRD00132</v>
      </c>
      <c r="B133" t="str">
        <f>FO_Capture!B133</f>
        <v>INE006A01085</v>
      </c>
      <c r="C133" t="str">
        <f>IFERROR(VLOOKUP(FO_Capture!C133, Reference_Data!A:D, 2, FALSE), "UNKNOWN")</f>
        <v>Alpha Holdings 41</v>
      </c>
      <c r="D133" t="str">
        <f>IFERROR(VLOOKUP(FO_Capture!C133, Reference_Data!A:D, 3, FALSE), "XXX")</f>
        <v>JPY</v>
      </c>
      <c r="E133" t="str">
        <f>IFERROR(VLOOKUP(FO_Capture!C133, Reference_Data!A:D, 4, FALSE), "MISSING SSI")</f>
        <v>HSBC A/C 468615</v>
      </c>
      <c r="F133">
        <f>FO_Capture!D133</f>
        <v>370</v>
      </c>
      <c r="G133">
        <f>FO_Capture!E133</f>
        <v>143.22999572753906</v>
      </c>
      <c r="H133">
        <f t="shared" si="4"/>
        <v>52995.098419189453</v>
      </c>
      <c r="I133" t="str">
        <f t="shared" si="5"/>
        <v>Pass - Ready for Confirmation</v>
      </c>
    </row>
    <row r="134" spans="1:9" x14ac:dyDescent="0.3">
      <c r="A134" t="str">
        <f>FO_Capture!A134</f>
        <v>TRD00133</v>
      </c>
      <c r="B134" t="str">
        <f>FO_Capture!B134</f>
        <v>INE009A01066</v>
      </c>
      <c r="C134" t="str">
        <f>IFERROR(VLOOKUP(FO_Capture!C134, Reference_Data!A:D, 2, FALSE), "UNKNOWN")</f>
        <v>Alpha Holdings 49</v>
      </c>
      <c r="D134" t="str">
        <f>IFERROR(VLOOKUP(FO_Capture!C134, Reference_Data!A:D, 3, FALSE), "XXX")</f>
        <v>JPY</v>
      </c>
      <c r="E134" t="str">
        <f>IFERROR(VLOOKUP(FO_Capture!C134, Reference_Data!A:D, 4, FALSE), "MISSING SSI")</f>
        <v>HDFC A/C 679335</v>
      </c>
      <c r="F134">
        <f>FO_Capture!D134</f>
        <v>70</v>
      </c>
      <c r="G134">
        <f>FO_Capture!E134</f>
        <v>154.44999694824219</v>
      </c>
      <c r="H134">
        <f t="shared" si="4"/>
        <v>10811.499786376953</v>
      </c>
      <c r="I134" t="str">
        <f t="shared" si="5"/>
        <v>Pass - Ready for Confirmation</v>
      </c>
    </row>
    <row r="135" spans="1:9" x14ac:dyDescent="0.3">
      <c r="A135" t="str">
        <f>FO_Capture!A135</f>
        <v>TRD00134</v>
      </c>
      <c r="B135" t="str">
        <f>FO_Capture!B135</f>
        <v>INE006A0102</v>
      </c>
      <c r="C135" t="str">
        <f>IFERROR(VLOOKUP(FO_Capture!C135, Reference_Data!A:D, 2, FALSE), "UNKNOWN")</f>
        <v>Alpha Global 25</v>
      </c>
      <c r="D135" t="str">
        <f>IFERROR(VLOOKUP(FO_Capture!C135, Reference_Data!A:D, 3, FALSE), "XXX")</f>
        <v>EUR</v>
      </c>
      <c r="E135" t="str">
        <f>IFERROR(VLOOKUP(FO_Capture!C135, Reference_Data!A:D, 4, FALSE), "MISSING SSI")</f>
        <v>Standard Chartered A/C 438949</v>
      </c>
      <c r="F135">
        <f>FO_Capture!D135</f>
        <v>380</v>
      </c>
      <c r="G135">
        <f>FO_Capture!E135</f>
        <v>78.449996948242188</v>
      </c>
      <c r="H135">
        <f t="shared" si="4"/>
        <v>29810.998840332031</v>
      </c>
      <c r="I135" t="str">
        <f t="shared" si="5"/>
        <v>Pass - Ready for Confirmation</v>
      </c>
    </row>
    <row r="136" spans="1:9" x14ac:dyDescent="0.3">
      <c r="A136" t="str">
        <f>FO_Capture!A136</f>
        <v>TRD00135</v>
      </c>
      <c r="B136" t="str">
        <f>FO_Capture!B136</f>
        <v>INE004A01094</v>
      </c>
      <c r="C136" t="str">
        <f>IFERROR(VLOOKUP(FO_Capture!C136, Reference_Data!A:D, 2, FALSE), "UNKNOWN")</f>
        <v>Alpha Quant Fund 34</v>
      </c>
      <c r="D136" t="str">
        <f>IFERROR(VLOOKUP(FO_Capture!C136, Reference_Data!A:D, 3, FALSE), "XXX")</f>
        <v>JPY</v>
      </c>
      <c r="E136" t="str">
        <f>IFERROR(VLOOKUP(FO_Capture!C136, Reference_Data!A:D, 4, FALSE), "MISSING SSI")</f>
        <v>Citi A/C 837378</v>
      </c>
      <c r="F136">
        <f>FO_Capture!D136</f>
        <v>480</v>
      </c>
      <c r="G136">
        <f>FO_Capture!E136</f>
        <v>119.58999633789063</v>
      </c>
      <c r="H136">
        <f t="shared" si="4"/>
        <v>57403.1982421875</v>
      </c>
      <c r="I136" t="str">
        <f t="shared" si="5"/>
        <v>Pass - Ready for Confirmation</v>
      </c>
    </row>
    <row r="137" spans="1:9" x14ac:dyDescent="0.3">
      <c r="A137" t="str">
        <f>FO_Capture!A137</f>
        <v>TRD00136</v>
      </c>
      <c r="B137" t="str">
        <f>FO_Capture!B137</f>
        <v>INE007A01015</v>
      </c>
      <c r="C137" t="str">
        <f>IFERROR(VLOOKUP(FO_Capture!C137, Reference_Data!A:D, 2, FALSE), "UNKNOWN")</f>
        <v>Alpha Capital 33</v>
      </c>
      <c r="D137" t="str">
        <f>IFERROR(VLOOKUP(FO_Capture!C137, Reference_Data!A:D, 3, FALSE), "XXX")</f>
        <v>JPY</v>
      </c>
      <c r="E137" t="str">
        <f>IFERROR(VLOOKUP(FO_Capture!C137, Reference_Data!A:D, 4, FALSE), "MISSING SSI")</f>
        <v>HSBC A/C 172861</v>
      </c>
      <c r="F137">
        <f>FO_Capture!D137</f>
        <v>210</v>
      </c>
      <c r="G137">
        <f>FO_Capture!E137</f>
        <v>490.010009765625</v>
      </c>
      <c r="H137">
        <f t="shared" si="4"/>
        <v>102902.10205078125</v>
      </c>
      <c r="I137" t="str">
        <f t="shared" si="5"/>
        <v>Pass - Ready for Confirmation</v>
      </c>
    </row>
    <row r="138" spans="1:9" x14ac:dyDescent="0.3">
      <c r="A138" t="str">
        <f>FO_Capture!A138</f>
        <v>TRD00137</v>
      </c>
      <c r="B138" t="str">
        <f>FO_Capture!B138</f>
        <v>INE006A01044</v>
      </c>
      <c r="C138" t="str">
        <f>IFERROR(VLOOKUP(FO_Capture!C138, Reference_Data!A:D, 2, FALSE), "UNKNOWN")</f>
        <v>Alpha Investments 40</v>
      </c>
      <c r="D138" t="str">
        <f>IFERROR(VLOOKUP(FO_Capture!C138, Reference_Data!A:D, 3, FALSE), "XXX")</f>
        <v>GBP</v>
      </c>
      <c r="E138" t="str">
        <f>IFERROR(VLOOKUP(FO_Capture!C138, Reference_Data!A:D, 4, FALSE), "MISSING SSI")</f>
        <v>HDFC A/C 897530</v>
      </c>
      <c r="F138">
        <f>FO_Capture!D138</f>
        <v>330</v>
      </c>
      <c r="G138">
        <f>FO_Capture!E138</f>
        <v>159.71000671386719</v>
      </c>
      <c r="H138">
        <f t="shared" si="4"/>
        <v>52704.302215576172</v>
      </c>
      <c r="I138" t="str">
        <f t="shared" si="5"/>
        <v>Pass - Ready for Confirmation</v>
      </c>
    </row>
    <row r="139" spans="1:9" x14ac:dyDescent="0.3">
      <c r="A139" t="str">
        <f>FO_Capture!A139</f>
        <v>TRD00138</v>
      </c>
      <c r="B139" t="str">
        <f>FO_Capture!B139</f>
        <v>INE008A01027</v>
      </c>
      <c r="C139" t="str">
        <f>IFERROR(VLOOKUP(FO_Capture!C139, Reference_Data!A:D, 2, FALSE), "UNKNOWN")</f>
        <v>Alpha Quant Fund 12</v>
      </c>
      <c r="D139" t="str">
        <f>IFERROR(VLOOKUP(FO_Capture!C139, Reference_Data!A:D, 3, FALSE), "XXX")</f>
        <v>EUR</v>
      </c>
      <c r="E139" t="str">
        <f>IFERROR(VLOOKUP(FO_Capture!C139, Reference_Data!A:D, 4, FALSE), "MISSING SSI")</f>
        <v>Deutsche Bank A/C 324710</v>
      </c>
      <c r="F139">
        <f>FO_Capture!D139</f>
        <v>270</v>
      </c>
      <c r="G139">
        <f>FO_Capture!E139</f>
        <v>106.44999694824219</v>
      </c>
      <c r="H139">
        <f t="shared" si="4"/>
        <v>28741.499176025391</v>
      </c>
      <c r="I139" t="str">
        <f t="shared" si="5"/>
        <v>Pass - Ready for Confirmation</v>
      </c>
    </row>
    <row r="140" spans="1:9" x14ac:dyDescent="0.3">
      <c r="A140" t="str">
        <f>FO_Capture!A140</f>
        <v>TRD00139</v>
      </c>
      <c r="B140" t="str">
        <f>FO_Capture!B140</f>
        <v>INE002A01024</v>
      </c>
      <c r="C140" t="str">
        <f>IFERROR(VLOOKUP(FO_Capture!C140, Reference_Data!A:D, 2, FALSE), "UNKNOWN")</f>
        <v>Alpha Partners 18</v>
      </c>
      <c r="D140" t="str">
        <f>IFERROR(VLOOKUP(FO_Capture!C140, Reference_Data!A:D, 3, FALSE), "XXX")</f>
        <v>INR</v>
      </c>
      <c r="E140" t="str">
        <f>IFERROR(VLOOKUP(FO_Capture!C140, Reference_Data!A:D, 4, FALSE), "MISSING SSI")</f>
        <v>JPMorgan A/C 704166</v>
      </c>
      <c r="F140">
        <f>FO_Capture!D140</f>
        <v>360</v>
      </c>
      <c r="G140">
        <f>FO_Capture!E140</f>
        <v>65.830001831054688</v>
      </c>
      <c r="H140">
        <f t="shared" si="4"/>
        <v>23698.800659179688</v>
      </c>
      <c r="I140" t="str">
        <f t="shared" si="5"/>
        <v>Pass - Ready for Confirmation</v>
      </c>
    </row>
    <row r="141" spans="1:9" x14ac:dyDescent="0.3">
      <c r="A141" t="str">
        <f>FO_Capture!A141</f>
        <v>TRD00140</v>
      </c>
      <c r="B141" t="str">
        <f>FO_Capture!B141</f>
        <v>INE004A01059</v>
      </c>
      <c r="C141" t="str">
        <f>IFERROR(VLOOKUP(FO_Capture!C141, Reference_Data!A:D, 2, FALSE), "UNKNOWN")</f>
        <v>Alpha Investments 17</v>
      </c>
      <c r="D141" t="str">
        <f>IFERROR(VLOOKUP(FO_Capture!C141, Reference_Data!A:D, 3, FALSE), "XXX")</f>
        <v>USD</v>
      </c>
      <c r="E141" t="str">
        <f>IFERROR(VLOOKUP(FO_Capture!C141, Reference_Data!A:D, 4, FALSE), "MISSING SSI")</f>
        <v>HDFC A/C 113752</v>
      </c>
      <c r="F141">
        <f>FO_Capture!D141</f>
        <v>110</v>
      </c>
      <c r="G141">
        <f>FO_Capture!E141</f>
        <v>281.260009765625</v>
      </c>
      <c r="H141">
        <f t="shared" si="4"/>
        <v>30938.60107421875</v>
      </c>
      <c r="I141" t="str">
        <f t="shared" si="5"/>
        <v>Pass - Ready for Confirmation</v>
      </c>
    </row>
    <row r="142" spans="1:9" x14ac:dyDescent="0.3">
      <c r="A142" t="str">
        <f>FO_Capture!A142</f>
        <v>TRD00141</v>
      </c>
      <c r="B142" t="str">
        <f>FO_Capture!B142</f>
        <v>INE008A01071</v>
      </c>
      <c r="C142" t="str">
        <f>IFERROR(VLOOKUP(FO_Capture!C142, Reference_Data!A:D, 2, FALSE), "UNKNOWN")</f>
        <v>Alpha Asset Management 31</v>
      </c>
      <c r="D142" t="str">
        <f>IFERROR(VLOOKUP(FO_Capture!C142, Reference_Data!A:D, 3, FALSE), "XXX")</f>
        <v>USD</v>
      </c>
      <c r="E142" t="str">
        <f>IFERROR(VLOOKUP(FO_Capture!C142, Reference_Data!A:D, 4, FALSE), "MISSING SSI")</f>
        <v>Citi A/C 194841</v>
      </c>
      <c r="F142">
        <f>FO_Capture!D142</f>
        <v>440</v>
      </c>
      <c r="G142">
        <f>FO_Capture!E142</f>
        <v>253.96000671386719</v>
      </c>
      <c r="H142">
        <f t="shared" si="4"/>
        <v>111742.40295410156</v>
      </c>
      <c r="I142" t="str">
        <f t="shared" si="5"/>
        <v>Pass - Ready for Confirmation</v>
      </c>
    </row>
    <row r="143" spans="1:9" x14ac:dyDescent="0.3">
      <c r="A143" t="str">
        <f>FO_Capture!A143</f>
        <v>TRD00142</v>
      </c>
      <c r="B143" t="str">
        <f>FO_Capture!B143</f>
        <v>INE008A01062</v>
      </c>
      <c r="C143" t="str">
        <f>IFERROR(VLOOKUP(FO_Capture!C143, Reference_Data!A:D, 2, FALSE), "UNKNOWN")</f>
        <v>Alpha Partners 19</v>
      </c>
      <c r="D143" t="str">
        <f>IFERROR(VLOOKUP(FO_Capture!C143, Reference_Data!A:D, 3, FALSE), "XXX")</f>
        <v>INR</v>
      </c>
      <c r="E143" t="str">
        <f>IFERROR(VLOOKUP(FO_Capture!C143, Reference_Data!A:D, 4, FALSE), "MISSING SSI")</f>
        <v>Citi A/C 543819</v>
      </c>
      <c r="F143">
        <f>FO_Capture!D143</f>
        <v>410</v>
      </c>
      <c r="G143">
        <f>FO_Capture!E143</f>
        <v>492.95999145507813</v>
      </c>
      <c r="H143">
        <f t="shared" si="4"/>
        <v>202113.59649658203</v>
      </c>
      <c r="I143" t="str">
        <f t="shared" si="5"/>
        <v>Pass - Ready for Confirmation</v>
      </c>
    </row>
    <row r="144" spans="1:9" x14ac:dyDescent="0.3">
      <c r="A144" t="str">
        <f>FO_Capture!A144</f>
        <v>TRD00143</v>
      </c>
      <c r="B144" t="str">
        <f>FO_Capture!B144</f>
        <v>INE009A01048</v>
      </c>
      <c r="C144" t="str">
        <f>IFERROR(VLOOKUP(FO_Capture!C144, Reference_Data!A:D, 2, FALSE), "UNKNOWN")</f>
        <v>Alpha Asset Management 5</v>
      </c>
      <c r="D144" t="str">
        <f>IFERROR(VLOOKUP(FO_Capture!C144, Reference_Data!A:D, 3, FALSE), "XXX")</f>
        <v>INR</v>
      </c>
      <c r="E144" t="str">
        <f>IFERROR(VLOOKUP(FO_Capture!C144, Reference_Data!A:D, 4, FALSE), "MISSING SSI")</f>
        <v>JPMorgan A/C 860462</v>
      </c>
      <c r="F144">
        <f>FO_Capture!D144</f>
        <v>40</v>
      </c>
      <c r="G144">
        <f>FO_Capture!E144</f>
        <v>265.1199951171875</v>
      </c>
      <c r="H144">
        <f t="shared" si="4"/>
        <v>10604.7998046875</v>
      </c>
      <c r="I144" t="str">
        <f t="shared" si="5"/>
        <v>Pass - Ready for Confirmation</v>
      </c>
    </row>
    <row r="145" spans="1:9" x14ac:dyDescent="0.3">
      <c r="A145" t="str">
        <f>FO_Capture!A145</f>
        <v>TRD00144</v>
      </c>
      <c r="B145" t="str">
        <f>FO_Capture!B145</f>
        <v>INE009A0109</v>
      </c>
      <c r="C145" t="str">
        <f>IFERROR(VLOOKUP(FO_Capture!C145, Reference_Data!A:D, 2, FALSE), "UNKNOWN")</f>
        <v>Alpha Quant Fund 50</v>
      </c>
      <c r="D145" t="str">
        <f>IFERROR(VLOOKUP(FO_Capture!C145, Reference_Data!A:D, 3, FALSE), "XXX")</f>
        <v>SGD</v>
      </c>
      <c r="E145" t="str">
        <f>IFERROR(VLOOKUP(FO_Capture!C145, Reference_Data!A:D, 4, FALSE), "MISSING SSI")</f>
        <v>Standard Chartered A/C 307017</v>
      </c>
      <c r="F145">
        <f>FO_Capture!D145</f>
        <v>470</v>
      </c>
      <c r="G145">
        <f>FO_Capture!E145</f>
        <v>345.07998657226563</v>
      </c>
      <c r="H145">
        <f t="shared" si="4"/>
        <v>162187.59368896484</v>
      </c>
      <c r="I145" t="str">
        <f t="shared" si="5"/>
        <v>Pass - Ready for Confirmation</v>
      </c>
    </row>
    <row r="146" spans="1:9" x14ac:dyDescent="0.3">
      <c r="A146" t="str">
        <f>FO_Capture!A146</f>
        <v>TRD00145</v>
      </c>
      <c r="B146" t="str">
        <f>FO_Capture!B146</f>
        <v>INE007A01040</v>
      </c>
      <c r="C146" t="str">
        <f>IFERROR(VLOOKUP(FO_Capture!C146, Reference_Data!A:D, 2, FALSE), "UNKNOWN")</f>
        <v>Alpha Investments 29</v>
      </c>
      <c r="D146" t="str">
        <f>IFERROR(VLOOKUP(FO_Capture!C146, Reference_Data!A:D, 3, FALSE), "XXX")</f>
        <v>INR</v>
      </c>
      <c r="E146" t="str">
        <f>IFERROR(VLOOKUP(FO_Capture!C146, Reference_Data!A:D, 4, FALSE), "MISSING SSI")</f>
        <v>HSBC A/C 785870</v>
      </c>
      <c r="F146">
        <f>FO_Capture!D146</f>
        <v>280</v>
      </c>
      <c r="G146">
        <f>FO_Capture!E146</f>
        <v>265.32000732421875</v>
      </c>
      <c r="H146">
        <f t="shared" si="4"/>
        <v>74289.60205078125</v>
      </c>
      <c r="I146" t="str">
        <f t="shared" si="5"/>
        <v>Pass - Ready for Confirmation</v>
      </c>
    </row>
    <row r="147" spans="1:9" x14ac:dyDescent="0.3">
      <c r="A147" t="str">
        <f>FO_Capture!A147</f>
        <v>TRD00146</v>
      </c>
      <c r="B147" t="str">
        <f>FO_Capture!B147</f>
        <v>INE006A01098</v>
      </c>
      <c r="C147" t="str">
        <f>IFERROR(VLOOKUP(FO_Capture!C147, Reference_Data!A:D, 2, FALSE), "UNKNOWN")</f>
        <v>Alpha Asset Management 5</v>
      </c>
      <c r="D147" t="str">
        <f>IFERROR(VLOOKUP(FO_Capture!C147, Reference_Data!A:D, 3, FALSE), "XXX")</f>
        <v>INR</v>
      </c>
      <c r="E147" t="str">
        <f>IFERROR(VLOOKUP(FO_Capture!C147, Reference_Data!A:D, 4, FALSE), "MISSING SSI")</f>
        <v>JPMorgan A/C 860462</v>
      </c>
      <c r="F147">
        <f>FO_Capture!D147</f>
        <v>200</v>
      </c>
      <c r="G147">
        <f>FO_Capture!E147</f>
        <v>66.129997253417969</v>
      </c>
      <c r="H147">
        <f t="shared" si="4"/>
        <v>13225.999450683594</v>
      </c>
      <c r="I147" t="str">
        <f t="shared" si="5"/>
        <v>Pass - Ready for Confirmation</v>
      </c>
    </row>
    <row r="148" spans="1:9" x14ac:dyDescent="0.3">
      <c r="A148" t="str">
        <f>FO_Capture!A148</f>
        <v>TRD00147</v>
      </c>
      <c r="B148" t="str">
        <f>FO_Capture!B148</f>
        <v>INE008A01058</v>
      </c>
      <c r="C148" t="str">
        <f>IFERROR(VLOOKUP(FO_Capture!C148, Reference_Data!A:D, 2, FALSE), "UNKNOWN")</f>
        <v>Alpha Asset Management 4</v>
      </c>
      <c r="D148" t="str">
        <f>IFERROR(VLOOKUP(FO_Capture!C148, Reference_Data!A:D, 3, FALSE), "XXX")</f>
        <v>JPY</v>
      </c>
      <c r="E148" t="str">
        <f>IFERROR(VLOOKUP(FO_Capture!C148, Reference_Data!A:D, 4, FALSE), "MISSING SSI")</f>
        <v>Deutsche Bank A/C 126543</v>
      </c>
      <c r="F148">
        <f>FO_Capture!D148</f>
        <v>390</v>
      </c>
      <c r="G148">
        <f>FO_Capture!E148</f>
        <v>45.590000152587891</v>
      </c>
      <c r="H148">
        <f t="shared" si="4"/>
        <v>17780.100059509277</v>
      </c>
      <c r="I148" t="str">
        <f t="shared" si="5"/>
        <v>Pass - Ready for Confirmation</v>
      </c>
    </row>
    <row r="149" spans="1:9" x14ac:dyDescent="0.3">
      <c r="A149" t="str">
        <f>FO_Capture!A149</f>
        <v>TRD00148</v>
      </c>
      <c r="B149" t="str">
        <f>FO_Capture!B149</f>
        <v>INE002A01055</v>
      </c>
      <c r="C149" t="str">
        <f>IFERROR(VLOOKUP(FO_Capture!C149, Reference_Data!A:D, 2, FALSE), "UNKNOWN")</f>
        <v>Alpha Holdings 41</v>
      </c>
      <c r="D149" t="str">
        <f>IFERROR(VLOOKUP(FO_Capture!C149, Reference_Data!A:D, 3, FALSE), "XXX")</f>
        <v>JPY</v>
      </c>
      <c r="E149" t="str">
        <f>IFERROR(VLOOKUP(FO_Capture!C149, Reference_Data!A:D, 4, FALSE), "MISSING SSI")</f>
        <v>HSBC A/C 468615</v>
      </c>
      <c r="F149">
        <f>FO_Capture!D149</f>
        <v>160</v>
      </c>
      <c r="G149">
        <f>FO_Capture!E149</f>
        <v>509.6099853515625</v>
      </c>
      <c r="H149">
        <f t="shared" si="4"/>
        <v>81537.59765625</v>
      </c>
      <c r="I149" t="str">
        <f t="shared" si="5"/>
        <v>Pass - Ready for Confirmation</v>
      </c>
    </row>
    <row r="150" spans="1:9" x14ac:dyDescent="0.3">
      <c r="A150" t="str">
        <f>FO_Capture!A150</f>
        <v>TRD00149</v>
      </c>
      <c r="B150" t="str">
        <f>FO_Capture!B150</f>
        <v>INE003A01040</v>
      </c>
      <c r="C150" t="str">
        <f>IFERROR(VLOOKUP(FO_Capture!C150, Reference_Data!A:D, 2, FALSE), "UNKNOWN")</f>
        <v>Alpha Capital 44</v>
      </c>
      <c r="D150" t="str">
        <f>IFERROR(VLOOKUP(FO_Capture!C150, Reference_Data!A:D, 3, FALSE), "XXX")</f>
        <v>INR</v>
      </c>
      <c r="E150" t="str">
        <f>IFERROR(VLOOKUP(FO_Capture!C150, Reference_Data!A:D, 4, FALSE), "MISSING SSI")</f>
        <v>Deutsche Bank A/C 428758</v>
      </c>
      <c r="F150">
        <f>FO_Capture!D150</f>
        <v>240</v>
      </c>
      <c r="G150">
        <f>FO_Capture!E150</f>
        <v>21.930000305175781</v>
      </c>
      <c r="H150">
        <f t="shared" si="4"/>
        <v>5263.2000732421875</v>
      </c>
      <c r="I150" t="str">
        <f t="shared" si="5"/>
        <v>Pass - Ready for Confirmation</v>
      </c>
    </row>
    <row r="151" spans="1:9" x14ac:dyDescent="0.3">
      <c r="A151" t="str">
        <f>FO_Capture!A151</f>
        <v>TRD00150</v>
      </c>
      <c r="B151" t="str">
        <f>FO_Capture!B151</f>
        <v>INE002A01027</v>
      </c>
      <c r="C151" t="str">
        <f>IFERROR(VLOOKUP(FO_Capture!C151, Reference_Data!A:D, 2, FALSE), "UNKNOWN")</f>
        <v>Alpha Global 28</v>
      </c>
      <c r="D151" t="str">
        <f>IFERROR(VLOOKUP(FO_Capture!C151, Reference_Data!A:D, 3, FALSE), "XXX")</f>
        <v>USD</v>
      </c>
      <c r="E151" t="str">
        <f>IFERROR(VLOOKUP(FO_Capture!C151, Reference_Data!A:D, 4, FALSE), "MISSING SSI")</f>
        <v>HDFC A/C 638209</v>
      </c>
      <c r="F151">
        <f>FO_Capture!D151</f>
        <v>30</v>
      </c>
      <c r="G151">
        <f>FO_Capture!E151</f>
        <v>154.05999755859375</v>
      </c>
      <c r="H151">
        <f t="shared" si="4"/>
        <v>4621.7999267578125</v>
      </c>
      <c r="I151" t="str">
        <f t="shared" si="5"/>
        <v>Pass - Ready for Confirmation</v>
      </c>
    </row>
    <row r="152" spans="1:9" x14ac:dyDescent="0.3">
      <c r="A152" t="str">
        <f>FO_Capture!A152</f>
        <v>TRD00151</v>
      </c>
      <c r="B152" t="str">
        <f>FO_Capture!B152</f>
        <v>INE009A01045</v>
      </c>
      <c r="C152" t="str">
        <f>IFERROR(VLOOKUP(FO_Capture!C152, Reference_Data!A:D, 2, FALSE), "UNKNOWN")</f>
        <v>Alpha Holdings 23</v>
      </c>
      <c r="D152" t="str">
        <f>IFERROR(VLOOKUP(FO_Capture!C152, Reference_Data!A:D, 3, FALSE), "XXX")</f>
        <v>INR</v>
      </c>
      <c r="E152" t="str">
        <f>IFERROR(VLOOKUP(FO_Capture!C152, Reference_Data!A:D, 4, FALSE), "MISSING SSI")</f>
        <v>Deutsche Bank A/C 983712</v>
      </c>
      <c r="F152">
        <f>FO_Capture!D152</f>
        <v>25000</v>
      </c>
      <c r="G152">
        <f>FO_Capture!E152</f>
        <v>323.57000732421875</v>
      </c>
      <c r="H152">
        <f t="shared" si="4"/>
        <v>8089250.1831054688</v>
      </c>
      <c r="I152" t="str">
        <f t="shared" si="5"/>
        <v>Exception - Limit Breach</v>
      </c>
    </row>
    <row r="153" spans="1:9" x14ac:dyDescent="0.3">
      <c r="A153" t="str">
        <f>FO_Capture!A153</f>
        <v>TRD00152</v>
      </c>
      <c r="B153" t="str">
        <f>FO_Capture!B153</f>
        <v>INE005A01021</v>
      </c>
      <c r="C153" t="str">
        <f>IFERROR(VLOOKUP(FO_Capture!C153, Reference_Data!A:D, 2, FALSE), "UNKNOWN")</f>
        <v>Alpha Global 46</v>
      </c>
      <c r="D153" t="str">
        <f>IFERROR(VLOOKUP(FO_Capture!C153, Reference_Data!A:D, 3, FALSE), "XXX")</f>
        <v>USD</v>
      </c>
      <c r="E153" t="str">
        <f>IFERROR(VLOOKUP(FO_Capture!C153, Reference_Data!A:D, 4, FALSE), "MISSING SSI")</f>
        <v>Citi A/C 700450</v>
      </c>
      <c r="F153">
        <f>FO_Capture!D153</f>
        <v>140</v>
      </c>
      <c r="G153">
        <f>FO_Capture!E153</f>
        <v>95.639999389648438</v>
      </c>
      <c r="H153">
        <f t="shared" si="4"/>
        <v>13389.599914550781</v>
      </c>
      <c r="I153" t="str">
        <f t="shared" si="5"/>
        <v>Pass - Ready for Confirmation</v>
      </c>
    </row>
    <row r="154" spans="1:9" x14ac:dyDescent="0.3">
      <c r="A154" t="str">
        <f>FO_Capture!A154</f>
        <v>TRD00153</v>
      </c>
      <c r="B154" t="str">
        <f>FO_Capture!B154</f>
        <v>INE002A01040</v>
      </c>
      <c r="C154" t="str">
        <f>IFERROR(VLOOKUP(FO_Capture!C154, Reference_Data!A:D, 2, FALSE), "UNKNOWN")</f>
        <v>Alpha Global 14</v>
      </c>
      <c r="D154" t="str">
        <f>IFERROR(VLOOKUP(FO_Capture!C154, Reference_Data!A:D, 3, FALSE), "XXX")</f>
        <v>USD</v>
      </c>
      <c r="E154" t="str">
        <f>IFERROR(VLOOKUP(FO_Capture!C154, Reference_Data!A:D, 4, FALSE), "MISSING SSI")</f>
        <v>HSBC A/C 864249</v>
      </c>
      <c r="F154">
        <f>FO_Capture!D154</f>
        <v>490</v>
      </c>
      <c r="G154">
        <f>FO_Capture!E154</f>
        <v>232.80000305175781</v>
      </c>
      <c r="H154">
        <f t="shared" si="4"/>
        <v>114072.00149536133</v>
      </c>
      <c r="I154" t="str">
        <f t="shared" si="5"/>
        <v>Pass - Ready for Confirmation</v>
      </c>
    </row>
    <row r="155" spans="1:9" x14ac:dyDescent="0.3">
      <c r="A155" t="str">
        <f>FO_Capture!A155</f>
        <v>TRD00154</v>
      </c>
      <c r="B155" t="str">
        <f>FO_Capture!B155</f>
        <v>INE007A01044</v>
      </c>
      <c r="C155" t="str">
        <f>IFERROR(VLOOKUP(FO_Capture!C155, Reference_Data!A:D, 2, FALSE), "UNKNOWN")</f>
        <v>Alpha Investments 43</v>
      </c>
      <c r="D155" t="str">
        <f>IFERROR(VLOOKUP(FO_Capture!C155, Reference_Data!A:D, 3, FALSE), "XXX")</f>
        <v>EUR</v>
      </c>
      <c r="E155" t="str">
        <f>IFERROR(VLOOKUP(FO_Capture!C155, Reference_Data!A:D, 4, FALSE), "MISSING SSI")</f>
        <v>Citi A/C 714496</v>
      </c>
      <c r="F155">
        <f>FO_Capture!D155</f>
        <v>290</v>
      </c>
      <c r="G155">
        <f>FO_Capture!E155</f>
        <v>284.1300048828125</v>
      </c>
      <c r="H155">
        <f t="shared" si="4"/>
        <v>82397.701416015625</v>
      </c>
      <c r="I155" t="str">
        <f t="shared" si="5"/>
        <v>Pass - Ready for Confirmation</v>
      </c>
    </row>
    <row r="156" spans="1:9" x14ac:dyDescent="0.3">
      <c r="A156" t="str">
        <f>FO_Capture!A156</f>
        <v>TRD00155</v>
      </c>
      <c r="B156" t="str">
        <f>FO_Capture!B156</f>
        <v>INE002A01023</v>
      </c>
      <c r="C156" t="str">
        <f>IFERROR(VLOOKUP(FO_Capture!C156, Reference_Data!A:D, 2, FALSE), "UNKNOWN")</f>
        <v>UNKNOWN</v>
      </c>
      <c r="D156" t="str">
        <f>IFERROR(VLOOKUP(FO_Capture!C156, Reference_Data!A:D, 3, FALSE), "XXX")</f>
        <v>XXX</v>
      </c>
      <c r="E156" t="str">
        <f>IFERROR(VLOOKUP(FO_Capture!C156, Reference_Data!A:D, 4, FALSE), "MISSING SSI")</f>
        <v>MISSING SSI</v>
      </c>
      <c r="F156">
        <f>FO_Capture!D156</f>
        <v>390</v>
      </c>
      <c r="G156">
        <f>FO_Capture!E156</f>
        <v>476.22000122070313</v>
      </c>
      <c r="H156">
        <f t="shared" si="4"/>
        <v>185725.80047607422</v>
      </c>
      <c r="I156" t="str">
        <f t="shared" si="5"/>
        <v>Fail - Missing Ref Data</v>
      </c>
    </row>
    <row r="157" spans="1:9" x14ac:dyDescent="0.3">
      <c r="A157" t="str">
        <f>FO_Capture!A157</f>
        <v>TRD00156</v>
      </c>
      <c r="B157" t="str">
        <f>FO_Capture!B157</f>
        <v>INE004A01030</v>
      </c>
      <c r="C157" t="str">
        <f>IFERROR(VLOOKUP(FO_Capture!C157, Reference_Data!A:D, 2, FALSE), "UNKNOWN")</f>
        <v>Alpha Quant Fund 50</v>
      </c>
      <c r="D157" t="str">
        <f>IFERROR(VLOOKUP(FO_Capture!C157, Reference_Data!A:D, 3, FALSE), "XXX")</f>
        <v>SGD</v>
      </c>
      <c r="E157" t="str">
        <f>IFERROR(VLOOKUP(FO_Capture!C157, Reference_Data!A:D, 4, FALSE), "MISSING SSI")</f>
        <v>Standard Chartered A/C 307017</v>
      </c>
      <c r="F157">
        <f>FO_Capture!D157</f>
        <v>80</v>
      </c>
      <c r="G157">
        <f>FO_Capture!E157</f>
        <v>405.17001342773438</v>
      </c>
      <c r="H157">
        <f t="shared" si="4"/>
        <v>32413.60107421875</v>
      </c>
      <c r="I157" t="str">
        <f t="shared" si="5"/>
        <v>Pass - Ready for Confirmation</v>
      </c>
    </row>
    <row r="158" spans="1:9" x14ac:dyDescent="0.3">
      <c r="A158" t="str">
        <f>FO_Capture!A158</f>
        <v>TRD00157</v>
      </c>
      <c r="B158" t="str">
        <f>FO_Capture!B158</f>
        <v>INE003A01087</v>
      </c>
      <c r="C158" t="str">
        <f>IFERROR(VLOOKUP(FO_Capture!C158, Reference_Data!A:D, 2, FALSE), "UNKNOWN")</f>
        <v>Alpha Holdings 49</v>
      </c>
      <c r="D158" t="str">
        <f>IFERROR(VLOOKUP(FO_Capture!C158, Reference_Data!A:D, 3, FALSE), "XXX")</f>
        <v>JPY</v>
      </c>
      <c r="E158" t="str">
        <f>IFERROR(VLOOKUP(FO_Capture!C158, Reference_Data!A:D, 4, FALSE), "MISSING SSI")</f>
        <v>HDFC A/C 679335</v>
      </c>
      <c r="F158">
        <f>FO_Capture!D158</f>
        <v>230</v>
      </c>
      <c r="G158">
        <f>FO_Capture!E158</f>
        <v>154.80999755859375</v>
      </c>
      <c r="H158">
        <f t="shared" si="4"/>
        <v>35606.299438476563</v>
      </c>
      <c r="I158" t="str">
        <f t="shared" si="5"/>
        <v>Pass - Ready for Confirmation</v>
      </c>
    </row>
    <row r="159" spans="1:9" x14ac:dyDescent="0.3">
      <c r="A159" t="str">
        <f>FO_Capture!A159</f>
        <v>TRD00158</v>
      </c>
      <c r="B159" t="str">
        <f>FO_Capture!B159</f>
        <v>INE003A01014</v>
      </c>
      <c r="C159" t="str">
        <f>IFERROR(VLOOKUP(FO_Capture!C159, Reference_Data!A:D, 2, FALSE), "UNKNOWN")</f>
        <v>Alpha Capital 11</v>
      </c>
      <c r="D159" t="str">
        <f>IFERROR(VLOOKUP(FO_Capture!C159, Reference_Data!A:D, 3, FALSE), "XXX")</f>
        <v>USD</v>
      </c>
      <c r="E159" t="str">
        <f>IFERROR(VLOOKUP(FO_Capture!C159, Reference_Data!A:D, 4, FALSE), "MISSING SSI")</f>
        <v>JPMorgan A/C 987170</v>
      </c>
      <c r="F159">
        <f>FO_Capture!D159</f>
        <v>390</v>
      </c>
      <c r="G159">
        <f>FO_Capture!E159</f>
        <v>240.02999877929688</v>
      </c>
      <c r="H159">
        <f t="shared" si="4"/>
        <v>93611.699523925781</v>
      </c>
      <c r="I159" t="str">
        <f t="shared" si="5"/>
        <v>Pass - Ready for Confirmation</v>
      </c>
    </row>
    <row r="160" spans="1:9" x14ac:dyDescent="0.3">
      <c r="A160" t="str">
        <f>FO_Capture!A160</f>
        <v>TRD00159</v>
      </c>
      <c r="B160" t="str">
        <f>FO_Capture!B160</f>
        <v>INE007A01034</v>
      </c>
      <c r="C160" t="str">
        <f>IFERROR(VLOOKUP(FO_Capture!C160, Reference_Data!A:D, 2, FALSE), "UNKNOWN")</f>
        <v>Alpha Partners 6</v>
      </c>
      <c r="D160" t="str">
        <f>IFERROR(VLOOKUP(FO_Capture!C160, Reference_Data!A:D, 3, FALSE), "XXX")</f>
        <v>INR</v>
      </c>
      <c r="E160" t="str">
        <f>IFERROR(VLOOKUP(FO_Capture!C160, Reference_Data!A:D, 4, FALSE), "MISSING SSI")</f>
        <v>Standard Chartered A/C 441247</v>
      </c>
      <c r="F160">
        <f>FO_Capture!D160</f>
        <v>270</v>
      </c>
      <c r="G160">
        <f>FO_Capture!E160</f>
        <v>371.02999877929688</v>
      </c>
      <c r="H160">
        <f t="shared" si="4"/>
        <v>100178.09967041016</v>
      </c>
      <c r="I160" t="str">
        <f t="shared" si="5"/>
        <v>Pass - Ready for Confirmation</v>
      </c>
    </row>
    <row r="161" spans="1:9" x14ac:dyDescent="0.3">
      <c r="A161" t="str">
        <f>FO_Capture!A161</f>
        <v>TRD00160</v>
      </c>
      <c r="B161" t="str">
        <f>FO_Capture!B161</f>
        <v>INE009A01028</v>
      </c>
      <c r="C161" t="str">
        <f>IFERROR(VLOOKUP(FO_Capture!C161, Reference_Data!A:D, 2, FALSE), "UNKNOWN")</f>
        <v>Alpha Global 39</v>
      </c>
      <c r="D161" t="str">
        <f>IFERROR(VLOOKUP(FO_Capture!C161, Reference_Data!A:D, 3, FALSE), "XXX")</f>
        <v>SGD</v>
      </c>
      <c r="E161" t="str">
        <f>IFERROR(VLOOKUP(FO_Capture!C161, Reference_Data!A:D, 4, FALSE), "MISSING SSI")</f>
        <v>Deutsche Bank A/C 917029</v>
      </c>
      <c r="F161">
        <f>FO_Capture!D161</f>
        <v>380</v>
      </c>
      <c r="G161">
        <f>FO_Capture!E161</f>
        <v>203.33000183105469</v>
      </c>
      <c r="H161">
        <f t="shared" si="4"/>
        <v>77265.400695800781</v>
      </c>
      <c r="I161" t="str">
        <f t="shared" si="5"/>
        <v>Pass - Ready for Confirmation</v>
      </c>
    </row>
    <row r="162" spans="1:9" x14ac:dyDescent="0.3">
      <c r="A162" t="str">
        <f>FO_Capture!A162</f>
        <v>TRD00161</v>
      </c>
      <c r="B162" t="str">
        <f>FO_Capture!B162</f>
        <v>INE004A01074</v>
      </c>
      <c r="C162" t="str">
        <f>IFERROR(VLOOKUP(FO_Capture!C162, Reference_Data!A:D, 2, FALSE), "UNKNOWN")</f>
        <v>Alpha Investments 17</v>
      </c>
      <c r="D162" t="str">
        <f>IFERROR(VLOOKUP(FO_Capture!C162, Reference_Data!A:D, 3, FALSE), "XXX")</f>
        <v>USD</v>
      </c>
      <c r="E162" t="str">
        <f>IFERROR(VLOOKUP(FO_Capture!C162, Reference_Data!A:D, 4, FALSE), "MISSING SSI")</f>
        <v>HDFC A/C 113752</v>
      </c>
      <c r="F162">
        <f>FO_Capture!D162</f>
        <v>360</v>
      </c>
      <c r="G162">
        <f>FO_Capture!E162</f>
        <v>87.769996643066406</v>
      </c>
      <c r="H162">
        <f t="shared" si="4"/>
        <v>31597.198791503906</v>
      </c>
      <c r="I162" t="str">
        <f t="shared" si="5"/>
        <v>Pass - Ready for Confirmation</v>
      </c>
    </row>
    <row r="163" spans="1:9" x14ac:dyDescent="0.3">
      <c r="A163" t="str">
        <f>FO_Capture!A163</f>
        <v>TRD00162</v>
      </c>
      <c r="B163" t="str">
        <f>FO_Capture!B163</f>
        <v>INE006A0106</v>
      </c>
      <c r="C163" t="str">
        <f>IFERROR(VLOOKUP(FO_Capture!C163, Reference_Data!A:D, 2, FALSE), "UNKNOWN")</f>
        <v>Alpha Quant Fund 34</v>
      </c>
      <c r="D163" t="str">
        <f>IFERROR(VLOOKUP(FO_Capture!C163, Reference_Data!A:D, 3, FALSE), "XXX")</f>
        <v>JPY</v>
      </c>
      <c r="E163" t="str">
        <f>IFERROR(VLOOKUP(FO_Capture!C163, Reference_Data!A:D, 4, FALSE), "MISSING SSI")</f>
        <v>Citi A/C 837378</v>
      </c>
      <c r="F163">
        <f>FO_Capture!D163</f>
        <v>200</v>
      </c>
      <c r="G163">
        <f>FO_Capture!E163</f>
        <v>320.48001098632813</v>
      </c>
      <c r="H163">
        <f t="shared" si="4"/>
        <v>64096.002197265625</v>
      </c>
      <c r="I163" t="str">
        <f t="shared" si="5"/>
        <v>Pass - Ready for Confirmation</v>
      </c>
    </row>
    <row r="164" spans="1:9" x14ac:dyDescent="0.3">
      <c r="A164" t="str">
        <f>FO_Capture!A164</f>
        <v>TRD00163</v>
      </c>
      <c r="B164" t="str">
        <f>FO_Capture!B164</f>
        <v>INE003A01054</v>
      </c>
      <c r="C164" t="str">
        <f>IFERROR(VLOOKUP(FO_Capture!C164, Reference_Data!A:D, 2, FALSE), "UNKNOWN")</f>
        <v>Alpha Partners 37</v>
      </c>
      <c r="D164" t="str">
        <f>IFERROR(VLOOKUP(FO_Capture!C164, Reference_Data!A:D, 3, FALSE), "XXX")</f>
        <v>JPY</v>
      </c>
      <c r="E164" t="str">
        <f>IFERROR(VLOOKUP(FO_Capture!C164, Reference_Data!A:D, 4, FALSE), "MISSING SSI")</f>
        <v>HSBC A/C 994063</v>
      </c>
      <c r="F164">
        <f>FO_Capture!D164</f>
        <v>480</v>
      </c>
      <c r="G164">
        <f>FO_Capture!E164</f>
        <v>392.91000366210938</v>
      </c>
      <c r="H164">
        <f t="shared" si="4"/>
        <v>188596.8017578125</v>
      </c>
      <c r="I164" t="str">
        <f t="shared" si="5"/>
        <v>Pass - Ready for Confirmation</v>
      </c>
    </row>
    <row r="165" spans="1:9" x14ac:dyDescent="0.3">
      <c r="A165" t="str">
        <f>FO_Capture!A165</f>
        <v>TRD00164</v>
      </c>
      <c r="B165" t="str">
        <f>FO_Capture!B165</f>
        <v>INE008A0106</v>
      </c>
      <c r="C165" t="str">
        <f>IFERROR(VLOOKUP(FO_Capture!C165, Reference_Data!A:D, 2, FALSE), "UNKNOWN")</f>
        <v>Alpha Capital 7</v>
      </c>
      <c r="D165" t="str">
        <f>IFERROR(VLOOKUP(FO_Capture!C165, Reference_Data!A:D, 3, FALSE), "XXX")</f>
        <v>INR</v>
      </c>
      <c r="E165" t="str">
        <f>IFERROR(VLOOKUP(FO_Capture!C165, Reference_Data!A:D, 4, FALSE), "MISSING SSI")</f>
        <v>Standard Chartered A/C 682134</v>
      </c>
      <c r="F165">
        <f>FO_Capture!D165</f>
        <v>130</v>
      </c>
      <c r="G165">
        <f>FO_Capture!E165</f>
        <v>241.85000610351563</v>
      </c>
      <c r="H165">
        <f t="shared" si="4"/>
        <v>31440.500793457031</v>
      </c>
      <c r="I165" t="str">
        <f t="shared" si="5"/>
        <v>Pass - Ready for Confirmation</v>
      </c>
    </row>
    <row r="166" spans="1:9" x14ac:dyDescent="0.3">
      <c r="A166" t="str">
        <f>FO_Capture!A166</f>
        <v>TRD00165</v>
      </c>
      <c r="B166" t="str">
        <f>FO_Capture!B166</f>
        <v>INE004A01045</v>
      </c>
      <c r="C166" t="str">
        <f>IFERROR(VLOOKUP(FO_Capture!C166, Reference_Data!A:D, 2, FALSE), "UNKNOWN")</f>
        <v>Alpha Capital 33</v>
      </c>
      <c r="D166" t="str">
        <f>IFERROR(VLOOKUP(FO_Capture!C166, Reference_Data!A:D, 3, FALSE), "XXX")</f>
        <v>JPY</v>
      </c>
      <c r="E166" t="str">
        <f>IFERROR(VLOOKUP(FO_Capture!C166, Reference_Data!A:D, 4, FALSE), "MISSING SSI")</f>
        <v>HSBC A/C 172861</v>
      </c>
      <c r="F166">
        <f>FO_Capture!D166</f>
        <v>210</v>
      </c>
      <c r="G166">
        <f>FO_Capture!E166</f>
        <v>499.3599853515625</v>
      </c>
      <c r="H166">
        <f t="shared" si="4"/>
        <v>104865.59692382813</v>
      </c>
      <c r="I166" t="str">
        <f t="shared" si="5"/>
        <v>Pass - Ready for Confirmation</v>
      </c>
    </row>
    <row r="167" spans="1:9" x14ac:dyDescent="0.3">
      <c r="A167" t="str">
        <f>FO_Capture!A167</f>
        <v>TRD00166</v>
      </c>
      <c r="B167" t="str">
        <f>FO_Capture!B167</f>
        <v>INE004A01010</v>
      </c>
      <c r="C167" t="str">
        <f>IFERROR(VLOOKUP(FO_Capture!C167, Reference_Data!A:D, 2, FALSE), "UNKNOWN")</f>
        <v>Alpha Capital 33</v>
      </c>
      <c r="D167" t="str">
        <f>IFERROR(VLOOKUP(FO_Capture!C167, Reference_Data!A:D, 3, FALSE), "XXX")</f>
        <v>JPY</v>
      </c>
      <c r="E167" t="str">
        <f>IFERROR(VLOOKUP(FO_Capture!C167, Reference_Data!A:D, 4, FALSE), "MISSING SSI")</f>
        <v>HSBC A/C 172861</v>
      </c>
      <c r="F167">
        <f>FO_Capture!D167</f>
        <v>100</v>
      </c>
      <c r="G167">
        <f>FO_Capture!E167</f>
        <v>242.83999633789063</v>
      </c>
      <c r="H167">
        <f t="shared" si="4"/>
        <v>24283.999633789063</v>
      </c>
      <c r="I167" t="str">
        <f t="shared" si="5"/>
        <v>Pass - Ready for Confirmation</v>
      </c>
    </row>
    <row r="168" spans="1:9" x14ac:dyDescent="0.3">
      <c r="A168" t="str">
        <f>FO_Capture!A168</f>
        <v>TRD00167</v>
      </c>
      <c r="B168" t="str">
        <f>FO_Capture!B168</f>
        <v>INE001A01040</v>
      </c>
      <c r="C168" t="str">
        <f>IFERROR(VLOOKUP(FO_Capture!C168, Reference_Data!A:D, 2, FALSE), "UNKNOWN")</f>
        <v>Alpha Capital 36</v>
      </c>
      <c r="D168" t="str">
        <f>IFERROR(VLOOKUP(FO_Capture!C168, Reference_Data!A:D, 3, FALSE), "XXX")</f>
        <v>JPY</v>
      </c>
      <c r="E168" t="str">
        <f>IFERROR(VLOOKUP(FO_Capture!C168, Reference_Data!A:D, 4, FALSE), "MISSING SSI")</f>
        <v>Citi A/C 359789</v>
      </c>
      <c r="F168">
        <f>FO_Capture!D168</f>
        <v>280</v>
      </c>
      <c r="G168">
        <f>FO_Capture!E168</f>
        <v>245</v>
      </c>
      <c r="H168">
        <f t="shared" si="4"/>
        <v>68600</v>
      </c>
      <c r="I168" t="str">
        <f t="shared" si="5"/>
        <v>Pass - Ready for Confirmation</v>
      </c>
    </row>
    <row r="169" spans="1:9" x14ac:dyDescent="0.3">
      <c r="A169" t="str">
        <f>FO_Capture!A169</f>
        <v>TRD00168</v>
      </c>
      <c r="B169" t="str">
        <f>FO_Capture!B169</f>
        <v>INE001A01027</v>
      </c>
      <c r="C169" t="str">
        <f>IFERROR(VLOOKUP(FO_Capture!C169, Reference_Data!A:D, 2, FALSE), "UNKNOWN")</f>
        <v>Alpha Quant Fund 50</v>
      </c>
      <c r="D169" t="str">
        <f>IFERROR(VLOOKUP(FO_Capture!C169, Reference_Data!A:D, 3, FALSE), "XXX")</f>
        <v>SGD</v>
      </c>
      <c r="E169" t="str">
        <f>IFERROR(VLOOKUP(FO_Capture!C169, Reference_Data!A:D, 4, FALSE), "MISSING SSI")</f>
        <v>Standard Chartered A/C 307017</v>
      </c>
      <c r="F169">
        <f>FO_Capture!D169</f>
        <v>120</v>
      </c>
      <c r="G169">
        <f>FO_Capture!E169</f>
        <v>223.85000610351563</v>
      </c>
      <c r="H169">
        <f t="shared" si="4"/>
        <v>26862.000732421875</v>
      </c>
      <c r="I169" t="str">
        <f t="shared" si="5"/>
        <v>Pass - Ready for Confirmation</v>
      </c>
    </row>
    <row r="170" spans="1:9" x14ac:dyDescent="0.3">
      <c r="A170" t="str">
        <f>FO_Capture!A170</f>
        <v>TRD00169</v>
      </c>
      <c r="B170" t="str">
        <f>FO_Capture!B170</f>
        <v>INE008A01062</v>
      </c>
      <c r="C170" t="str">
        <f>IFERROR(VLOOKUP(FO_Capture!C170, Reference_Data!A:D, 2, FALSE), "UNKNOWN")</f>
        <v>Alpha Investments 40</v>
      </c>
      <c r="D170" t="str">
        <f>IFERROR(VLOOKUP(FO_Capture!C170, Reference_Data!A:D, 3, FALSE), "XXX")</f>
        <v>GBP</v>
      </c>
      <c r="E170" t="str">
        <f>IFERROR(VLOOKUP(FO_Capture!C170, Reference_Data!A:D, 4, FALSE), "MISSING SSI")</f>
        <v>HDFC A/C 897530</v>
      </c>
      <c r="F170">
        <f>FO_Capture!D170</f>
        <v>40</v>
      </c>
      <c r="G170">
        <f>FO_Capture!E170</f>
        <v>92.720001220703125</v>
      </c>
      <c r="H170">
        <f t="shared" si="4"/>
        <v>3708.800048828125</v>
      </c>
      <c r="I170" t="str">
        <f t="shared" si="5"/>
        <v>Pass - Ready for Confirmation</v>
      </c>
    </row>
    <row r="171" spans="1:9" x14ac:dyDescent="0.3">
      <c r="A171" t="str">
        <f>FO_Capture!A171</f>
        <v>TRD00170</v>
      </c>
      <c r="B171" t="str">
        <f>FO_Capture!B171</f>
        <v>INE003A01090</v>
      </c>
      <c r="C171" t="str">
        <f>IFERROR(VLOOKUP(FO_Capture!C171, Reference_Data!A:D, 2, FALSE), "UNKNOWN")</f>
        <v>Alpha Partners 6</v>
      </c>
      <c r="D171" t="str">
        <f>IFERROR(VLOOKUP(FO_Capture!C171, Reference_Data!A:D, 3, FALSE), "XXX")</f>
        <v>INR</v>
      </c>
      <c r="E171" t="str">
        <f>IFERROR(VLOOKUP(FO_Capture!C171, Reference_Data!A:D, 4, FALSE), "MISSING SSI")</f>
        <v>Standard Chartered A/C 441247</v>
      </c>
      <c r="F171">
        <f>FO_Capture!D171</f>
        <v>350</v>
      </c>
      <c r="G171">
        <f>FO_Capture!E171</f>
        <v>210.25999450683594</v>
      </c>
      <c r="H171">
        <f t="shared" si="4"/>
        <v>73590.998077392578</v>
      </c>
      <c r="I171" t="str">
        <f t="shared" si="5"/>
        <v>Pass - Ready for Confirmation</v>
      </c>
    </row>
    <row r="172" spans="1:9" x14ac:dyDescent="0.3">
      <c r="A172" t="str">
        <f>FO_Capture!A172</f>
        <v>TRD00171</v>
      </c>
      <c r="B172" t="str">
        <f>FO_Capture!B172</f>
        <v>INE007A01057</v>
      </c>
      <c r="C172" t="str">
        <f>IFERROR(VLOOKUP(FO_Capture!C172, Reference_Data!A:D, 2, FALSE), "UNKNOWN")</f>
        <v>Alpha Partners 1</v>
      </c>
      <c r="D172" t="str">
        <f>IFERROR(VLOOKUP(FO_Capture!C172, Reference_Data!A:D, 3, FALSE), "XXX")</f>
        <v>JPY</v>
      </c>
      <c r="E172" t="str">
        <f>IFERROR(VLOOKUP(FO_Capture!C172, Reference_Data!A:D, 4, FALSE), "MISSING SSI")</f>
        <v>Standard Chartered A/C 277005</v>
      </c>
      <c r="F172">
        <f>FO_Capture!D172</f>
        <v>460</v>
      </c>
      <c r="G172">
        <f>FO_Capture!E172</f>
        <v>130.41000366210938</v>
      </c>
      <c r="H172">
        <f t="shared" si="4"/>
        <v>59988.601684570313</v>
      </c>
      <c r="I172" t="str">
        <f t="shared" si="5"/>
        <v>Pass - Ready for Confirmation</v>
      </c>
    </row>
    <row r="173" spans="1:9" x14ac:dyDescent="0.3">
      <c r="A173" t="str">
        <f>FO_Capture!A173</f>
        <v>TRD00172</v>
      </c>
      <c r="B173" t="str">
        <f>FO_Capture!B173</f>
        <v>INE004A01059</v>
      </c>
      <c r="C173" t="str">
        <f>IFERROR(VLOOKUP(FO_Capture!C173, Reference_Data!A:D, 2, FALSE), "UNKNOWN")</f>
        <v>Alpha Asset Management 13</v>
      </c>
      <c r="D173" t="str">
        <f>IFERROR(VLOOKUP(FO_Capture!C173, Reference_Data!A:D, 3, FALSE), "XXX")</f>
        <v>INR</v>
      </c>
      <c r="E173" t="str">
        <f>IFERROR(VLOOKUP(FO_Capture!C173, Reference_Data!A:D, 4, FALSE), "MISSING SSI")</f>
        <v>HSBC A/C 972195</v>
      </c>
      <c r="F173">
        <f>FO_Capture!D173</f>
        <v>90</v>
      </c>
      <c r="G173">
        <f>FO_Capture!E173</f>
        <v>352.45999145507813</v>
      </c>
      <c r="H173">
        <f t="shared" si="4"/>
        <v>31721.399230957031</v>
      </c>
      <c r="I173" t="str">
        <f t="shared" si="5"/>
        <v>Pass - Ready for Confirmation</v>
      </c>
    </row>
    <row r="174" spans="1:9" x14ac:dyDescent="0.3">
      <c r="A174" t="str">
        <f>FO_Capture!A174</f>
        <v>TRD00173</v>
      </c>
      <c r="B174" t="str">
        <f>FO_Capture!B174</f>
        <v>INE007A01094</v>
      </c>
      <c r="C174" t="str">
        <f>IFERROR(VLOOKUP(FO_Capture!C174, Reference_Data!A:D, 2, FALSE), "UNKNOWN")</f>
        <v>Alpha Capital 36</v>
      </c>
      <c r="D174" t="str">
        <f>IFERROR(VLOOKUP(FO_Capture!C174, Reference_Data!A:D, 3, FALSE), "XXX")</f>
        <v>JPY</v>
      </c>
      <c r="E174" t="str">
        <f>IFERROR(VLOOKUP(FO_Capture!C174, Reference_Data!A:D, 4, FALSE), "MISSING SSI")</f>
        <v>Citi A/C 359789</v>
      </c>
      <c r="F174">
        <f>FO_Capture!D174</f>
        <v>120</v>
      </c>
      <c r="G174">
        <f>FO_Capture!E174</f>
        <v>70.970001220703125</v>
      </c>
      <c r="H174">
        <f t="shared" si="4"/>
        <v>8516.400146484375</v>
      </c>
      <c r="I174" t="str">
        <f t="shared" si="5"/>
        <v>Pass - Ready for Confirmation</v>
      </c>
    </row>
    <row r="175" spans="1:9" x14ac:dyDescent="0.3">
      <c r="A175" t="str">
        <f>FO_Capture!A175</f>
        <v>TRD00174</v>
      </c>
      <c r="B175" t="str">
        <f>FO_Capture!B175</f>
        <v>INE002A01015</v>
      </c>
      <c r="C175" t="str">
        <f>IFERROR(VLOOKUP(FO_Capture!C175, Reference_Data!A:D, 2, FALSE), "UNKNOWN")</f>
        <v>Alpha Global 46</v>
      </c>
      <c r="D175" t="str">
        <f>IFERROR(VLOOKUP(FO_Capture!C175, Reference_Data!A:D, 3, FALSE), "XXX")</f>
        <v>USD</v>
      </c>
      <c r="E175" t="str">
        <f>IFERROR(VLOOKUP(FO_Capture!C175, Reference_Data!A:D, 4, FALSE), "MISSING SSI")</f>
        <v>Citi A/C 700450</v>
      </c>
      <c r="F175">
        <f>FO_Capture!D175</f>
        <v>240</v>
      </c>
      <c r="G175">
        <f>FO_Capture!E175</f>
        <v>425.83999633789063</v>
      </c>
      <c r="H175">
        <f t="shared" si="4"/>
        <v>102201.59912109375</v>
      </c>
      <c r="I175" t="str">
        <f t="shared" si="5"/>
        <v>Pass - Ready for Confirmation</v>
      </c>
    </row>
    <row r="176" spans="1:9" x14ac:dyDescent="0.3">
      <c r="A176" t="str">
        <f>FO_Capture!A176</f>
        <v>TRD00175</v>
      </c>
      <c r="B176" t="str">
        <f>FO_Capture!B176</f>
        <v>INE003A01070</v>
      </c>
      <c r="C176" t="str">
        <f>IFERROR(VLOOKUP(FO_Capture!C176, Reference_Data!A:D, 2, FALSE), "UNKNOWN")</f>
        <v>Alpha Partners 26</v>
      </c>
      <c r="D176" t="str">
        <f>IFERROR(VLOOKUP(FO_Capture!C176, Reference_Data!A:D, 3, FALSE), "XXX")</f>
        <v>USD</v>
      </c>
      <c r="E176" t="str">
        <f>IFERROR(VLOOKUP(FO_Capture!C176, Reference_Data!A:D, 4, FALSE), "MISSING SSI")</f>
        <v>HSBC A/C 867781</v>
      </c>
      <c r="F176">
        <f>FO_Capture!D176</f>
        <v>260</v>
      </c>
      <c r="G176">
        <f>FO_Capture!E176</f>
        <v>252.27000427246094</v>
      </c>
      <c r="H176">
        <f t="shared" si="4"/>
        <v>65590.201110839844</v>
      </c>
      <c r="I176" t="str">
        <f t="shared" si="5"/>
        <v>Pass - Ready for Confirmation</v>
      </c>
    </row>
    <row r="177" spans="1:9" x14ac:dyDescent="0.3">
      <c r="A177" t="str">
        <f>FO_Capture!A177</f>
        <v>TRD00176</v>
      </c>
      <c r="B177" t="str">
        <f>FO_Capture!B177</f>
        <v>INE005A01066</v>
      </c>
      <c r="C177" t="str">
        <f>IFERROR(VLOOKUP(FO_Capture!C177, Reference_Data!A:D, 2, FALSE), "UNKNOWN")</f>
        <v>Alpha Holdings 41</v>
      </c>
      <c r="D177" t="str">
        <f>IFERROR(VLOOKUP(FO_Capture!C177, Reference_Data!A:D, 3, FALSE), "XXX")</f>
        <v>JPY</v>
      </c>
      <c r="E177" t="str">
        <f>IFERROR(VLOOKUP(FO_Capture!C177, Reference_Data!A:D, 4, FALSE), "MISSING SSI")</f>
        <v>HSBC A/C 468615</v>
      </c>
      <c r="F177">
        <f>FO_Capture!D177</f>
        <v>330</v>
      </c>
      <c r="G177">
        <f>FO_Capture!E177</f>
        <v>330.79000854492188</v>
      </c>
      <c r="H177">
        <f t="shared" si="4"/>
        <v>109160.70281982422</v>
      </c>
      <c r="I177" t="str">
        <f t="shared" si="5"/>
        <v>Pass - Ready for Confirmation</v>
      </c>
    </row>
    <row r="178" spans="1:9" x14ac:dyDescent="0.3">
      <c r="A178" t="str">
        <f>FO_Capture!A178</f>
        <v>TRD00177</v>
      </c>
      <c r="B178" t="str">
        <f>FO_Capture!B178</f>
        <v>INE008A0106</v>
      </c>
      <c r="C178" t="str">
        <f>IFERROR(VLOOKUP(FO_Capture!C178, Reference_Data!A:D, 2, FALSE), "UNKNOWN")</f>
        <v>Alpha Global 14</v>
      </c>
      <c r="D178" t="str">
        <f>IFERROR(VLOOKUP(FO_Capture!C178, Reference_Data!A:D, 3, FALSE), "XXX")</f>
        <v>USD</v>
      </c>
      <c r="E178" t="str">
        <f>IFERROR(VLOOKUP(FO_Capture!C178, Reference_Data!A:D, 4, FALSE), "MISSING SSI")</f>
        <v>HSBC A/C 864249</v>
      </c>
      <c r="F178">
        <f>FO_Capture!D178</f>
        <v>210</v>
      </c>
      <c r="G178">
        <f>FO_Capture!E178</f>
        <v>137.22000122070313</v>
      </c>
      <c r="H178">
        <f t="shared" si="4"/>
        <v>28816.200256347656</v>
      </c>
      <c r="I178" t="str">
        <f t="shared" si="5"/>
        <v>Pass - Ready for Confirmation</v>
      </c>
    </row>
    <row r="179" spans="1:9" x14ac:dyDescent="0.3">
      <c r="A179" t="str">
        <f>FO_Capture!A179</f>
        <v>TRD00178</v>
      </c>
      <c r="B179" t="str">
        <f>FO_Capture!B179</f>
        <v>INE007A01046</v>
      </c>
      <c r="C179" t="str">
        <f>IFERROR(VLOOKUP(FO_Capture!C179, Reference_Data!A:D, 2, FALSE), "UNKNOWN")</f>
        <v>Alpha Partners 48</v>
      </c>
      <c r="D179" t="str">
        <f>IFERROR(VLOOKUP(FO_Capture!C179, Reference_Data!A:D, 3, FALSE), "XXX")</f>
        <v>SGD</v>
      </c>
      <c r="E179" t="str">
        <f>IFERROR(VLOOKUP(FO_Capture!C179, Reference_Data!A:D, 4, FALSE), "MISSING SSI")</f>
        <v>JPMorgan A/C 391364</v>
      </c>
      <c r="F179">
        <f>FO_Capture!D179</f>
        <v>10</v>
      </c>
      <c r="G179">
        <f>FO_Capture!E179</f>
        <v>92.709999084472656</v>
      </c>
      <c r="H179">
        <f t="shared" si="4"/>
        <v>927.09999084472656</v>
      </c>
      <c r="I179" t="str">
        <f t="shared" si="5"/>
        <v>Pass - Ready for Confirmation</v>
      </c>
    </row>
    <row r="180" spans="1:9" x14ac:dyDescent="0.3">
      <c r="A180" t="str">
        <f>FO_Capture!A180</f>
        <v>TRD00179</v>
      </c>
      <c r="B180" t="str">
        <f>FO_Capture!B180</f>
        <v>INE003A01046</v>
      </c>
      <c r="C180" t="str">
        <f>IFERROR(VLOOKUP(FO_Capture!C180, Reference_Data!A:D, 2, FALSE), "UNKNOWN")</f>
        <v>Alpha Partners 6</v>
      </c>
      <c r="D180" t="str">
        <f>IFERROR(VLOOKUP(FO_Capture!C180, Reference_Data!A:D, 3, FALSE), "XXX")</f>
        <v>INR</v>
      </c>
      <c r="E180" t="str">
        <f>IFERROR(VLOOKUP(FO_Capture!C180, Reference_Data!A:D, 4, FALSE), "MISSING SSI")</f>
        <v>Standard Chartered A/C 441247</v>
      </c>
      <c r="F180">
        <f>FO_Capture!D180</f>
        <v>450</v>
      </c>
      <c r="G180">
        <f>FO_Capture!E180</f>
        <v>313.70999145507813</v>
      </c>
      <c r="H180">
        <f t="shared" si="4"/>
        <v>141169.49615478516</v>
      </c>
      <c r="I180" t="str">
        <f t="shared" si="5"/>
        <v>Pass - Ready for Confirmation</v>
      </c>
    </row>
    <row r="181" spans="1:9" x14ac:dyDescent="0.3">
      <c r="A181" t="str">
        <f>FO_Capture!A181</f>
        <v>TRD00180</v>
      </c>
      <c r="B181" t="str">
        <f>FO_Capture!B181</f>
        <v>INE003A01015</v>
      </c>
      <c r="C181" t="str">
        <f>IFERROR(VLOOKUP(FO_Capture!C181, Reference_Data!A:D, 2, FALSE), "UNKNOWN")</f>
        <v>Alpha Global 30</v>
      </c>
      <c r="D181" t="str">
        <f>IFERROR(VLOOKUP(FO_Capture!C181, Reference_Data!A:D, 3, FALSE), "XXX")</f>
        <v>JPY</v>
      </c>
      <c r="E181" t="str">
        <f>IFERROR(VLOOKUP(FO_Capture!C181, Reference_Data!A:D, 4, FALSE), "MISSING SSI")</f>
        <v>Deutsche Bank A/C 917262</v>
      </c>
      <c r="F181">
        <f>FO_Capture!D181</f>
        <v>90</v>
      </c>
      <c r="G181">
        <f>FO_Capture!E181</f>
        <v>361.989990234375</v>
      </c>
      <c r="H181">
        <f t="shared" si="4"/>
        <v>32579.09912109375</v>
      </c>
      <c r="I181" t="str">
        <f t="shared" si="5"/>
        <v>Pass - Ready for Confirmation</v>
      </c>
    </row>
    <row r="182" spans="1:9" x14ac:dyDescent="0.3">
      <c r="A182" t="str">
        <f>FO_Capture!A182</f>
        <v>TRD00181</v>
      </c>
      <c r="B182" t="str">
        <f>FO_Capture!B182</f>
        <v>INE007A01062</v>
      </c>
      <c r="C182" t="str">
        <f>IFERROR(VLOOKUP(FO_Capture!C182, Reference_Data!A:D, 2, FALSE), "UNKNOWN")</f>
        <v>Alpha Global 20</v>
      </c>
      <c r="D182" t="str">
        <f>IFERROR(VLOOKUP(FO_Capture!C182, Reference_Data!A:D, 3, FALSE), "XXX")</f>
        <v>JPY</v>
      </c>
      <c r="E182" t="str">
        <f>IFERROR(VLOOKUP(FO_Capture!C182, Reference_Data!A:D, 4, FALSE), "MISSING SSI")</f>
        <v>Barclays A/C 560891</v>
      </c>
      <c r="F182">
        <f>FO_Capture!D182</f>
        <v>80</v>
      </c>
      <c r="G182">
        <f>FO_Capture!E182</f>
        <v>494.6199951171875</v>
      </c>
      <c r="H182">
        <f t="shared" si="4"/>
        <v>39569.599609375</v>
      </c>
      <c r="I182" t="str">
        <f t="shared" si="5"/>
        <v>Pass - Ready for Confirmation</v>
      </c>
    </row>
    <row r="183" spans="1:9" x14ac:dyDescent="0.3">
      <c r="A183" t="str">
        <f>FO_Capture!A183</f>
        <v>TRD00182</v>
      </c>
      <c r="B183" t="str">
        <f>FO_Capture!B183</f>
        <v>INE008A01053</v>
      </c>
      <c r="C183" t="str">
        <f>IFERROR(VLOOKUP(FO_Capture!C183, Reference_Data!A:D, 2, FALSE), "UNKNOWN")</f>
        <v>Alpha Capital 9</v>
      </c>
      <c r="D183" t="str">
        <f>IFERROR(VLOOKUP(FO_Capture!C183, Reference_Data!A:D, 3, FALSE), "XXX")</f>
        <v>JPY</v>
      </c>
      <c r="E183" t="str">
        <f>IFERROR(VLOOKUP(FO_Capture!C183, Reference_Data!A:D, 4, FALSE), "MISSING SSI")</f>
        <v>Citi A/C 744145</v>
      </c>
      <c r="F183">
        <f>FO_Capture!D183</f>
        <v>450</v>
      </c>
      <c r="G183">
        <f>FO_Capture!E183</f>
        <v>414.010009765625</v>
      </c>
      <c r="H183">
        <f t="shared" si="4"/>
        <v>186304.50439453125</v>
      </c>
      <c r="I183" t="str">
        <f t="shared" si="5"/>
        <v>Pass - Ready for Confirmation</v>
      </c>
    </row>
    <row r="184" spans="1:9" x14ac:dyDescent="0.3">
      <c r="A184" t="str">
        <f>FO_Capture!A184</f>
        <v>TRD00183</v>
      </c>
      <c r="B184" t="str">
        <f>FO_Capture!B184</f>
        <v>INE006A01050</v>
      </c>
      <c r="C184" t="str">
        <f>IFERROR(VLOOKUP(FO_Capture!C184, Reference_Data!A:D, 2, FALSE), "UNKNOWN")</f>
        <v>Alpha Partners 37</v>
      </c>
      <c r="D184" t="str">
        <f>IFERROR(VLOOKUP(FO_Capture!C184, Reference_Data!A:D, 3, FALSE), "XXX")</f>
        <v>JPY</v>
      </c>
      <c r="E184" t="str">
        <f>IFERROR(VLOOKUP(FO_Capture!C184, Reference_Data!A:D, 4, FALSE), "MISSING SSI")</f>
        <v>HSBC A/C 994063</v>
      </c>
      <c r="F184">
        <f>FO_Capture!D184</f>
        <v>310</v>
      </c>
      <c r="G184">
        <f>FO_Capture!E184</f>
        <v>17.850000381469727</v>
      </c>
      <c r="H184">
        <f t="shared" si="4"/>
        <v>5533.5001182556152</v>
      </c>
      <c r="I184" t="str">
        <f t="shared" si="5"/>
        <v>Pass - Ready for Confirmation</v>
      </c>
    </row>
    <row r="185" spans="1:9" x14ac:dyDescent="0.3">
      <c r="A185" t="str">
        <f>FO_Capture!A185</f>
        <v>TRD00184</v>
      </c>
      <c r="B185" t="str">
        <f>FO_Capture!B185</f>
        <v>INE004A01069</v>
      </c>
      <c r="C185" t="str">
        <f>IFERROR(VLOOKUP(FO_Capture!C185, Reference_Data!A:D, 2, FALSE), "UNKNOWN")</f>
        <v>Alpha Quant Fund 24</v>
      </c>
      <c r="D185" t="str">
        <f>IFERROR(VLOOKUP(FO_Capture!C185, Reference_Data!A:D, 3, FALSE), "XXX")</f>
        <v>SGD</v>
      </c>
      <c r="E185" t="str">
        <f>IFERROR(VLOOKUP(FO_Capture!C185, Reference_Data!A:D, 4, FALSE), "MISSING SSI")</f>
        <v>JPMorgan A/C 603587</v>
      </c>
      <c r="F185">
        <f>FO_Capture!D185</f>
        <v>130</v>
      </c>
      <c r="G185">
        <f>FO_Capture!E185</f>
        <v>149.16000366210938</v>
      </c>
      <c r="H185">
        <f t="shared" si="4"/>
        <v>19390.800476074219</v>
      </c>
      <c r="I185" t="str">
        <f t="shared" si="5"/>
        <v>Pass - Ready for Confirmation</v>
      </c>
    </row>
    <row r="186" spans="1:9" x14ac:dyDescent="0.3">
      <c r="A186" t="str">
        <f>FO_Capture!A186</f>
        <v>TRD00185</v>
      </c>
      <c r="B186" t="str">
        <f>FO_Capture!B186</f>
        <v>INE005A01030</v>
      </c>
      <c r="C186" t="str">
        <f>IFERROR(VLOOKUP(FO_Capture!C186, Reference_Data!A:D, 2, FALSE), "UNKNOWN")</f>
        <v>Alpha Holdings 49</v>
      </c>
      <c r="D186" t="str">
        <f>IFERROR(VLOOKUP(FO_Capture!C186, Reference_Data!A:D, 3, FALSE), "XXX")</f>
        <v>JPY</v>
      </c>
      <c r="E186" t="str">
        <f>IFERROR(VLOOKUP(FO_Capture!C186, Reference_Data!A:D, 4, FALSE), "MISSING SSI")</f>
        <v>HDFC A/C 679335</v>
      </c>
      <c r="F186">
        <f>FO_Capture!D186</f>
        <v>490</v>
      </c>
      <c r="G186">
        <f>FO_Capture!E186</f>
        <v>346.27999877929688</v>
      </c>
      <c r="H186">
        <f t="shared" si="4"/>
        <v>169677.19940185547</v>
      </c>
      <c r="I186" t="str">
        <f t="shared" si="5"/>
        <v>Pass - Ready for Confirmation</v>
      </c>
    </row>
    <row r="187" spans="1:9" x14ac:dyDescent="0.3">
      <c r="A187" t="str">
        <f>FO_Capture!A187</f>
        <v>TRD00186</v>
      </c>
      <c r="B187" t="str">
        <f>FO_Capture!B187</f>
        <v>INE002A01098</v>
      </c>
      <c r="C187" t="str">
        <f>IFERROR(VLOOKUP(FO_Capture!C187, Reference_Data!A:D, 2, FALSE), "UNKNOWN")</f>
        <v>Alpha Quant Fund 24</v>
      </c>
      <c r="D187" t="str">
        <f>IFERROR(VLOOKUP(FO_Capture!C187, Reference_Data!A:D, 3, FALSE), "XXX")</f>
        <v>SGD</v>
      </c>
      <c r="E187" t="str">
        <f>IFERROR(VLOOKUP(FO_Capture!C187, Reference_Data!A:D, 4, FALSE), "MISSING SSI")</f>
        <v>JPMorgan A/C 603587</v>
      </c>
      <c r="F187">
        <f>FO_Capture!D187</f>
        <v>300</v>
      </c>
      <c r="G187">
        <f>FO_Capture!E187</f>
        <v>92.839996337890625</v>
      </c>
      <c r="H187">
        <f t="shared" si="4"/>
        <v>27851.998901367188</v>
      </c>
      <c r="I187" t="str">
        <f t="shared" si="5"/>
        <v>Pass - Ready for Confirmation</v>
      </c>
    </row>
    <row r="188" spans="1:9" x14ac:dyDescent="0.3">
      <c r="A188" t="str">
        <f>FO_Capture!A188</f>
        <v>TRD00187</v>
      </c>
      <c r="B188" t="str">
        <f>FO_Capture!B188</f>
        <v>INE001A01047</v>
      </c>
      <c r="C188" t="str">
        <f>IFERROR(VLOOKUP(FO_Capture!C188, Reference_Data!A:D, 2, FALSE), "UNKNOWN")</f>
        <v>Alpha Global 14</v>
      </c>
      <c r="D188" t="str">
        <f>IFERROR(VLOOKUP(FO_Capture!C188, Reference_Data!A:D, 3, FALSE), "XXX")</f>
        <v>USD</v>
      </c>
      <c r="E188" t="str">
        <f>IFERROR(VLOOKUP(FO_Capture!C188, Reference_Data!A:D, 4, FALSE), "MISSING SSI")</f>
        <v>HSBC A/C 864249</v>
      </c>
      <c r="F188">
        <f>FO_Capture!D188</f>
        <v>90</v>
      </c>
      <c r="G188">
        <f>FO_Capture!E188</f>
        <v>67.80999755859375</v>
      </c>
      <c r="H188">
        <f t="shared" si="4"/>
        <v>6102.8997802734375</v>
      </c>
      <c r="I188" t="str">
        <f t="shared" si="5"/>
        <v>Pass - Ready for Confirmation</v>
      </c>
    </row>
    <row r="189" spans="1:9" x14ac:dyDescent="0.3">
      <c r="A189" t="str">
        <f>FO_Capture!A189</f>
        <v>TRD00188</v>
      </c>
      <c r="B189" t="str">
        <f>FO_Capture!B189</f>
        <v>INE007A01097</v>
      </c>
      <c r="C189" t="str">
        <f>IFERROR(VLOOKUP(FO_Capture!C189, Reference_Data!A:D, 2, FALSE), "UNKNOWN")</f>
        <v>Alpha Global 20</v>
      </c>
      <c r="D189" t="str">
        <f>IFERROR(VLOOKUP(FO_Capture!C189, Reference_Data!A:D, 3, FALSE), "XXX")</f>
        <v>JPY</v>
      </c>
      <c r="E189" t="str">
        <f>IFERROR(VLOOKUP(FO_Capture!C189, Reference_Data!A:D, 4, FALSE), "MISSING SSI")</f>
        <v>Barclays A/C 560891</v>
      </c>
      <c r="F189">
        <f>FO_Capture!D189</f>
        <v>240</v>
      </c>
      <c r="G189">
        <f>FO_Capture!E189</f>
        <v>395.44000244140625</v>
      </c>
      <c r="H189">
        <f t="shared" si="4"/>
        <v>94905.6005859375</v>
      </c>
      <c r="I189" t="str">
        <f t="shared" si="5"/>
        <v>Pass - Ready for Confirmation</v>
      </c>
    </row>
    <row r="190" spans="1:9" x14ac:dyDescent="0.3">
      <c r="A190" t="str">
        <f>FO_Capture!A190</f>
        <v>TRD00189</v>
      </c>
      <c r="B190" t="str">
        <f>FO_Capture!B190</f>
        <v>INE006A01073</v>
      </c>
      <c r="C190" t="str">
        <f>IFERROR(VLOOKUP(FO_Capture!C190, Reference_Data!A:D, 2, FALSE), "UNKNOWN")</f>
        <v>Alpha Partners 48</v>
      </c>
      <c r="D190" t="str">
        <f>IFERROR(VLOOKUP(FO_Capture!C190, Reference_Data!A:D, 3, FALSE), "XXX")</f>
        <v>SGD</v>
      </c>
      <c r="E190" t="str">
        <f>IFERROR(VLOOKUP(FO_Capture!C190, Reference_Data!A:D, 4, FALSE), "MISSING SSI")</f>
        <v>JPMorgan A/C 391364</v>
      </c>
      <c r="F190">
        <f>FO_Capture!D190</f>
        <v>210</v>
      </c>
      <c r="G190">
        <f>FO_Capture!E190</f>
        <v>395.32998657226563</v>
      </c>
      <c r="H190">
        <f t="shared" si="4"/>
        <v>83019.297180175781</v>
      </c>
      <c r="I190" t="str">
        <f t="shared" si="5"/>
        <v>Pass - Ready for Confirmation</v>
      </c>
    </row>
    <row r="191" spans="1:9" x14ac:dyDescent="0.3">
      <c r="A191" t="str">
        <f>FO_Capture!A191</f>
        <v>TRD00190</v>
      </c>
      <c r="B191" t="str">
        <f>FO_Capture!B191</f>
        <v>INE006A01050</v>
      </c>
      <c r="C191" t="str">
        <f>IFERROR(VLOOKUP(FO_Capture!C191, Reference_Data!A:D, 2, FALSE), "UNKNOWN")</f>
        <v>UNKNOWN</v>
      </c>
      <c r="D191" t="str">
        <f>IFERROR(VLOOKUP(FO_Capture!C191, Reference_Data!A:D, 3, FALSE), "XXX")</f>
        <v>XXX</v>
      </c>
      <c r="E191" t="str">
        <f>IFERROR(VLOOKUP(FO_Capture!C191, Reference_Data!A:D, 4, FALSE), "MISSING SSI")</f>
        <v>MISSING SSI</v>
      </c>
      <c r="F191">
        <f>FO_Capture!D191</f>
        <v>270</v>
      </c>
      <c r="G191">
        <f>FO_Capture!E191</f>
        <v>349.489990234375</v>
      </c>
      <c r="H191">
        <f t="shared" si="4"/>
        <v>94362.29736328125</v>
      </c>
      <c r="I191" t="str">
        <f t="shared" si="5"/>
        <v>Fail - Missing Ref Data</v>
      </c>
    </row>
    <row r="192" spans="1:9" x14ac:dyDescent="0.3">
      <c r="A192" t="str">
        <f>FO_Capture!A192</f>
        <v>TRD00191</v>
      </c>
      <c r="B192" t="str">
        <f>FO_Capture!B192</f>
        <v>INE006A01045</v>
      </c>
      <c r="C192" t="str">
        <f>IFERROR(VLOOKUP(FO_Capture!C192, Reference_Data!A:D, 2, FALSE), "UNKNOWN")</f>
        <v>Alpha Asset Management 31</v>
      </c>
      <c r="D192" t="str">
        <f>IFERROR(VLOOKUP(FO_Capture!C192, Reference_Data!A:D, 3, FALSE), "XXX")</f>
        <v>USD</v>
      </c>
      <c r="E192" t="str">
        <f>IFERROR(VLOOKUP(FO_Capture!C192, Reference_Data!A:D, 4, FALSE), "MISSING SSI")</f>
        <v>Citi A/C 194841</v>
      </c>
      <c r="F192">
        <f>FO_Capture!D192</f>
        <v>110</v>
      </c>
      <c r="G192">
        <f>FO_Capture!E192</f>
        <v>72.099998474121094</v>
      </c>
      <c r="H192">
        <f t="shared" si="4"/>
        <v>7930.9998321533203</v>
      </c>
      <c r="I192" t="str">
        <f t="shared" si="5"/>
        <v>Pass - Ready for Confirmation</v>
      </c>
    </row>
    <row r="193" spans="1:9" x14ac:dyDescent="0.3">
      <c r="A193" t="str">
        <f>FO_Capture!A193</f>
        <v>TRD00192</v>
      </c>
      <c r="B193" t="str">
        <f>FO_Capture!B193</f>
        <v>INE003A01093</v>
      </c>
      <c r="C193" t="str">
        <f>IFERROR(VLOOKUP(FO_Capture!C193, Reference_Data!A:D, 2, FALSE), "UNKNOWN")</f>
        <v>Alpha Capital 11</v>
      </c>
      <c r="D193" t="str">
        <f>IFERROR(VLOOKUP(FO_Capture!C193, Reference_Data!A:D, 3, FALSE), "XXX")</f>
        <v>USD</v>
      </c>
      <c r="E193" t="str">
        <f>IFERROR(VLOOKUP(FO_Capture!C193, Reference_Data!A:D, 4, FALSE), "MISSING SSI")</f>
        <v>JPMorgan A/C 987170</v>
      </c>
      <c r="F193">
        <f>FO_Capture!D193</f>
        <v>230</v>
      </c>
      <c r="G193">
        <f>FO_Capture!E193</f>
        <v>165.10000610351563</v>
      </c>
      <c r="H193">
        <f t="shared" si="4"/>
        <v>37973.001403808594</v>
      </c>
      <c r="I193" t="str">
        <f t="shared" si="5"/>
        <v>Pass - Ready for Confirmation</v>
      </c>
    </row>
    <row r="194" spans="1:9" x14ac:dyDescent="0.3">
      <c r="A194" t="str">
        <f>FO_Capture!A194</f>
        <v>TRD00193</v>
      </c>
      <c r="B194" t="str">
        <f>FO_Capture!B194</f>
        <v>INE006A01012</v>
      </c>
      <c r="C194" t="str">
        <f>IFERROR(VLOOKUP(FO_Capture!C194, Reference_Data!A:D, 2, FALSE), "UNKNOWN")</f>
        <v>Alpha Partners 18</v>
      </c>
      <c r="D194" t="str">
        <f>IFERROR(VLOOKUP(FO_Capture!C194, Reference_Data!A:D, 3, FALSE), "XXX")</f>
        <v>INR</v>
      </c>
      <c r="E194" t="str">
        <f>IFERROR(VLOOKUP(FO_Capture!C194, Reference_Data!A:D, 4, FALSE), "MISSING SSI")</f>
        <v>JPMorgan A/C 704166</v>
      </c>
      <c r="F194">
        <f>FO_Capture!D194</f>
        <v>240</v>
      </c>
      <c r="G194">
        <f>FO_Capture!E194</f>
        <v>11.569999694824219</v>
      </c>
      <c r="H194">
        <f t="shared" si="4"/>
        <v>2776.7999267578125</v>
      </c>
      <c r="I194" t="str">
        <f t="shared" si="5"/>
        <v>Pass - Ready for Confirmation</v>
      </c>
    </row>
    <row r="195" spans="1:9" x14ac:dyDescent="0.3">
      <c r="A195" t="str">
        <f>FO_Capture!A195</f>
        <v>TRD00194</v>
      </c>
      <c r="B195" t="str">
        <f>FO_Capture!B195</f>
        <v>INE007A01088</v>
      </c>
      <c r="C195" t="str">
        <f>IFERROR(VLOOKUP(FO_Capture!C195, Reference_Data!A:D, 2, FALSE), "UNKNOWN")</f>
        <v>Alpha Capital 7</v>
      </c>
      <c r="D195" t="str">
        <f>IFERROR(VLOOKUP(FO_Capture!C195, Reference_Data!A:D, 3, FALSE), "XXX")</f>
        <v>INR</v>
      </c>
      <c r="E195" t="str">
        <f>IFERROR(VLOOKUP(FO_Capture!C195, Reference_Data!A:D, 4, FALSE), "MISSING SSI")</f>
        <v>Standard Chartered A/C 682134</v>
      </c>
      <c r="F195">
        <f>FO_Capture!D195</f>
        <v>160</v>
      </c>
      <c r="G195">
        <f>FO_Capture!E195</f>
        <v>346.1099853515625</v>
      </c>
      <c r="H195">
        <f t="shared" ref="H195:H258" si="6">F195 * G195</f>
        <v>55377.59765625</v>
      </c>
      <c r="I195" t="str">
        <f t="shared" ref="I195:I258" si="7">IF(C195="UNKNOWN", "Fail - Missing Ref Data", IF(OR(F195&lt;=0, G195&lt;=0), "Fail - Invalid Price/Qty", IF(H195&gt;1000000, "Exception - Limit Breach", "Pass - Ready for Confirmation")))</f>
        <v>Pass - Ready for Confirmation</v>
      </c>
    </row>
    <row r="196" spans="1:9" x14ac:dyDescent="0.3">
      <c r="A196" t="str">
        <f>FO_Capture!A196</f>
        <v>TRD00195</v>
      </c>
      <c r="B196" t="str">
        <f>FO_Capture!B196</f>
        <v>INE006A01047</v>
      </c>
      <c r="C196" t="str">
        <f>IFERROR(VLOOKUP(FO_Capture!C196, Reference_Data!A:D, 2, FALSE), "UNKNOWN")</f>
        <v>Alpha Global 28</v>
      </c>
      <c r="D196" t="str">
        <f>IFERROR(VLOOKUP(FO_Capture!C196, Reference_Data!A:D, 3, FALSE), "XXX")</f>
        <v>USD</v>
      </c>
      <c r="E196" t="str">
        <f>IFERROR(VLOOKUP(FO_Capture!C196, Reference_Data!A:D, 4, FALSE), "MISSING SSI")</f>
        <v>HDFC A/C 638209</v>
      </c>
      <c r="F196">
        <f>FO_Capture!D196</f>
        <v>120</v>
      </c>
      <c r="G196">
        <f>FO_Capture!E196</f>
        <v>504.89999389648438</v>
      </c>
      <c r="H196">
        <f t="shared" si="6"/>
        <v>60587.999267578125</v>
      </c>
      <c r="I196" t="str">
        <f t="shared" si="7"/>
        <v>Pass - Ready for Confirmation</v>
      </c>
    </row>
    <row r="197" spans="1:9" x14ac:dyDescent="0.3">
      <c r="A197" t="str">
        <f>FO_Capture!A197</f>
        <v>TRD00196</v>
      </c>
      <c r="B197" t="str">
        <f>FO_Capture!B197</f>
        <v>INE001A01093</v>
      </c>
      <c r="C197" t="str">
        <f>IFERROR(VLOOKUP(FO_Capture!C197, Reference_Data!A:D, 2, FALSE), "UNKNOWN")</f>
        <v>Alpha Partners 3</v>
      </c>
      <c r="D197" t="str">
        <f>IFERROR(VLOOKUP(FO_Capture!C197, Reference_Data!A:D, 3, FALSE), "XXX")</f>
        <v>USD</v>
      </c>
      <c r="E197" t="str">
        <f>IFERROR(VLOOKUP(FO_Capture!C197, Reference_Data!A:D, 4, FALSE), "MISSING SSI")</f>
        <v>Citi A/C 508769</v>
      </c>
      <c r="F197">
        <f>FO_Capture!D197</f>
        <v>140</v>
      </c>
      <c r="G197">
        <f>FO_Capture!E197</f>
        <v>175.69999694824219</v>
      </c>
      <c r="H197">
        <f t="shared" si="6"/>
        <v>24597.999572753906</v>
      </c>
      <c r="I197" t="str">
        <f t="shared" si="7"/>
        <v>Pass - Ready for Confirmation</v>
      </c>
    </row>
    <row r="198" spans="1:9" x14ac:dyDescent="0.3">
      <c r="A198" t="str">
        <f>FO_Capture!A198</f>
        <v>TRD00197</v>
      </c>
      <c r="B198" t="str">
        <f>FO_Capture!B198</f>
        <v>INE002A01063</v>
      </c>
      <c r="C198" t="str">
        <f>IFERROR(VLOOKUP(FO_Capture!C198, Reference_Data!A:D, 2, FALSE), "UNKNOWN")</f>
        <v>Alpha Partners 3</v>
      </c>
      <c r="D198" t="str">
        <f>IFERROR(VLOOKUP(FO_Capture!C198, Reference_Data!A:D, 3, FALSE), "XXX")</f>
        <v>USD</v>
      </c>
      <c r="E198" t="str">
        <f>IFERROR(VLOOKUP(FO_Capture!C198, Reference_Data!A:D, 4, FALSE), "MISSING SSI")</f>
        <v>Citi A/C 508769</v>
      </c>
      <c r="F198">
        <f>FO_Capture!D198</f>
        <v>370</v>
      </c>
      <c r="G198">
        <f>FO_Capture!E198</f>
        <v>147.80999755859375</v>
      </c>
      <c r="H198">
        <f t="shared" si="6"/>
        <v>54689.699096679688</v>
      </c>
      <c r="I198" t="str">
        <f t="shared" si="7"/>
        <v>Pass - Ready for Confirmation</v>
      </c>
    </row>
    <row r="199" spans="1:9" x14ac:dyDescent="0.3">
      <c r="A199" t="str">
        <f>FO_Capture!A199</f>
        <v>TRD00198</v>
      </c>
      <c r="B199" t="str">
        <f>FO_Capture!B199</f>
        <v>INE007A01079</v>
      </c>
      <c r="C199" t="str">
        <f>IFERROR(VLOOKUP(FO_Capture!C199, Reference_Data!A:D, 2, FALSE), "UNKNOWN")</f>
        <v>Alpha Partners 22</v>
      </c>
      <c r="D199" t="str">
        <f>IFERROR(VLOOKUP(FO_Capture!C199, Reference_Data!A:D, 3, FALSE), "XXX")</f>
        <v>GBP</v>
      </c>
      <c r="E199" t="str">
        <f>IFERROR(VLOOKUP(FO_Capture!C199, Reference_Data!A:D, 4, FALSE), "MISSING SSI")</f>
        <v>JPMorgan A/C 488546</v>
      </c>
      <c r="F199">
        <f>FO_Capture!D199</f>
        <v>350</v>
      </c>
      <c r="G199">
        <f>FO_Capture!E199</f>
        <v>62.090000152587891</v>
      </c>
      <c r="H199">
        <f t="shared" si="6"/>
        <v>21731.500053405762</v>
      </c>
      <c r="I199" t="str">
        <f t="shared" si="7"/>
        <v>Pass - Ready for Confirmation</v>
      </c>
    </row>
    <row r="200" spans="1:9" x14ac:dyDescent="0.3">
      <c r="A200" t="str">
        <f>FO_Capture!A200</f>
        <v>TRD00199</v>
      </c>
      <c r="B200" t="str">
        <f>FO_Capture!B200</f>
        <v>INE006A01094</v>
      </c>
      <c r="C200" t="str">
        <f>IFERROR(VLOOKUP(FO_Capture!C200, Reference_Data!A:D, 2, FALSE), "UNKNOWN")</f>
        <v>Alpha Partners 1</v>
      </c>
      <c r="D200" t="str">
        <f>IFERROR(VLOOKUP(FO_Capture!C200, Reference_Data!A:D, 3, FALSE), "XXX")</f>
        <v>JPY</v>
      </c>
      <c r="E200" t="str">
        <f>IFERROR(VLOOKUP(FO_Capture!C200, Reference_Data!A:D, 4, FALSE), "MISSING SSI")</f>
        <v>Standard Chartered A/C 277005</v>
      </c>
      <c r="F200">
        <f>FO_Capture!D200</f>
        <v>260</v>
      </c>
      <c r="G200">
        <f>FO_Capture!E200</f>
        <v>160.97999572753906</v>
      </c>
      <c r="H200">
        <f t="shared" si="6"/>
        <v>41854.798889160156</v>
      </c>
      <c r="I200" t="str">
        <f t="shared" si="7"/>
        <v>Pass - Ready for Confirmation</v>
      </c>
    </row>
    <row r="201" spans="1:9" x14ac:dyDescent="0.3">
      <c r="A201" t="str">
        <f>FO_Capture!A201</f>
        <v>TRD00200</v>
      </c>
      <c r="B201" t="str">
        <f>FO_Capture!B201</f>
        <v>INE006A01045</v>
      </c>
      <c r="C201" t="str">
        <f>IFERROR(VLOOKUP(FO_Capture!C201, Reference_Data!A:D, 2, FALSE), "UNKNOWN")</f>
        <v>Alpha Partners 3</v>
      </c>
      <c r="D201" t="str">
        <f>IFERROR(VLOOKUP(FO_Capture!C201, Reference_Data!A:D, 3, FALSE), "XXX")</f>
        <v>USD</v>
      </c>
      <c r="E201" t="str">
        <f>IFERROR(VLOOKUP(FO_Capture!C201, Reference_Data!A:D, 4, FALSE), "MISSING SSI")</f>
        <v>Citi A/C 508769</v>
      </c>
      <c r="F201">
        <f>FO_Capture!D201</f>
        <v>140</v>
      </c>
      <c r="G201">
        <f>FO_Capture!E201</f>
        <v>38.470001220703125</v>
      </c>
      <c r="H201">
        <f t="shared" si="6"/>
        <v>5385.8001708984375</v>
      </c>
      <c r="I201" t="str">
        <f t="shared" si="7"/>
        <v>Pass - Ready for Confirmation</v>
      </c>
    </row>
    <row r="202" spans="1:9" x14ac:dyDescent="0.3">
      <c r="A202" t="str">
        <f>FO_Capture!A202</f>
        <v>TRD00201</v>
      </c>
      <c r="B202" t="str">
        <f>FO_Capture!B202</f>
        <v>INE008A0100</v>
      </c>
      <c r="C202" t="str">
        <f>IFERROR(VLOOKUP(FO_Capture!C202, Reference_Data!A:D, 2, FALSE), "UNKNOWN")</f>
        <v>Alpha Investments 40</v>
      </c>
      <c r="D202" t="str">
        <f>IFERROR(VLOOKUP(FO_Capture!C202, Reference_Data!A:D, 3, FALSE), "XXX")</f>
        <v>GBP</v>
      </c>
      <c r="E202" t="str">
        <f>IFERROR(VLOOKUP(FO_Capture!C202, Reference_Data!A:D, 4, FALSE), "MISSING SSI")</f>
        <v>HDFC A/C 897530</v>
      </c>
      <c r="F202">
        <f>FO_Capture!D202</f>
        <v>170</v>
      </c>
      <c r="G202">
        <f>FO_Capture!E202</f>
        <v>390.1300048828125</v>
      </c>
      <c r="H202">
        <f t="shared" si="6"/>
        <v>66322.100830078125</v>
      </c>
      <c r="I202" t="str">
        <f t="shared" si="7"/>
        <v>Pass - Ready for Confirmation</v>
      </c>
    </row>
    <row r="203" spans="1:9" x14ac:dyDescent="0.3">
      <c r="A203" t="str">
        <f>FO_Capture!A203</f>
        <v>TRD00202</v>
      </c>
      <c r="B203" t="str">
        <f>FO_Capture!B203</f>
        <v>INE005A01012</v>
      </c>
      <c r="C203" t="str">
        <f>IFERROR(VLOOKUP(FO_Capture!C203, Reference_Data!A:D, 2, FALSE), "UNKNOWN")</f>
        <v>Alpha Global 46</v>
      </c>
      <c r="D203" t="str">
        <f>IFERROR(VLOOKUP(FO_Capture!C203, Reference_Data!A:D, 3, FALSE), "XXX")</f>
        <v>USD</v>
      </c>
      <c r="E203" t="str">
        <f>IFERROR(VLOOKUP(FO_Capture!C203, Reference_Data!A:D, 4, FALSE), "MISSING SSI")</f>
        <v>Citi A/C 700450</v>
      </c>
      <c r="F203">
        <f>FO_Capture!D203</f>
        <v>430</v>
      </c>
      <c r="G203">
        <f>FO_Capture!E203</f>
        <v>263.05999755859375</v>
      </c>
      <c r="H203">
        <f t="shared" si="6"/>
        <v>113115.79895019531</v>
      </c>
      <c r="I203" t="str">
        <f t="shared" si="7"/>
        <v>Pass - Ready for Confirmation</v>
      </c>
    </row>
    <row r="204" spans="1:9" x14ac:dyDescent="0.3">
      <c r="A204" t="str">
        <f>FO_Capture!A204</f>
        <v>TRD00203</v>
      </c>
      <c r="B204" t="str">
        <f>FO_Capture!B204</f>
        <v>INE008A01064</v>
      </c>
      <c r="C204" t="str">
        <f>IFERROR(VLOOKUP(FO_Capture!C204, Reference_Data!A:D, 2, FALSE), "UNKNOWN")</f>
        <v>Alpha Partners 3</v>
      </c>
      <c r="D204" t="str">
        <f>IFERROR(VLOOKUP(FO_Capture!C204, Reference_Data!A:D, 3, FALSE), "XXX")</f>
        <v>USD</v>
      </c>
      <c r="E204" t="str">
        <f>IFERROR(VLOOKUP(FO_Capture!C204, Reference_Data!A:D, 4, FALSE), "MISSING SSI")</f>
        <v>Citi A/C 508769</v>
      </c>
      <c r="F204">
        <f>FO_Capture!D204</f>
        <v>110</v>
      </c>
      <c r="G204">
        <f>FO_Capture!E204</f>
        <v>305.95001220703125</v>
      </c>
      <c r="H204">
        <f t="shared" si="6"/>
        <v>33654.501342773438</v>
      </c>
      <c r="I204" t="str">
        <f t="shared" si="7"/>
        <v>Pass - Ready for Confirmation</v>
      </c>
    </row>
    <row r="205" spans="1:9" x14ac:dyDescent="0.3">
      <c r="A205" t="str">
        <f>FO_Capture!A205</f>
        <v>TRD00204</v>
      </c>
      <c r="B205" t="str">
        <f>FO_Capture!B205</f>
        <v>INE006A01027</v>
      </c>
      <c r="C205" t="str">
        <f>IFERROR(VLOOKUP(FO_Capture!C205, Reference_Data!A:D, 2, FALSE), "UNKNOWN")</f>
        <v>Alpha Global 14</v>
      </c>
      <c r="D205" t="str">
        <f>IFERROR(VLOOKUP(FO_Capture!C205, Reference_Data!A:D, 3, FALSE), "XXX")</f>
        <v>USD</v>
      </c>
      <c r="E205" t="str">
        <f>IFERROR(VLOOKUP(FO_Capture!C205, Reference_Data!A:D, 4, FALSE), "MISSING SSI")</f>
        <v>HSBC A/C 864249</v>
      </c>
      <c r="F205">
        <f>FO_Capture!D205</f>
        <v>300</v>
      </c>
      <c r="G205">
        <f>FO_Capture!E205</f>
        <v>19.040000915527344</v>
      </c>
      <c r="H205">
        <f t="shared" si="6"/>
        <v>5712.0002746582031</v>
      </c>
      <c r="I205" t="str">
        <f t="shared" si="7"/>
        <v>Pass - Ready for Confirmation</v>
      </c>
    </row>
    <row r="206" spans="1:9" x14ac:dyDescent="0.3">
      <c r="A206" t="str">
        <f>FO_Capture!A206</f>
        <v>TRD00205</v>
      </c>
      <c r="B206" t="str">
        <f>FO_Capture!B206</f>
        <v>INE001A01098</v>
      </c>
      <c r="C206" t="str">
        <f>IFERROR(VLOOKUP(FO_Capture!C206, Reference_Data!A:D, 2, FALSE), "UNKNOWN")</f>
        <v>Alpha Asset Management 32</v>
      </c>
      <c r="D206" t="str">
        <f>IFERROR(VLOOKUP(FO_Capture!C206, Reference_Data!A:D, 3, FALSE), "XXX")</f>
        <v>INR</v>
      </c>
      <c r="E206" t="str">
        <f>IFERROR(VLOOKUP(FO_Capture!C206, Reference_Data!A:D, 4, FALSE), "MISSING SSI")</f>
        <v>Barclays A/C 302646</v>
      </c>
      <c r="F206">
        <f>FO_Capture!D206</f>
        <v>220</v>
      </c>
      <c r="G206">
        <f>FO_Capture!E206</f>
        <v>504.14999389648438</v>
      </c>
      <c r="H206">
        <f t="shared" si="6"/>
        <v>110912.99865722656</v>
      </c>
      <c r="I206" t="str">
        <f t="shared" si="7"/>
        <v>Pass - Ready for Confirmation</v>
      </c>
    </row>
    <row r="207" spans="1:9" x14ac:dyDescent="0.3">
      <c r="A207" t="str">
        <f>FO_Capture!A207</f>
        <v>TRD00206</v>
      </c>
      <c r="B207" t="str">
        <f>FO_Capture!B207</f>
        <v>INE003A01062</v>
      </c>
      <c r="C207" t="str">
        <f>IFERROR(VLOOKUP(FO_Capture!C207, Reference_Data!A:D, 2, FALSE), "UNKNOWN")</f>
        <v>Alpha Asset Management 31</v>
      </c>
      <c r="D207" t="str">
        <f>IFERROR(VLOOKUP(FO_Capture!C207, Reference_Data!A:D, 3, FALSE), "XXX")</f>
        <v>USD</v>
      </c>
      <c r="E207" t="str">
        <f>IFERROR(VLOOKUP(FO_Capture!C207, Reference_Data!A:D, 4, FALSE), "MISSING SSI")</f>
        <v>Citi A/C 194841</v>
      </c>
      <c r="F207">
        <f>FO_Capture!D207</f>
        <v>460</v>
      </c>
      <c r="G207">
        <f>FO_Capture!E207</f>
        <v>214.6300048828125</v>
      </c>
      <c r="H207">
        <f t="shared" si="6"/>
        <v>98729.80224609375</v>
      </c>
      <c r="I207" t="str">
        <f t="shared" si="7"/>
        <v>Pass - Ready for Confirmation</v>
      </c>
    </row>
    <row r="208" spans="1:9" x14ac:dyDescent="0.3">
      <c r="A208" t="str">
        <f>FO_Capture!A208</f>
        <v>TRD00207</v>
      </c>
      <c r="B208" t="str">
        <f>FO_Capture!B208</f>
        <v>INE009A01036</v>
      </c>
      <c r="C208" t="str">
        <f>IFERROR(VLOOKUP(FO_Capture!C208, Reference_Data!A:D, 2, FALSE), "UNKNOWN")</f>
        <v>Alpha Quant Fund 34</v>
      </c>
      <c r="D208" t="str">
        <f>IFERROR(VLOOKUP(FO_Capture!C208, Reference_Data!A:D, 3, FALSE), "XXX")</f>
        <v>JPY</v>
      </c>
      <c r="E208" t="str">
        <f>IFERROR(VLOOKUP(FO_Capture!C208, Reference_Data!A:D, 4, FALSE), "MISSING SSI")</f>
        <v>Citi A/C 837378</v>
      </c>
      <c r="F208">
        <f>FO_Capture!D208</f>
        <v>250</v>
      </c>
      <c r="G208">
        <f>FO_Capture!E208</f>
        <v>205.42999267578125</v>
      </c>
      <c r="H208">
        <f t="shared" si="6"/>
        <v>51357.498168945313</v>
      </c>
      <c r="I208" t="str">
        <f t="shared" si="7"/>
        <v>Pass - Ready for Confirmation</v>
      </c>
    </row>
    <row r="209" spans="1:9" x14ac:dyDescent="0.3">
      <c r="A209" t="str">
        <f>FO_Capture!A209</f>
        <v>TRD00208</v>
      </c>
      <c r="B209" t="str">
        <f>FO_Capture!B209</f>
        <v>INE002A01017</v>
      </c>
      <c r="C209" t="str">
        <f>IFERROR(VLOOKUP(FO_Capture!C209, Reference_Data!A:D, 2, FALSE), "UNKNOWN")</f>
        <v>Alpha Capital 36</v>
      </c>
      <c r="D209" t="str">
        <f>IFERROR(VLOOKUP(FO_Capture!C209, Reference_Data!A:D, 3, FALSE), "XXX")</f>
        <v>JPY</v>
      </c>
      <c r="E209" t="str">
        <f>IFERROR(VLOOKUP(FO_Capture!C209, Reference_Data!A:D, 4, FALSE), "MISSING SSI")</f>
        <v>Citi A/C 359789</v>
      </c>
      <c r="F209">
        <f>FO_Capture!D209</f>
        <v>220</v>
      </c>
      <c r="G209">
        <f>FO_Capture!E209</f>
        <v>383.02999877929688</v>
      </c>
      <c r="H209">
        <f t="shared" si="6"/>
        <v>84266.599731445313</v>
      </c>
      <c r="I209" t="str">
        <f t="shared" si="7"/>
        <v>Pass - Ready for Confirmation</v>
      </c>
    </row>
    <row r="210" spans="1:9" x14ac:dyDescent="0.3">
      <c r="A210" t="str">
        <f>FO_Capture!A210</f>
        <v>TRD00209</v>
      </c>
      <c r="B210" t="str">
        <f>FO_Capture!B210</f>
        <v>INE003A01037</v>
      </c>
      <c r="C210" t="str">
        <f>IFERROR(VLOOKUP(FO_Capture!C210, Reference_Data!A:D, 2, FALSE), "UNKNOWN")</f>
        <v>Alpha Investments 29</v>
      </c>
      <c r="D210" t="str">
        <f>IFERROR(VLOOKUP(FO_Capture!C210, Reference_Data!A:D, 3, FALSE), "XXX")</f>
        <v>INR</v>
      </c>
      <c r="E210" t="str">
        <f>IFERROR(VLOOKUP(FO_Capture!C210, Reference_Data!A:D, 4, FALSE), "MISSING SSI")</f>
        <v>HSBC A/C 785870</v>
      </c>
      <c r="F210">
        <f>FO_Capture!D210</f>
        <v>100</v>
      </c>
      <c r="G210">
        <f>FO_Capture!E210</f>
        <v>255.5</v>
      </c>
      <c r="H210">
        <f t="shared" si="6"/>
        <v>25550</v>
      </c>
      <c r="I210" t="str">
        <f t="shared" si="7"/>
        <v>Pass - Ready for Confirmation</v>
      </c>
    </row>
    <row r="211" spans="1:9" x14ac:dyDescent="0.3">
      <c r="A211" t="str">
        <f>FO_Capture!A211</f>
        <v>TRD00210</v>
      </c>
      <c r="B211" t="str">
        <f>FO_Capture!B211</f>
        <v>INE004A01011</v>
      </c>
      <c r="C211" t="str">
        <f>IFERROR(VLOOKUP(FO_Capture!C211, Reference_Data!A:D, 2, FALSE), "UNKNOWN")</f>
        <v>Alpha Investments 29</v>
      </c>
      <c r="D211" t="str">
        <f>IFERROR(VLOOKUP(FO_Capture!C211, Reference_Data!A:D, 3, FALSE), "XXX")</f>
        <v>INR</v>
      </c>
      <c r="E211" t="str">
        <f>IFERROR(VLOOKUP(FO_Capture!C211, Reference_Data!A:D, 4, FALSE), "MISSING SSI")</f>
        <v>HSBC A/C 785870</v>
      </c>
      <c r="F211">
        <f>FO_Capture!D211</f>
        <v>20</v>
      </c>
      <c r="G211">
        <f>FO_Capture!E211</f>
        <v>182.44999694824219</v>
      </c>
      <c r="H211">
        <f t="shared" si="6"/>
        <v>3648.9999389648438</v>
      </c>
      <c r="I211" t="str">
        <f t="shared" si="7"/>
        <v>Pass - Ready for Confirmation</v>
      </c>
    </row>
    <row r="212" spans="1:9" x14ac:dyDescent="0.3">
      <c r="A212" t="str">
        <f>FO_Capture!A212</f>
        <v>TRD00211</v>
      </c>
      <c r="B212" t="str">
        <f>FO_Capture!B212</f>
        <v>INE001A01085</v>
      </c>
      <c r="C212" t="str">
        <f>IFERROR(VLOOKUP(FO_Capture!C212, Reference_Data!A:D, 2, FALSE), "UNKNOWN")</f>
        <v>Alpha Holdings 47</v>
      </c>
      <c r="D212" t="str">
        <f>IFERROR(VLOOKUP(FO_Capture!C212, Reference_Data!A:D, 3, FALSE), "XXX")</f>
        <v>GBP</v>
      </c>
      <c r="E212" t="str">
        <f>IFERROR(VLOOKUP(FO_Capture!C212, Reference_Data!A:D, 4, FALSE), "MISSING SSI")</f>
        <v>Citi A/C 703401</v>
      </c>
      <c r="F212">
        <f>FO_Capture!D212</f>
        <v>260</v>
      </c>
      <c r="G212">
        <f>FO_Capture!E212</f>
        <v>125.05999755859375</v>
      </c>
      <c r="H212">
        <f t="shared" si="6"/>
        <v>32515.599365234375</v>
      </c>
      <c r="I212" t="str">
        <f t="shared" si="7"/>
        <v>Pass - Ready for Confirmation</v>
      </c>
    </row>
    <row r="213" spans="1:9" x14ac:dyDescent="0.3">
      <c r="A213" t="str">
        <f>FO_Capture!A213</f>
        <v>TRD00212</v>
      </c>
      <c r="B213" t="str">
        <f>FO_Capture!B213</f>
        <v>INE009A01092</v>
      </c>
      <c r="C213" t="str">
        <f>IFERROR(VLOOKUP(FO_Capture!C213, Reference_Data!A:D, 2, FALSE), "UNKNOWN")</f>
        <v>Alpha Holdings 21</v>
      </c>
      <c r="D213" t="str">
        <f>IFERROR(VLOOKUP(FO_Capture!C213, Reference_Data!A:D, 3, FALSE), "XXX")</f>
        <v>SGD</v>
      </c>
      <c r="E213" t="str">
        <f>IFERROR(VLOOKUP(FO_Capture!C213, Reference_Data!A:D, 4, FALSE), "MISSING SSI")</f>
        <v>HSBC A/C 562956</v>
      </c>
      <c r="F213">
        <f>FO_Capture!D213</f>
        <v>460</v>
      </c>
      <c r="G213">
        <f>FO_Capture!E213</f>
        <v>396.07000732421875</v>
      </c>
      <c r="H213">
        <f t="shared" si="6"/>
        <v>182192.20336914063</v>
      </c>
      <c r="I213" t="str">
        <f t="shared" si="7"/>
        <v>Pass - Ready for Confirmation</v>
      </c>
    </row>
    <row r="214" spans="1:9" x14ac:dyDescent="0.3">
      <c r="A214" t="str">
        <f>FO_Capture!A214</f>
        <v>TRD00213</v>
      </c>
      <c r="B214" t="str">
        <f>FO_Capture!B214</f>
        <v>INE007A01093</v>
      </c>
      <c r="C214" t="str">
        <f>IFERROR(VLOOKUP(FO_Capture!C214, Reference_Data!A:D, 2, FALSE), "UNKNOWN")</f>
        <v>Alpha Capital 33</v>
      </c>
      <c r="D214" t="str">
        <f>IFERROR(VLOOKUP(FO_Capture!C214, Reference_Data!A:D, 3, FALSE), "XXX")</f>
        <v>JPY</v>
      </c>
      <c r="E214" t="str">
        <f>IFERROR(VLOOKUP(FO_Capture!C214, Reference_Data!A:D, 4, FALSE), "MISSING SSI")</f>
        <v>HSBC A/C 172861</v>
      </c>
      <c r="F214">
        <f>FO_Capture!D214</f>
        <v>380</v>
      </c>
      <c r="G214">
        <f>FO_Capture!E214</f>
        <v>409.79998779296875</v>
      </c>
      <c r="H214">
        <f t="shared" si="6"/>
        <v>155723.99536132813</v>
      </c>
      <c r="I214" t="str">
        <f t="shared" si="7"/>
        <v>Pass - Ready for Confirmation</v>
      </c>
    </row>
    <row r="215" spans="1:9" x14ac:dyDescent="0.3">
      <c r="A215" t="str">
        <f>FO_Capture!A215</f>
        <v>TRD00214</v>
      </c>
      <c r="B215" t="str">
        <f>FO_Capture!B215</f>
        <v>INE004A01034</v>
      </c>
      <c r="C215" t="str">
        <f>IFERROR(VLOOKUP(FO_Capture!C215, Reference_Data!A:D, 2, FALSE), "UNKNOWN")</f>
        <v>Alpha Investments 40</v>
      </c>
      <c r="D215" t="str">
        <f>IFERROR(VLOOKUP(FO_Capture!C215, Reference_Data!A:D, 3, FALSE), "XXX")</f>
        <v>GBP</v>
      </c>
      <c r="E215" t="str">
        <f>IFERROR(VLOOKUP(FO_Capture!C215, Reference_Data!A:D, 4, FALSE), "MISSING SSI")</f>
        <v>HDFC A/C 897530</v>
      </c>
      <c r="F215">
        <f>FO_Capture!D215</f>
        <v>210</v>
      </c>
      <c r="G215">
        <f>FO_Capture!E215</f>
        <v>432.1199951171875</v>
      </c>
      <c r="H215">
        <f t="shared" si="6"/>
        <v>90745.198974609375</v>
      </c>
      <c r="I215" t="str">
        <f t="shared" si="7"/>
        <v>Pass - Ready for Confirmation</v>
      </c>
    </row>
    <row r="216" spans="1:9" x14ac:dyDescent="0.3">
      <c r="A216" t="str">
        <f>FO_Capture!A216</f>
        <v>TRD00215</v>
      </c>
      <c r="B216" t="str">
        <f>FO_Capture!B216</f>
        <v>INE008A01093</v>
      </c>
      <c r="C216" t="str">
        <f>IFERROR(VLOOKUP(FO_Capture!C216, Reference_Data!A:D, 2, FALSE), "UNKNOWN")</f>
        <v>Alpha Capital 44</v>
      </c>
      <c r="D216" t="str">
        <f>IFERROR(VLOOKUP(FO_Capture!C216, Reference_Data!A:D, 3, FALSE), "XXX")</f>
        <v>INR</v>
      </c>
      <c r="E216" t="str">
        <f>IFERROR(VLOOKUP(FO_Capture!C216, Reference_Data!A:D, 4, FALSE), "MISSING SSI")</f>
        <v>Deutsche Bank A/C 428758</v>
      </c>
      <c r="F216">
        <f>FO_Capture!D216</f>
        <v>220</v>
      </c>
      <c r="G216">
        <f>FO_Capture!E216</f>
        <v>330.45001220703125</v>
      </c>
      <c r="H216">
        <f t="shared" si="6"/>
        <v>72699.002685546875</v>
      </c>
      <c r="I216" t="str">
        <f t="shared" si="7"/>
        <v>Pass - Ready for Confirmation</v>
      </c>
    </row>
    <row r="217" spans="1:9" x14ac:dyDescent="0.3">
      <c r="A217" t="str">
        <f>FO_Capture!A217</f>
        <v>TRD00216</v>
      </c>
      <c r="B217" t="str">
        <f>FO_Capture!B217</f>
        <v>INE003A01033</v>
      </c>
      <c r="C217" t="str">
        <f>IFERROR(VLOOKUP(FO_Capture!C217, Reference_Data!A:D, 2, FALSE), "UNKNOWN")</f>
        <v>Alpha Holdings 21</v>
      </c>
      <c r="D217" t="str">
        <f>IFERROR(VLOOKUP(FO_Capture!C217, Reference_Data!A:D, 3, FALSE), "XXX")</f>
        <v>SGD</v>
      </c>
      <c r="E217" t="str">
        <f>IFERROR(VLOOKUP(FO_Capture!C217, Reference_Data!A:D, 4, FALSE), "MISSING SSI")</f>
        <v>HSBC A/C 562956</v>
      </c>
      <c r="F217">
        <f>FO_Capture!D217</f>
        <v>100</v>
      </c>
      <c r="G217">
        <f>FO_Capture!E217</f>
        <v>323.79000854492188</v>
      </c>
      <c r="H217">
        <f t="shared" si="6"/>
        <v>32379.000854492188</v>
      </c>
      <c r="I217" t="str">
        <f t="shared" si="7"/>
        <v>Pass - Ready for Confirmation</v>
      </c>
    </row>
    <row r="218" spans="1:9" x14ac:dyDescent="0.3">
      <c r="A218" t="str">
        <f>FO_Capture!A218</f>
        <v>TRD00217</v>
      </c>
      <c r="B218" t="str">
        <f>FO_Capture!B218</f>
        <v>INE001A01046</v>
      </c>
      <c r="C218" t="str">
        <f>IFERROR(VLOOKUP(FO_Capture!C218, Reference_Data!A:D, 2, FALSE), "UNKNOWN")</f>
        <v>Alpha Holdings 47</v>
      </c>
      <c r="D218" t="str">
        <f>IFERROR(VLOOKUP(FO_Capture!C218, Reference_Data!A:D, 3, FALSE), "XXX")</f>
        <v>GBP</v>
      </c>
      <c r="E218" t="str">
        <f>IFERROR(VLOOKUP(FO_Capture!C218, Reference_Data!A:D, 4, FALSE), "MISSING SSI")</f>
        <v>Citi A/C 703401</v>
      </c>
      <c r="F218">
        <f>FO_Capture!D218</f>
        <v>150</v>
      </c>
      <c r="G218">
        <f>FO_Capture!E218</f>
        <v>232.69000244140625</v>
      </c>
      <c r="H218">
        <f t="shared" si="6"/>
        <v>34903.500366210938</v>
      </c>
      <c r="I218" t="str">
        <f t="shared" si="7"/>
        <v>Pass - Ready for Confirmation</v>
      </c>
    </row>
    <row r="219" spans="1:9" x14ac:dyDescent="0.3">
      <c r="A219" t="str">
        <f>FO_Capture!A219</f>
        <v>TRD00218</v>
      </c>
      <c r="B219" t="str">
        <f>FO_Capture!B219</f>
        <v>INE006A01011</v>
      </c>
      <c r="C219" t="str">
        <f>IFERROR(VLOOKUP(FO_Capture!C219, Reference_Data!A:D, 2, FALSE), "UNKNOWN")</f>
        <v>Alpha Holdings 16</v>
      </c>
      <c r="D219" t="str">
        <f>IFERROR(VLOOKUP(FO_Capture!C219, Reference_Data!A:D, 3, FALSE), "XXX")</f>
        <v>USD</v>
      </c>
      <c r="E219" t="str">
        <f>IFERROR(VLOOKUP(FO_Capture!C219, Reference_Data!A:D, 4, FALSE), "MISSING SSI")</f>
        <v>Barclays A/C 197229</v>
      </c>
      <c r="F219">
        <f>FO_Capture!D219</f>
        <v>80</v>
      </c>
      <c r="G219">
        <f>FO_Capture!E219</f>
        <v>229.27999877929688</v>
      </c>
      <c r="H219">
        <f t="shared" si="6"/>
        <v>18342.39990234375</v>
      </c>
      <c r="I219" t="str">
        <f t="shared" si="7"/>
        <v>Pass - Ready for Confirmation</v>
      </c>
    </row>
    <row r="220" spans="1:9" x14ac:dyDescent="0.3">
      <c r="A220" t="str">
        <f>FO_Capture!A220</f>
        <v>TRD00219</v>
      </c>
      <c r="B220" t="str">
        <f>FO_Capture!B220</f>
        <v>INE005A01037</v>
      </c>
      <c r="C220" t="str">
        <f>IFERROR(VLOOKUP(FO_Capture!C220, Reference_Data!A:D, 2, FALSE), "UNKNOWN")</f>
        <v>Alpha Quant Fund 24</v>
      </c>
      <c r="D220" t="str">
        <f>IFERROR(VLOOKUP(FO_Capture!C220, Reference_Data!A:D, 3, FALSE), "XXX")</f>
        <v>SGD</v>
      </c>
      <c r="E220" t="str">
        <f>IFERROR(VLOOKUP(FO_Capture!C220, Reference_Data!A:D, 4, FALSE), "MISSING SSI")</f>
        <v>JPMorgan A/C 603587</v>
      </c>
      <c r="F220">
        <f>FO_Capture!D220</f>
        <v>200</v>
      </c>
      <c r="G220">
        <f>FO_Capture!E220</f>
        <v>87.230003356933594</v>
      </c>
      <c r="H220">
        <f t="shared" si="6"/>
        <v>17446.000671386719</v>
      </c>
      <c r="I220" t="str">
        <f t="shared" si="7"/>
        <v>Pass - Ready for Confirmation</v>
      </c>
    </row>
    <row r="221" spans="1:9" x14ac:dyDescent="0.3">
      <c r="A221" t="str">
        <f>FO_Capture!A221</f>
        <v>TRD00220</v>
      </c>
      <c r="B221" t="str">
        <f>FO_Capture!B221</f>
        <v>INE006A01016</v>
      </c>
      <c r="C221" t="str">
        <f>IFERROR(VLOOKUP(FO_Capture!C221, Reference_Data!A:D, 2, FALSE), "UNKNOWN")</f>
        <v>Alpha Capital 38</v>
      </c>
      <c r="D221" t="str">
        <f>IFERROR(VLOOKUP(FO_Capture!C221, Reference_Data!A:D, 3, FALSE), "XXX")</f>
        <v>SGD</v>
      </c>
      <c r="E221" t="str">
        <f>IFERROR(VLOOKUP(FO_Capture!C221, Reference_Data!A:D, 4, FALSE), "MISSING SSI")</f>
        <v>Deutsche Bank A/C 153521</v>
      </c>
      <c r="F221">
        <f>FO_Capture!D221</f>
        <v>220</v>
      </c>
      <c r="G221">
        <f>FO_Capture!E221</f>
        <v>431.79998779296875</v>
      </c>
      <c r="H221">
        <f t="shared" si="6"/>
        <v>94995.997314453125</v>
      </c>
      <c r="I221" t="str">
        <f t="shared" si="7"/>
        <v>Pass - Ready for Confirmation</v>
      </c>
    </row>
    <row r="222" spans="1:9" x14ac:dyDescent="0.3">
      <c r="A222" t="str">
        <f>FO_Capture!A222</f>
        <v>TRD00221</v>
      </c>
      <c r="B222" t="str">
        <f>FO_Capture!B222</f>
        <v>INE005A01074</v>
      </c>
      <c r="C222" t="str">
        <f>IFERROR(VLOOKUP(FO_Capture!C222, Reference_Data!A:D, 2, FALSE), "UNKNOWN")</f>
        <v>Alpha Global 20</v>
      </c>
      <c r="D222" t="str">
        <f>IFERROR(VLOOKUP(FO_Capture!C222, Reference_Data!A:D, 3, FALSE), "XXX")</f>
        <v>JPY</v>
      </c>
      <c r="E222" t="str">
        <f>IFERROR(VLOOKUP(FO_Capture!C222, Reference_Data!A:D, 4, FALSE), "MISSING SSI")</f>
        <v>Barclays A/C 560891</v>
      </c>
      <c r="F222">
        <f>FO_Capture!D222</f>
        <v>490</v>
      </c>
      <c r="G222">
        <f>FO_Capture!E222</f>
        <v>489.77999877929688</v>
      </c>
      <c r="H222">
        <f t="shared" si="6"/>
        <v>239992.19940185547</v>
      </c>
      <c r="I222" t="str">
        <f t="shared" si="7"/>
        <v>Pass - Ready for Confirmation</v>
      </c>
    </row>
    <row r="223" spans="1:9" x14ac:dyDescent="0.3">
      <c r="A223" t="str">
        <f>FO_Capture!A223</f>
        <v>TRD00222</v>
      </c>
      <c r="B223" t="str">
        <f>FO_Capture!B223</f>
        <v>INE005A01020</v>
      </c>
      <c r="C223" t="str">
        <f>IFERROR(VLOOKUP(FO_Capture!C223, Reference_Data!A:D, 2, FALSE), "UNKNOWN")</f>
        <v>Alpha Capital 10</v>
      </c>
      <c r="D223" t="str">
        <f>IFERROR(VLOOKUP(FO_Capture!C223, Reference_Data!A:D, 3, FALSE), "XXX")</f>
        <v>USD</v>
      </c>
      <c r="E223" t="str">
        <f>IFERROR(VLOOKUP(FO_Capture!C223, Reference_Data!A:D, 4, FALSE), "MISSING SSI")</f>
        <v>HDFC A/C 543407</v>
      </c>
      <c r="F223">
        <f>FO_Capture!D223</f>
        <v>220</v>
      </c>
      <c r="G223">
        <f>FO_Capture!E223</f>
        <v>339.54998779296875</v>
      </c>
      <c r="H223">
        <f t="shared" si="6"/>
        <v>74700.997314453125</v>
      </c>
      <c r="I223" t="str">
        <f t="shared" si="7"/>
        <v>Pass - Ready for Confirmation</v>
      </c>
    </row>
    <row r="224" spans="1:9" x14ac:dyDescent="0.3">
      <c r="A224" t="str">
        <f>FO_Capture!A224</f>
        <v>TRD00223</v>
      </c>
      <c r="B224" t="str">
        <f>FO_Capture!B224</f>
        <v>INE006A01093</v>
      </c>
      <c r="C224" t="str">
        <f>IFERROR(VLOOKUP(FO_Capture!C224, Reference_Data!A:D, 2, FALSE), "UNKNOWN")</f>
        <v>Alpha Holdings 41</v>
      </c>
      <c r="D224" t="str">
        <f>IFERROR(VLOOKUP(FO_Capture!C224, Reference_Data!A:D, 3, FALSE), "XXX")</f>
        <v>JPY</v>
      </c>
      <c r="E224" t="str">
        <f>IFERROR(VLOOKUP(FO_Capture!C224, Reference_Data!A:D, 4, FALSE), "MISSING SSI")</f>
        <v>HSBC A/C 468615</v>
      </c>
      <c r="F224">
        <f>FO_Capture!D224</f>
        <v>280</v>
      </c>
      <c r="G224">
        <f>FO_Capture!E224</f>
        <v>161.02999877929688</v>
      </c>
      <c r="H224">
        <f t="shared" si="6"/>
        <v>45088.399658203125</v>
      </c>
      <c r="I224" t="str">
        <f t="shared" si="7"/>
        <v>Pass - Ready for Confirmation</v>
      </c>
    </row>
    <row r="225" spans="1:9" x14ac:dyDescent="0.3">
      <c r="A225" t="str">
        <f>FO_Capture!A225</f>
        <v>TRD00224</v>
      </c>
      <c r="B225" t="str">
        <f>FO_Capture!B225</f>
        <v>INE002A01019</v>
      </c>
      <c r="C225" t="str">
        <f>IFERROR(VLOOKUP(FO_Capture!C225, Reference_Data!A:D, 2, FALSE), "UNKNOWN")</f>
        <v>Alpha Partners 22</v>
      </c>
      <c r="D225" t="str">
        <f>IFERROR(VLOOKUP(FO_Capture!C225, Reference_Data!A:D, 3, FALSE), "XXX")</f>
        <v>GBP</v>
      </c>
      <c r="E225" t="str">
        <f>IFERROR(VLOOKUP(FO_Capture!C225, Reference_Data!A:D, 4, FALSE), "MISSING SSI")</f>
        <v>JPMorgan A/C 488546</v>
      </c>
      <c r="F225">
        <f>FO_Capture!D225</f>
        <v>410</v>
      </c>
      <c r="G225">
        <f>FO_Capture!E225</f>
        <v>485.73001098632813</v>
      </c>
      <c r="H225">
        <f t="shared" si="6"/>
        <v>199149.30450439453</v>
      </c>
      <c r="I225" t="str">
        <f t="shared" si="7"/>
        <v>Pass - Ready for Confirmation</v>
      </c>
    </row>
    <row r="226" spans="1:9" x14ac:dyDescent="0.3">
      <c r="A226" t="str">
        <f>FO_Capture!A226</f>
        <v>TRD00225</v>
      </c>
      <c r="B226" t="str">
        <f>FO_Capture!B226</f>
        <v>INE005A01054</v>
      </c>
      <c r="C226" t="str">
        <f>IFERROR(VLOOKUP(FO_Capture!C226, Reference_Data!A:D, 2, FALSE), "UNKNOWN")</f>
        <v>Alpha Partners 6</v>
      </c>
      <c r="D226" t="str">
        <f>IFERROR(VLOOKUP(FO_Capture!C226, Reference_Data!A:D, 3, FALSE), "XXX")</f>
        <v>INR</v>
      </c>
      <c r="E226" t="str">
        <f>IFERROR(VLOOKUP(FO_Capture!C226, Reference_Data!A:D, 4, FALSE), "MISSING SSI")</f>
        <v>Standard Chartered A/C 441247</v>
      </c>
      <c r="F226">
        <f>FO_Capture!D226</f>
        <v>470</v>
      </c>
      <c r="G226">
        <f>FO_Capture!E226</f>
        <v>446.70001220703125</v>
      </c>
      <c r="H226">
        <f t="shared" si="6"/>
        <v>209949.00573730469</v>
      </c>
      <c r="I226" t="str">
        <f t="shared" si="7"/>
        <v>Pass - Ready for Confirmation</v>
      </c>
    </row>
    <row r="227" spans="1:9" x14ac:dyDescent="0.3">
      <c r="A227" t="str">
        <f>FO_Capture!A227</f>
        <v>TRD00226</v>
      </c>
      <c r="B227" t="str">
        <f>FO_Capture!B227</f>
        <v>INE005A01038</v>
      </c>
      <c r="C227" t="str">
        <f>IFERROR(VLOOKUP(FO_Capture!C227, Reference_Data!A:D, 2, FALSE), "UNKNOWN")</f>
        <v>Alpha Holdings 23</v>
      </c>
      <c r="D227" t="str">
        <f>IFERROR(VLOOKUP(FO_Capture!C227, Reference_Data!A:D, 3, FALSE), "XXX")</f>
        <v>INR</v>
      </c>
      <c r="E227" t="str">
        <f>IFERROR(VLOOKUP(FO_Capture!C227, Reference_Data!A:D, 4, FALSE), "MISSING SSI")</f>
        <v>Deutsche Bank A/C 983712</v>
      </c>
      <c r="F227">
        <f>FO_Capture!D227</f>
        <v>220</v>
      </c>
      <c r="G227">
        <f>FO_Capture!E227</f>
        <v>28.549999237060547</v>
      </c>
      <c r="H227">
        <f t="shared" si="6"/>
        <v>6280.9998321533203</v>
      </c>
      <c r="I227" t="str">
        <f t="shared" si="7"/>
        <v>Pass - Ready for Confirmation</v>
      </c>
    </row>
    <row r="228" spans="1:9" x14ac:dyDescent="0.3">
      <c r="A228" t="str">
        <f>FO_Capture!A228</f>
        <v>TRD00227</v>
      </c>
      <c r="B228" t="str">
        <f>FO_Capture!B228</f>
        <v>INE005A01042</v>
      </c>
      <c r="C228" t="str">
        <f>IFERROR(VLOOKUP(FO_Capture!C228, Reference_Data!A:D, 2, FALSE), "UNKNOWN")</f>
        <v>Alpha Global 46</v>
      </c>
      <c r="D228" t="str">
        <f>IFERROR(VLOOKUP(FO_Capture!C228, Reference_Data!A:D, 3, FALSE), "XXX")</f>
        <v>USD</v>
      </c>
      <c r="E228" t="str">
        <f>IFERROR(VLOOKUP(FO_Capture!C228, Reference_Data!A:D, 4, FALSE), "MISSING SSI")</f>
        <v>Citi A/C 700450</v>
      </c>
      <c r="F228">
        <f>FO_Capture!D228</f>
        <v>50</v>
      </c>
      <c r="G228">
        <f>FO_Capture!E228</f>
        <v>317.47000122070313</v>
      </c>
      <c r="H228">
        <f t="shared" si="6"/>
        <v>15873.500061035156</v>
      </c>
      <c r="I228" t="str">
        <f t="shared" si="7"/>
        <v>Pass - Ready for Confirmation</v>
      </c>
    </row>
    <row r="229" spans="1:9" x14ac:dyDescent="0.3">
      <c r="A229" t="str">
        <f>FO_Capture!A229</f>
        <v>TRD00228</v>
      </c>
      <c r="B229" t="str">
        <f>FO_Capture!B229</f>
        <v>INE005A01022</v>
      </c>
      <c r="C229" t="str">
        <f>IFERROR(VLOOKUP(FO_Capture!C229, Reference_Data!A:D, 2, FALSE), "UNKNOWN")</f>
        <v>Alpha Global 25</v>
      </c>
      <c r="D229" t="str">
        <f>IFERROR(VLOOKUP(FO_Capture!C229, Reference_Data!A:D, 3, FALSE), "XXX")</f>
        <v>EUR</v>
      </c>
      <c r="E229" t="str">
        <f>IFERROR(VLOOKUP(FO_Capture!C229, Reference_Data!A:D, 4, FALSE), "MISSING SSI")</f>
        <v>Standard Chartered A/C 438949</v>
      </c>
      <c r="F229">
        <f>FO_Capture!D229</f>
        <v>230</v>
      </c>
      <c r="G229">
        <f>FO_Capture!E229</f>
        <v>251.21000671386719</v>
      </c>
      <c r="H229">
        <f t="shared" si="6"/>
        <v>57778.301544189453</v>
      </c>
      <c r="I229" t="str">
        <f t="shared" si="7"/>
        <v>Pass - Ready for Confirmation</v>
      </c>
    </row>
    <row r="230" spans="1:9" x14ac:dyDescent="0.3">
      <c r="A230" t="str">
        <f>FO_Capture!A230</f>
        <v>TRD00229</v>
      </c>
      <c r="B230" t="str">
        <f>FO_Capture!B230</f>
        <v>INE006A01065</v>
      </c>
      <c r="C230" t="str">
        <f>IFERROR(VLOOKUP(FO_Capture!C230, Reference_Data!A:D, 2, FALSE), "UNKNOWN")</f>
        <v>Alpha Asset Management 5</v>
      </c>
      <c r="D230" t="str">
        <f>IFERROR(VLOOKUP(FO_Capture!C230, Reference_Data!A:D, 3, FALSE), "XXX")</f>
        <v>INR</v>
      </c>
      <c r="E230" t="str">
        <f>IFERROR(VLOOKUP(FO_Capture!C230, Reference_Data!A:D, 4, FALSE), "MISSING SSI")</f>
        <v>JPMorgan A/C 860462</v>
      </c>
      <c r="F230">
        <f>FO_Capture!D230</f>
        <v>160</v>
      </c>
      <c r="G230">
        <f>FO_Capture!E230</f>
        <v>369.07000732421875</v>
      </c>
      <c r="H230">
        <f t="shared" si="6"/>
        <v>59051.201171875</v>
      </c>
      <c r="I230" t="str">
        <f t="shared" si="7"/>
        <v>Pass - Ready for Confirmation</v>
      </c>
    </row>
    <row r="231" spans="1:9" x14ac:dyDescent="0.3">
      <c r="A231" t="str">
        <f>FO_Capture!A231</f>
        <v>TRD00230</v>
      </c>
      <c r="B231" t="str">
        <f>FO_Capture!B231</f>
        <v>INE008A01043</v>
      </c>
      <c r="C231" t="str">
        <f>IFERROR(VLOOKUP(FO_Capture!C231, Reference_Data!A:D, 2, FALSE), "UNKNOWN")</f>
        <v>Alpha Asset Management 5</v>
      </c>
      <c r="D231" t="str">
        <f>IFERROR(VLOOKUP(FO_Capture!C231, Reference_Data!A:D, 3, FALSE), "XXX")</f>
        <v>INR</v>
      </c>
      <c r="E231" t="str">
        <f>IFERROR(VLOOKUP(FO_Capture!C231, Reference_Data!A:D, 4, FALSE), "MISSING SSI")</f>
        <v>JPMorgan A/C 860462</v>
      </c>
      <c r="F231">
        <f>FO_Capture!D231</f>
        <v>140</v>
      </c>
      <c r="G231">
        <f>FO_Capture!E231</f>
        <v>61.909999847412109</v>
      </c>
      <c r="H231">
        <f t="shared" si="6"/>
        <v>8667.3999786376953</v>
      </c>
      <c r="I231" t="str">
        <f t="shared" si="7"/>
        <v>Pass - Ready for Confirmation</v>
      </c>
    </row>
    <row r="232" spans="1:9" x14ac:dyDescent="0.3">
      <c r="A232" t="str">
        <f>FO_Capture!A232</f>
        <v>TRD00231</v>
      </c>
      <c r="B232" t="str">
        <f>FO_Capture!B232</f>
        <v>INE005A01060</v>
      </c>
      <c r="C232" t="str">
        <f>IFERROR(VLOOKUP(FO_Capture!C232, Reference_Data!A:D, 2, FALSE), "UNKNOWN")</f>
        <v>Alpha Investments 40</v>
      </c>
      <c r="D232" t="str">
        <f>IFERROR(VLOOKUP(FO_Capture!C232, Reference_Data!A:D, 3, FALSE), "XXX")</f>
        <v>GBP</v>
      </c>
      <c r="E232" t="str">
        <f>IFERROR(VLOOKUP(FO_Capture!C232, Reference_Data!A:D, 4, FALSE), "MISSING SSI")</f>
        <v>HDFC A/C 897530</v>
      </c>
      <c r="F232">
        <f>FO_Capture!D232</f>
        <v>70</v>
      </c>
      <c r="G232">
        <f>FO_Capture!E232</f>
        <v>322.17999267578125</v>
      </c>
      <c r="H232">
        <f t="shared" si="6"/>
        <v>22552.599487304688</v>
      </c>
      <c r="I232" t="str">
        <f t="shared" si="7"/>
        <v>Pass - Ready for Confirmation</v>
      </c>
    </row>
    <row r="233" spans="1:9" x14ac:dyDescent="0.3">
      <c r="A233" t="str">
        <f>FO_Capture!A233</f>
        <v>TRD00232</v>
      </c>
      <c r="B233" t="str">
        <f>FO_Capture!B233</f>
        <v>INE001A0101</v>
      </c>
      <c r="C233" t="str">
        <f>IFERROR(VLOOKUP(FO_Capture!C233, Reference_Data!A:D, 2, FALSE), "UNKNOWN")</f>
        <v>Alpha Quant Fund 50</v>
      </c>
      <c r="D233" t="str">
        <f>IFERROR(VLOOKUP(FO_Capture!C233, Reference_Data!A:D, 3, FALSE), "XXX")</f>
        <v>SGD</v>
      </c>
      <c r="E233" t="str">
        <f>IFERROR(VLOOKUP(FO_Capture!C233, Reference_Data!A:D, 4, FALSE), "MISSING SSI")</f>
        <v>Standard Chartered A/C 307017</v>
      </c>
      <c r="F233">
        <f>FO_Capture!D233</f>
        <v>270</v>
      </c>
      <c r="G233">
        <f>FO_Capture!E233</f>
        <v>493.8599853515625</v>
      </c>
      <c r="H233">
        <f t="shared" si="6"/>
        <v>133342.19604492188</v>
      </c>
      <c r="I233" t="str">
        <f t="shared" si="7"/>
        <v>Pass - Ready for Confirmation</v>
      </c>
    </row>
    <row r="234" spans="1:9" x14ac:dyDescent="0.3">
      <c r="A234" t="str">
        <f>FO_Capture!A234</f>
        <v>TRD00233</v>
      </c>
      <c r="B234" t="str">
        <f>FO_Capture!B234</f>
        <v>INE009A01085</v>
      </c>
      <c r="C234" t="str">
        <f>IFERROR(VLOOKUP(FO_Capture!C234, Reference_Data!A:D, 2, FALSE), "UNKNOWN")</f>
        <v>Alpha Global 20</v>
      </c>
      <c r="D234" t="str">
        <f>IFERROR(VLOOKUP(FO_Capture!C234, Reference_Data!A:D, 3, FALSE), "XXX")</f>
        <v>JPY</v>
      </c>
      <c r="E234" t="str">
        <f>IFERROR(VLOOKUP(FO_Capture!C234, Reference_Data!A:D, 4, FALSE), "MISSING SSI")</f>
        <v>Barclays A/C 560891</v>
      </c>
      <c r="F234">
        <f>FO_Capture!D234</f>
        <v>160</v>
      </c>
      <c r="G234">
        <f>FO_Capture!E234</f>
        <v>22.520000457763672</v>
      </c>
      <c r="H234">
        <f t="shared" si="6"/>
        <v>3603.2000732421875</v>
      </c>
      <c r="I234" t="str">
        <f t="shared" si="7"/>
        <v>Pass - Ready for Confirmation</v>
      </c>
    </row>
    <row r="235" spans="1:9" x14ac:dyDescent="0.3">
      <c r="A235" t="str">
        <f>FO_Capture!A235</f>
        <v>TRD00234</v>
      </c>
      <c r="B235" t="str">
        <f>FO_Capture!B235</f>
        <v>INE001A01016</v>
      </c>
      <c r="C235" t="str">
        <f>IFERROR(VLOOKUP(FO_Capture!C235, Reference_Data!A:D, 2, FALSE), "UNKNOWN")</f>
        <v>Alpha Capital 9</v>
      </c>
      <c r="D235" t="str">
        <f>IFERROR(VLOOKUP(FO_Capture!C235, Reference_Data!A:D, 3, FALSE), "XXX")</f>
        <v>JPY</v>
      </c>
      <c r="E235" t="str">
        <f>IFERROR(VLOOKUP(FO_Capture!C235, Reference_Data!A:D, 4, FALSE), "MISSING SSI")</f>
        <v>Citi A/C 744145</v>
      </c>
      <c r="F235">
        <f>FO_Capture!D235</f>
        <v>60</v>
      </c>
      <c r="G235">
        <f>FO_Capture!E235</f>
        <v>205.25999450683594</v>
      </c>
      <c r="H235">
        <f t="shared" si="6"/>
        <v>12315.599670410156</v>
      </c>
      <c r="I235" t="str">
        <f t="shared" si="7"/>
        <v>Pass - Ready for Confirmation</v>
      </c>
    </row>
    <row r="236" spans="1:9" x14ac:dyDescent="0.3">
      <c r="A236" t="str">
        <f>FO_Capture!A236</f>
        <v>TRD00235</v>
      </c>
      <c r="B236" t="str">
        <f>FO_Capture!B236</f>
        <v>INE001A01026</v>
      </c>
      <c r="C236" t="str">
        <f>IFERROR(VLOOKUP(FO_Capture!C236, Reference_Data!A:D, 2, FALSE), "UNKNOWN")</f>
        <v>Alpha Global 25</v>
      </c>
      <c r="D236" t="str">
        <f>IFERROR(VLOOKUP(FO_Capture!C236, Reference_Data!A:D, 3, FALSE), "XXX")</f>
        <v>EUR</v>
      </c>
      <c r="E236" t="str">
        <f>IFERROR(VLOOKUP(FO_Capture!C236, Reference_Data!A:D, 4, FALSE), "MISSING SSI")</f>
        <v>Standard Chartered A/C 438949</v>
      </c>
      <c r="F236">
        <f>FO_Capture!D236</f>
        <v>430</v>
      </c>
      <c r="G236">
        <f>FO_Capture!E236</f>
        <v>440.77999877929688</v>
      </c>
      <c r="H236">
        <f t="shared" si="6"/>
        <v>189535.39947509766</v>
      </c>
      <c r="I236" t="str">
        <f t="shared" si="7"/>
        <v>Pass - Ready for Confirmation</v>
      </c>
    </row>
    <row r="237" spans="1:9" x14ac:dyDescent="0.3">
      <c r="A237" t="str">
        <f>FO_Capture!A237</f>
        <v>TRD00236</v>
      </c>
      <c r="B237" t="str">
        <f>FO_Capture!B237</f>
        <v>INE002A01035</v>
      </c>
      <c r="C237" t="str">
        <f>IFERROR(VLOOKUP(FO_Capture!C237, Reference_Data!A:D, 2, FALSE), "UNKNOWN")</f>
        <v>Alpha Holdings 47</v>
      </c>
      <c r="D237" t="str">
        <f>IFERROR(VLOOKUP(FO_Capture!C237, Reference_Data!A:D, 3, FALSE), "XXX")</f>
        <v>GBP</v>
      </c>
      <c r="E237" t="str">
        <f>IFERROR(VLOOKUP(FO_Capture!C237, Reference_Data!A:D, 4, FALSE), "MISSING SSI")</f>
        <v>Citi A/C 703401</v>
      </c>
      <c r="F237">
        <f>FO_Capture!D237</f>
        <v>100</v>
      </c>
      <c r="G237">
        <f>FO_Capture!E237</f>
        <v>479.32000732421875</v>
      </c>
      <c r="H237">
        <f t="shared" si="6"/>
        <v>47932.000732421875</v>
      </c>
      <c r="I237" t="str">
        <f t="shared" si="7"/>
        <v>Pass - Ready for Confirmation</v>
      </c>
    </row>
    <row r="238" spans="1:9" x14ac:dyDescent="0.3">
      <c r="A238" t="str">
        <f>FO_Capture!A238</f>
        <v>TRD00237</v>
      </c>
      <c r="B238" t="str">
        <f>FO_Capture!B238</f>
        <v>INE002A01092</v>
      </c>
      <c r="C238" t="str">
        <f>IFERROR(VLOOKUP(FO_Capture!C238, Reference_Data!A:D, 2, FALSE), "UNKNOWN")</f>
        <v>Alpha Partners 1</v>
      </c>
      <c r="D238" t="str">
        <f>IFERROR(VLOOKUP(FO_Capture!C238, Reference_Data!A:D, 3, FALSE), "XXX")</f>
        <v>JPY</v>
      </c>
      <c r="E238" t="str">
        <f>IFERROR(VLOOKUP(FO_Capture!C238, Reference_Data!A:D, 4, FALSE), "MISSING SSI")</f>
        <v>Standard Chartered A/C 277005</v>
      </c>
      <c r="F238">
        <f>FO_Capture!D238</f>
        <v>30</v>
      </c>
      <c r="G238">
        <f>FO_Capture!E238</f>
        <v>172.66999816894531</v>
      </c>
      <c r="H238">
        <f t="shared" si="6"/>
        <v>5180.0999450683594</v>
      </c>
      <c r="I238" t="str">
        <f t="shared" si="7"/>
        <v>Pass - Ready for Confirmation</v>
      </c>
    </row>
    <row r="239" spans="1:9" x14ac:dyDescent="0.3">
      <c r="A239" t="str">
        <f>FO_Capture!A239</f>
        <v>TRD00238</v>
      </c>
      <c r="B239" t="str">
        <f>FO_Capture!B239</f>
        <v>INE006A01031</v>
      </c>
      <c r="C239" t="str">
        <f>IFERROR(VLOOKUP(FO_Capture!C239, Reference_Data!A:D, 2, FALSE), "UNKNOWN")</f>
        <v>Alpha Partners 37</v>
      </c>
      <c r="D239" t="str">
        <f>IFERROR(VLOOKUP(FO_Capture!C239, Reference_Data!A:D, 3, FALSE), "XXX")</f>
        <v>JPY</v>
      </c>
      <c r="E239" t="str">
        <f>IFERROR(VLOOKUP(FO_Capture!C239, Reference_Data!A:D, 4, FALSE), "MISSING SSI")</f>
        <v>HSBC A/C 994063</v>
      </c>
      <c r="F239">
        <f>FO_Capture!D239</f>
        <v>70</v>
      </c>
      <c r="G239">
        <f>FO_Capture!E239</f>
        <v>224.22000122070313</v>
      </c>
      <c r="H239">
        <f t="shared" si="6"/>
        <v>15695.400085449219</v>
      </c>
      <c r="I239" t="str">
        <f t="shared" si="7"/>
        <v>Pass - Ready for Confirmation</v>
      </c>
    </row>
    <row r="240" spans="1:9" x14ac:dyDescent="0.3">
      <c r="A240" t="str">
        <f>FO_Capture!A240</f>
        <v>TRD00239</v>
      </c>
      <c r="B240" t="str">
        <f>FO_Capture!B240</f>
        <v>INE007A01019</v>
      </c>
      <c r="C240" t="str">
        <f>IFERROR(VLOOKUP(FO_Capture!C240, Reference_Data!A:D, 2, FALSE), "UNKNOWN")</f>
        <v>Alpha Partners 3</v>
      </c>
      <c r="D240" t="str">
        <f>IFERROR(VLOOKUP(FO_Capture!C240, Reference_Data!A:D, 3, FALSE), "XXX")</f>
        <v>USD</v>
      </c>
      <c r="E240" t="str">
        <f>IFERROR(VLOOKUP(FO_Capture!C240, Reference_Data!A:D, 4, FALSE), "MISSING SSI")</f>
        <v>Citi A/C 508769</v>
      </c>
      <c r="F240">
        <f>FO_Capture!D240</f>
        <v>210</v>
      </c>
      <c r="G240">
        <f>FO_Capture!E240</f>
        <v>438.89999389648438</v>
      </c>
      <c r="H240">
        <f t="shared" si="6"/>
        <v>92168.998718261719</v>
      </c>
      <c r="I240" t="str">
        <f t="shared" si="7"/>
        <v>Pass - Ready for Confirmation</v>
      </c>
    </row>
    <row r="241" spans="1:9" x14ac:dyDescent="0.3">
      <c r="A241" t="str">
        <f>FO_Capture!A241</f>
        <v>TRD00240</v>
      </c>
      <c r="B241" t="str">
        <f>FO_Capture!B241</f>
        <v>INE002A0103</v>
      </c>
      <c r="C241" t="str">
        <f>IFERROR(VLOOKUP(FO_Capture!C241, Reference_Data!A:D, 2, FALSE), "UNKNOWN")</f>
        <v>Alpha Partners 18</v>
      </c>
      <c r="D241" t="str">
        <f>IFERROR(VLOOKUP(FO_Capture!C241, Reference_Data!A:D, 3, FALSE), "XXX")</f>
        <v>INR</v>
      </c>
      <c r="E241" t="str">
        <f>IFERROR(VLOOKUP(FO_Capture!C241, Reference_Data!A:D, 4, FALSE), "MISSING SSI")</f>
        <v>JPMorgan A/C 704166</v>
      </c>
      <c r="F241">
        <f>FO_Capture!D241</f>
        <v>300</v>
      </c>
      <c r="G241">
        <f>FO_Capture!E241</f>
        <v>473.19000244140625</v>
      </c>
      <c r="H241">
        <f t="shared" si="6"/>
        <v>141957.00073242188</v>
      </c>
      <c r="I241" t="str">
        <f t="shared" si="7"/>
        <v>Pass - Ready for Confirmation</v>
      </c>
    </row>
    <row r="242" spans="1:9" x14ac:dyDescent="0.3">
      <c r="A242" t="str">
        <f>FO_Capture!A242</f>
        <v>TRD00241</v>
      </c>
      <c r="B242" t="str">
        <f>FO_Capture!B242</f>
        <v>INE006A01064</v>
      </c>
      <c r="C242" t="str">
        <f>IFERROR(VLOOKUP(FO_Capture!C242, Reference_Data!A:D, 2, FALSE), "UNKNOWN")</f>
        <v>Alpha Quant Fund 50</v>
      </c>
      <c r="D242" t="str">
        <f>IFERROR(VLOOKUP(FO_Capture!C242, Reference_Data!A:D, 3, FALSE), "XXX")</f>
        <v>SGD</v>
      </c>
      <c r="E242" t="str">
        <f>IFERROR(VLOOKUP(FO_Capture!C242, Reference_Data!A:D, 4, FALSE), "MISSING SSI")</f>
        <v>Standard Chartered A/C 307017</v>
      </c>
      <c r="F242">
        <f>FO_Capture!D242</f>
        <v>350</v>
      </c>
      <c r="G242">
        <f>FO_Capture!E242</f>
        <v>85.160003662109375</v>
      </c>
      <c r="H242">
        <f t="shared" si="6"/>
        <v>29806.001281738281</v>
      </c>
      <c r="I242" t="str">
        <f t="shared" si="7"/>
        <v>Pass - Ready for Confirmation</v>
      </c>
    </row>
    <row r="243" spans="1:9" x14ac:dyDescent="0.3">
      <c r="A243" t="str">
        <f>FO_Capture!A243</f>
        <v>TRD00242</v>
      </c>
      <c r="B243" t="str">
        <f>FO_Capture!B243</f>
        <v>INE008A01069</v>
      </c>
      <c r="C243" t="str">
        <f>IFERROR(VLOOKUP(FO_Capture!C243, Reference_Data!A:D, 2, FALSE), "UNKNOWN")</f>
        <v>Alpha Global 39</v>
      </c>
      <c r="D243" t="str">
        <f>IFERROR(VLOOKUP(FO_Capture!C243, Reference_Data!A:D, 3, FALSE), "XXX")</f>
        <v>SGD</v>
      </c>
      <c r="E243" t="str">
        <f>IFERROR(VLOOKUP(FO_Capture!C243, Reference_Data!A:D, 4, FALSE), "MISSING SSI")</f>
        <v>Deutsche Bank A/C 917029</v>
      </c>
      <c r="F243">
        <f>FO_Capture!D243</f>
        <v>240</v>
      </c>
      <c r="G243">
        <f>FO_Capture!E243</f>
        <v>384.42001342773438</v>
      </c>
      <c r="H243">
        <f t="shared" si="6"/>
        <v>92260.80322265625</v>
      </c>
      <c r="I243" t="str">
        <f t="shared" si="7"/>
        <v>Pass - Ready for Confirmation</v>
      </c>
    </row>
    <row r="244" spans="1:9" x14ac:dyDescent="0.3">
      <c r="A244" t="str">
        <f>FO_Capture!A244</f>
        <v>TRD00243</v>
      </c>
      <c r="B244" t="str">
        <f>FO_Capture!B244</f>
        <v>INE007A01015</v>
      </c>
      <c r="C244" t="str">
        <f>IFERROR(VLOOKUP(FO_Capture!C244, Reference_Data!A:D, 2, FALSE), "UNKNOWN")</f>
        <v>Alpha Quant Fund 24</v>
      </c>
      <c r="D244" t="str">
        <f>IFERROR(VLOOKUP(FO_Capture!C244, Reference_Data!A:D, 3, FALSE), "XXX")</f>
        <v>SGD</v>
      </c>
      <c r="E244" t="str">
        <f>IFERROR(VLOOKUP(FO_Capture!C244, Reference_Data!A:D, 4, FALSE), "MISSING SSI")</f>
        <v>JPMorgan A/C 603587</v>
      </c>
      <c r="F244">
        <f>FO_Capture!D244</f>
        <v>480</v>
      </c>
      <c r="G244">
        <f>FO_Capture!E244</f>
        <v>82.160003662109375</v>
      </c>
      <c r="H244">
        <f t="shared" si="6"/>
        <v>39436.8017578125</v>
      </c>
      <c r="I244" t="str">
        <f t="shared" si="7"/>
        <v>Pass - Ready for Confirmation</v>
      </c>
    </row>
    <row r="245" spans="1:9" x14ac:dyDescent="0.3">
      <c r="A245" t="str">
        <f>FO_Capture!A245</f>
        <v>TRD00244</v>
      </c>
      <c r="B245" t="str">
        <f>FO_Capture!B245</f>
        <v>INE006A01080</v>
      </c>
      <c r="C245" t="str">
        <f>IFERROR(VLOOKUP(FO_Capture!C245, Reference_Data!A:D, 2, FALSE), "UNKNOWN")</f>
        <v>Alpha Global 14</v>
      </c>
      <c r="D245" t="str">
        <f>IFERROR(VLOOKUP(FO_Capture!C245, Reference_Data!A:D, 3, FALSE), "XXX")</f>
        <v>USD</v>
      </c>
      <c r="E245" t="str">
        <f>IFERROR(VLOOKUP(FO_Capture!C245, Reference_Data!A:D, 4, FALSE), "MISSING SSI")</f>
        <v>HSBC A/C 864249</v>
      </c>
      <c r="F245">
        <f>FO_Capture!D245</f>
        <v>460</v>
      </c>
      <c r="G245">
        <f>FO_Capture!E245</f>
        <v>241.11000061035156</v>
      </c>
      <c r="H245">
        <f t="shared" si="6"/>
        <v>110910.60028076172</v>
      </c>
      <c r="I245" t="str">
        <f t="shared" si="7"/>
        <v>Pass - Ready for Confirmation</v>
      </c>
    </row>
    <row r="246" spans="1:9" x14ac:dyDescent="0.3">
      <c r="A246" t="str">
        <f>FO_Capture!A246</f>
        <v>TRD00245</v>
      </c>
      <c r="B246" t="str">
        <f>FO_Capture!B246</f>
        <v>INE006A01079</v>
      </c>
      <c r="C246" t="str">
        <f>IFERROR(VLOOKUP(FO_Capture!C246, Reference_Data!A:D, 2, FALSE), "UNKNOWN")</f>
        <v>Alpha Partners 19</v>
      </c>
      <c r="D246" t="str">
        <f>IFERROR(VLOOKUP(FO_Capture!C246, Reference_Data!A:D, 3, FALSE), "XXX")</f>
        <v>INR</v>
      </c>
      <c r="E246" t="str">
        <f>IFERROR(VLOOKUP(FO_Capture!C246, Reference_Data!A:D, 4, FALSE), "MISSING SSI")</f>
        <v>Citi A/C 543819</v>
      </c>
      <c r="F246">
        <f>FO_Capture!D246</f>
        <v>210</v>
      </c>
      <c r="G246">
        <f>FO_Capture!E246</f>
        <v>25.600000381469727</v>
      </c>
      <c r="H246">
        <f t="shared" si="6"/>
        <v>5376.0000801086426</v>
      </c>
      <c r="I246" t="str">
        <f t="shared" si="7"/>
        <v>Pass - Ready for Confirmation</v>
      </c>
    </row>
    <row r="247" spans="1:9" x14ac:dyDescent="0.3">
      <c r="A247" t="str">
        <f>FO_Capture!A247</f>
        <v>TRD00246</v>
      </c>
      <c r="B247" t="str">
        <f>FO_Capture!B247</f>
        <v>INE001A0108</v>
      </c>
      <c r="C247" t="str">
        <f>IFERROR(VLOOKUP(FO_Capture!C247, Reference_Data!A:D, 2, FALSE), "UNKNOWN")</f>
        <v>Alpha Partners 18</v>
      </c>
      <c r="D247" t="str">
        <f>IFERROR(VLOOKUP(FO_Capture!C247, Reference_Data!A:D, 3, FALSE), "XXX")</f>
        <v>INR</v>
      </c>
      <c r="E247" t="str">
        <f>IFERROR(VLOOKUP(FO_Capture!C247, Reference_Data!A:D, 4, FALSE), "MISSING SSI")</f>
        <v>JPMorgan A/C 704166</v>
      </c>
      <c r="F247">
        <f>FO_Capture!D247</f>
        <v>150</v>
      </c>
      <c r="G247">
        <f>FO_Capture!E247</f>
        <v>451.47000122070313</v>
      </c>
      <c r="H247">
        <f t="shared" si="6"/>
        <v>67720.500183105469</v>
      </c>
      <c r="I247" t="str">
        <f t="shared" si="7"/>
        <v>Pass - Ready for Confirmation</v>
      </c>
    </row>
    <row r="248" spans="1:9" x14ac:dyDescent="0.3">
      <c r="A248" t="str">
        <f>FO_Capture!A248</f>
        <v>TRD00247</v>
      </c>
      <c r="B248" t="str">
        <f>FO_Capture!B248</f>
        <v>INE006A01093</v>
      </c>
      <c r="C248" t="str">
        <f>IFERROR(VLOOKUP(FO_Capture!C248, Reference_Data!A:D, 2, FALSE), "UNKNOWN")</f>
        <v>Alpha Holdings 41</v>
      </c>
      <c r="D248" t="str">
        <f>IFERROR(VLOOKUP(FO_Capture!C248, Reference_Data!A:D, 3, FALSE), "XXX")</f>
        <v>JPY</v>
      </c>
      <c r="E248" t="str">
        <f>IFERROR(VLOOKUP(FO_Capture!C248, Reference_Data!A:D, 4, FALSE), "MISSING SSI")</f>
        <v>HSBC A/C 468615</v>
      </c>
      <c r="F248">
        <f>FO_Capture!D248</f>
        <v>320</v>
      </c>
      <c r="G248">
        <f>FO_Capture!E248</f>
        <v>136.17999267578125</v>
      </c>
      <c r="H248">
        <f t="shared" si="6"/>
        <v>43577.59765625</v>
      </c>
      <c r="I248" t="str">
        <f t="shared" si="7"/>
        <v>Pass - Ready for Confirmation</v>
      </c>
    </row>
    <row r="249" spans="1:9" x14ac:dyDescent="0.3">
      <c r="A249" t="str">
        <f>FO_Capture!A249</f>
        <v>TRD00248</v>
      </c>
      <c r="B249" t="str">
        <f>FO_Capture!B249</f>
        <v>INE008A01049</v>
      </c>
      <c r="C249" t="str">
        <f>IFERROR(VLOOKUP(FO_Capture!C249, Reference_Data!A:D, 2, FALSE), "UNKNOWN")</f>
        <v>Alpha Capital 38</v>
      </c>
      <c r="D249" t="str">
        <f>IFERROR(VLOOKUP(FO_Capture!C249, Reference_Data!A:D, 3, FALSE), "XXX")</f>
        <v>SGD</v>
      </c>
      <c r="E249" t="str">
        <f>IFERROR(VLOOKUP(FO_Capture!C249, Reference_Data!A:D, 4, FALSE), "MISSING SSI")</f>
        <v>Deutsche Bank A/C 153521</v>
      </c>
      <c r="F249">
        <f>FO_Capture!D249</f>
        <v>140</v>
      </c>
      <c r="G249">
        <f>FO_Capture!E249</f>
        <v>48.709999084472656</v>
      </c>
      <c r="H249">
        <f t="shared" si="6"/>
        <v>6819.3998718261719</v>
      </c>
      <c r="I249" t="str">
        <f t="shared" si="7"/>
        <v>Pass - Ready for Confirmation</v>
      </c>
    </row>
    <row r="250" spans="1:9" x14ac:dyDescent="0.3">
      <c r="A250" t="str">
        <f>FO_Capture!A250</f>
        <v>TRD00249</v>
      </c>
      <c r="B250" t="str">
        <f>FO_Capture!B250</f>
        <v>INE006A01017</v>
      </c>
      <c r="C250" t="str">
        <f>IFERROR(VLOOKUP(FO_Capture!C250, Reference_Data!A:D, 2, FALSE), "UNKNOWN")</f>
        <v>Alpha Capital 9</v>
      </c>
      <c r="D250" t="str">
        <f>IFERROR(VLOOKUP(FO_Capture!C250, Reference_Data!A:D, 3, FALSE), "XXX")</f>
        <v>JPY</v>
      </c>
      <c r="E250" t="str">
        <f>IFERROR(VLOOKUP(FO_Capture!C250, Reference_Data!A:D, 4, FALSE), "MISSING SSI")</f>
        <v>Citi A/C 744145</v>
      </c>
      <c r="F250">
        <f>FO_Capture!D250</f>
        <v>180</v>
      </c>
      <c r="G250">
        <f>FO_Capture!E250</f>
        <v>259.6099853515625</v>
      </c>
      <c r="H250">
        <f t="shared" si="6"/>
        <v>46729.79736328125</v>
      </c>
      <c r="I250" t="str">
        <f t="shared" si="7"/>
        <v>Pass - Ready for Confirmation</v>
      </c>
    </row>
    <row r="251" spans="1:9" x14ac:dyDescent="0.3">
      <c r="A251" t="str">
        <f>FO_Capture!A251</f>
        <v>TRD00250</v>
      </c>
      <c r="B251" t="str">
        <f>FO_Capture!B251</f>
        <v>INE008A01025</v>
      </c>
      <c r="C251" t="str">
        <f>IFERROR(VLOOKUP(FO_Capture!C251, Reference_Data!A:D, 2, FALSE), "UNKNOWN")</f>
        <v>Alpha Global 25</v>
      </c>
      <c r="D251" t="str">
        <f>IFERROR(VLOOKUP(FO_Capture!C251, Reference_Data!A:D, 3, FALSE), "XXX")</f>
        <v>EUR</v>
      </c>
      <c r="E251" t="str">
        <f>IFERROR(VLOOKUP(FO_Capture!C251, Reference_Data!A:D, 4, FALSE), "MISSING SSI")</f>
        <v>Standard Chartered A/C 438949</v>
      </c>
      <c r="F251">
        <f>FO_Capture!D251</f>
        <v>380</v>
      </c>
      <c r="G251">
        <f>FO_Capture!E251</f>
        <v>191.02000427246094</v>
      </c>
      <c r="H251">
        <f t="shared" si="6"/>
        <v>72587.601623535156</v>
      </c>
      <c r="I251" t="str">
        <f t="shared" si="7"/>
        <v>Pass - Ready for Confirmation</v>
      </c>
    </row>
    <row r="252" spans="1:9" x14ac:dyDescent="0.3">
      <c r="A252" t="str">
        <f>FO_Capture!A252</f>
        <v>TRD00251</v>
      </c>
      <c r="B252" t="str">
        <f>FO_Capture!B252</f>
        <v>INE006A01033</v>
      </c>
      <c r="C252" t="str">
        <f>IFERROR(VLOOKUP(FO_Capture!C252, Reference_Data!A:D, 2, FALSE), "UNKNOWN")</f>
        <v>Alpha Asset Management 5</v>
      </c>
      <c r="D252" t="str">
        <f>IFERROR(VLOOKUP(FO_Capture!C252, Reference_Data!A:D, 3, FALSE), "XXX")</f>
        <v>INR</v>
      </c>
      <c r="E252" t="str">
        <f>IFERROR(VLOOKUP(FO_Capture!C252, Reference_Data!A:D, 4, FALSE), "MISSING SSI")</f>
        <v>JPMorgan A/C 860462</v>
      </c>
      <c r="F252">
        <f>FO_Capture!D252</f>
        <v>310</v>
      </c>
      <c r="G252">
        <f>FO_Capture!E252</f>
        <v>366.60000610351563</v>
      </c>
      <c r="H252">
        <f t="shared" si="6"/>
        <v>113646.00189208984</v>
      </c>
      <c r="I252" t="str">
        <f t="shared" si="7"/>
        <v>Pass - Ready for Confirmation</v>
      </c>
    </row>
    <row r="253" spans="1:9" x14ac:dyDescent="0.3">
      <c r="A253" t="str">
        <f>FO_Capture!A253</f>
        <v>TRD00252</v>
      </c>
      <c r="B253" t="str">
        <f>FO_Capture!B253</f>
        <v>INE003A01084</v>
      </c>
      <c r="C253" t="str">
        <f>IFERROR(VLOOKUP(FO_Capture!C253, Reference_Data!A:D, 2, FALSE), "UNKNOWN")</f>
        <v>Alpha Holdings 41</v>
      </c>
      <c r="D253" t="str">
        <f>IFERROR(VLOOKUP(FO_Capture!C253, Reference_Data!A:D, 3, FALSE), "XXX")</f>
        <v>JPY</v>
      </c>
      <c r="E253" t="str">
        <f>IFERROR(VLOOKUP(FO_Capture!C253, Reference_Data!A:D, 4, FALSE), "MISSING SSI")</f>
        <v>HSBC A/C 468615</v>
      </c>
      <c r="F253">
        <f>FO_Capture!D253</f>
        <v>430</v>
      </c>
      <c r="G253">
        <f>FO_Capture!E253</f>
        <v>161.60000610351563</v>
      </c>
      <c r="H253">
        <f t="shared" si="6"/>
        <v>69488.002624511719</v>
      </c>
      <c r="I253" t="str">
        <f t="shared" si="7"/>
        <v>Pass - Ready for Confirmation</v>
      </c>
    </row>
    <row r="254" spans="1:9" x14ac:dyDescent="0.3">
      <c r="A254" t="str">
        <f>FO_Capture!A254</f>
        <v>TRD00253</v>
      </c>
      <c r="B254" t="str">
        <f>FO_Capture!B254</f>
        <v>INE001A01053</v>
      </c>
      <c r="C254" t="str">
        <f>IFERROR(VLOOKUP(FO_Capture!C254, Reference_Data!A:D, 2, FALSE), "UNKNOWN")</f>
        <v>Alpha Holdings 23</v>
      </c>
      <c r="D254" t="str">
        <f>IFERROR(VLOOKUP(FO_Capture!C254, Reference_Data!A:D, 3, FALSE), "XXX")</f>
        <v>INR</v>
      </c>
      <c r="E254" t="str">
        <f>IFERROR(VLOOKUP(FO_Capture!C254, Reference_Data!A:D, 4, FALSE), "MISSING SSI")</f>
        <v>Deutsche Bank A/C 983712</v>
      </c>
      <c r="F254">
        <f>FO_Capture!D254</f>
        <v>340</v>
      </c>
      <c r="G254">
        <f>FO_Capture!E254</f>
        <v>52.830001831054688</v>
      </c>
      <c r="H254">
        <f t="shared" si="6"/>
        <v>17962.200622558594</v>
      </c>
      <c r="I254" t="str">
        <f t="shared" si="7"/>
        <v>Pass - Ready for Confirmation</v>
      </c>
    </row>
    <row r="255" spans="1:9" x14ac:dyDescent="0.3">
      <c r="A255" t="str">
        <f>FO_Capture!A255</f>
        <v>TRD00254</v>
      </c>
      <c r="B255" t="str">
        <f>FO_Capture!B255</f>
        <v>INE005A01098</v>
      </c>
      <c r="C255" t="str">
        <f>IFERROR(VLOOKUP(FO_Capture!C255, Reference_Data!A:D, 2, FALSE), "UNKNOWN")</f>
        <v>Alpha Quant Fund 12</v>
      </c>
      <c r="D255" t="str">
        <f>IFERROR(VLOOKUP(FO_Capture!C255, Reference_Data!A:D, 3, FALSE), "XXX")</f>
        <v>EUR</v>
      </c>
      <c r="E255" t="str">
        <f>IFERROR(VLOOKUP(FO_Capture!C255, Reference_Data!A:D, 4, FALSE), "MISSING SSI")</f>
        <v>Deutsche Bank A/C 324710</v>
      </c>
      <c r="F255">
        <f>FO_Capture!D255</f>
        <v>500</v>
      </c>
      <c r="G255">
        <f>FO_Capture!E255</f>
        <v>368.67001342773438</v>
      </c>
      <c r="H255">
        <f t="shared" si="6"/>
        <v>184335.00671386719</v>
      </c>
      <c r="I255" t="str">
        <f t="shared" si="7"/>
        <v>Pass - Ready for Confirmation</v>
      </c>
    </row>
    <row r="256" spans="1:9" x14ac:dyDescent="0.3">
      <c r="A256" t="str">
        <f>FO_Capture!A256</f>
        <v>TRD00255</v>
      </c>
      <c r="B256" t="str">
        <f>FO_Capture!B256</f>
        <v>INE003A01012</v>
      </c>
      <c r="C256" t="str">
        <f>IFERROR(VLOOKUP(FO_Capture!C256, Reference_Data!A:D, 2, FALSE), "UNKNOWN")</f>
        <v>Alpha Partners 18</v>
      </c>
      <c r="D256" t="str">
        <f>IFERROR(VLOOKUP(FO_Capture!C256, Reference_Data!A:D, 3, FALSE), "XXX")</f>
        <v>INR</v>
      </c>
      <c r="E256" t="str">
        <f>IFERROR(VLOOKUP(FO_Capture!C256, Reference_Data!A:D, 4, FALSE), "MISSING SSI")</f>
        <v>JPMorgan A/C 704166</v>
      </c>
      <c r="F256">
        <f>FO_Capture!D256</f>
        <v>30</v>
      </c>
      <c r="G256">
        <f>FO_Capture!E256</f>
        <v>39.029998779296875</v>
      </c>
      <c r="H256">
        <f t="shared" si="6"/>
        <v>1170.8999633789063</v>
      </c>
      <c r="I256" t="str">
        <f t="shared" si="7"/>
        <v>Pass - Ready for Confirmation</v>
      </c>
    </row>
    <row r="257" spans="1:9" x14ac:dyDescent="0.3">
      <c r="A257" t="str">
        <f>FO_Capture!A257</f>
        <v>TRD00256</v>
      </c>
      <c r="B257" t="str">
        <f>FO_Capture!B257</f>
        <v>INE003A01065</v>
      </c>
      <c r="C257" t="str">
        <f>IFERROR(VLOOKUP(FO_Capture!C257, Reference_Data!A:D, 2, FALSE), "UNKNOWN")</f>
        <v>Alpha Quant Fund 24</v>
      </c>
      <c r="D257" t="str">
        <f>IFERROR(VLOOKUP(FO_Capture!C257, Reference_Data!A:D, 3, FALSE), "XXX")</f>
        <v>SGD</v>
      </c>
      <c r="E257" t="str">
        <f>IFERROR(VLOOKUP(FO_Capture!C257, Reference_Data!A:D, 4, FALSE), "MISSING SSI")</f>
        <v>JPMorgan A/C 603587</v>
      </c>
      <c r="F257">
        <f>FO_Capture!D257</f>
        <v>400</v>
      </c>
      <c r="G257">
        <f>FO_Capture!E257</f>
        <v>345.42001342773438</v>
      </c>
      <c r="H257">
        <f t="shared" si="6"/>
        <v>138168.00537109375</v>
      </c>
      <c r="I257" t="str">
        <f t="shared" si="7"/>
        <v>Pass - Ready for Confirmation</v>
      </c>
    </row>
    <row r="258" spans="1:9" x14ac:dyDescent="0.3">
      <c r="A258" t="str">
        <f>FO_Capture!A258</f>
        <v>TRD00257</v>
      </c>
      <c r="B258" t="str">
        <f>FO_Capture!B258</f>
        <v>INE003A01067</v>
      </c>
      <c r="C258" t="str">
        <f>IFERROR(VLOOKUP(FO_Capture!C258, Reference_Data!A:D, 2, FALSE), "UNKNOWN")</f>
        <v>Alpha Capital 10</v>
      </c>
      <c r="D258" t="str">
        <f>IFERROR(VLOOKUP(FO_Capture!C258, Reference_Data!A:D, 3, FALSE), "XXX")</f>
        <v>USD</v>
      </c>
      <c r="E258" t="str">
        <f>IFERROR(VLOOKUP(FO_Capture!C258, Reference_Data!A:D, 4, FALSE), "MISSING SSI")</f>
        <v>HDFC A/C 543407</v>
      </c>
      <c r="F258">
        <f>FO_Capture!D258</f>
        <v>260</v>
      </c>
      <c r="G258">
        <f>FO_Capture!E258</f>
        <v>170.88999938964844</v>
      </c>
      <c r="H258">
        <f t="shared" si="6"/>
        <v>44431.399841308594</v>
      </c>
      <c r="I258" t="str">
        <f t="shared" si="7"/>
        <v>Pass - Ready for Confirmation</v>
      </c>
    </row>
    <row r="259" spans="1:9" x14ac:dyDescent="0.3">
      <c r="A259" t="str">
        <f>FO_Capture!A259</f>
        <v>TRD00258</v>
      </c>
      <c r="B259" t="str">
        <f>FO_Capture!B259</f>
        <v>INE005A0107</v>
      </c>
      <c r="C259" t="str">
        <f>IFERROR(VLOOKUP(FO_Capture!C259, Reference_Data!A:D, 2, FALSE), "UNKNOWN")</f>
        <v>Alpha Investments 29</v>
      </c>
      <c r="D259" t="str">
        <f>IFERROR(VLOOKUP(FO_Capture!C259, Reference_Data!A:D, 3, FALSE), "XXX")</f>
        <v>INR</v>
      </c>
      <c r="E259" t="str">
        <f>IFERROR(VLOOKUP(FO_Capture!C259, Reference_Data!A:D, 4, FALSE), "MISSING SSI")</f>
        <v>HSBC A/C 785870</v>
      </c>
      <c r="F259">
        <f>FO_Capture!D259</f>
        <v>90</v>
      </c>
      <c r="G259">
        <f>FO_Capture!E259</f>
        <v>250.05000305175781</v>
      </c>
      <c r="H259">
        <f t="shared" ref="H259:H322" si="8">F259 * G259</f>
        <v>22504.500274658203</v>
      </c>
      <c r="I259" t="str">
        <f t="shared" ref="I259:I322" si="9">IF(C259="UNKNOWN", "Fail - Missing Ref Data", IF(OR(F259&lt;=0, G259&lt;=0), "Fail - Invalid Price/Qty", IF(H259&gt;1000000, "Exception - Limit Breach", "Pass - Ready for Confirmation")))</f>
        <v>Pass - Ready for Confirmation</v>
      </c>
    </row>
    <row r="260" spans="1:9" x14ac:dyDescent="0.3">
      <c r="A260" t="str">
        <f>FO_Capture!A260</f>
        <v>TRD00259</v>
      </c>
      <c r="B260" t="str">
        <f>FO_Capture!B260</f>
        <v>INE001A0106</v>
      </c>
      <c r="C260" t="str">
        <f>IFERROR(VLOOKUP(FO_Capture!C260, Reference_Data!A:D, 2, FALSE), "UNKNOWN")</f>
        <v>Alpha Asset Management 31</v>
      </c>
      <c r="D260" t="str">
        <f>IFERROR(VLOOKUP(FO_Capture!C260, Reference_Data!A:D, 3, FALSE), "XXX")</f>
        <v>USD</v>
      </c>
      <c r="E260" t="str">
        <f>IFERROR(VLOOKUP(FO_Capture!C260, Reference_Data!A:D, 4, FALSE), "MISSING SSI")</f>
        <v>Citi A/C 194841</v>
      </c>
      <c r="F260">
        <f>FO_Capture!D260</f>
        <v>50</v>
      </c>
      <c r="G260">
        <f>FO_Capture!E260</f>
        <v>419.10000610351563</v>
      </c>
      <c r="H260">
        <f t="shared" si="8"/>
        <v>20955.000305175781</v>
      </c>
      <c r="I260" t="str">
        <f t="shared" si="9"/>
        <v>Pass - Ready for Confirmation</v>
      </c>
    </row>
    <row r="261" spans="1:9" x14ac:dyDescent="0.3">
      <c r="A261" t="str">
        <f>FO_Capture!A261</f>
        <v>TRD00260</v>
      </c>
      <c r="B261" t="str">
        <f>FO_Capture!B261</f>
        <v>INE003A01070</v>
      </c>
      <c r="C261" t="str">
        <f>IFERROR(VLOOKUP(FO_Capture!C261, Reference_Data!A:D, 2, FALSE), "UNKNOWN")</f>
        <v>Alpha Global 39</v>
      </c>
      <c r="D261" t="str">
        <f>IFERROR(VLOOKUP(FO_Capture!C261, Reference_Data!A:D, 3, FALSE), "XXX")</f>
        <v>SGD</v>
      </c>
      <c r="E261" t="str">
        <f>IFERROR(VLOOKUP(FO_Capture!C261, Reference_Data!A:D, 4, FALSE), "MISSING SSI")</f>
        <v>Deutsche Bank A/C 917029</v>
      </c>
      <c r="F261">
        <f>FO_Capture!D261</f>
        <v>140</v>
      </c>
      <c r="G261">
        <f>FO_Capture!E261</f>
        <v>365.77999877929688</v>
      </c>
      <c r="H261">
        <f t="shared" si="8"/>
        <v>51209.199829101563</v>
      </c>
      <c r="I261" t="str">
        <f t="shared" si="9"/>
        <v>Pass - Ready for Confirmation</v>
      </c>
    </row>
    <row r="262" spans="1:9" x14ac:dyDescent="0.3">
      <c r="A262" t="str">
        <f>FO_Capture!A262</f>
        <v>TRD00261</v>
      </c>
      <c r="B262" t="str">
        <f>FO_Capture!B262</f>
        <v>INE007A01037</v>
      </c>
      <c r="C262" t="str">
        <f>IFERROR(VLOOKUP(FO_Capture!C262, Reference_Data!A:D, 2, FALSE), "UNKNOWN")</f>
        <v>Alpha Quant Fund 24</v>
      </c>
      <c r="D262" t="str">
        <f>IFERROR(VLOOKUP(FO_Capture!C262, Reference_Data!A:D, 3, FALSE), "XXX")</f>
        <v>SGD</v>
      </c>
      <c r="E262" t="str">
        <f>IFERROR(VLOOKUP(FO_Capture!C262, Reference_Data!A:D, 4, FALSE), "MISSING SSI")</f>
        <v>JPMorgan A/C 603587</v>
      </c>
      <c r="F262">
        <f>FO_Capture!D262</f>
        <v>30</v>
      </c>
      <c r="G262">
        <f>FO_Capture!E262</f>
        <v>379.3900146484375</v>
      </c>
      <c r="H262">
        <f t="shared" si="8"/>
        <v>11381.700439453125</v>
      </c>
      <c r="I262" t="str">
        <f t="shared" si="9"/>
        <v>Pass - Ready for Confirmation</v>
      </c>
    </row>
    <row r="263" spans="1:9" x14ac:dyDescent="0.3">
      <c r="A263" t="str">
        <f>FO_Capture!A263</f>
        <v>TRD00262</v>
      </c>
      <c r="B263" t="str">
        <f>FO_Capture!B263</f>
        <v>INE002A01028</v>
      </c>
      <c r="C263" t="str">
        <f>IFERROR(VLOOKUP(FO_Capture!C263, Reference_Data!A:D, 2, FALSE), "UNKNOWN")</f>
        <v>Alpha Investments 29</v>
      </c>
      <c r="D263" t="str">
        <f>IFERROR(VLOOKUP(FO_Capture!C263, Reference_Data!A:D, 3, FALSE), "XXX")</f>
        <v>INR</v>
      </c>
      <c r="E263" t="str">
        <f>IFERROR(VLOOKUP(FO_Capture!C263, Reference_Data!A:D, 4, FALSE), "MISSING SSI")</f>
        <v>HSBC A/C 785870</v>
      </c>
      <c r="F263">
        <f>FO_Capture!D263</f>
        <v>240</v>
      </c>
      <c r="G263">
        <f>FO_Capture!E263</f>
        <v>100.80000305175781</v>
      </c>
      <c r="H263">
        <f t="shared" si="8"/>
        <v>24192.000732421875</v>
      </c>
      <c r="I263" t="str">
        <f t="shared" si="9"/>
        <v>Pass - Ready for Confirmation</v>
      </c>
    </row>
    <row r="264" spans="1:9" x14ac:dyDescent="0.3">
      <c r="A264" t="str">
        <f>FO_Capture!A264</f>
        <v>TRD00263</v>
      </c>
      <c r="B264" t="str">
        <f>FO_Capture!B264</f>
        <v>INE002A01095</v>
      </c>
      <c r="C264" t="str">
        <f>IFERROR(VLOOKUP(FO_Capture!C264, Reference_Data!A:D, 2, FALSE), "UNKNOWN")</f>
        <v>Alpha Global 46</v>
      </c>
      <c r="D264" t="str">
        <f>IFERROR(VLOOKUP(FO_Capture!C264, Reference_Data!A:D, 3, FALSE), "XXX")</f>
        <v>USD</v>
      </c>
      <c r="E264" t="str">
        <f>IFERROR(VLOOKUP(FO_Capture!C264, Reference_Data!A:D, 4, FALSE), "MISSING SSI")</f>
        <v>Citi A/C 700450</v>
      </c>
      <c r="F264">
        <f>FO_Capture!D264</f>
        <v>460</v>
      </c>
      <c r="G264">
        <f>FO_Capture!E264</f>
        <v>272.45001220703125</v>
      </c>
      <c r="H264">
        <f t="shared" si="8"/>
        <v>125327.00561523438</v>
      </c>
      <c r="I264" t="str">
        <f t="shared" si="9"/>
        <v>Pass - Ready for Confirmation</v>
      </c>
    </row>
    <row r="265" spans="1:9" x14ac:dyDescent="0.3">
      <c r="A265" t="str">
        <f>FO_Capture!A265</f>
        <v>TRD00264</v>
      </c>
      <c r="B265" t="str">
        <f>FO_Capture!B265</f>
        <v>INE007A01076</v>
      </c>
      <c r="C265" t="str">
        <f>IFERROR(VLOOKUP(FO_Capture!C265, Reference_Data!A:D, 2, FALSE), "UNKNOWN")</f>
        <v>Alpha Partners 37</v>
      </c>
      <c r="D265" t="str">
        <f>IFERROR(VLOOKUP(FO_Capture!C265, Reference_Data!A:D, 3, FALSE), "XXX")</f>
        <v>JPY</v>
      </c>
      <c r="E265" t="str">
        <f>IFERROR(VLOOKUP(FO_Capture!C265, Reference_Data!A:D, 4, FALSE), "MISSING SSI")</f>
        <v>HSBC A/C 994063</v>
      </c>
      <c r="F265">
        <f>FO_Capture!D265</f>
        <v>220</v>
      </c>
      <c r="G265">
        <f>FO_Capture!E265</f>
        <v>488.32000732421875</v>
      </c>
      <c r="H265">
        <f t="shared" si="8"/>
        <v>107430.40161132813</v>
      </c>
      <c r="I265" t="str">
        <f t="shared" si="9"/>
        <v>Pass - Ready for Confirmation</v>
      </c>
    </row>
    <row r="266" spans="1:9" x14ac:dyDescent="0.3">
      <c r="A266" t="str">
        <f>FO_Capture!A266</f>
        <v>TRD00265</v>
      </c>
      <c r="B266" t="str">
        <f>FO_Capture!B266</f>
        <v>INE009A01041</v>
      </c>
      <c r="C266" t="str">
        <f>IFERROR(VLOOKUP(FO_Capture!C266, Reference_Data!A:D, 2, FALSE), "UNKNOWN")</f>
        <v>Alpha Investments 15</v>
      </c>
      <c r="D266" t="str">
        <f>IFERROR(VLOOKUP(FO_Capture!C266, Reference_Data!A:D, 3, FALSE), "XXX")</f>
        <v>INR</v>
      </c>
      <c r="E266" t="str">
        <f>IFERROR(VLOOKUP(FO_Capture!C266, Reference_Data!A:D, 4, FALSE), "MISSING SSI")</f>
        <v>Deutsche Bank A/C 330518</v>
      </c>
      <c r="F266">
        <f>FO_Capture!D266</f>
        <v>220</v>
      </c>
      <c r="G266">
        <f>FO_Capture!E266</f>
        <v>443.97000122070313</v>
      </c>
      <c r="H266">
        <f t="shared" si="8"/>
        <v>97673.400268554688</v>
      </c>
      <c r="I266" t="str">
        <f t="shared" si="9"/>
        <v>Pass - Ready for Confirmation</v>
      </c>
    </row>
    <row r="267" spans="1:9" x14ac:dyDescent="0.3">
      <c r="A267" t="str">
        <f>FO_Capture!A267</f>
        <v>TRD00266</v>
      </c>
      <c r="B267" t="str">
        <f>FO_Capture!B267</f>
        <v>INE009A01040</v>
      </c>
      <c r="C267" t="str">
        <f>IFERROR(VLOOKUP(FO_Capture!C267, Reference_Data!A:D, 2, FALSE), "UNKNOWN")</f>
        <v>Alpha Global 14</v>
      </c>
      <c r="D267" t="str">
        <f>IFERROR(VLOOKUP(FO_Capture!C267, Reference_Data!A:D, 3, FALSE), "XXX")</f>
        <v>USD</v>
      </c>
      <c r="E267" t="str">
        <f>IFERROR(VLOOKUP(FO_Capture!C267, Reference_Data!A:D, 4, FALSE), "MISSING SSI")</f>
        <v>HSBC A/C 864249</v>
      </c>
      <c r="F267">
        <f>FO_Capture!D267</f>
        <v>20</v>
      </c>
      <c r="G267">
        <f>FO_Capture!E267</f>
        <v>186.52999877929688</v>
      </c>
      <c r="H267">
        <f t="shared" si="8"/>
        <v>3730.5999755859375</v>
      </c>
      <c r="I267" t="str">
        <f t="shared" si="9"/>
        <v>Pass - Ready for Confirmation</v>
      </c>
    </row>
    <row r="268" spans="1:9" x14ac:dyDescent="0.3">
      <c r="A268" t="str">
        <f>FO_Capture!A268</f>
        <v>TRD00267</v>
      </c>
      <c r="B268" t="str">
        <f>FO_Capture!B268</f>
        <v>INE002A01058</v>
      </c>
      <c r="C268" t="str">
        <f>IFERROR(VLOOKUP(FO_Capture!C268, Reference_Data!A:D, 2, FALSE), "UNKNOWN")</f>
        <v>Alpha Global 14</v>
      </c>
      <c r="D268" t="str">
        <f>IFERROR(VLOOKUP(FO_Capture!C268, Reference_Data!A:D, 3, FALSE), "XXX")</f>
        <v>USD</v>
      </c>
      <c r="E268" t="str">
        <f>IFERROR(VLOOKUP(FO_Capture!C268, Reference_Data!A:D, 4, FALSE), "MISSING SSI")</f>
        <v>HSBC A/C 864249</v>
      </c>
      <c r="F268">
        <f>FO_Capture!D268</f>
        <v>330</v>
      </c>
      <c r="G268">
        <f>FO_Capture!E268</f>
        <v>364.67999267578125</v>
      </c>
      <c r="H268">
        <f t="shared" si="8"/>
        <v>120344.39758300781</v>
      </c>
      <c r="I268" t="str">
        <f t="shared" si="9"/>
        <v>Pass - Ready for Confirmation</v>
      </c>
    </row>
    <row r="269" spans="1:9" x14ac:dyDescent="0.3">
      <c r="A269" t="str">
        <f>FO_Capture!A269</f>
        <v>TRD00268</v>
      </c>
      <c r="B269" t="str">
        <f>FO_Capture!B269</f>
        <v>INE009A01063</v>
      </c>
      <c r="C269" t="str">
        <f>IFERROR(VLOOKUP(FO_Capture!C269, Reference_Data!A:D, 2, FALSE), "UNKNOWN")</f>
        <v>Alpha Holdings 21</v>
      </c>
      <c r="D269" t="str">
        <f>IFERROR(VLOOKUP(FO_Capture!C269, Reference_Data!A:D, 3, FALSE), "XXX")</f>
        <v>SGD</v>
      </c>
      <c r="E269" t="str">
        <f>IFERROR(VLOOKUP(FO_Capture!C269, Reference_Data!A:D, 4, FALSE), "MISSING SSI")</f>
        <v>HSBC A/C 562956</v>
      </c>
      <c r="F269">
        <f>FO_Capture!D269</f>
        <v>220</v>
      </c>
      <c r="G269">
        <f>FO_Capture!E269</f>
        <v>478.64999389648438</v>
      </c>
      <c r="H269">
        <f t="shared" si="8"/>
        <v>105302.99865722656</v>
      </c>
      <c r="I269" t="str">
        <f t="shared" si="9"/>
        <v>Pass - Ready for Confirmation</v>
      </c>
    </row>
    <row r="270" spans="1:9" x14ac:dyDescent="0.3">
      <c r="A270" t="str">
        <f>FO_Capture!A270</f>
        <v>TRD00269</v>
      </c>
      <c r="B270" t="str">
        <f>FO_Capture!B270</f>
        <v>INE001A01056</v>
      </c>
      <c r="C270" t="str">
        <f>IFERROR(VLOOKUP(FO_Capture!C270, Reference_Data!A:D, 2, FALSE), "UNKNOWN")</f>
        <v>Alpha Capital 36</v>
      </c>
      <c r="D270" t="str">
        <f>IFERROR(VLOOKUP(FO_Capture!C270, Reference_Data!A:D, 3, FALSE), "XXX")</f>
        <v>JPY</v>
      </c>
      <c r="E270" t="str">
        <f>IFERROR(VLOOKUP(FO_Capture!C270, Reference_Data!A:D, 4, FALSE), "MISSING SSI")</f>
        <v>Citi A/C 359789</v>
      </c>
      <c r="F270">
        <f>FO_Capture!D270</f>
        <v>410</v>
      </c>
      <c r="G270">
        <f>FO_Capture!E270</f>
        <v>130.25999450683594</v>
      </c>
      <c r="H270">
        <f t="shared" si="8"/>
        <v>53406.597747802734</v>
      </c>
      <c r="I270" t="str">
        <f t="shared" si="9"/>
        <v>Pass - Ready for Confirmation</v>
      </c>
    </row>
    <row r="271" spans="1:9" x14ac:dyDescent="0.3">
      <c r="A271" t="str">
        <f>FO_Capture!A271</f>
        <v>TRD00270</v>
      </c>
      <c r="B271" t="str">
        <f>FO_Capture!B271</f>
        <v>INE003A01021</v>
      </c>
      <c r="C271" t="str">
        <f>IFERROR(VLOOKUP(FO_Capture!C271, Reference_Data!A:D, 2, FALSE), "UNKNOWN")</f>
        <v>Alpha Quant Fund 34</v>
      </c>
      <c r="D271" t="str">
        <f>IFERROR(VLOOKUP(FO_Capture!C271, Reference_Data!A:D, 3, FALSE), "XXX")</f>
        <v>JPY</v>
      </c>
      <c r="E271" t="str">
        <f>IFERROR(VLOOKUP(FO_Capture!C271, Reference_Data!A:D, 4, FALSE), "MISSING SSI")</f>
        <v>Citi A/C 837378</v>
      </c>
      <c r="F271">
        <f>FO_Capture!D271</f>
        <v>10</v>
      </c>
      <c r="G271">
        <f>FO_Capture!E271</f>
        <v>272.8800048828125</v>
      </c>
      <c r="H271">
        <f t="shared" si="8"/>
        <v>2728.800048828125</v>
      </c>
      <c r="I271" t="str">
        <f t="shared" si="9"/>
        <v>Pass - Ready for Confirmation</v>
      </c>
    </row>
    <row r="272" spans="1:9" x14ac:dyDescent="0.3">
      <c r="A272" t="str">
        <f>FO_Capture!A272</f>
        <v>TRD00271</v>
      </c>
      <c r="B272" t="str">
        <f>FO_Capture!B272</f>
        <v>INE003A01071</v>
      </c>
      <c r="C272" t="str">
        <f>IFERROR(VLOOKUP(FO_Capture!C272, Reference_Data!A:D, 2, FALSE), "UNKNOWN")</f>
        <v>Alpha Partners 37</v>
      </c>
      <c r="D272" t="str">
        <f>IFERROR(VLOOKUP(FO_Capture!C272, Reference_Data!A:D, 3, FALSE), "XXX")</f>
        <v>JPY</v>
      </c>
      <c r="E272" t="str">
        <f>IFERROR(VLOOKUP(FO_Capture!C272, Reference_Data!A:D, 4, FALSE), "MISSING SSI")</f>
        <v>HSBC A/C 994063</v>
      </c>
      <c r="F272">
        <f>FO_Capture!D272</f>
        <v>230</v>
      </c>
      <c r="G272">
        <f>FO_Capture!E272</f>
        <v>461.42999267578125</v>
      </c>
      <c r="H272">
        <f t="shared" si="8"/>
        <v>106128.89831542969</v>
      </c>
      <c r="I272" t="str">
        <f t="shared" si="9"/>
        <v>Pass - Ready for Confirmation</v>
      </c>
    </row>
    <row r="273" spans="1:9" x14ac:dyDescent="0.3">
      <c r="A273" t="str">
        <f>FO_Capture!A273</f>
        <v>TRD00272</v>
      </c>
      <c r="B273" t="str">
        <f>FO_Capture!B273</f>
        <v>INE005A0109</v>
      </c>
      <c r="C273" t="str">
        <f>IFERROR(VLOOKUP(FO_Capture!C273, Reference_Data!A:D, 2, FALSE), "UNKNOWN")</f>
        <v>Alpha Holdings 41</v>
      </c>
      <c r="D273" t="str">
        <f>IFERROR(VLOOKUP(FO_Capture!C273, Reference_Data!A:D, 3, FALSE), "XXX")</f>
        <v>JPY</v>
      </c>
      <c r="E273" t="str">
        <f>IFERROR(VLOOKUP(FO_Capture!C273, Reference_Data!A:D, 4, FALSE), "MISSING SSI")</f>
        <v>HSBC A/C 468615</v>
      </c>
      <c r="F273">
        <f>FO_Capture!D273</f>
        <v>210</v>
      </c>
      <c r="G273">
        <f>FO_Capture!E273</f>
        <v>102.41000366210938</v>
      </c>
      <c r="H273">
        <f t="shared" si="8"/>
        <v>21506.100769042969</v>
      </c>
      <c r="I273" t="str">
        <f t="shared" si="9"/>
        <v>Pass - Ready for Confirmation</v>
      </c>
    </row>
    <row r="274" spans="1:9" x14ac:dyDescent="0.3">
      <c r="A274" t="str">
        <f>FO_Capture!A274</f>
        <v>TRD00273</v>
      </c>
      <c r="B274" t="str">
        <f>FO_Capture!B274</f>
        <v>INE007A01062</v>
      </c>
      <c r="C274" t="str">
        <f>IFERROR(VLOOKUP(FO_Capture!C274, Reference_Data!A:D, 2, FALSE), "UNKNOWN")</f>
        <v>Alpha Partners 37</v>
      </c>
      <c r="D274" t="str">
        <f>IFERROR(VLOOKUP(FO_Capture!C274, Reference_Data!A:D, 3, FALSE), "XXX")</f>
        <v>JPY</v>
      </c>
      <c r="E274" t="str">
        <f>IFERROR(VLOOKUP(FO_Capture!C274, Reference_Data!A:D, 4, FALSE), "MISSING SSI")</f>
        <v>HSBC A/C 994063</v>
      </c>
      <c r="F274">
        <f>FO_Capture!D274</f>
        <v>180</v>
      </c>
      <c r="G274">
        <f>FO_Capture!E274</f>
        <v>203.8800048828125</v>
      </c>
      <c r="H274">
        <f t="shared" si="8"/>
        <v>36698.40087890625</v>
      </c>
      <c r="I274" t="str">
        <f t="shared" si="9"/>
        <v>Pass - Ready for Confirmation</v>
      </c>
    </row>
    <row r="275" spans="1:9" x14ac:dyDescent="0.3">
      <c r="A275" t="str">
        <f>FO_Capture!A275</f>
        <v>TRD00274</v>
      </c>
      <c r="B275" t="str">
        <f>FO_Capture!B275</f>
        <v>INE005A01049</v>
      </c>
      <c r="C275" t="str">
        <f>IFERROR(VLOOKUP(FO_Capture!C275, Reference_Data!A:D, 2, FALSE), "UNKNOWN")</f>
        <v>Alpha Partners 42</v>
      </c>
      <c r="D275" t="str">
        <f>IFERROR(VLOOKUP(FO_Capture!C275, Reference_Data!A:D, 3, FALSE), "XXX")</f>
        <v>USD</v>
      </c>
      <c r="E275" t="str">
        <f>IFERROR(VLOOKUP(FO_Capture!C275, Reference_Data!A:D, 4, FALSE), "MISSING SSI")</f>
        <v>Citi A/C 416082</v>
      </c>
      <c r="F275">
        <f>FO_Capture!D275</f>
        <v>280</v>
      </c>
      <c r="G275">
        <f>FO_Capture!E275</f>
        <v>125.44999694824219</v>
      </c>
      <c r="H275">
        <f t="shared" si="8"/>
        <v>35125.999145507813</v>
      </c>
      <c r="I275" t="str">
        <f t="shared" si="9"/>
        <v>Pass - Ready for Confirmation</v>
      </c>
    </row>
    <row r="276" spans="1:9" x14ac:dyDescent="0.3">
      <c r="A276" t="str">
        <f>FO_Capture!A276</f>
        <v>TRD00275</v>
      </c>
      <c r="B276" t="str">
        <f>FO_Capture!B276</f>
        <v>INE002A01015</v>
      </c>
      <c r="C276" t="str">
        <f>IFERROR(VLOOKUP(FO_Capture!C276, Reference_Data!A:D, 2, FALSE), "UNKNOWN")</f>
        <v>Alpha Investments 17</v>
      </c>
      <c r="D276" t="str">
        <f>IFERROR(VLOOKUP(FO_Capture!C276, Reference_Data!A:D, 3, FALSE), "XXX")</f>
        <v>USD</v>
      </c>
      <c r="E276" t="str">
        <f>IFERROR(VLOOKUP(FO_Capture!C276, Reference_Data!A:D, 4, FALSE), "MISSING SSI")</f>
        <v>HDFC A/C 113752</v>
      </c>
      <c r="F276">
        <f>FO_Capture!D276</f>
        <v>260</v>
      </c>
      <c r="G276">
        <f>FO_Capture!E276</f>
        <v>328.32000732421875</v>
      </c>
      <c r="H276">
        <f t="shared" si="8"/>
        <v>85363.201904296875</v>
      </c>
      <c r="I276" t="str">
        <f t="shared" si="9"/>
        <v>Pass - Ready for Confirmation</v>
      </c>
    </row>
    <row r="277" spans="1:9" x14ac:dyDescent="0.3">
      <c r="A277" t="str">
        <f>FO_Capture!A277</f>
        <v>TRD00276</v>
      </c>
      <c r="B277" t="str">
        <f>FO_Capture!B277</f>
        <v>INE005A01089</v>
      </c>
      <c r="C277" t="str">
        <f>IFERROR(VLOOKUP(FO_Capture!C277, Reference_Data!A:D, 2, FALSE), "UNKNOWN")</f>
        <v>Alpha Holdings 49</v>
      </c>
      <c r="D277" t="str">
        <f>IFERROR(VLOOKUP(FO_Capture!C277, Reference_Data!A:D, 3, FALSE), "XXX")</f>
        <v>JPY</v>
      </c>
      <c r="E277" t="str">
        <f>IFERROR(VLOOKUP(FO_Capture!C277, Reference_Data!A:D, 4, FALSE), "MISSING SSI")</f>
        <v>HDFC A/C 679335</v>
      </c>
      <c r="F277">
        <f>FO_Capture!D277</f>
        <v>280</v>
      </c>
      <c r="G277">
        <f>FO_Capture!E277</f>
        <v>125.20999908447266</v>
      </c>
      <c r="H277">
        <f t="shared" si="8"/>
        <v>35058.799743652344</v>
      </c>
      <c r="I277" t="str">
        <f t="shared" si="9"/>
        <v>Pass - Ready for Confirmation</v>
      </c>
    </row>
    <row r="278" spans="1:9" x14ac:dyDescent="0.3">
      <c r="A278" t="str">
        <f>FO_Capture!A278</f>
        <v>TRD00277</v>
      </c>
      <c r="B278" t="str">
        <f>FO_Capture!B278</f>
        <v>INE002A01037</v>
      </c>
      <c r="C278" t="str">
        <f>IFERROR(VLOOKUP(FO_Capture!C278, Reference_Data!A:D, 2, FALSE), "UNKNOWN")</f>
        <v>Alpha Holdings 21</v>
      </c>
      <c r="D278" t="str">
        <f>IFERROR(VLOOKUP(FO_Capture!C278, Reference_Data!A:D, 3, FALSE), "XXX")</f>
        <v>SGD</v>
      </c>
      <c r="E278" t="str">
        <f>IFERROR(VLOOKUP(FO_Capture!C278, Reference_Data!A:D, 4, FALSE), "MISSING SSI")</f>
        <v>HSBC A/C 562956</v>
      </c>
      <c r="F278">
        <f>FO_Capture!D278</f>
        <v>110</v>
      </c>
      <c r="G278">
        <f>FO_Capture!E278</f>
        <v>430.45001220703125</v>
      </c>
      <c r="H278">
        <f t="shared" si="8"/>
        <v>47349.501342773438</v>
      </c>
      <c r="I278" t="str">
        <f t="shared" si="9"/>
        <v>Pass - Ready for Confirmation</v>
      </c>
    </row>
    <row r="279" spans="1:9" x14ac:dyDescent="0.3">
      <c r="A279" t="str">
        <f>FO_Capture!A279</f>
        <v>TRD00278</v>
      </c>
      <c r="B279" t="str">
        <f>FO_Capture!B279</f>
        <v>INE001A0103</v>
      </c>
      <c r="C279" t="str">
        <f>IFERROR(VLOOKUP(FO_Capture!C279, Reference_Data!A:D, 2, FALSE), "UNKNOWN")</f>
        <v>Alpha Capital 38</v>
      </c>
      <c r="D279" t="str">
        <f>IFERROR(VLOOKUP(FO_Capture!C279, Reference_Data!A:D, 3, FALSE), "XXX")</f>
        <v>SGD</v>
      </c>
      <c r="E279" t="str">
        <f>IFERROR(VLOOKUP(FO_Capture!C279, Reference_Data!A:D, 4, FALSE), "MISSING SSI")</f>
        <v>Deutsche Bank A/C 153521</v>
      </c>
      <c r="F279">
        <f>FO_Capture!D279</f>
        <v>410</v>
      </c>
      <c r="G279">
        <f>FO_Capture!E279</f>
        <v>509.8900146484375</v>
      </c>
      <c r="H279">
        <f t="shared" si="8"/>
        <v>209054.90600585938</v>
      </c>
      <c r="I279" t="str">
        <f t="shared" si="9"/>
        <v>Pass - Ready for Confirmation</v>
      </c>
    </row>
    <row r="280" spans="1:9" x14ac:dyDescent="0.3">
      <c r="A280" t="str">
        <f>FO_Capture!A280</f>
        <v>TRD00279</v>
      </c>
      <c r="B280" t="str">
        <f>FO_Capture!B280</f>
        <v>INE002A01064</v>
      </c>
      <c r="C280" t="str">
        <f>IFERROR(VLOOKUP(FO_Capture!C280, Reference_Data!A:D, 2, FALSE), "UNKNOWN")</f>
        <v>Alpha Asset Management 5</v>
      </c>
      <c r="D280" t="str">
        <f>IFERROR(VLOOKUP(FO_Capture!C280, Reference_Data!A:D, 3, FALSE), "XXX")</f>
        <v>INR</v>
      </c>
      <c r="E280" t="str">
        <f>IFERROR(VLOOKUP(FO_Capture!C280, Reference_Data!A:D, 4, FALSE), "MISSING SSI")</f>
        <v>JPMorgan A/C 860462</v>
      </c>
      <c r="F280">
        <f>FO_Capture!D280</f>
        <v>490</v>
      </c>
      <c r="G280">
        <f>FO_Capture!E280</f>
        <v>230.97999572753906</v>
      </c>
      <c r="H280">
        <f t="shared" si="8"/>
        <v>113180.19790649414</v>
      </c>
      <c r="I280" t="str">
        <f t="shared" si="9"/>
        <v>Pass - Ready for Confirmation</v>
      </c>
    </row>
    <row r="281" spans="1:9" x14ac:dyDescent="0.3">
      <c r="A281" t="str">
        <f>FO_Capture!A281</f>
        <v>TRD00280</v>
      </c>
      <c r="B281" t="str">
        <f>FO_Capture!B281</f>
        <v>INE007A01085</v>
      </c>
      <c r="C281" t="str">
        <f>IFERROR(VLOOKUP(FO_Capture!C281, Reference_Data!A:D, 2, FALSE), "UNKNOWN")</f>
        <v>Alpha Holdings 47</v>
      </c>
      <c r="D281" t="str">
        <f>IFERROR(VLOOKUP(FO_Capture!C281, Reference_Data!A:D, 3, FALSE), "XXX")</f>
        <v>GBP</v>
      </c>
      <c r="E281" t="str">
        <f>IFERROR(VLOOKUP(FO_Capture!C281, Reference_Data!A:D, 4, FALSE), "MISSING SSI")</f>
        <v>Citi A/C 703401</v>
      </c>
      <c r="F281">
        <f>FO_Capture!D281</f>
        <v>500</v>
      </c>
      <c r="G281">
        <f>FO_Capture!E281</f>
        <v>312.69000244140625</v>
      </c>
      <c r="H281">
        <f t="shared" si="8"/>
        <v>156345.00122070313</v>
      </c>
      <c r="I281" t="str">
        <f t="shared" si="9"/>
        <v>Pass - Ready for Confirmation</v>
      </c>
    </row>
    <row r="282" spans="1:9" x14ac:dyDescent="0.3">
      <c r="A282" t="str">
        <f>FO_Capture!A282</f>
        <v>TRD00281</v>
      </c>
      <c r="B282" t="str">
        <f>FO_Capture!B282</f>
        <v>INE009A01057</v>
      </c>
      <c r="C282" t="str">
        <f>IFERROR(VLOOKUP(FO_Capture!C282, Reference_Data!A:D, 2, FALSE), "UNKNOWN")</f>
        <v>Alpha Capital 38</v>
      </c>
      <c r="D282" t="str">
        <f>IFERROR(VLOOKUP(FO_Capture!C282, Reference_Data!A:D, 3, FALSE), "XXX")</f>
        <v>SGD</v>
      </c>
      <c r="E282" t="str">
        <f>IFERROR(VLOOKUP(FO_Capture!C282, Reference_Data!A:D, 4, FALSE), "MISSING SSI")</f>
        <v>Deutsche Bank A/C 153521</v>
      </c>
      <c r="F282">
        <f>FO_Capture!D282</f>
        <v>25000</v>
      </c>
      <c r="G282">
        <f>FO_Capture!E282</f>
        <v>279.8900146484375</v>
      </c>
      <c r="H282">
        <f t="shared" si="8"/>
        <v>6997250.3662109375</v>
      </c>
      <c r="I282" t="str">
        <f t="shared" si="9"/>
        <v>Exception - Limit Breach</v>
      </c>
    </row>
    <row r="283" spans="1:9" x14ac:dyDescent="0.3">
      <c r="A283" t="str">
        <f>FO_Capture!A283</f>
        <v>TRD00282</v>
      </c>
      <c r="B283" t="str">
        <f>FO_Capture!B283</f>
        <v>INE002A01035</v>
      </c>
      <c r="C283" t="str">
        <f>IFERROR(VLOOKUP(FO_Capture!C283, Reference_Data!A:D, 2, FALSE), "UNKNOWN")</f>
        <v>Alpha Global 14</v>
      </c>
      <c r="D283" t="str">
        <f>IFERROR(VLOOKUP(FO_Capture!C283, Reference_Data!A:D, 3, FALSE), "XXX")</f>
        <v>USD</v>
      </c>
      <c r="E283" t="str">
        <f>IFERROR(VLOOKUP(FO_Capture!C283, Reference_Data!A:D, 4, FALSE), "MISSING SSI")</f>
        <v>HSBC A/C 864249</v>
      </c>
      <c r="F283">
        <f>FO_Capture!D283</f>
        <v>430</v>
      </c>
      <c r="G283">
        <f>FO_Capture!E283</f>
        <v>498.72000122070313</v>
      </c>
      <c r="H283">
        <f t="shared" si="8"/>
        <v>214449.60052490234</v>
      </c>
      <c r="I283" t="str">
        <f t="shared" si="9"/>
        <v>Pass - Ready for Confirmation</v>
      </c>
    </row>
    <row r="284" spans="1:9" x14ac:dyDescent="0.3">
      <c r="A284" t="str">
        <f>FO_Capture!A284</f>
        <v>TRD00283</v>
      </c>
      <c r="B284" t="str">
        <f>FO_Capture!B284</f>
        <v>INE004A01052</v>
      </c>
      <c r="C284" t="str">
        <f>IFERROR(VLOOKUP(FO_Capture!C284, Reference_Data!A:D, 2, FALSE), "UNKNOWN")</f>
        <v>Alpha Partners 42</v>
      </c>
      <c r="D284" t="str">
        <f>IFERROR(VLOOKUP(FO_Capture!C284, Reference_Data!A:D, 3, FALSE), "XXX")</f>
        <v>USD</v>
      </c>
      <c r="E284" t="str">
        <f>IFERROR(VLOOKUP(FO_Capture!C284, Reference_Data!A:D, 4, FALSE), "MISSING SSI")</f>
        <v>Citi A/C 416082</v>
      </c>
      <c r="F284">
        <f>FO_Capture!D284</f>
        <v>210</v>
      </c>
      <c r="G284">
        <f>FO_Capture!E284</f>
        <v>490.32000732421875</v>
      </c>
      <c r="H284">
        <f t="shared" si="8"/>
        <v>102967.20153808594</v>
      </c>
      <c r="I284" t="str">
        <f t="shared" si="9"/>
        <v>Pass - Ready for Confirmation</v>
      </c>
    </row>
    <row r="285" spans="1:9" x14ac:dyDescent="0.3">
      <c r="A285" t="str">
        <f>FO_Capture!A285</f>
        <v>TRD00284</v>
      </c>
      <c r="B285" t="str">
        <f>FO_Capture!B285</f>
        <v>INE008A01025</v>
      </c>
      <c r="C285" t="str">
        <f>IFERROR(VLOOKUP(FO_Capture!C285, Reference_Data!A:D, 2, FALSE), "UNKNOWN")</f>
        <v>Alpha Partners 19</v>
      </c>
      <c r="D285" t="str">
        <f>IFERROR(VLOOKUP(FO_Capture!C285, Reference_Data!A:D, 3, FALSE), "XXX")</f>
        <v>INR</v>
      </c>
      <c r="E285" t="str">
        <f>IFERROR(VLOOKUP(FO_Capture!C285, Reference_Data!A:D, 4, FALSE), "MISSING SSI")</f>
        <v>Citi A/C 543819</v>
      </c>
      <c r="F285">
        <f>FO_Capture!D285</f>
        <v>370</v>
      </c>
      <c r="G285">
        <f>FO_Capture!E285</f>
        <v>462.95001220703125</v>
      </c>
      <c r="H285">
        <f t="shared" si="8"/>
        <v>171291.50451660156</v>
      </c>
      <c r="I285" t="str">
        <f t="shared" si="9"/>
        <v>Pass - Ready for Confirmation</v>
      </c>
    </row>
    <row r="286" spans="1:9" x14ac:dyDescent="0.3">
      <c r="A286" t="str">
        <f>FO_Capture!A286</f>
        <v>TRD00285</v>
      </c>
      <c r="B286" t="str">
        <f>FO_Capture!B286</f>
        <v>INE008A01030</v>
      </c>
      <c r="C286" t="str">
        <f>IFERROR(VLOOKUP(FO_Capture!C286, Reference_Data!A:D, 2, FALSE), "UNKNOWN")</f>
        <v>Alpha Capital 33</v>
      </c>
      <c r="D286" t="str">
        <f>IFERROR(VLOOKUP(FO_Capture!C286, Reference_Data!A:D, 3, FALSE), "XXX")</f>
        <v>JPY</v>
      </c>
      <c r="E286" t="str">
        <f>IFERROR(VLOOKUP(FO_Capture!C286, Reference_Data!A:D, 4, FALSE), "MISSING SSI")</f>
        <v>HSBC A/C 172861</v>
      </c>
      <c r="F286">
        <f>FO_Capture!D286</f>
        <v>200</v>
      </c>
      <c r="G286">
        <f>FO_Capture!E286</f>
        <v>257.67001342773438</v>
      </c>
      <c r="H286">
        <f t="shared" si="8"/>
        <v>51534.002685546875</v>
      </c>
      <c r="I286" t="str">
        <f t="shared" si="9"/>
        <v>Pass - Ready for Confirmation</v>
      </c>
    </row>
    <row r="287" spans="1:9" x14ac:dyDescent="0.3">
      <c r="A287" t="str">
        <f>FO_Capture!A287</f>
        <v>TRD00286</v>
      </c>
      <c r="B287" t="str">
        <f>FO_Capture!B287</f>
        <v>INE008A01079</v>
      </c>
      <c r="C287" t="str">
        <f>IFERROR(VLOOKUP(FO_Capture!C287, Reference_Data!A:D, 2, FALSE), "UNKNOWN")</f>
        <v>Alpha Holdings 47</v>
      </c>
      <c r="D287" t="str">
        <f>IFERROR(VLOOKUP(FO_Capture!C287, Reference_Data!A:D, 3, FALSE), "XXX")</f>
        <v>GBP</v>
      </c>
      <c r="E287" t="str">
        <f>IFERROR(VLOOKUP(FO_Capture!C287, Reference_Data!A:D, 4, FALSE), "MISSING SSI")</f>
        <v>Citi A/C 703401</v>
      </c>
      <c r="F287">
        <f>FO_Capture!D287</f>
        <v>60</v>
      </c>
      <c r="G287">
        <f>FO_Capture!E287</f>
        <v>98.349998474121094</v>
      </c>
      <c r="H287">
        <f t="shared" si="8"/>
        <v>5900.9999084472656</v>
      </c>
      <c r="I287" t="str">
        <f t="shared" si="9"/>
        <v>Pass - Ready for Confirmation</v>
      </c>
    </row>
    <row r="288" spans="1:9" x14ac:dyDescent="0.3">
      <c r="A288" t="str">
        <f>FO_Capture!A288</f>
        <v>TRD00287</v>
      </c>
      <c r="B288" t="str">
        <f>FO_Capture!B288</f>
        <v>INE008A01078</v>
      </c>
      <c r="C288" t="str">
        <f>IFERROR(VLOOKUP(FO_Capture!C288, Reference_Data!A:D, 2, FALSE), "UNKNOWN")</f>
        <v>Alpha Quant Fund 24</v>
      </c>
      <c r="D288" t="str">
        <f>IFERROR(VLOOKUP(FO_Capture!C288, Reference_Data!A:D, 3, FALSE), "XXX")</f>
        <v>SGD</v>
      </c>
      <c r="E288" t="str">
        <f>IFERROR(VLOOKUP(FO_Capture!C288, Reference_Data!A:D, 4, FALSE), "MISSING SSI")</f>
        <v>JPMorgan A/C 603587</v>
      </c>
      <c r="F288">
        <f>FO_Capture!D288</f>
        <v>60</v>
      </c>
      <c r="G288">
        <f>FO_Capture!E288</f>
        <v>341.70001220703125</v>
      </c>
      <c r="H288">
        <f t="shared" si="8"/>
        <v>20502.000732421875</v>
      </c>
      <c r="I288" t="str">
        <f t="shared" si="9"/>
        <v>Pass - Ready for Confirmation</v>
      </c>
    </row>
    <row r="289" spans="1:9" x14ac:dyDescent="0.3">
      <c r="A289" t="str">
        <f>FO_Capture!A289</f>
        <v>TRD00288</v>
      </c>
      <c r="B289" t="str">
        <f>FO_Capture!B289</f>
        <v>INE004A01067</v>
      </c>
      <c r="C289" t="str">
        <f>IFERROR(VLOOKUP(FO_Capture!C289, Reference_Data!A:D, 2, FALSE), "UNKNOWN")</f>
        <v>Alpha Partners 3</v>
      </c>
      <c r="D289" t="str">
        <f>IFERROR(VLOOKUP(FO_Capture!C289, Reference_Data!A:D, 3, FALSE), "XXX")</f>
        <v>USD</v>
      </c>
      <c r="E289" t="str">
        <f>IFERROR(VLOOKUP(FO_Capture!C289, Reference_Data!A:D, 4, FALSE), "MISSING SSI")</f>
        <v>Citi A/C 508769</v>
      </c>
      <c r="F289">
        <f>FO_Capture!D289</f>
        <v>380</v>
      </c>
      <c r="G289">
        <f>FO_Capture!E289</f>
        <v>227.19999694824219</v>
      </c>
      <c r="H289">
        <f t="shared" si="8"/>
        <v>86335.998840332031</v>
      </c>
      <c r="I289" t="str">
        <f t="shared" si="9"/>
        <v>Pass - Ready for Confirmation</v>
      </c>
    </row>
    <row r="290" spans="1:9" x14ac:dyDescent="0.3">
      <c r="A290" t="str">
        <f>FO_Capture!A290</f>
        <v>TRD00289</v>
      </c>
      <c r="B290" t="str">
        <f>FO_Capture!B290</f>
        <v>INE005A01077</v>
      </c>
      <c r="C290" t="str">
        <f>IFERROR(VLOOKUP(FO_Capture!C290, Reference_Data!A:D, 2, FALSE), "UNKNOWN")</f>
        <v>Alpha Quant Fund 24</v>
      </c>
      <c r="D290" t="str">
        <f>IFERROR(VLOOKUP(FO_Capture!C290, Reference_Data!A:D, 3, FALSE), "XXX")</f>
        <v>SGD</v>
      </c>
      <c r="E290" t="str">
        <f>IFERROR(VLOOKUP(FO_Capture!C290, Reference_Data!A:D, 4, FALSE), "MISSING SSI")</f>
        <v>JPMorgan A/C 603587</v>
      </c>
      <c r="F290">
        <f>FO_Capture!D290</f>
        <v>480</v>
      </c>
      <c r="G290">
        <f>FO_Capture!E290</f>
        <v>127.16999816894531</v>
      </c>
      <c r="H290">
        <f t="shared" si="8"/>
        <v>61041.59912109375</v>
      </c>
      <c r="I290" t="str">
        <f t="shared" si="9"/>
        <v>Pass - Ready for Confirmation</v>
      </c>
    </row>
    <row r="291" spans="1:9" x14ac:dyDescent="0.3">
      <c r="A291" t="str">
        <f>FO_Capture!A291</f>
        <v>TRD00290</v>
      </c>
      <c r="B291" t="str">
        <f>FO_Capture!B291</f>
        <v>INE004A01079</v>
      </c>
      <c r="C291" t="str">
        <f>IFERROR(VLOOKUP(FO_Capture!C291, Reference_Data!A:D, 2, FALSE), "UNKNOWN")</f>
        <v>Alpha Partners 3</v>
      </c>
      <c r="D291" t="str">
        <f>IFERROR(VLOOKUP(FO_Capture!C291, Reference_Data!A:D, 3, FALSE), "XXX")</f>
        <v>USD</v>
      </c>
      <c r="E291" t="str">
        <f>IFERROR(VLOOKUP(FO_Capture!C291, Reference_Data!A:D, 4, FALSE), "MISSING SSI")</f>
        <v>Citi A/C 508769</v>
      </c>
      <c r="F291">
        <f>FO_Capture!D291</f>
        <v>360</v>
      </c>
      <c r="G291">
        <f>FO_Capture!E291</f>
        <v>296.75</v>
      </c>
      <c r="H291">
        <f t="shared" si="8"/>
        <v>106830</v>
      </c>
      <c r="I291" t="str">
        <f t="shared" si="9"/>
        <v>Pass - Ready for Confirmation</v>
      </c>
    </row>
    <row r="292" spans="1:9" x14ac:dyDescent="0.3">
      <c r="A292" t="str">
        <f>FO_Capture!A292</f>
        <v>TRD00291</v>
      </c>
      <c r="B292" t="str">
        <f>FO_Capture!B292</f>
        <v>INE001A01033</v>
      </c>
      <c r="C292" t="str">
        <f>IFERROR(VLOOKUP(FO_Capture!C292, Reference_Data!A:D, 2, FALSE), "UNKNOWN")</f>
        <v>Alpha Partners 6</v>
      </c>
      <c r="D292" t="str">
        <f>IFERROR(VLOOKUP(FO_Capture!C292, Reference_Data!A:D, 3, FALSE), "XXX")</f>
        <v>INR</v>
      </c>
      <c r="E292" t="str">
        <f>IFERROR(VLOOKUP(FO_Capture!C292, Reference_Data!A:D, 4, FALSE), "MISSING SSI")</f>
        <v>Standard Chartered A/C 441247</v>
      </c>
      <c r="F292">
        <f>FO_Capture!D292</f>
        <v>300</v>
      </c>
      <c r="G292">
        <f>FO_Capture!E292</f>
        <v>123.86000061035156</v>
      </c>
      <c r="H292">
        <f t="shared" si="8"/>
        <v>37158.000183105469</v>
      </c>
      <c r="I292" t="str">
        <f t="shared" si="9"/>
        <v>Pass - Ready for Confirmation</v>
      </c>
    </row>
    <row r="293" spans="1:9" x14ac:dyDescent="0.3">
      <c r="A293" t="str">
        <f>FO_Capture!A293</f>
        <v>TRD00292</v>
      </c>
      <c r="B293" t="str">
        <f>FO_Capture!B293</f>
        <v>INE006A01035</v>
      </c>
      <c r="C293" t="str">
        <f>IFERROR(VLOOKUP(FO_Capture!C293, Reference_Data!A:D, 2, FALSE), "UNKNOWN")</f>
        <v>Alpha Partners 26</v>
      </c>
      <c r="D293" t="str">
        <f>IFERROR(VLOOKUP(FO_Capture!C293, Reference_Data!A:D, 3, FALSE), "XXX")</f>
        <v>USD</v>
      </c>
      <c r="E293" t="str">
        <f>IFERROR(VLOOKUP(FO_Capture!C293, Reference_Data!A:D, 4, FALSE), "MISSING SSI")</f>
        <v>HSBC A/C 867781</v>
      </c>
      <c r="F293">
        <f>FO_Capture!D293</f>
        <v>140</v>
      </c>
      <c r="G293">
        <f>FO_Capture!E293</f>
        <v>379.260009765625</v>
      </c>
      <c r="H293">
        <f t="shared" si="8"/>
        <v>53096.4013671875</v>
      </c>
      <c r="I293" t="str">
        <f t="shared" si="9"/>
        <v>Pass - Ready for Confirmation</v>
      </c>
    </row>
    <row r="294" spans="1:9" x14ac:dyDescent="0.3">
      <c r="A294" t="str">
        <f>FO_Capture!A294</f>
        <v>TRD00293</v>
      </c>
      <c r="B294" t="str">
        <f>FO_Capture!B294</f>
        <v>INE001A01073</v>
      </c>
      <c r="C294" t="str">
        <f>IFERROR(VLOOKUP(FO_Capture!C294, Reference_Data!A:D, 2, FALSE), "UNKNOWN")</f>
        <v>Alpha Partners 6</v>
      </c>
      <c r="D294" t="str">
        <f>IFERROR(VLOOKUP(FO_Capture!C294, Reference_Data!A:D, 3, FALSE), "XXX")</f>
        <v>INR</v>
      </c>
      <c r="E294" t="str">
        <f>IFERROR(VLOOKUP(FO_Capture!C294, Reference_Data!A:D, 4, FALSE), "MISSING SSI")</f>
        <v>Standard Chartered A/C 441247</v>
      </c>
      <c r="F294">
        <f>FO_Capture!D294</f>
        <v>480</v>
      </c>
      <c r="G294">
        <f>FO_Capture!E294</f>
        <v>466.52999877929688</v>
      </c>
      <c r="H294">
        <f t="shared" si="8"/>
        <v>223934.3994140625</v>
      </c>
      <c r="I294" t="str">
        <f t="shared" si="9"/>
        <v>Pass - Ready for Confirmation</v>
      </c>
    </row>
    <row r="295" spans="1:9" x14ac:dyDescent="0.3">
      <c r="A295" t="str">
        <f>FO_Capture!A295</f>
        <v>TRD00294</v>
      </c>
      <c r="B295" t="str">
        <f>FO_Capture!B295</f>
        <v>INE004A01075</v>
      </c>
      <c r="C295" t="str">
        <f>IFERROR(VLOOKUP(FO_Capture!C295, Reference_Data!A:D, 2, FALSE), "UNKNOWN")</f>
        <v>Alpha Investments 15</v>
      </c>
      <c r="D295" t="str">
        <f>IFERROR(VLOOKUP(FO_Capture!C295, Reference_Data!A:D, 3, FALSE), "XXX")</f>
        <v>INR</v>
      </c>
      <c r="E295" t="str">
        <f>IFERROR(VLOOKUP(FO_Capture!C295, Reference_Data!A:D, 4, FALSE), "MISSING SSI")</f>
        <v>Deutsche Bank A/C 330518</v>
      </c>
      <c r="F295">
        <f>FO_Capture!D295</f>
        <v>480</v>
      </c>
      <c r="G295">
        <f>FO_Capture!E295</f>
        <v>172.02000427246094</v>
      </c>
      <c r="H295">
        <f t="shared" si="8"/>
        <v>82569.60205078125</v>
      </c>
      <c r="I295" t="str">
        <f t="shared" si="9"/>
        <v>Pass - Ready for Confirmation</v>
      </c>
    </row>
    <row r="296" spans="1:9" x14ac:dyDescent="0.3">
      <c r="A296" t="str">
        <f>FO_Capture!A296</f>
        <v>TRD00295</v>
      </c>
      <c r="B296" t="str">
        <f>FO_Capture!B296</f>
        <v>INE004A01055</v>
      </c>
      <c r="C296" t="str">
        <f>IFERROR(VLOOKUP(FO_Capture!C296, Reference_Data!A:D, 2, FALSE), "UNKNOWN")</f>
        <v>Alpha Holdings 21</v>
      </c>
      <c r="D296" t="str">
        <f>IFERROR(VLOOKUP(FO_Capture!C296, Reference_Data!A:D, 3, FALSE), "XXX")</f>
        <v>SGD</v>
      </c>
      <c r="E296" t="str">
        <f>IFERROR(VLOOKUP(FO_Capture!C296, Reference_Data!A:D, 4, FALSE), "MISSING SSI")</f>
        <v>HSBC A/C 562956</v>
      </c>
      <c r="F296">
        <f>FO_Capture!D296</f>
        <v>90</v>
      </c>
      <c r="G296">
        <f>FO_Capture!E296</f>
        <v>414.92999267578125</v>
      </c>
      <c r="H296">
        <f t="shared" si="8"/>
        <v>37343.699340820313</v>
      </c>
      <c r="I296" t="str">
        <f t="shared" si="9"/>
        <v>Pass - Ready for Confirmation</v>
      </c>
    </row>
    <row r="297" spans="1:9" x14ac:dyDescent="0.3">
      <c r="A297" t="str">
        <f>FO_Capture!A297</f>
        <v>TRD00296</v>
      </c>
      <c r="B297" t="str">
        <f>FO_Capture!B297</f>
        <v>INE001A01068</v>
      </c>
      <c r="C297" t="str">
        <f>IFERROR(VLOOKUP(FO_Capture!C297, Reference_Data!A:D, 2, FALSE), "UNKNOWN")</f>
        <v>Alpha Partners 22</v>
      </c>
      <c r="D297" t="str">
        <f>IFERROR(VLOOKUP(FO_Capture!C297, Reference_Data!A:D, 3, FALSE), "XXX")</f>
        <v>GBP</v>
      </c>
      <c r="E297" t="str">
        <f>IFERROR(VLOOKUP(FO_Capture!C297, Reference_Data!A:D, 4, FALSE), "MISSING SSI")</f>
        <v>JPMorgan A/C 488546</v>
      </c>
      <c r="F297">
        <f>FO_Capture!D297</f>
        <v>280</v>
      </c>
      <c r="G297">
        <f>FO_Capture!E297</f>
        <v>497.26998901367188</v>
      </c>
      <c r="H297">
        <f t="shared" si="8"/>
        <v>139235.59692382813</v>
      </c>
      <c r="I297" t="str">
        <f t="shared" si="9"/>
        <v>Pass - Ready for Confirmation</v>
      </c>
    </row>
    <row r="298" spans="1:9" x14ac:dyDescent="0.3">
      <c r="A298" t="str">
        <f>FO_Capture!A298</f>
        <v>TRD00297</v>
      </c>
      <c r="B298" t="str">
        <f>FO_Capture!B298</f>
        <v>INE001A01058</v>
      </c>
      <c r="C298" t="str">
        <f>IFERROR(VLOOKUP(FO_Capture!C298, Reference_Data!A:D, 2, FALSE), "UNKNOWN")</f>
        <v>Alpha Quant Fund 12</v>
      </c>
      <c r="D298" t="str">
        <f>IFERROR(VLOOKUP(FO_Capture!C298, Reference_Data!A:D, 3, FALSE), "XXX")</f>
        <v>EUR</v>
      </c>
      <c r="E298" t="str">
        <f>IFERROR(VLOOKUP(FO_Capture!C298, Reference_Data!A:D, 4, FALSE), "MISSING SSI")</f>
        <v>Deutsche Bank A/C 324710</v>
      </c>
      <c r="F298">
        <f>FO_Capture!D298</f>
        <v>330</v>
      </c>
      <c r="G298">
        <f>FO_Capture!E298</f>
        <v>353.85000610351563</v>
      </c>
      <c r="H298">
        <f t="shared" si="8"/>
        <v>116770.50201416016</v>
      </c>
      <c r="I298" t="str">
        <f t="shared" si="9"/>
        <v>Pass - Ready for Confirmation</v>
      </c>
    </row>
    <row r="299" spans="1:9" x14ac:dyDescent="0.3">
      <c r="A299" t="str">
        <f>FO_Capture!A299</f>
        <v>TRD00298</v>
      </c>
      <c r="B299" t="str">
        <f>FO_Capture!B299</f>
        <v>INE003A0108</v>
      </c>
      <c r="C299" t="str">
        <f>IFERROR(VLOOKUP(FO_Capture!C299, Reference_Data!A:D, 2, FALSE), "UNKNOWN")</f>
        <v>Alpha Investments 15</v>
      </c>
      <c r="D299" t="str">
        <f>IFERROR(VLOOKUP(FO_Capture!C299, Reference_Data!A:D, 3, FALSE), "XXX")</f>
        <v>INR</v>
      </c>
      <c r="E299" t="str">
        <f>IFERROR(VLOOKUP(FO_Capture!C299, Reference_Data!A:D, 4, FALSE), "MISSING SSI")</f>
        <v>Deutsche Bank A/C 330518</v>
      </c>
      <c r="F299">
        <f>FO_Capture!D299</f>
        <v>60</v>
      </c>
      <c r="G299">
        <f>FO_Capture!E299</f>
        <v>302.29998779296875</v>
      </c>
      <c r="H299">
        <f t="shared" si="8"/>
        <v>18137.999267578125</v>
      </c>
      <c r="I299" t="str">
        <f t="shared" si="9"/>
        <v>Pass - Ready for Confirmation</v>
      </c>
    </row>
    <row r="300" spans="1:9" x14ac:dyDescent="0.3">
      <c r="A300" t="str">
        <f>FO_Capture!A300</f>
        <v>TRD00299</v>
      </c>
      <c r="B300" t="str">
        <f>FO_Capture!B300</f>
        <v>INE004A01087</v>
      </c>
      <c r="C300" t="str">
        <f>IFERROR(VLOOKUP(FO_Capture!C300, Reference_Data!A:D, 2, FALSE), "UNKNOWN")</f>
        <v>Alpha Global 2</v>
      </c>
      <c r="D300" t="str">
        <f>IFERROR(VLOOKUP(FO_Capture!C300, Reference_Data!A:D, 3, FALSE), "XXX")</f>
        <v>GBP</v>
      </c>
      <c r="E300" t="str">
        <f>IFERROR(VLOOKUP(FO_Capture!C300, Reference_Data!A:D, 4, FALSE), "MISSING SSI")</f>
        <v>JPMorgan A/C 582379</v>
      </c>
      <c r="F300">
        <f>FO_Capture!D300</f>
        <v>50</v>
      </c>
      <c r="G300">
        <f>FO_Capture!E300</f>
        <v>293.04000854492188</v>
      </c>
      <c r="H300">
        <f t="shared" si="8"/>
        <v>14652.000427246094</v>
      </c>
      <c r="I300" t="str">
        <f t="shared" si="9"/>
        <v>Pass - Ready for Confirmation</v>
      </c>
    </row>
    <row r="301" spans="1:9" x14ac:dyDescent="0.3">
      <c r="A301" t="str">
        <f>FO_Capture!A301</f>
        <v>TRD00300</v>
      </c>
      <c r="B301" t="str">
        <f>FO_Capture!B301</f>
        <v>INE002A0109</v>
      </c>
      <c r="C301" t="str">
        <f>IFERROR(VLOOKUP(FO_Capture!C301, Reference_Data!A:D, 2, FALSE), "UNKNOWN")</f>
        <v>Alpha Holdings 23</v>
      </c>
      <c r="D301" t="str">
        <f>IFERROR(VLOOKUP(FO_Capture!C301, Reference_Data!A:D, 3, FALSE), "XXX")</f>
        <v>INR</v>
      </c>
      <c r="E301" t="str">
        <f>IFERROR(VLOOKUP(FO_Capture!C301, Reference_Data!A:D, 4, FALSE), "MISSING SSI")</f>
        <v>Deutsche Bank A/C 983712</v>
      </c>
      <c r="F301">
        <f>FO_Capture!D301</f>
        <v>450</v>
      </c>
      <c r="G301">
        <f>FO_Capture!E301</f>
        <v>159.35000610351563</v>
      </c>
      <c r="H301">
        <f t="shared" si="8"/>
        <v>71707.502746582031</v>
      </c>
      <c r="I301" t="str">
        <f t="shared" si="9"/>
        <v>Pass - Ready for Confirmation</v>
      </c>
    </row>
    <row r="302" spans="1:9" x14ac:dyDescent="0.3">
      <c r="A302" t="str">
        <f>FO_Capture!A302</f>
        <v>TRD00301</v>
      </c>
      <c r="B302" t="str">
        <f>FO_Capture!B302</f>
        <v>INE001A01072</v>
      </c>
      <c r="C302" t="str">
        <f>IFERROR(VLOOKUP(FO_Capture!C302, Reference_Data!A:D, 2, FALSE), "UNKNOWN")</f>
        <v>Alpha Partners 26</v>
      </c>
      <c r="D302" t="str">
        <f>IFERROR(VLOOKUP(FO_Capture!C302, Reference_Data!A:D, 3, FALSE), "XXX")</f>
        <v>USD</v>
      </c>
      <c r="E302" t="str">
        <f>IFERROR(VLOOKUP(FO_Capture!C302, Reference_Data!A:D, 4, FALSE), "MISSING SSI")</f>
        <v>HSBC A/C 867781</v>
      </c>
      <c r="F302">
        <f>FO_Capture!D302</f>
        <v>190</v>
      </c>
      <c r="G302">
        <f>FO_Capture!E302</f>
        <v>367.27999877929688</v>
      </c>
      <c r="H302">
        <f t="shared" si="8"/>
        <v>69783.199768066406</v>
      </c>
      <c r="I302" t="str">
        <f t="shared" si="9"/>
        <v>Pass - Ready for Confirmation</v>
      </c>
    </row>
    <row r="303" spans="1:9" x14ac:dyDescent="0.3">
      <c r="A303" t="str">
        <f>FO_Capture!A303</f>
        <v>TRD00302</v>
      </c>
      <c r="B303" t="str">
        <f>FO_Capture!B303</f>
        <v>INE007A01016</v>
      </c>
      <c r="C303" t="str">
        <f>IFERROR(VLOOKUP(FO_Capture!C303, Reference_Data!A:D, 2, FALSE), "UNKNOWN")</f>
        <v>Alpha Partners 37</v>
      </c>
      <c r="D303" t="str">
        <f>IFERROR(VLOOKUP(FO_Capture!C303, Reference_Data!A:D, 3, FALSE), "XXX")</f>
        <v>JPY</v>
      </c>
      <c r="E303" t="str">
        <f>IFERROR(VLOOKUP(FO_Capture!C303, Reference_Data!A:D, 4, FALSE), "MISSING SSI")</f>
        <v>HSBC A/C 994063</v>
      </c>
      <c r="F303">
        <f>FO_Capture!D303</f>
        <v>230</v>
      </c>
      <c r="G303">
        <f>FO_Capture!E303</f>
        <v>265.70001220703125</v>
      </c>
      <c r="H303">
        <f t="shared" si="8"/>
        <v>61111.002807617188</v>
      </c>
      <c r="I303" t="str">
        <f t="shared" si="9"/>
        <v>Pass - Ready for Confirmation</v>
      </c>
    </row>
    <row r="304" spans="1:9" x14ac:dyDescent="0.3">
      <c r="A304" t="str">
        <f>FO_Capture!A304</f>
        <v>TRD00303</v>
      </c>
      <c r="B304" t="str">
        <f>FO_Capture!B304</f>
        <v>INE007A01068</v>
      </c>
      <c r="C304" t="str">
        <f>IFERROR(VLOOKUP(FO_Capture!C304, Reference_Data!A:D, 2, FALSE), "UNKNOWN")</f>
        <v>Alpha Asset Management 31</v>
      </c>
      <c r="D304" t="str">
        <f>IFERROR(VLOOKUP(FO_Capture!C304, Reference_Data!A:D, 3, FALSE), "XXX")</f>
        <v>USD</v>
      </c>
      <c r="E304" t="str">
        <f>IFERROR(VLOOKUP(FO_Capture!C304, Reference_Data!A:D, 4, FALSE), "MISSING SSI")</f>
        <v>Citi A/C 194841</v>
      </c>
      <c r="F304">
        <f>FO_Capture!D304</f>
        <v>330</v>
      </c>
      <c r="G304">
        <f>FO_Capture!E304</f>
        <v>336.30999755859375</v>
      </c>
      <c r="H304">
        <f t="shared" si="8"/>
        <v>110982.29919433594</v>
      </c>
      <c r="I304" t="str">
        <f t="shared" si="9"/>
        <v>Pass - Ready for Confirmation</v>
      </c>
    </row>
    <row r="305" spans="1:9" x14ac:dyDescent="0.3">
      <c r="A305" t="str">
        <f>FO_Capture!A305</f>
        <v>TRD00304</v>
      </c>
      <c r="B305" t="str">
        <f>FO_Capture!B305</f>
        <v>INE005A01096</v>
      </c>
      <c r="C305" t="str">
        <f>IFERROR(VLOOKUP(FO_Capture!C305, Reference_Data!A:D, 2, FALSE), "UNKNOWN")</f>
        <v>Alpha Capital 11</v>
      </c>
      <c r="D305" t="str">
        <f>IFERROR(VLOOKUP(FO_Capture!C305, Reference_Data!A:D, 3, FALSE), "XXX")</f>
        <v>USD</v>
      </c>
      <c r="E305" t="str">
        <f>IFERROR(VLOOKUP(FO_Capture!C305, Reference_Data!A:D, 4, FALSE), "MISSING SSI")</f>
        <v>JPMorgan A/C 987170</v>
      </c>
      <c r="F305">
        <f>FO_Capture!D305</f>
        <v>290</v>
      </c>
      <c r="G305">
        <f>FO_Capture!E305</f>
        <v>443.6199951171875</v>
      </c>
      <c r="H305">
        <f t="shared" si="8"/>
        <v>128649.79858398438</v>
      </c>
      <c r="I305" t="str">
        <f t="shared" si="9"/>
        <v>Pass - Ready for Confirmation</v>
      </c>
    </row>
    <row r="306" spans="1:9" x14ac:dyDescent="0.3">
      <c r="A306" t="str">
        <f>FO_Capture!A306</f>
        <v>TRD00305</v>
      </c>
      <c r="B306" t="str">
        <f>FO_Capture!B306</f>
        <v>INE005A01056</v>
      </c>
      <c r="C306" t="str">
        <f>IFERROR(VLOOKUP(FO_Capture!C306, Reference_Data!A:D, 2, FALSE), "UNKNOWN")</f>
        <v>Alpha Investments 29</v>
      </c>
      <c r="D306" t="str">
        <f>IFERROR(VLOOKUP(FO_Capture!C306, Reference_Data!A:D, 3, FALSE), "XXX")</f>
        <v>INR</v>
      </c>
      <c r="E306" t="str">
        <f>IFERROR(VLOOKUP(FO_Capture!C306, Reference_Data!A:D, 4, FALSE), "MISSING SSI")</f>
        <v>HSBC A/C 785870</v>
      </c>
      <c r="F306">
        <f>FO_Capture!D306</f>
        <v>180</v>
      </c>
      <c r="G306">
        <f>FO_Capture!E306</f>
        <v>84.919998168945313</v>
      </c>
      <c r="H306">
        <f t="shared" si="8"/>
        <v>15285.599670410156</v>
      </c>
      <c r="I306" t="str">
        <f t="shared" si="9"/>
        <v>Pass - Ready for Confirmation</v>
      </c>
    </row>
    <row r="307" spans="1:9" x14ac:dyDescent="0.3">
      <c r="A307" t="str">
        <f>FO_Capture!A307</f>
        <v>TRD00306</v>
      </c>
      <c r="B307" t="str">
        <f>FO_Capture!B307</f>
        <v>INE002A01043</v>
      </c>
      <c r="C307" t="str">
        <f>IFERROR(VLOOKUP(FO_Capture!C307, Reference_Data!A:D, 2, FALSE), "UNKNOWN")</f>
        <v>Alpha Quant Fund 12</v>
      </c>
      <c r="D307" t="str">
        <f>IFERROR(VLOOKUP(FO_Capture!C307, Reference_Data!A:D, 3, FALSE), "XXX")</f>
        <v>EUR</v>
      </c>
      <c r="E307" t="str">
        <f>IFERROR(VLOOKUP(FO_Capture!C307, Reference_Data!A:D, 4, FALSE), "MISSING SSI")</f>
        <v>Deutsche Bank A/C 324710</v>
      </c>
      <c r="F307">
        <f>FO_Capture!D307</f>
        <v>140</v>
      </c>
      <c r="G307">
        <f>FO_Capture!E307</f>
        <v>140.36000061035156</v>
      </c>
      <c r="H307">
        <f t="shared" si="8"/>
        <v>19650.400085449219</v>
      </c>
      <c r="I307" t="str">
        <f t="shared" si="9"/>
        <v>Pass - Ready for Confirmation</v>
      </c>
    </row>
    <row r="308" spans="1:9" x14ac:dyDescent="0.3">
      <c r="A308" t="str">
        <f>FO_Capture!A308</f>
        <v>TRD00307</v>
      </c>
      <c r="B308" t="str">
        <f>FO_Capture!B308</f>
        <v>INE008A01040</v>
      </c>
      <c r="C308" t="str">
        <f>IFERROR(VLOOKUP(FO_Capture!C308, Reference_Data!A:D, 2, FALSE), "UNKNOWN")</f>
        <v>Alpha Holdings 41</v>
      </c>
      <c r="D308" t="str">
        <f>IFERROR(VLOOKUP(FO_Capture!C308, Reference_Data!A:D, 3, FALSE), "XXX")</f>
        <v>JPY</v>
      </c>
      <c r="E308" t="str">
        <f>IFERROR(VLOOKUP(FO_Capture!C308, Reference_Data!A:D, 4, FALSE), "MISSING SSI")</f>
        <v>HSBC A/C 468615</v>
      </c>
      <c r="F308">
        <f>FO_Capture!D308</f>
        <v>70</v>
      </c>
      <c r="G308">
        <f>FO_Capture!E308</f>
        <v>122.87000274658203</v>
      </c>
      <c r="H308">
        <f t="shared" si="8"/>
        <v>8600.9001922607422</v>
      </c>
      <c r="I308" t="str">
        <f t="shared" si="9"/>
        <v>Pass - Ready for Confirmation</v>
      </c>
    </row>
    <row r="309" spans="1:9" x14ac:dyDescent="0.3">
      <c r="A309" t="str">
        <f>FO_Capture!A309</f>
        <v>TRD00308</v>
      </c>
      <c r="B309" t="str">
        <f>FO_Capture!B309</f>
        <v>INE007A01072</v>
      </c>
      <c r="C309" t="str">
        <f>IFERROR(VLOOKUP(FO_Capture!C309, Reference_Data!A:D, 2, FALSE), "UNKNOWN")</f>
        <v>Alpha Global 20</v>
      </c>
      <c r="D309" t="str">
        <f>IFERROR(VLOOKUP(FO_Capture!C309, Reference_Data!A:D, 3, FALSE), "XXX")</f>
        <v>JPY</v>
      </c>
      <c r="E309" t="str">
        <f>IFERROR(VLOOKUP(FO_Capture!C309, Reference_Data!A:D, 4, FALSE), "MISSING SSI")</f>
        <v>Barclays A/C 560891</v>
      </c>
      <c r="F309">
        <f>FO_Capture!D309</f>
        <v>430</v>
      </c>
      <c r="G309">
        <f>FO_Capture!E309</f>
        <v>428.20001220703125</v>
      </c>
      <c r="H309">
        <f t="shared" si="8"/>
        <v>184126.00524902344</v>
      </c>
      <c r="I309" t="str">
        <f t="shared" si="9"/>
        <v>Pass - Ready for Confirmation</v>
      </c>
    </row>
    <row r="310" spans="1:9" x14ac:dyDescent="0.3">
      <c r="A310" t="str">
        <f>FO_Capture!A310</f>
        <v>TRD00309</v>
      </c>
      <c r="B310" t="str">
        <f>FO_Capture!B310</f>
        <v>INE001A01051</v>
      </c>
      <c r="C310" t="str">
        <f>IFERROR(VLOOKUP(FO_Capture!C310, Reference_Data!A:D, 2, FALSE), "UNKNOWN")</f>
        <v>Alpha Asset Management 4</v>
      </c>
      <c r="D310" t="str">
        <f>IFERROR(VLOOKUP(FO_Capture!C310, Reference_Data!A:D, 3, FALSE), "XXX")</f>
        <v>JPY</v>
      </c>
      <c r="E310" t="str">
        <f>IFERROR(VLOOKUP(FO_Capture!C310, Reference_Data!A:D, 4, FALSE), "MISSING SSI")</f>
        <v>Deutsche Bank A/C 126543</v>
      </c>
      <c r="F310">
        <f>FO_Capture!D310</f>
        <v>460</v>
      </c>
      <c r="G310">
        <f>FO_Capture!E310</f>
        <v>84.919998168945313</v>
      </c>
      <c r="H310">
        <f t="shared" si="8"/>
        <v>39063.199157714844</v>
      </c>
      <c r="I310" t="str">
        <f t="shared" si="9"/>
        <v>Pass - Ready for Confirmation</v>
      </c>
    </row>
    <row r="311" spans="1:9" x14ac:dyDescent="0.3">
      <c r="A311" t="str">
        <f>FO_Capture!A311</f>
        <v>TRD00310</v>
      </c>
      <c r="B311" t="str">
        <f>FO_Capture!B311</f>
        <v>INE003A01028</v>
      </c>
      <c r="C311" t="str">
        <f>IFERROR(VLOOKUP(FO_Capture!C311, Reference_Data!A:D, 2, FALSE), "UNKNOWN")</f>
        <v>Alpha Global 25</v>
      </c>
      <c r="D311" t="str">
        <f>IFERROR(VLOOKUP(FO_Capture!C311, Reference_Data!A:D, 3, FALSE), "XXX")</f>
        <v>EUR</v>
      </c>
      <c r="E311" t="str">
        <f>IFERROR(VLOOKUP(FO_Capture!C311, Reference_Data!A:D, 4, FALSE), "MISSING SSI")</f>
        <v>Standard Chartered A/C 438949</v>
      </c>
      <c r="F311">
        <f>FO_Capture!D311</f>
        <v>430</v>
      </c>
      <c r="G311">
        <f>FO_Capture!E311</f>
        <v>504.39999389648438</v>
      </c>
      <c r="H311">
        <f t="shared" si="8"/>
        <v>216891.99737548828</v>
      </c>
      <c r="I311" t="str">
        <f t="shared" si="9"/>
        <v>Pass - Ready for Confirmation</v>
      </c>
    </row>
    <row r="312" spans="1:9" x14ac:dyDescent="0.3">
      <c r="A312" t="str">
        <f>FO_Capture!A312</f>
        <v>TRD00311</v>
      </c>
      <c r="B312" t="str">
        <f>FO_Capture!B312</f>
        <v>INE002A01043</v>
      </c>
      <c r="C312" t="str">
        <f>IFERROR(VLOOKUP(FO_Capture!C312, Reference_Data!A:D, 2, FALSE), "UNKNOWN")</f>
        <v>Alpha Investments 15</v>
      </c>
      <c r="D312" t="str">
        <f>IFERROR(VLOOKUP(FO_Capture!C312, Reference_Data!A:D, 3, FALSE), "XXX")</f>
        <v>INR</v>
      </c>
      <c r="E312" t="str">
        <f>IFERROR(VLOOKUP(FO_Capture!C312, Reference_Data!A:D, 4, FALSE), "MISSING SSI")</f>
        <v>Deutsche Bank A/C 330518</v>
      </c>
      <c r="F312">
        <f>FO_Capture!D312</f>
        <v>420</v>
      </c>
      <c r="G312">
        <f>FO_Capture!E312</f>
        <v>230.83999633789063</v>
      </c>
      <c r="H312">
        <f t="shared" si="8"/>
        <v>96952.798461914063</v>
      </c>
      <c r="I312" t="str">
        <f t="shared" si="9"/>
        <v>Pass - Ready for Confirmation</v>
      </c>
    </row>
    <row r="313" spans="1:9" x14ac:dyDescent="0.3">
      <c r="A313" t="str">
        <f>FO_Capture!A313</f>
        <v>TRD00312</v>
      </c>
      <c r="B313" t="str">
        <f>FO_Capture!B313</f>
        <v>INE002A01076</v>
      </c>
      <c r="C313" t="str">
        <f>IFERROR(VLOOKUP(FO_Capture!C313, Reference_Data!A:D, 2, FALSE), "UNKNOWN")</f>
        <v>Alpha Asset Management 32</v>
      </c>
      <c r="D313" t="str">
        <f>IFERROR(VLOOKUP(FO_Capture!C313, Reference_Data!A:D, 3, FALSE), "XXX")</f>
        <v>INR</v>
      </c>
      <c r="E313" t="str">
        <f>IFERROR(VLOOKUP(FO_Capture!C313, Reference_Data!A:D, 4, FALSE), "MISSING SSI")</f>
        <v>Barclays A/C 302646</v>
      </c>
      <c r="F313">
        <f>FO_Capture!D313</f>
        <v>30</v>
      </c>
      <c r="G313">
        <f>FO_Capture!E313</f>
        <v>191.22999572753906</v>
      </c>
      <c r="H313">
        <f t="shared" si="8"/>
        <v>5736.8998718261719</v>
      </c>
      <c r="I313" t="str">
        <f t="shared" si="9"/>
        <v>Pass - Ready for Confirmation</v>
      </c>
    </row>
    <row r="314" spans="1:9" x14ac:dyDescent="0.3">
      <c r="A314" t="str">
        <f>FO_Capture!A314</f>
        <v>TRD00313</v>
      </c>
      <c r="B314" t="str">
        <f>FO_Capture!B314</f>
        <v>INE002A01096</v>
      </c>
      <c r="C314" t="str">
        <f>IFERROR(VLOOKUP(FO_Capture!C314, Reference_Data!A:D, 2, FALSE), "UNKNOWN")</f>
        <v>Alpha Asset Management 35</v>
      </c>
      <c r="D314" t="str">
        <f>IFERROR(VLOOKUP(FO_Capture!C314, Reference_Data!A:D, 3, FALSE), "XXX")</f>
        <v>JPY</v>
      </c>
      <c r="E314" t="str">
        <f>IFERROR(VLOOKUP(FO_Capture!C314, Reference_Data!A:D, 4, FALSE), "MISSING SSI")</f>
        <v>HSBC A/C 604357</v>
      </c>
      <c r="F314">
        <f>FO_Capture!D314</f>
        <v>160</v>
      </c>
      <c r="G314">
        <f>FO_Capture!E314</f>
        <v>445.3900146484375</v>
      </c>
      <c r="H314">
        <f t="shared" si="8"/>
        <v>71262.40234375</v>
      </c>
      <c r="I314" t="str">
        <f t="shared" si="9"/>
        <v>Pass - Ready for Confirmation</v>
      </c>
    </row>
    <row r="315" spans="1:9" x14ac:dyDescent="0.3">
      <c r="A315" t="str">
        <f>FO_Capture!A315</f>
        <v>TRD00314</v>
      </c>
      <c r="B315" t="str">
        <f>FO_Capture!B315</f>
        <v>INE004A01011</v>
      </c>
      <c r="C315" t="str">
        <f>IFERROR(VLOOKUP(FO_Capture!C315, Reference_Data!A:D, 2, FALSE), "UNKNOWN")</f>
        <v>Alpha Asset Management 8</v>
      </c>
      <c r="D315" t="str">
        <f>IFERROR(VLOOKUP(FO_Capture!C315, Reference_Data!A:D, 3, FALSE), "XXX")</f>
        <v>GBP</v>
      </c>
      <c r="E315" t="str">
        <f>IFERROR(VLOOKUP(FO_Capture!C315, Reference_Data!A:D, 4, FALSE), "MISSING SSI")</f>
        <v>HDFC A/C 180445</v>
      </c>
      <c r="F315">
        <f>FO_Capture!D315</f>
        <v>240</v>
      </c>
      <c r="G315">
        <f>FO_Capture!E315</f>
        <v>435.95001220703125</v>
      </c>
      <c r="H315">
        <f t="shared" si="8"/>
        <v>104628.0029296875</v>
      </c>
      <c r="I315" t="str">
        <f t="shared" si="9"/>
        <v>Pass - Ready for Confirmation</v>
      </c>
    </row>
    <row r="316" spans="1:9" x14ac:dyDescent="0.3">
      <c r="A316" t="str">
        <f>FO_Capture!A316</f>
        <v>TRD00315</v>
      </c>
      <c r="B316" t="str">
        <f>FO_Capture!B316</f>
        <v>INE004A01017</v>
      </c>
      <c r="C316" t="str">
        <f>IFERROR(VLOOKUP(FO_Capture!C316, Reference_Data!A:D, 2, FALSE), "UNKNOWN")</f>
        <v>Alpha Capital 36</v>
      </c>
      <c r="D316" t="str">
        <f>IFERROR(VLOOKUP(FO_Capture!C316, Reference_Data!A:D, 3, FALSE), "XXX")</f>
        <v>JPY</v>
      </c>
      <c r="E316" t="str">
        <f>IFERROR(VLOOKUP(FO_Capture!C316, Reference_Data!A:D, 4, FALSE), "MISSING SSI")</f>
        <v>Citi A/C 359789</v>
      </c>
      <c r="F316">
        <f>FO_Capture!D316</f>
        <v>10</v>
      </c>
      <c r="G316">
        <f>FO_Capture!E316</f>
        <v>238.33999633789063</v>
      </c>
      <c r="H316">
        <f t="shared" si="8"/>
        <v>2383.3999633789063</v>
      </c>
      <c r="I316" t="str">
        <f t="shared" si="9"/>
        <v>Pass - Ready for Confirmation</v>
      </c>
    </row>
    <row r="317" spans="1:9" x14ac:dyDescent="0.3">
      <c r="A317" t="str">
        <f>FO_Capture!A317</f>
        <v>TRD00316</v>
      </c>
      <c r="B317" t="str">
        <f>FO_Capture!B317</f>
        <v>INE006A01049</v>
      </c>
      <c r="C317" t="str">
        <f>IFERROR(VLOOKUP(FO_Capture!C317, Reference_Data!A:D, 2, FALSE), "UNKNOWN")</f>
        <v>Alpha Asset Management 31</v>
      </c>
      <c r="D317" t="str">
        <f>IFERROR(VLOOKUP(FO_Capture!C317, Reference_Data!A:D, 3, FALSE), "XXX")</f>
        <v>USD</v>
      </c>
      <c r="E317" t="str">
        <f>IFERROR(VLOOKUP(FO_Capture!C317, Reference_Data!A:D, 4, FALSE), "MISSING SSI")</f>
        <v>Citi A/C 194841</v>
      </c>
      <c r="F317">
        <f>FO_Capture!D317</f>
        <v>210</v>
      </c>
      <c r="G317">
        <f>FO_Capture!E317</f>
        <v>310.82998657226563</v>
      </c>
      <c r="H317">
        <f t="shared" si="8"/>
        <v>65274.297180175781</v>
      </c>
      <c r="I317" t="str">
        <f t="shared" si="9"/>
        <v>Pass - Ready for Confirmation</v>
      </c>
    </row>
    <row r="318" spans="1:9" x14ac:dyDescent="0.3">
      <c r="A318" t="str">
        <f>FO_Capture!A318</f>
        <v>TRD00317</v>
      </c>
      <c r="B318" t="str">
        <f>FO_Capture!B318</f>
        <v>INE005A01034</v>
      </c>
      <c r="C318" t="str">
        <f>IFERROR(VLOOKUP(FO_Capture!C318, Reference_Data!A:D, 2, FALSE), "UNKNOWN")</f>
        <v>Alpha Asset Management 4</v>
      </c>
      <c r="D318" t="str">
        <f>IFERROR(VLOOKUP(FO_Capture!C318, Reference_Data!A:D, 3, FALSE), "XXX")</f>
        <v>JPY</v>
      </c>
      <c r="E318" t="str">
        <f>IFERROR(VLOOKUP(FO_Capture!C318, Reference_Data!A:D, 4, FALSE), "MISSING SSI")</f>
        <v>Deutsche Bank A/C 126543</v>
      </c>
      <c r="F318">
        <f>FO_Capture!D318</f>
        <v>420</v>
      </c>
      <c r="G318">
        <f>FO_Capture!E318</f>
        <v>244.46000671386719</v>
      </c>
      <c r="H318">
        <f t="shared" si="8"/>
        <v>102673.20281982422</v>
      </c>
      <c r="I318" t="str">
        <f t="shared" si="9"/>
        <v>Pass - Ready for Confirmation</v>
      </c>
    </row>
    <row r="319" spans="1:9" x14ac:dyDescent="0.3">
      <c r="A319" t="str">
        <f>FO_Capture!A319</f>
        <v>TRD00318</v>
      </c>
      <c r="B319" t="str">
        <f>FO_Capture!B319</f>
        <v>INE001A01034</v>
      </c>
      <c r="C319" t="str">
        <f>IFERROR(VLOOKUP(FO_Capture!C319, Reference_Data!A:D, 2, FALSE), "UNKNOWN")</f>
        <v>Alpha Investments 43</v>
      </c>
      <c r="D319" t="str">
        <f>IFERROR(VLOOKUP(FO_Capture!C319, Reference_Data!A:D, 3, FALSE), "XXX")</f>
        <v>EUR</v>
      </c>
      <c r="E319" t="str">
        <f>IFERROR(VLOOKUP(FO_Capture!C319, Reference_Data!A:D, 4, FALSE), "MISSING SSI")</f>
        <v>Citi A/C 714496</v>
      </c>
      <c r="F319">
        <f>FO_Capture!D319</f>
        <v>25000</v>
      </c>
      <c r="G319">
        <f>FO_Capture!E319</f>
        <v>216.21000671386719</v>
      </c>
      <c r="H319">
        <f t="shared" si="8"/>
        <v>5405250.1678466797</v>
      </c>
      <c r="I319" t="str">
        <f t="shared" si="9"/>
        <v>Exception - Limit Breach</v>
      </c>
    </row>
    <row r="320" spans="1:9" x14ac:dyDescent="0.3">
      <c r="A320" t="str">
        <f>FO_Capture!A320</f>
        <v>TRD00319</v>
      </c>
      <c r="B320" t="str">
        <f>FO_Capture!B320</f>
        <v>INE001A0106</v>
      </c>
      <c r="C320" t="str">
        <f>IFERROR(VLOOKUP(FO_Capture!C320, Reference_Data!A:D, 2, FALSE), "UNKNOWN")</f>
        <v>Alpha Global 30</v>
      </c>
      <c r="D320" t="str">
        <f>IFERROR(VLOOKUP(FO_Capture!C320, Reference_Data!A:D, 3, FALSE), "XXX")</f>
        <v>JPY</v>
      </c>
      <c r="E320" t="str">
        <f>IFERROR(VLOOKUP(FO_Capture!C320, Reference_Data!A:D, 4, FALSE), "MISSING SSI")</f>
        <v>Deutsche Bank A/C 917262</v>
      </c>
      <c r="F320">
        <f>FO_Capture!D320</f>
        <v>440</v>
      </c>
      <c r="G320">
        <f>FO_Capture!E320</f>
        <v>479.5</v>
      </c>
      <c r="H320">
        <f t="shared" si="8"/>
        <v>210980</v>
      </c>
      <c r="I320" t="str">
        <f t="shared" si="9"/>
        <v>Pass - Ready for Confirmation</v>
      </c>
    </row>
    <row r="321" spans="1:9" x14ac:dyDescent="0.3">
      <c r="A321" t="str">
        <f>FO_Capture!A321</f>
        <v>TRD00320</v>
      </c>
      <c r="B321" t="str">
        <f>FO_Capture!B321</f>
        <v>INE004A01030</v>
      </c>
      <c r="C321" t="str">
        <f>IFERROR(VLOOKUP(FO_Capture!C321, Reference_Data!A:D, 2, FALSE), "UNKNOWN")</f>
        <v>Alpha Capital 10</v>
      </c>
      <c r="D321" t="str">
        <f>IFERROR(VLOOKUP(FO_Capture!C321, Reference_Data!A:D, 3, FALSE), "XXX")</f>
        <v>USD</v>
      </c>
      <c r="E321" t="str">
        <f>IFERROR(VLOOKUP(FO_Capture!C321, Reference_Data!A:D, 4, FALSE), "MISSING SSI")</f>
        <v>HDFC A/C 543407</v>
      </c>
      <c r="F321">
        <f>FO_Capture!D321</f>
        <v>130</v>
      </c>
      <c r="G321">
        <f>FO_Capture!E321</f>
        <v>132.89999389648438</v>
      </c>
      <c r="H321">
        <f t="shared" si="8"/>
        <v>17276.999206542969</v>
      </c>
      <c r="I321" t="str">
        <f t="shared" si="9"/>
        <v>Pass - Ready for Confirmation</v>
      </c>
    </row>
    <row r="322" spans="1:9" x14ac:dyDescent="0.3">
      <c r="A322" t="str">
        <f>FO_Capture!A322</f>
        <v>TRD00321</v>
      </c>
      <c r="B322" t="str">
        <f>FO_Capture!B322</f>
        <v>INE007A01034</v>
      </c>
      <c r="C322" t="str">
        <f>IFERROR(VLOOKUP(FO_Capture!C322, Reference_Data!A:D, 2, FALSE), "UNKNOWN")</f>
        <v>Alpha Partners 3</v>
      </c>
      <c r="D322" t="str">
        <f>IFERROR(VLOOKUP(FO_Capture!C322, Reference_Data!A:D, 3, FALSE), "XXX")</f>
        <v>USD</v>
      </c>
      <c r="E322" t="str">
        <f>IFERROR(VLOOKUP(FO_Capture!C322, Reference_Data!A:D, 4, FALSE), "MISSING SSI")</f>
        <v>Citi A/C 508769</v>
      </c>
      <c r="F322">
        <f>FO_Capture!D322</f>
        <v>410</v>
      </c>
      <c r="G322">
        <f>FO_Capture!E322</f>
        <v>385.6400146484375</v>
      </c>
      <c r="H322">
        <f t="shared" si="8"/>
        <v>158112.40600585938</v>
      </c>
      <c r="I322" t="str">
        <f t="shared" si="9"/>
        <v>Pass - Ready for Confirmation</v>
      </c>
    </row>
    <row r="323" spans="1:9" x14ac:dyDescent="0.3">
      <c r="A323" t="str">
        <f>FO_Capture!A323</f>
        <v>TRD00322</v>
      </c>
      <c r="B323" t="str">
        <f>FO_Capture!B323</f>
        <v>INE001A01094</v>
      </c>
      <c r="C323" t="str">
        <f>IFERROR(VLOOKUP(FO_Capture!C323, Reference_Data!A:D, 2, FALSE), "UNKNOWN")</f>
        <v>Alpha Asset Management 4</v>
      </c>
      <c r="D323" t="str">
        <f>IFERROR(VLOOKUP(FO_Capture!C323, Reference_Data!A:D, 3, FALSE), "XXX")</f>
        <v>JPY</v>
      </c>
      <c r="E323" t="str">
        <f>IFERROR(VLOOKUP(FO_Capture!C323, Reference_Data!A:D, 4, FALSE), "MISSING SSI")</f>
        <v>Deutsche Bank A/C 126543</v>
      </c>
      <c r="F323">
        <f>FO_Capture!D323</f>
        <v>450</v>
      </c>
      <c r="G323">
        <f>FO_Capture!E323</f>
        <v>486.01998901367188</v>
      </c>
      <c r="H323">
        <f t="shared" ref="H323:H386" si="10">F323 * G323</f>
        <v>218708.99505615234</v>
      </c>
      <c r="I323" t="str">
        <f t="shared" ref="I323:I386" si="11">IF(C323="UNKNOWN", "Fail - Missing Ref Data", IF(OR(F323&lt;=0, G323&lt;=0), "Fail - Invalid Price/Qty", IF(H323&gt;1000000, "Exception - Limit Breach", "Pass - Ready for Confirmation")))</f>
        <v>Pass - Ready for Confirmation</v>
      </c>
    </row>
    <row r="324" spans="1:9" x14ac:dyDescent="0.3">
      <c r="A324" t="str">
        <f>FO_Capture!A324</f>
        <v>TRD00323</v>
      </c>
      <c r="B324" t="str">
        <f>FO_Capture!B324</f>
        <v>INE006A01059</v>
      </c>
      <c r="C324" t="str">
        <f>IFERROR(VLOOKUP(FO_Capture!C324, Reference_Data!A:D, 2, FALSE), "UNKNOWN")</f>
        <v>Alpha Quant Fund 24</v>
      </c>
      <c r="D324" t="str">
        <f>IFERROR(VLOOKUP(FO_Capture!C324, Reference_Data!A:D, 3, FALSE), "XXX")</f>
        <v>SGD</v>
      </c>
      <c r="E324" t="str">
        <f>IFERROR(VLOOKUP(FO_Capture!C324, Reference_Data!A:D, 4, FALSE), "MISSING SSI")</f>
        <v>JPMorgan A/C 603587</v>
      </c>
      <c r="F324">
        <f>FO_Capture!D324</f>
        <v>25000</v>
      </c>
      <c r="G324">
        <f>FO_Capture!E324</f>
        <v>500.80999755859375</v>
      </c>
      <c r="H324">
        <f t="shared" si="10"/>
        <v>12520249.938964844</v>
      </c>
      <c r="I324" t="str">
        <f t="shared" si="11"/>
        <v>Exception - Limit Breach</v>
      </c>
    </row>
    <row r="325" spans="1:9" x14ac:dyDescent="0.3">
      <c r="A325" t="str">
        <f>FO_Capture!A325</f>
        <v>TRD00324</v>
      </c>
      <c r="B325" t="str">
        <f>FO_Capture!B325</f>
        <v>INE009A01050</v>
      </c>
      <c r="C325" t="str">
        <f>IFERROR(VLOOKUP(FO_Capture!C325, Reference_Data!A:D, 2, FALSE), "UNKNOWN")</f>
        <v>Alpha Quant Fund 34</v>
      </c>
      <c r="D325" t="str">
        <f>IFERROR(VLOOKUP(FO_Capture!C325, Reference_Data!A:D, 3, FALSE), "XXX")</f>
        <v>JPY</v>
      </c>
      <c r="E325" t="str">
        <f>IFERROR(VLOOKUP(FO_Capture!C325, Reference_Data!A:D, 4, FALSE), "MISSING SSI")</f>
        <v>Citi A/C 837378</v>
      </c>
      <c r="F325">
        <f>FO_Capture!D325</f>
        <v>410</v>
      </c>
      <c r="G325">
        <f>FO_Capture!E325</f>
        <v>100.98999786376953</v>
      </c>
      <c r="H325">
        <f t="shared" si="10"/>
        <v>41405.899124145508</v>
      </c>
      <c r="I325" t="str">
        <f t="shared" si="11"/>
        <v>Pass - Ready for Confirmation</v>
      </c>
    </row>
    <row r="326" spans="1:9" x14ac:dyDescent="0.3">
      <c r="A326" t="str">
        <f>FO_Capture!A326</f>
        <v>TRD00325</v>
      </c>
      <c r="B326" t="str">
        <f>FO_Capture!B326</f>
        <v>INE008A01083</v>
      </c>
      <c r="C326" t="str">
        <f>IFERROR(VLOOKUP(FO_Capture!C326, Reference_Data!A:D, 2, FALSE), "UNKNOWN")</f>
        <v>Alpha Quant Fund 24</v>
      </c>
      <c r="D326" t="str">
        <f>IFERROR(VLOOKUP(FO_Capture!C326, Reference_Data!A:D, 3, FALSE), "XXX")</f>
        <v>SGD</v>
      </c>
      <c r="E326" t="str">
        <f>IFERROR(VLOOKUP(FO_Capture!C326, Reference_Data!A:D, 4, FALSE), "MISSING SSI")</f>
        <v>JPMorgan A/C 603587</v>
      </c>
      <c r="F326">
        <f>FO_Capture!D326</f>
        <v>110</v>
      </c>
      <c r="G326">
        <f>FO_Capture!E326</f>
        <v>386.48001098632813</v>
      </c>
      <c r="H326">
        <f t="shared" si="10"/>
        <v>42512.801208496094</v>
      </c>
      <c r="I326" t="str">
        <f t="shared" si="11"/>
        <v>Pass - Ready for Confirmation</v>
      </c>
    </row>
    <row r="327" spans="1:9" x14ac:dyDescent="0.3">
      <c r="A327" t="str">
        <f>FO_Capture!A327</f>
        <v>TRD00326</v>
      </c>
      <c r="B327" t="str">
        <f>FO_Capture!B327</f>
        <v>INE004A01091</v>
      </c>
      <c r="C327" t="str">
        <f>IFERROR(VLOOKUP(FO_Capture!C327, Reference_Data!A:D, 2, FALSE), "UNKNOWN")</f>
        <v>Alpha Asset Management 32</v>
      </c>
      <c r="D327" t="str">
        <f>IFERROR(VLOOKUP(FO_Capture!C327, Reference_Data!A:D, 3, FALSE), "XXX")</f>
        <v>INR</v>
      </c>
      <c r="E327" t="str">
        <f>IFERROR(VLOOKUP(FO_Capture!C327, Reference_Data!A:D, 4, FALSE), "MISSING SSI")</f>
        <v>Barclays A/C 302646</v>
      </c>
      <c r="F327">
        <f>FO_Capture!D327</f>
        <v>20</v>
      </c>
      <c r="G327">
        <f>FO_Capture!E327</f>
        <v>305.76998901367188</v>
      </c>
      <c r="H327">
        <f t="shared" si="10"/>
        <v>6115.3997802734375</v>
      </c>
      <c r="I327" t="str">
        <f t="shared" si="11"/>
        <v>Pass - Ready for Confirmation</v>
      </c>
    </row>
    <row r="328" spans="1:9" x14ac:dyDescent="0.3">
      <c r="A328" t="str">
        <f>FO_Capture!A328</f>
        <v>TRD00327</v>
      </c>
      <c r="B328" t="str">
        <f>FO_Capture!B328</f>
        <v>INE004A01080</v>
      </c>
      <c r="C328" t="str">
        <f>IFERROR(VLOOKUP(FO_Capture!C328, Reference_Data!A:D, 2, FALSE), "UNKNOWN")</f>
        <v>Alpha Capital 38</v>
      </c>
      <c r="D328" t="str">
        <f>IFERROR(VLOOKUP(FO_Capture!C328, Reference_Data!A:D, 3, FALSE), "XXX")</f>
        <v>SGD</v>
      </c>
      <c r="E328" t="str">
        <f>IFERROR(VLOOKUP(FO_Capture!C328, Reference_Data!A:D, 4, FALSE), "MISSING SSI")</f>
        <v>Deutsche Bank A/C 153521</v>
      </c>
      <c r="F328">
        <f>FO_Capture!D328</f>
        <v>60</v>
      </c>
      <c r="G328">
        <f>FO_Capture!E328</f>
        <v>377.66000366210938</v>
      </c>
      <c r="H328">
        <f t="shared" si="10"/>
        <v>22659.600219726563</v>
      </c>
      <c r="I328" t="str">
        <f t="shared" si="11"/>
        <v>Pass - Ready for Confirmation</v>
      </c>
    </row>
    <row r="329" spans="1:9" x14ac:dyDescent="0.3">
      <c r="A329" t="str">
        <f>FO_Capture!A329</f>
        <v>TRD00328</v>
      </c>
      <c r="B329" t="str">
        <f>FO_Capture!B329</f>
        <v>INE003A01085</v>
      </c>
      <c r="C329" t="str">
        <f>IFERROR(VLOOKUP(FO_Capture!C329, Reference_Data!A:D, 2, FALSE), "UNKNOWN")</f>
        <v>Alpha Global 46</v>
      </c>
      <c r="D329" t="str">
        <f>IFERROR(VLOOKUP(FO_Capture!C329, Reference_Data!A:D, 3, FALSE), "XXX")</f>
        <v>USD</v>
      </c>
      <c r="E329" t="str">
        <f>IFERROR(VLOOKUP(FO_Capture!C329, Reference_Data!A:D, 4, FALSE), "MISSING SSI")</f>
        <v>Citi A/C 700450</v>
      </c>
      <c r="F329">
        <f>FO_Capture!D329</f>
        <v>370</v>
      </c>
      <c r="G329">
        <f>FO_Capture!E329</f>
        <v>441.25</v>
      </c>
      <c r="H329">
        <f t="shared" si="10"/>
        <v>163262.5</v>
      </c>
      <c r="I329" t="str">
        <f t="shared" si="11"/>
        <v>Pass - Ready for Confirmation</v>
      </c>
    </row>
    <row r="330" spans="1:9" x14ac:dyDescent="0.3">
      <c r="A330" t="str">
        <f>FO_Capture!A330</f>
        <v>TRD00329</v>
      </c>
      <c r="B330" t="str">
        <f>FO_Capture!B330</f>
        <v>INE004A01015</v>
      </c>
      <c r="C330" t="str">
        <f>IFERROR(VLOOKUP(FO_Capture!C330, Reference_Data!A:D, 2, FALSE), "UNKNOWN")</f>
        <v>Alpha Partners 3</v>
      </c>
      <c r="D330" t="str">
        <f>IFERROR(VLOOKUP(FO_Capture!C330, Reference_Data!A:D, 3, FALSE), "XXX")</f>
        <v>USD</v>
      </c>
      <c r="E330" t="str">
        <f>IFERROR(VLOOKUP(FO_Capture!C330, Reference_Data!A:D, 4, FALSE), "MISSING SSI")</f>
        <v>Citi A/C 508769</v>
      </c>
      <c r="F330">
        <f>FO_Capture!D330</f>
        <v>60</v>
      </c>
      <c r="G330">
        <f>FO_Capture!E330</f>
        <v>405.97000122070313</v>
      </c>
      <c r="H330">
        <f t="shared" si="10"/>
        <v>24358.200073242188</v>
      </c>
      <c r="I330" t="str">
        <f t="shared" si="11"/>
        <v>Pass - Ready for Confirmation</v>
      </c>
    </row>
    <row r="331" spans="1:9" x14ac:dyDescent="0.3">
      <c r="A331" t="str">
        <f>FO_Capture!A331</f>
        <v>TRD00330</v>
      </c>
      <c r="B331" t="str">
        <f>FO_Capture!B331</f>
        <v>INE009A0108</v>
      </c>
      <c r="C331" t="str">
        <f>IFERROR(VLOOKUP(FO_Capture!C331, Reference_Data!A:D, 2, FALSE), "UNKNOWN")</f>
        <v>Alpha Quant Fund 24</v>
      </c>
      <c r="D331" t="str">
        <f>IFERROR(VLOOKUP(FO_Capture!C331, Reference_Data!A:D, 3, FALSE), "XXX")</f>
        <v>SGD</v>
      </c>
      <c r="E331" t="str">
        <f>IFERROR(VLOOKUP(FO_Capture!C331, Reference_Data!A:D, 4, FALSE), "MISSING SSI")</f>
        <v>JPMorgan A/C 603587</v>
      </c>
      <c r="F331">
        <f>FO_Capture!D331</f>
        <v>470</v>
      </c>
      <c r="G331">
        <f>FO_Capture!E331</f>
        <v>501.55999755859375</v>
      </c>
      <c r="H331">
        <f t="shared" si="10"/>
        <v>235733.19885253906</v>
      </c>
      <c r="I331" t="str">
        <f t="shared" si="11"/>
        <v>Pass - Ready for Confirmation</v>
      </c>
    </row>
    <row r="332" spans="1:9" x14ac:dyDescent="0.3">
      <c r="A332" t="str">
        <f>FO_Capture!A332</f>
        <v>TRD00331</v>
      </c>
      <c r="B332" t="str">
        <f>FO_Capture!B332</f>
        <v>INE009A01077</v>
      </c>
      <c r="C332" t="str">
        <f>IFERROR(VLOOKUP(FO_Capture!C332, Reference_Data!A:D, 2, FALSE), "UNKNOWN")</f>
        <v>Alpha Holdings 21</v>
      </c>
      <c r="D332" t="str">
        <f>IFERROR(VLOOKUP(FO_Capture!C332, Reference_Data!A:D, 3, FALSE), "XXX")</f>
        <v>SGD</v>
      </c>
      <c r="E332" t="str">
        <f>IFERROR(VLOOKUP(FO_Capture!C332, Reference_Data!A:D, 4, FALSE), "MISSING SSI")</f>
        <v>HSBC A/C 562956</v>
      </c>
      <c r="F332">
        <f>FO_Capture!D332</f>
        <v>410</v>
      </c>
      <c r="G332">
        <f>FO_Capture!E332</f>
        <v>28.069999694824219</v>
      </c>
      <c r="H332">
        <f t="shared" si="10"/>
        <v>11508.69987487793</v>
      </c>
      <c r="I332" t="str">
        <f t="shared" si="11"/>
        <v>Pass - Ready for Confirmation</v>
      </c>
    </row>
    <row r="333" spans="1:9" x14ac:dyDescent="0.3">
      <c r="A333" t="str">
        <f>FO_Capture!A333</f>
        <v>TRD00332</v>
      </c>
      <c r="B333" t="str">
        <f>FO_Capture!B333</f>
        <v>INE002A01062</v>
      </c>
      <c r="C333" t="str">
        <f>IFERROR(VLOOKUP(FO_Capture!C333, Reference_Data!A:D, 2, FALSE), "UNKNOWN")</f>
        <v>Alpha Quant Fund 24</v>
      </c>
      <c r="D333" t="str">
        <f>IFERROR(VLOOKUP(FO_Capture!C333, Reference_Data!A:D, 3, FALSE), "XXX")</f>
        <v>SGD</v>
      </c>
      <c r="E333" t="str">
        <f>IFERROR(VLOOKUP(FO_Capture!C333, Reference_Data!A:D, 4, FALSE), "MISSING SSI")</f>
        <v>JPMorgan A/C 603587</v>
      </c>
      <c r="F333">
        <f>FO_Capture!D333</f>
        <v>430</v>
      </c>
      <c r="G333">
        <f>FO_Capture!E333</f>
        <v>105.84999847412109</v>
      </c>
      <c r="H333">
        <f t="shared" si="10"/>
        <v>45515.49934387207</v>
      </c>
      <c r="I333" t="str">
        <f t="shared" si="11"/>
        <v>Pass - Ready for Confirmation</v>
      </c>
    </row>
    <row r="334" spans="1:9" x14ac:dyDescent="0.3">
      <c r="A334" t="str">
        <f>FO_Capture!A334</f>
        <v>TRD00333</v>
      </c>
      <c r="B334" t="str">
        <f>FO_Capture!B334</f>
        <v>INE003A01080</v>
      </c>
      <c r="C334" t="str">
        <f>IFERROR(VLOOKUP(FO_Capture!C334, Reference_Data!A:D, 2, FALSE), "UNKNOWN")</f>
        <v>Alpha Asset Management 8</v>
      </c>
      <c r="D334" t="str">
        <f>IFERROR(VLOOKUP(FO_Capture!C334, Reference_Data!A:D, 3, FALSE), "XXX")</f>
        <v>GBP</v>
      </c>
      <c r="E334" t="str">
        <f>IFERROR(VLOOKUP(FO_Capture!C334, Reference_Data!A:D, 4, FALSE), "MISSING SSI")</f>
        <v>HDFC A/C 180445</v>
      </c>
      <c r="F334">
        <f>FO_Capture!D334</f>
        <v>60</v>
      </c>
      <c r="G334">
        <f>FO_Capture!E334</f>
        <v>425.57998657226563</v>
      </c>
      <c r="H334">
        <f t="shared" si="10"/>
        <v>25534.799194335938</v>
      </c>
      <c r="I334" t="str">
        <f t="shared" si="11"/>
        <v>Pass - Ready for Confirmation</v>
      </c>
    </row>
    <row r="335" spans="1:9" x14ac:dyDescent="0.3">
      <c r="A335" t="str">
        <f>FO_Capture!A335</f>
        <v>TRD00334</v>
      </c>
      <c r="B335" t="str">
        <f>FO_Capture!B335</f>
        <v>INE007A01075</v>
      </c>
      <c r="C335" t="str">
        <f>IFERROR(VLOOKUP(FO_Capture!C335, Reference_Data!A:D, 2, FALSE), "UNKNOWN")</f>
        <v>Alpha Partners 18</v>
      </c>
      <c r="D335" t="str">
        <f>IFERROR(VLOOKUP(FO_Capture!C335, Reference_Data!A:D, 3, FALSE), "XXX")</f>
        <v>INR</v>
      </c>
      <c r="E335" t="str">
        <f>IFERROR(VLOOKUP(FO_Capture!C335, Reference_Data!A:D, 4, FALSE), "MISSING SSI")</f>
        <v>JPMorgan A/C 704166</v>
      </c>
      <c r="F335">
        <f>FO_Capture!D335</f>
        <v>20</v>
      </c>
      <c r="G335">
        <f>FO_Capture!E335</f>
        <v>498.260009765625</v>
      </c>
      <c r="H335">
        <f t="shared" si="10"/>
        <v>9965.2001953125</v>
      </c>
      <c r="I335" t="str">
        <f t="shared" si="11"/>
        <v>Pass - Ready for Confirmation</v>
      </c>
    </row>
    <row r="336" spans="1:9" x14ac:dyDescent="0.3">
      <c r="A336" t="str">
        <f>FO_Capture!A336</f>
        <v>TRD00335</v>
      </c>
      <c r="B336" t="str">
        <f>FO_Capture!B336</f>
        <v>INE009A01065</v>
      </c>
      <c r="C336" t="str">
        <f>IFERROR(VLOOKUP(FO_Capture!C336, Reference_Data!A:D, 2, FALSE), "UNKNOWN")</f>
        <v>Alpha Partners 42</v>
      </c>
      <c r="D336" t="str">
        <f>IFERROR(VLOOKUP(FO_Capture!C336, Reference_Data!A:D, 3, FALSE), "XXX")</f>
        <v>USD</v>
      </c>
      <c r="E336" t="str">
        <f>IFERROR(VLOOKUP(FO_Capture!C336, Reference_Data!A:D, 4, FALSE), "MISSING SSI")</f>
        <v>Citi A/C 416082</v>
      </c>
      <c r="F336">
        <f>FO_Capture!D336</f>
        <v>60</v>
      </c>
      <c r="G336">
        <f>FO_Capture!E336</f>
        <v>405.16000366210938</v>
      </c>
      <c r="H336">
        <f t="shared" si="10"/>
        <v>24309.600219726563</v>
      </c>
      <c r="I336" t="str">
        <f t="shared" si="11"/>
        <v>Pass - Ready for Confirmation</v>
      </c>
    </row>
    <row r="337" spans="1:9" x14ac:dyDescent="0.3">
      <c r="A337" t="str">
        <f>FO_Capture!A337</f>
        <v>TRD00336</v>
      </c>
      <c r="B337" t="str">
        <f>FO_Capture!B337</f>
        <v>INE009A01097</v>
      </c>
      <c r="C337" t="str">
        <f>IFERROR(VLOOKUP(FO_Capture!C337, Reference_Data!A:D, 2, FALSE), "UNKNOWN")</f>
        <v>Alpha Global 39</v>
      </c>
      <c r="D337" t="str">
        <f>IFERROR(VLOOKUP(FO_Capture!C337, Reference_Data!A:D, 3, FALSE), "XXX")</f>
        <v>SGD</v>
      </c>
      <c r="E337" t="str">
        <f>IFERROR(VLOOKUP(FO_Capture!C337, Reference_Data!A:D, 4, FALSE), "MISSING SSI")</f>
        <v>Deutsche Bank A/C 917029</v>
      </c>
      <c r="F337">
        <f>FO_Capture!D337</f>
        <v>110</v>
      </c>
      <c r="G337">
        <f>FO_Capture!E337</f>
        <v>47.919998168945313</v>
      </c>
      <c r="H337">
        <f t="shared" si="10"/>
        <v>5271.1997985839844</v>
      </c>
      <c r="I337" t="str">
        <f t="shared" si="11"/>
        <v>Pass - Ready for Confirmation</v>
      </c>
    </row>
    <row r="338" spans="1:9" x14ac:dyDescent="0.3">
      <c r="A338" t="str">
        <f>FO_Capture!A338</f>
        <v>TRD00337</v>
      </c>
      <c r="B338" t="str">
        <f>FO_Capture!B338</f>
        <v>INE008A01095</v>
      </c>
      <c r="C338" t="str">
        <f>IFERROR(VLOOKUP(FO_Capture!C338, Reference_Data!A:D, 2, FALSE), "UNKNOWN")</f>
        <v>Alpha Capital 11</v>
      </c>
      <c r="D338" t="str">
        <f>IFERROR(VLOOKUP(FO_Capture!C338, Reference_Data!A:D, 3, FALSE), "XXX")</f>
        <v>USD</v>
      </c>
      <c r="E338" t="str">
        <f>IFERROR(VLOOKUP(FO_Capture!C338, Reference_Data!A:D, 4, FALSE), "MISSING SSI")</f>
        <v>JPMorgan A/C 987170</v>
      </c>
      <c r="F338">
        <f>FO_Capture!D338</f>
        <v>110</v>
      </c>
      <c r="G338">
        <f>FO_Capture!E338</f>
        <v>398.44000244140625</v>
      </c>
      <c r="H338">
        <f t="shared" si="10"/>
        <v>43828.400268554688</v>
      </c>
      <c r="I338" t="str">
        <f t="shared" si="11"/>
        <v>Pass - Ready for Confirmation</v>
      </c>
    </row>
    <row r="339" spans="1:9" x14ac:dyDescent="0.3">
      <c r="A339" t="str">
        <f>FO_Capture!A339</f>
        <v>TRD00338</v>
      </c>
      <c r="B339" t="str">
        <f>FO_Capture!B339</f>
        <v>INE002A0108</v>
      </c>
      <c r="C339" t="str">
        <f>IFERROR(VLOOKUP(FO_Capture!C339, Reference_Data!A:D, 2, FALSE), "UNKNOWN")</f>
        <v>Alpha Capital 33</v>
      </c>
      <c r="D339" t="str">
        <f>IFERROR(VLOOKUP(FO_Capture!C339, Reference_Data!A:D, 3, FALSE), "XXX")</f>
        <v>JPY</v>
      </c>
      <c r="E339" t="str">
        <f>IFERROR(VLOOKUP(FO_Capture!C339, Reference_Data!A:D, 4, FALSE), "MISSING SSI")</f>
        <v>HSBC A/C 172861</v>
      </c>
      <c r="F339">
        <f>FO_Capture!D339</f>
        <v>200</v>
      </c>
      <c r="G339">
        <f>FO_Capture!E339</f>
        <v>248.97999572753906</v>
      </c>
      <c r="H339">
        <f t="shared" si="10"/>
        <v>49795.999145507813</v>
      </c>
      <c r="I339" t="str">
        <f t="shared" si="11"/>
        <v>Pass - Ready for Confirmation</v>
      </c>
    </row>
    <row r="340" spans="1:9" x14ac:dyDescent="0.3">
      <c r="A340" t="str">
        <f>FO_Capture!A340</f>
        <v>TRD00339</v>
      </c>
      <c r="B340" t="str">
        <f>FO_Capture!B340</f>
        <v>INE007A01060</v>
      </c>
      <c r="C340" t="str">
        <f>IFERROR(VLOOKUP(FO_Capture!C340, Reference_Data!A:D, 2, FALSE), "UNKNOWN")</f>
        <v>Alpha Global 20</v>
      </c>
      <c r="D340" t="str">
        <f>IFERROR(VLOOKUP(FO_Capture!C340, Reference_Data!A:D, 3, FALSE), "XXX")</f>
        <v>JPY</v>
      </c>
      <c r="E340" t="str">
        <f>IFERROR(VLOOKUP(FO_Capture!C340, Reference_Data!A:D, 4, FALSE), "MISSING SSI")</f>
        <v>Barclays A/C 560891</v>
      </c>
      <c r="F340">
        <f>FO_Capture!D340</f>
        <v>20</v>
      </c>
      <c r="G340">
        <f>FO_Capture!E340</f>
        <v>462.07000732421875</v>
      </c>
      <c r="H340">
        <f t="shared" si="10"/>
        <v>9241.400146484375</v>
      </c>
      <c r="I340" t="str">
        <f t="shared" si="11"/>
        <v>Pass - Ready for Confirmation</v>
      </c>
    </row>
    <row r="341" spans="1:9" x14ac:dyDescent="0.3">
      <c r="A341" t="str">
        <f>FO_Capture!A341</f>
        <v>TRD00340</v>
      </c>
      <c r="B341" t="str">
        <f>FO_Capture!B341</f>
        <v>INE009A0107</v>
      </c>
      <c r="C341" t="str">
        <f>IFERROR(VLOOKUP(FO_Capture!C341, Reference_Data!A:D, 2, FALSE), "UNKNOWN")</f>
        <v>Alpha Capital 9</v>
      </c>
      <c r="D341" t="str">
        <f>IFERROR(VLOOKUP(FO_Capture!C341, Reference_Data!A:D, 3, FALSE), "XXX")</f>
        <v>JPY</v>
      </c>
      <c r="E341" t="str">
        <f>IFERROR(VLOOKUP(FO_Capture!C341, Reference_Data!A:D, 4, FALSE), "MISSING SSI")</f>
        <v>Citi A/C 744145</v>
      </c>
      <c r="F341">
        <f>FO_Capture!D341</f>
        <v>420</v>
      </c>
      <c r="G341">
        <f>FO_Capture!E341</f>
        <v>220.58000183105469</v>
      </c>
      <c r="H341">
        <f t="shared" si="10"/>
        <v>92643.600769042969</v>
      </c>
      <c r="I341" t="str">
        <f t="shared" si="11"/>
        <v>Pass - Ready for Confirmation</v>
      </c>
    </row>
    <row r="342" spans="1:9" x14ac:dyDescent="0.3">
      <c r="A342" t="str">
        <f>FO_Capture!A342</f>
        <v>TRD00341</v>
      </c>
      <c r="B342" t="str">
        <f>FO_Capture!B342</f>
        <v>INE002A01075</v>
      </c>
      <c r="C342" t="str">
        <f>IFERROR(VLOOKUP(FO_Capture!C342, Reference_Data!A:D, 2, FALSE), "UNKNOWN")</f>
        <v>Alpha Asset Management 32</v>
      </c>
      <c r="D342" t="str">
        <f>IFERROR(VLOOKUP(FO_Capture!C342, Reference_Data!A:D, 3, FALSE), "XXX")</f>
        <v>INR</v>
      </c>
      <c r="E342" t="str">
        <f>IFERROR(VLOOKUP(FO_Capture!C342, Reference_Data!A:D, 4, FALSE), "MISSING SSI")</f>
        <v>Barclays A/C 302646</v>
      </c>
      <c r="F342">
        <f>FO_Capture!D342</f>
        <v>240</v>
      </c>
      <c r="G342">
        <f>FO_Capture!E342</f>
        <v>277.67999267578125</v>
      </c>
      <c r="H342">
        <f t="shared" si="10"/>
        <v>66643.1982421875</v>
      </c>
      <c r="I342" t="str">
        <f t="shared" si="11"/>
        <v>Pass - Ready for Confirmation</v>
      </c>
    </row>
    <row r="343" spans="1:9" x14ac:dyDescent="0.3">
      <c r="A343" t="str">
        <f>FO_Capture!A343</f>
        <v>TRD00342</v>
      </c>
      <c r="B343" t="str">
        <f>FO_Capture!B343</f>
        <v>INE003A01022</v>
      </c>
      <c r="C343" t="str">
        <f>IFERROR(VLOOKUP(FO_Capture!C343, Reference_Data!A:D, 2, FALSE), "UNKNOWN")</f>
        <v>Alpha Global 39</v>
      </c>
      <c r="D343" t="str">
        <f>IFERROR(VLOOKUP(FO_Capture!C343, Reference_Data!A:D, 3, FALSE), "XXX")</f>
        <v>SGD</v>
      </c>
      <c r="E343" t="str">
        <f>IFERROR(VLOOKUP(FO_Capture!C343, Reference_Data!A:D, 4, FALSE), "MISSING SSI")</f>
        <v>Deutsche Bank A/C 917029</v>
      </c>
      <c r="F343">
        <f>FO_Capture!D343</f>
        <v>20</v>
      </c>
      <c r="G343">
        <f>FO_Capture!E343</f>
        <v>206.85000610351563</v>
      </c>
      <c r="H343">
        <f t="shared" si="10"/>
        <v>4137.0001220703125</v>
      </c>
      <c r="I343" t="str">
        <f t="shared" si="11"/>
        <v>Pass - Ready for Confirmation</v>
      </c>
    </row>
    <row r="344" spans="1:9" x14ac:dyDescent="0.3">
      <c r="A344" t="str">
        <f>FO_Capture!A344</f>
        <v>TRD00343</v>
      </c>
      <c r="B344" t="str">
        <f>FO_Capture!B344</f>
        <v>INE005A01079</v>
      </c>
      <c r="C344" t="str">
        <f>IFERROR(VLOOKUP(FO_Capture!C344, Reference_Data!A:D, 2, FALSE), "UNKNOWN")</f>
        <v>Alpha Partners 26</v>
      </c>
      <c r="D344" t="str">
        <f>IFERROR(VLOOKUP(FO_Capture!C344, Reference_Data!A:D, 3, FALSE), "XXX")</f>
        <v>USD</v>
      </c>
      <c r="E344" t="str">
        <f>IFERROR(VLOOKUP(FO_Capture!C344, Reference_Data!A:D, 4, FALSE), "MISSING SSI")</f>
        <v>HSBC A/C 867781</v>
      </c>
      <c r="F344">
        <f>FO_Capture!D344</f>
        <v>320</v>
      </c>
      <c r="G344">
        <f>FO_Capture!E344</f>
        <v>151.91000366210938</v>
      </c>
      <c r="H344">
        <f t="shared" si="10"/>
        <v>48611.201171875</v>
      </c>
      <c r="I344" t="str">
        <f t="shared" si="11"/>
        <v>Pass - Ready for Confirmation</v>
      </c>
    </row>
    <row r="345" spans="1:9" x14ac:dyDescent="0.3">
      <c r="A345" t="str">
        <f>FO_Capture!A345</f>
        <v>TRD00344</v>
      </c>
      <c r="B345" t="str">
        <f>FO_Capture!B345</f>
        <v>INE004A0106</v>
      </c>
      <c r="C345" t="str">
        <f>IFERROR(VLOOKUP(FO_Capture!C345, Reference_Data!A:D, 2, FALSE), "UNKNOWN")</f>
        <v>Alpha Capital 7</v>
      </c>
      <c r="D345" t="str">
        <f>IFERROR(VLOOKUP(FO_Capture!C345, Reference_Data!A:D, 3, FALSE), "XXX")</f>
        <v>INR</v>
      </c>
      <c r="E345" t="str">
        <f>IFERROR(VLOOKUP(FO_Capture!C345, Reference_Data!A:D, 4, FALSE), "MISSING SSI")</f>
        <v>Standard Chartered A/C 682134</v>
      </c>
      <c r="F345">
        <f>FO_Capture!D345</f>
        <v>380</v>
      </c>
      <c r="G345">
        <f>FO_Capture!E345</f>
        <v>76.949996948242188</v>
      </c>
      <c r="H345">
        <f t="shared" si="10"/>
        <v>29240.998840332031</v>
      </c>
      <c r="I345" t="str">
        <f t="shared" si="11"/>
        <v>Pass - Ready for Confirmation</v>
      </c>
    </row>
    <row r="346" spans="1:9" x14ac:dyDescent="0.3">
      <c r="A346" t="str">
        <f>FO_Capture!A346</f>
        <v>TRD00345</v>
      </c>
      <c r="B346" t="str">
        <f>FO_Capture!B346</f>
        <v>INE006A01036</v>
      </c>
      <c r="C346" t="str">
        <f>IFERROR(VLOOKUP(FO_Capture!C346, Reference_Data!A:D, 2, FALSE), "UNKNOWN")</f>
        <v>Alpha Holdings 41</v>
      </c>
      <c r="D346" t="str">
        <f>IFERROR(VLOOKUP(FO_Capture!C346, Reference_Data!A:D, 3, FALSE), "XXX")</f>
        <v>JPY</v>
      </c>
      <c r="E346" t="str">
        <f>IFERROR(VLOOKUP(FO_Capture!C346, Reference_Data!A:D, 4, FALSE), "MISSING SSI")</f>
        <v>HSBC A/C 468615</v>
      </c>
      <c r="F346">
        <f>FO_Capture!D346</f>
        <v>450</v>
      </c>
      <c r="G346">
        <f>FO_Capture!E346</f>
        <v>16.399999618530273</v>
      </c>
      <c r="H346">
        <f t="shared" si="10"/>
        <v>7379.999828338623</v>
      </c>
      <c r="I346" t="str">
        <f t="shared" si="11"/>
        <v>Pass - Ready for Confirmation</v>
      </c>
    </row>
    <row r="347" spans="1:9" x14ac:dyDescent="0.3">
      <c r="A347" t="str">
        <f>FO_Capture!A347</f>
        <v>TRD00346</v>
      </c>
      <c r="B347" t="str">
        <f>FO_Capture!B347</f>
        <v>INE006A01033</v>
      </c>
      <c r="C347" t="str">
        <f>IFERROR(VLOOKUP(FO_Capture!C347, Reference_Data!A:D, 2, FALSE), "UNKNOWN")</f>
        <v>Alpha Asset Management 8</v>
      </c>
      <c r="D347" t="str">
        <f>IFERROR(VLOOKUP(FO_Capture!C347, Reference_Data!A:D, 3, FALSE), "XXX")</f>
        <v>GBP</v>
      </c>
      <c r="E347" t="str">
        <f>IFERROR(VLOOKUP(FO_Capture!C347, Reference_Data!A:D, 4, FALSE), "MISSING SSI")</f>
        <v>HDFC A/C 180445</v>
      </c>
      <c r="F347">
        <f>FO_Capture!D347</f>
        <v>500</v>
      </c>
      <c r="G347">
        <f>FO_Capture!E347</f>
        <v>325.010009765625</v>
      </c>
      <c r="H347">
        <f t="shared" si="10"/>
        <v>162505.0048828125</v>
      </c>
      <c r="I347" t="str">
        <f t="shared" si="11"/>
        <v>Pass - Ready for Confirmation</v>
      </c>
    </row>
    <row r="348" spans="1:9" x14ac:dyDescent="0.3">
      <c r="A348" t="str">
        <f>FO_Capture!A348</f>
        <v>TRD00347</v>
      </c>
      <c r="B348" t="str">
        <f>FO_Capture!B348</f>
        <v>INE006A01036</v>
      </c>
      <c r="C348" t="str">
        <f>IFERROR(VLOOKUP(FO_Capture!C348, Reference_Data!A:D, 2, FALSE), "UNKNOWN")</f>
        <v>Alpha Global 30</v>
      </c>
      <c r="D348" t="str">
        <f>IFERROR(VLOOKUP(FO_Capture!C348, Reference_Data!A:D, 3, FALSE), "XXX")</f>
        <v>JPY</v>
      </c>
      <c r="E348" t="str">
        <f>IFERROR(VLOOKUP(FO_Capture!C348, Reference_Data!A:D, 4, FALSE), "MISSING SSI")</f>
        <v>Deutsche Bank A/C 917262</v>
      </c>
      <c r="F348">
        <f>FO_Capture!D348</f>
        <v>460</v>
      </c>
      <c r="G348">
        <f>FO_Capture!E348</f>
        <v>427.80999755859375</v>
      </c>
      <c r="H348">
        <f t="shared" si="10"/>
        <v>196792.59887695313</v>
      </c>
      <c r="I348" t="str">
        <f t="shared" si="11"/>
        <v>Pass - Ready for Confirmation</v>
      </c>
    </row>
    <row r="349" spans="1:9" x14ac:dyDescent="0.3">
      <c r="A349" t="str">
        <f>FO_Capture!A349</f>
        <v>TRD00348</v>
      </c>
      <c r="B349" t="str">
        <f>FO_Capture!B349</f>
        <v>INE005A0109</v>
      </c>
      <c r="C349" t="str">
        <f>IFERROR(VLOOKUP(FO_Capture!C349, Reference_Data!A:D, 2, FALSE), "UNKNOWN")</f>
        <v>Alpha Partners 1</v>
      </c>
      <c r="D349" t="str">
        <f>IFERROR(VLOOKUP(FO_Capture!C349, Reference_Data!A:D, 3, FALSE), "XXX")</f>
        <v>JPY</v>
      </c>
      <c r="E349" t="str">
        <f>IFERROR(VLOOKUP(FO_Capture!C349, Reference_Data!A:D, 4, FALSE), "MISSING SSI")</f>
        <v>Standard Chartered A/C 277005</v>
      </c>
      <c r="F349">
        <f>FO_Capture!D349</f>
        <v>500</v>
      </c>
      <c r="G349">
        <f>FO_Capture!E349</f>
        <v>70.160003662109375</v>
      </c>
      <c r="H349">
        <f t="shared" si="10"/>
        <v>35080.001831054688</v>
      </c>
      <c r="I349" t="str">
        <f t="shared" si="11"/>
        <v>Pass - Ready for Confirmation</v>
      </c>
    </row>
    <row r="350" spans="1:9" x14ac:dyDescent="0.3">
      <c r="A350" t="str">
        <f>FO_Capture!A350</f>
        <v>TRD00349</v>
      </c>
      <c r="B350" t="str">
        <f>FO_Capture!B350</f>
        <v>INE006A01092</v>
      </c>
      <c r="C350" t="str">
        <f>IFERROR(VLOOKUP(FO_Capture!C350, Reference_Data!A:D, 2, FALSE), "UNKNOWN")</f>
        <v>Alpha Asset Management 8</v>
      </c>
      <c r="D350" t="str">
        <f>IFERROR(VLOOKUP(FO_Capture!C350, Reference_Data!A:D, 3, FALSE), "XXX")</f>
        <v>GBP</v>
      </c>
      <c r="E350" t="str">
        <f>IFERROR(VLOOKUP(FO_Capture!C350, Reference_Data!A:D, 4, FALSE), "MISSING SSI")</f>
        <v>HDFC A/C 180445</v>
      </c>
      <c r="F350">
        <f>FO_Capture!D350</f>
        <v>270</v>
      </c>
      <c r="G350">
        <f>FO_Capture!E350</f>
        <v>67.75</v>
      </c>
      <c r="H350">
        <f t="shared" si="10"/>
        <v>18292.5</v>
      </c>
      <c r="I350" t="str">
        <f t="shared" si="11"/>
        <v>Pass - Ready for Confirmation</v>
      </c>
    </row>
    <row r="351" spans="1:9" x14ac:dyDescent="0.3">
      <c r="A351" t="str">
        <f>FO_Capture!A351</f>
        <v>TRD00350</v>
      </c>
      <c r="B351" t="str">
        <f>FO_Capture!B351</f>
        <v>INE002A01057</v>
      </c>
      <c r="C351" t="str">
        <f>IFERROR(VLOOKUP(FO_Capture!C351, Reference_Data!A:D, 2, FALSE), "UNKNOWN")</f>
        <v>Alpha Capital 9</v>
      </c>
      <c r="D351" t="str">
        <f>IFERROR(VLOOKUP(FO_Capture!C351, Reference_Data!A:D, 3, FALSE), "XXX")</f>
        <v>JPY</v>
      </c>
      <c r="E351" t="str">
        <f>IFERROR(VLOOKUP(FO_Capture!C351, Reference_Data!A:D, 4, FALSE), "MISSING SSI")</f>
        <v>Citi A/C 744145</v>
      </c>
      <c r="F351">
        <f>FO_Capture!D351</f>
        <v>140</v>
      </c>
      <c r="G351">
        <f>FO_Capture!E351</f>
        <v>56.560001373291016</v>
      </c>
      <c r="H351">
        <f t="shared" si="10"/>
        <v>7918.4001922607422</v>
      </c>
      <c r="I351" t="str">
        <f t="shared" si="11"/>
        <v>Pass - Ready for Confirmation</v>
      </c>
    </row>
    <row r="352" spans="1:9" x14ac:dyDescent="0.3">
      <c r="A352" t="str">
        <f>FO_Capture!A352</f>
        <v>TRD00351</v>
      </c>
      <c r="B352" t="str">
        <f>FO_Capture!B352</f>
        <v>INE002A01047</v>
      </c>
      <c r="C352" t="str">
        <f>IFERROR(VLOOKUP(FO_Capture!C352, Reference_Data!A:D, 2, FALSE), "UNKNOWN")</f>
        <v>Alpha Partners 3</v>
      </c>
      <c r="D352" t="str">
        <f>IFERROR(VLOOKUP(FO_Capture!C352, Reference_Data!A:D, 3, FALSE), "XXX")</f>
        <v>USD</v>
      </c>
      <c r="E352" t="str">
        <f>IFERROR(VLOOKUP(FO_Capture!C352, Reference_Data!A:D, 4, FALSE), "MISSING SSI")</f>
        <v>Citi A/C 508769</v>
      </c>
      <c r="F352">
        <f>FO_Capture!D352</f>
        <v>460</v>
      </c>
      <c r="G352">
        <f>FO_Capture!E352</f>
        <v>242.88999938964844</v>
      </c>
      <c r="H352">
        <f t="shared" si="10"/>
        <v>111729.39971923828</v>
      </c>
      <c r="I352" t="str">
        <f t="shared" si="11"/>
        <v>Pass - Ready for Confirmation</v>
      </c>
    </row>
    <row r="353" spans="1:9" x14ac:dyDescent="0.3">
      <c r="A353" t="str">
        <f>FO_Capture!A353</f>
        <v>TRD00352</v>
      </c>
      <c r="B353" t="str">
        <f>FO_Capture!B353</f>
        <v>INE007A01032</v>
      </c>
      <c r="C353" t="str">
        <f>IFERROR(VLOOKUP(FO_Capture!C353, Reference_Data!A:D, 2, FALSE), "UNKNOWN")</f>
        <v>Alpha Asset Management 13</v>
      </c>
      <c r="D353" t="str">
        <f>IFERROR(VLOOKUP(FO_Capture!C353, Reference_Data!A:D, 3, FALSE), "XXX")</f>
        <v>INR</v>
      </c>
      <c r="E353" t="str">
        <f>IFERROR(VLOOKUP(FO_Capture!C353, Reference_Data!A:D, 4, FALSE), "MISSING SSI")</f>
        <v>HSBC A/C 972195</v>
      </c>
      <c r="F353">
        <f>FO_Capture!D353</f>
        <v>300</v>
      </c>
      <c r="G353">
        <f>FO_Capture!E353</f>
        <v>153.33999633789063</v>
      </c>
      <c r="H353">
        <f t="shared" si="10"/>
        <v>46001.998901367188</v>
      </c>
      <c r="I353" t="str">
        <f t="shared" si="11"/>
        <v>Pass - Ready for Confirmation</v>
      </c>
    </row>
    <row r="354" spans="1:9" x14ac:dyDescent="0.3">
      <c r="A354" t="str">
        <f>FO_Capture!A354</f>
        <v>TRD00353</v>
      </c>
      <c r="B354" t="str">
        <f>FO_Capture!B354</f>
        <v>INE002A01062</v>
      </c>
      <c r="C354" t="str">
        <f>IFERROR(VLOOKUP(FO_Capture!C354, Reference_Data!A:D, 2, FALSE), "UNKNOWN")</f>
        <v>Alpha Asset Management 4</v>
      </c>
      <c r="D354" t="str">
        <f>IFERROR(VLOOKUP(FO_Capture!C354, Reference_Data!A:D, 3, FALSE), "XXX")</f>
        <v>JPY</v>
      </c>
      <c r="E354" t="str">
        <f>IFERROR(VLOOKUP(FO_Capture!C354, Reference_Data!A:D, 4, FALSE), "MISSING SSI")</f>
        <v>Deutsche Bank A/C 126543</v>
      </c>
      <c r="F354">
        <f>FO_Capture!D354</f>
        <v>210</v>
      </c>
      <c r="G354">
        <f>FO_Capture!E354</f>
        <v>384.85000610351563</v>
      </c>
      <c r="H354">
        <f t="shared" si="10"/>
        <v>80818.501281738281</v>
      </c>
      <c r="I354" t="str">
        <f t="shared" si="11"/>
        <v>Pass - Ready for Confirmation</v>
      </c>
    </row>
    <row r="355" spans="1:9" x14ac:dyDescent="0.3">
      <c r="A355" t="str">
        <f>FO_Capture!A355</f>
        <v>TRD00354</v>
      </c>
      <c r="B355" t="str">
        <f>FO_Capture!B355</f>
        <v>INE005A01010</v>
      </c>
      <c r="C355" t="str">
        <f>IFERROR(VLOOKUP(FO_Capture!C355, Reference_Data!A:D, 2, FALSE), "UNKNOWN")</f>
        <v>Alpha Quant Fund 12</v>
      </c>
      <c r="D355" t="str">
        <f>IFERROR(VLOOKUP(FO_Capture!C355, Reference_Data!A:D, 3, FALSE), "XXX")</f>
        <v>EUR</v>
      </c>
      <c r="E355" t="str">
        <f>IFERROR(VLOOKUP(FO_Capture!C355, Reference_Data!A:D, 4, FALSE), "MISSING SSI")</f>
        <v>Deutsche Bank A/C 324710</v>
      </c>
      <c r="F355">
        <f>FO_Capture!D355</f>
        <v>470</v>
      </c>
      <c r="G355">
        <f>FO_Capture!E355</f>
        <v>354.64999389648438</v>
      </c>
      <c r="H355">
        <f t="shared" si="10"/>
        <v>166685.49713134766</v>
      </c>
      <c r="I355" t="str">
        <f t="shared" si="11"/>
        <v>Pass - Ready for Confirmation</v>
      </c>
    </row>
    <row r="356" spans="1:9" x14ac:dyDescent="0.3">
      <c r="A356" t="str">
        <f>FO_Capture!A356</f>
        <v>TRD00355</v>
      </c>
      <c r="B356" t="str">
        <f>FO_Capture!B356</f>
        <v>INE006A01028</v>
      </c>
      <c r="C356" t="str">
        <f>IFERROR(VLOOKUP(FO_Capture!C356, Reference_Data!A:D, 2, FALSE), "UNKNOWN")</f>
        <v>Alpha Investments 15</v>
      </c>
      <c r="D356" t="str">
        <f>IFERROR(VLOOKUP(FO_Capture!C356, Reference_Data!A:D, 3, FALSE), "XXX")</f>
        <v>INR</v>
      </c>
      <c r="E356" t="str">
        <f>IFERROR(VLOOKUP(FO_Capture!C356, Reference_Data!A:D, 4, FALSE), "MISSING SSI")</f>
        <v>Deutsche Bank A/C 330518</v>
      </c>
      <c r="F356">
        <f>FO_Capture!D356</f>
        <v>340</v>
      </c>
      <c r="G356">
        <f>FO_Capture!E356</f>
        <v>50.279998779296875</v>
      </c>
      <c r="H356">
        <f t="shared" si="10"/>
        <v>17095.199584960938</v>
      </c>
      <c r="I356" t="str">
        <f t="shared" si="11"/>
        <v>Pass - Ready for Confirmation</v>
      </c>
    </row>
    <row r="357" spans="1:9" x14ac:dyDescent="0.3">
      <c r="A357" t="str">
        <f>FO_Capture!A357</f>
        <v>TRD00356</v>
      </c>
      <c r="B357" t="str">
        <f>FO_Capture!B357</f>
        <v>INE002A01092</v>
      </c>
      <c r="C357" t="str">
        <f>IFERROR(VLOOKUP(FO_Capture!C357, Reference_Data!A:D, 2, FALSE), "UNKNOWN")</f>
        <v>Alpha Asset Management 13</v>
      </c>
      <c r="D357" t="str">
        <f>IFERROR(VLOOKUP(FO_Capture!C357, Reference_Data!A:D, 3, FALSE), "XXX")</f>
        <v>INR</v>
      </c>
      <c r="E357" t="str">
        <f>IFERROR(VLOOKUP(FO_Capture!C357, Reference_Data!A:D, 4, FALSE), "MISSING SSI")</f>
        <v>HSBC A/C 972195</v>
      </c>
      <c r="F357">
        <f>FO_Capture!D357</f>
        <v>290</v>
      </c>
      <c r="G357">
        <f>FO_Capture!E357</f>
        <v>279.6199951171875</v>
      </c>
      <c r="H357">
        <f t="shared" si="10"/>
        <v>81089.798583984375</v>
      </c>
      <c r="I357" t="str">
        <f t="shared" si="11"/>
        <v>Pass - Ready for Confirmation</v>
      </c>
    </row>
    <row r="358" spans="1:9" x14ac:dyDescent="0.3">
      <c r="A358" t="str">
        <f>FO_Capture!A358</f>
        <v>TRD00357</v>
      </c>
      <c r="B358" t="str">
        <f>FO_Capture!B358</f>
        <v>INE008A01058</v>
      </c>
      <c r="C358" t="str">
        <f>IFERROR(VLOOKUP(FO_Capture!C358, Reference_Data!A:D, 2, FALSE), "UNKNOWN")</f>
        <v>Alpha Holdings 49</v>
      </c>
      <c r="D358" t="str">
        <f>IFERROR(VLOOKUP(FO_Capture!C358, Reference_Data!A:D, 3, FALSE), "XXX")</f>
        <v>JPY</v>
      </c>
      <c r="E358" t="str">
        <f>IFERROR(VLOOKUP(FO_Capture!C358, Reference_Data!A:D, 4, FALSE), "MISSING SSI")</f>
        <v>HDFC A/C 679335</v>
      </c>
      <c r="F358">
        <f>FO_Capture!D358</f>
        <v>280</v>
      </c>
      <c r="G358">
        <f>FO_Capture!E358</f>
        <v>420.82000732421875</v>
      </c>
      <c r="H358">
        <f t="shared" si="10"/>
        <v>117829.60205078125</v>
      </c>
      <c r="I358" t="str">
        <f t="shared" si="11"/>
        <v>Pass - Ready for Confirmation</v>
      </c>
    </row>
    <row r="359" spans="1:9" x14ac:dyDescent="0.3">
      <c r="A359" t="str">
        <f>FO_Capture!A359</f>
        <v>TRD00358</v>
      </c>
      <c r="B359" t="str">
        <f>FO_Capture!B359</f>
        <v>INE007A0107</v>
      </c>
      <c r="C359" t="str">
        <f>IFERROR(VLOOKUP(FO_Capture!C359, Reference_Data!A:D, 2, FALSE), "UNKNOWN")</f>
        <v>Alpha Capital 38</v>
      </c>
      <c r="D359" t="str">
        <f>IFERROR(VLOOKUP(FO_Capture!C359, Reference_Data!A:D, 3, FALSE), "XXX")</f>
        <v>SGD</v>
      </c>
      <c r="E359" t="str">
        <f>IFERROR(VLOOKUP(FO_Capture!C359, Reference_Data!A:D, 4, FALSE), "MISSING SSI")</f>
        <v>Deutsche Bank A/C 153521</v>
      </c>
      <c r="F359">
        <f>FO_Capture!D359</f>
        <v>500</v>
      </c>
      <c r="G359">
        <f>FO_Capture!E359</f>
        <v>172.38999938964844</v>
      </c>
      <c r="H359">
        <f t="shared" si="10"/>
        <v>86194.999694824219</v>
      </c>
      <c r="I359" t="str">
        <f t="shared" si="11"/>
        <v>Pass - Ready for Confirmation</v>
      </c>
    </row>
    <row r="360" spans="1:9" x14ac:dyDescent="0.3">
      <c r="A360" t="str">
        <f>FO_Capture!A360</f>
        <v>TRD00359</v>
      </c>
      <c r="B360" t="str">
        <f>FO_Capture!B360</f>
        <v>INE003A01093</v>
      </c>
      <c r="C360" t="str">
        <f>IFERROR(VLOOKUP(FO_Capture!C360, Reference_Data!A:D, 2, FALSE), "UNKNOWN")</f>
        <v>Alpha Capital 36</v>
      </c>
      <c r="D360" t="str">
        <f>IFERROR(VLOOKUP(FO_Capture!C360, Reference_Data!A:D, 3, FALSE), "XXX")</f>
        <v>JPY</v>
      </c>
      <c r="E360" t="str">
        <f>IFERROR(VLOOKUP(FO_Capture!C360, Reference_Data!A:D, 4, FALSE), "MISSING SSI")</f>
        <v>Citi A/C 359789</v>
      </c>
      <c r="F360">
        <f>FO_Capture!D360</f>
        <v>110</v>
      </c>
      <c r="G360">
        <f>FO_Capture!E360</f>
        <v>303.1099853515625</v>
      </c>
      <c r="H360">
        <f t="shared" si="10"/>
        <v>33342.098388671875</v>
      </c>
      <c r="I360" t="str">
        <f t="shared" si="11"/>
        <v>Pass - Ready for Confirmation</v>
      </c>
    </row>
    <row r="361" spans="1:9" x14ac:dyDescent="0.3">
      <c r="A361" t="str">
        <f>FO_Capture!A361</f>
        <v>TRD00360</v>
      </c>
      <c r="B361" t="str">
        <f>FO_Capture!B361</f>
        <v>INE003A0104</v>
      </c>
      <c r="C361" t="str">
        <f>IFERROR(VLOOKUP(FO_Capture!C361, Reference_Data!A:D, 2, FALSE), "UNKNOWN")</f>
        <v>Alpha Holdings 21</v>
      </c>
      <c r="D361" t="str">
        <f>IFERROR(VLOOKUP(FO_Capture!C361, Reference_Data!A:D, 3, FALSE), "XXX")</f>
        <v>SGD</v>
      </c>
      <c r="E361" t="str">
        <f>IFERROR(VLOOKUP(FO_Capture!C361, Reference_Data!A:D, 4, FALSE), "MISSING SSI")</f>
        <v>HSBC A/C 562956</v>
      </c>
      <c r="F361">
        <f>FO_Capture!D361</f>
        <v>490</v>
      </c>
      <c r="G361">
        <f>FO_Capture!E361</f>
        <v>402.10000610351563</v>
      </c>
      <c r="H361">
        <f t="shared" si="10"/>
        <v>197029.00299072266</v>
      </c>
      <c r="I361" t="str">
        <f t="shared" si="11"/>
        <v>Pass - Ready for Confirmation</v>
      </c>
    </row>
    <row r="362" spans="1:9" x14ac:dyDescent="0.3">
      <c r="A362" t="str">
        <f>FO_Capture!A362</f>
        <v>TRD00361</v>
      </c>
      <c r="B362" t="str">
        <f>FO_Capture!B362</f>
        <v>INE007A01097</v>
      </c>
      <c r="C362" t="str">
        <f>IFERROR(VLOOKUP(FO_Capture!C362, Reference_Data!A:D, 2, FALSE), "UNKNOWN")</f>
        <v>Alpha Global 14</v>
      </c>
      <c r="D362" t="str">
        <f>IFERROR(VLOOKUP(FO_Capture!C362, Reference_Data!A:D, 3, FALSE), "XXX")</f>
        <v>USD</v>
      </c>
      <c r="E362" t="str">
        <f>IFERROR(VLOOKUP(FO_Capture!C362, Reference_Data!A:D, 4, FALSE), "MISSING SSI")</f>
        <v>HSBC A/C 864249</v>
      </c>
      <c r="F362">
        <f>FO_Capture!D362</f>
        <v>10</v>
      </c>
      <c r="G362">
        <f>FO_Capture!E362</f>
        <v>128.78999328613281</v>
      </c>
      <c r="H362">
        <f t="shared" si="10"/>
        <v>1287.8999328613281</v>
      </c>
      <c r="I362" t="str">
        <f t="shared" si="11"/>
        <v>Pass - Ready for Confirmation</v>
      </c>
    </row>
    <row r="363" spans="1:9" x14ac:dyDescent="0.3">
      <c r="A363" t="str">
        <f>FO_Capture!A363</f>
        <v>TRD00362</v>
      </c>
      <c r="B363" t="str">
        <f>FO_Capture!B363</f>
        <v>INE002A01062</v>
      </c>
      <c r="C363" t="str">
        <f>IFERROR(VLOOKUP(FO_Capture!C363, Reference_Data!A:D, 2, FALSE), "UNKNOWN")</f>
        <v>Alpha Capital 7</v>
      </c>
      <c r="D363" t="str">
        <f>IFERROR(VLOOKUP(FO_Capture!C363, Reference_Data!A:D, 3, FALSE), "XXX")</f>
        <v>INR</v>
      </c>
      <c r="E363" t="str">
        <f>IFERROR(VLOOKUP(FO_Capture!C363, Reference_Data!A:D, 4, FALSE), "MISSING SSI")</f>
        <v>Standard Chartered A/C 682134</v>
      </c>
      <c r="F363">
        <f>FO_Capture!D363</f>
        <v>250</v>
      </c>
      <c r="G363">
        <f>FO_Capture!E363</f>
        <v>462.89999389648438</v>
      </c>
      <c r="H363">
        <f t="shared" si="10"/>
        <v>115724.99847412109</v>
      </c>
      <c r="I363" t="str">
        <f t="shared" si="11"/>
        <v>Pass - Ready for Confirmation</v>
      </c>
    </row>
    <row r="364" spans="1:9" x14ac:dyDescent="0.3">
      <c r="A364" t="str">
        <f>FO_Capture!A364</f>
        <v>TRD00363</v>
      </c>
      <c r="B364" t="str">
        <f>FO_Capture!B364</f>
        <v>INE003A01060</v>
      </c>
      <c r="C364" t="str">
        <f>IFERROR(VLOOKUP(FO_Capture!C364, Reference_Data!A:D, 2, FALSE), "UNKNOWN")</f>
        <v>Alpha Capital 36</v>
      </c>
      <c r="D364" t="str">
        <f>IFERROR(VLOOKUP(FO_Capture!C364, Reference_Data!A:D, 3, FALSE), "XXX")</f>
        <v>JPY</v>
      </c>
      <c r="E364" t="str">
        <f>IFERROR(VLOOKUP(FO_Capture!C364, Reference_Data!A:D, 4, FALSE), "MISSING SSI")</f>
        <v>Citi A/C 359789</v>
      </c>
      <c r="F364">
        <f>FO_Capture!D364</f>
        <v>290</v>
      </c>
      <c r="G364">
        <f>FO_Capture!E364</f>
        <v>454.5</v>
      </c>
      <c r="H364">
        <f t="shared" si="10"/>
        <v>131805</v>
      </c>
      <c r="I364" t="str">
        <f t="shared" si="11"/>
        <v>Pass - Ready for Confirmation</v>
      </c>
    </row>
    <row r="365" spans="1:9" x14ac:dyDescent="0.3">
      <c r="A365" t="str">
        <f>FO_Capture!A365</f>
        <v>TRD00364</v>
      </c>
      <c r="B365" t="str">
        <f>FO_Capture!B365</f>
        <v>INE002A01083</v>
      </c>
      <c r="C365" t="str">
        <f>IFERROR(VLOOKUP(FO_Capture!C365, Reference_Data!A:D, 2, FALSE), "UNKNOWN")</f>
        <v>Alpha Capital 7</v>
      </c>
      <c r="D365" t="str">
        <f>IFERROR(VLOOKUP(FO_Capture!C365, Reference_Data!A:D, 3, FALSE), "XXX")</f>
        <v>INR</v>
      </c>
      <c r="E365" t="str">
        <f>IFERROR(VLOOKUP(FO_Capture!C365, Reference_Data!A:D, 4, FALSE), "MISSING SSI")</f>
        <v>Standard Chartered A/C 682134</v>
      </c>
      <c r="F365">
        <f>FO_Capture!D365</f>
        <v>420</v>
      </c>
      <c r="G365">
        <f>FO_Capture!E365</f>
        <v>473.92999267578125</v>
      </c>
      <c r="H365">
        <f t="shared" si="10"/>
        <v>199050.59692382813</v>
      </c>
      <c r="I365" t="str">
        <f t="shared" si="11"/>
        <v>Pass - Ready for Confirmation</v>
      </c>
    </row>
    <row r="366" spans="1:9" x14ac:dyDescent="0.3">
      <c r="A366" t="str">
        <f>FO_Capture!A366</f>
        <v>TRD00365</v>
      </c>
      <c r="B366" t="str">
        <f>FO_Capture!B366</f>
        <v>INE002A01096</v>
      </c>
      <c r="C366" t="str">
        <f>IFERROR(VLOOKUP(FO_Capture!C366, Reference_Data!A:D, 2, FALSE), "UNKNOWN")</f>
        <v>Alpha Partners 18</v>
      </c>
      <c r="D366" t="str">
        <f>IFERROR(VLOOKUP(FO_Capture!C366, Reference_Data!A:D, 3, FALSE), "XXX")</f>
        <v>INR</v>
      </c>
      <c r="E366" t="str">
        <f>IFERROR(VLOOKUP(FO_Capture!C366, Reference_Data!A:D, 4, FALSE), "MISSING SSI")</f>
        <v>JPMorgan A/C 704166</v>
      </c>
      <c r="F366">
        <f>FO_Capture!D366</f>
        <v>400</v>
      </c>
      <c r="G366">
        <f>FO_Capture!E366</f>
        <v>461.8800048828125</v>
      </c>
      <c r="H366">
        <f t="shared" si="10"/>
        <v>184752.001953125</v>
      </c>
      <c r="I366" t="str">
        <f t="shared" si="11"/>
        <v>Pass - Ready for Confirmation</v>
      </c>
    </row>
    <row r="367" spans="1:9" x14ac:dyDescent="0.3">
      <c r="A367" t="str">
        <f>FO_Capture!A367</f>
        <v>TRD00366</v>
      </c>
      <c r="B367" t="str">
        <f>FO_Capture!B367</f>
        <v>INE002A01093</v>
      </c>
      <c r="C367" t="str">
        <f>IFERROR(VLOOKUP(FO_Capture!C367, Reference_Data!A:D, 2, FALSE), "UNKNOWN")</f>
        <v>Alpha Investments 40</v>
      </c>
      <c r="D367" t="str">
        <f>IFERROR(VLOOKUP(FO_Capture!C367, Reference_Data!A:D, 3, FALSE), "XXX")</f>
        <v>GBP</v>
      </c>
      <c r="E367" t="str">
        <f>IFERROR(VLOOKUP(FO_Capture!C367, Reference_Data!A:D, 4, FALSE), "MISSING SSI")</f>
        <v>HDFC A/C 897530</v>
      </c>
      <c r="F367">
        <f>FO_Capture!D367</f>
        <v>240</v>
      </c>
      <c r="G367">
        <f>FO_Capture!E367</f>
        <v>179.32000732421875</v>
      </c>
      <c r="H367">
        <f t="shared" si="10"/>
        <v>43036.8017578125</v>
      </c>
      <c r="I367" t="str">
        <f t="shared" si="11"/>
        <v>Pass - Ready for Confirmation</v>
      </c>
    </row>
    <row r="368" spans="1:9" x14ac:dyDescent="0.3">
      <c r="A368" t="str">
        <f>FO_Capture!A368</f>
        <v>TRD00367</v>
      </c>
      <c r="B368" t="str">
        <f>FO_Capture!B368</f>
        <v>INE009A01044</v>
      </c>
      <c r="C368" t="str">
        <f>IFERROR(VLOOKUP(FO_Capture!C368, Reference_Data!A:D, 2, FALSE), "UNKNOWN")</f>
        <v>Alpha Partners 37</v>
      </c>
      <c r="D368" t="str">
        <f>IFERROR(VLOOKUP(FO_Capture!C368, Reference_Data!A:D, 3, FALSE), "XXX")</f>
        <v>JPY</v>
      </c>
      <c r="E368" t="str">
        <f>IFERROR(VLOOKUP(FO_Capture!C368, Reference_Data!A:D, 4, FALSE), "MISSING SSI")</f>
        <v>HSBC A/C 994063</v>
      </c>
      <c r="F368">
        <f>FO_Capture!D368</f>
        <v>400</v>
      </c>
      <c r="G368">
        <f>FO_Capture!E368</f>
        <v>457.57000732421875</v>
      </c>
      <c r="H368">
        <f t="shared" si="10"/>
        <v>183028.0029296875</v>
      </c>
      <c r="I368" t="str">
        <f t="shared" si="11"/>
        <v>Pass - Ready for Confirmation</v>
      </c>
    </row>
    <row r="369" spans="1:9" x14ac:dyDescent="0.3">
      <c r="A369" t="str">
        <f>FO_Capture!A369</f>
        <v>TRD00368</v>
      </c>
      <c r="B369" t="str">
        <f>FO_Capture!B369</f>
        <v>INE003A01045</v>
      </c>
      <c r="C369" t="str">
        <f>IFERROR(VLOOKUP(FO_Capture!C369, Reference_Data!A:D, 2, FALSE), "UNKNOWN")</f>
        <v>Alpha Holdings 41</v>
      </c>
      <c r="D369" t="str">
        <f>IFERROR(VLOOKUP(FO_Capture!C369, Reference_Data!A:D, 3, FALSE), "XXX")</f>
        <v>JPY</v>
      </c>
      <c r="E369" t="str">
        <f>IFERROR(VLOOKUP(FO_Capture!C369, Reference_Data!A:D, 4, FALSE), "MISSING SSI")</f>
        <v>HSBC A/C 468615</v>
      </c>
      <c r="F369">
        <f>FO_Capture!D369</f>
        <v>90</v>
      </c>
      <c r="G369">
        <f>FO_Capture!E369</f>
        <v>448.22000122070313</v>
      </c>
      <c r="H369">
        <f t="shared" si="10"/>
        <v>40339.800109863281</v>
      </c>
      <c r="I369" t="str">
        <f t="shared" si="11"/>
        <v>Pass - Ready for Confirmation</v>
      </c>
    </row>
    <row r="370" spans="1:9" x14ac:dyDescent="0.3">
      <c r="A370" t="str">
        <f>FO_Capture!A370</f>
        <v>TRD00369</v>
      </c>
      <c r="B370" t="str">
        <f>FO_Capture!B370</f>
        <v>INE005A01069</v>
      </c>
      <c r="C370" t="str">
        <f>IFERROR(VLOOKUP(FO_Capture!C370, Reference_Data!A:D, 2, FALSE), "UNKNOWN")</f>
        <v>Alpha Asset Management 32</v>
      </c>
      <c r="D370" t="str">
        <f>IFERROR(VLOOKUP(FO_Capture!C370, Reference_Data!A:D, 3, FALSE), "XXX")</f>
        <v>INR</v>
      </c>
      <c r="E370" t="str">
        <f>IFERROR(VLOOKUP(FO_Capture!C370, Reference_Data!A:D, 4, FALSE), "MISSING SSI")</f>
        <v>Barclays A/C 302646</v>
      </c>
      <c r="F370">
        <f>FO_Capture!D370</f>
        <v>480</v>
      </c>
      <c r="G370">
        <f>FO_Capture!E370</f>
        <v>373.20999145507813</v>
      </c>
      <c r="H370">
        <f t="shared" si="10"/>
        <v>179140.7958984375</v>
      </c>
      <c r="I370" t="str">
        <f t="shared" si="11"/>
        <v>Pass - Ready for Confirmation</v>
      </c>
    </row>
    <row r="371" spans="1:9" x14ac:dyDescent="0.3">
      <c r="A371" t="str">
        <f>FO_Capture!A371</f>
        <v>TRD00370</v>
      </c>
      <c r="B371" t="str">
        <f>FO_Capture!B371</f>
        <v>INE008A01016</v>
      </c>
      <c r="C371" t="str">
        <f>IFERROR(VLOOKUP(FO_Capture!C371, Reference_Data!A:D, 2, FALSE), "UNKNOWN")</f>
        <v>Alpha Capital 7</v>
      </c>
      <c r="D371" t="str">
        <f>IFERROR(VLOOKUP(FO_Capture!C371, Reference_Data!A:D, 3, FALSE), "XXX")</f>
        <v>INR</v>
      </c>
      <c r="E371" t="str">
        <f>IFERROR(VLOOKUP(FO_Capture!C371, Reference_Data!A:D, 4, FALSE), "MISSING SSI")</f>
        <v>Standard Chartered A/C 682134</v>
      </c>
      <c r="F371">
        <f>FO_Capture!D371</f>
        <v>470</v>
      </c>
      <c r="G371">
        <f>FO_Capture!E371</f>
        <v>274.76998901367188</v>
      </c>
      <c r="H371">
        <f t="shared" si="10"/>
        <v>129141.89483642578</v>
      </c>
      <c r="I371" t="str">
        <f t="shared" si="11"/>
        <v>Pass - Ready for Confirmation</v>
      </c>
    </row>
    <row r="372" spans="1:9" x14ac:dyDescent="0.3">
      <c r="A372" t="str">
        <f>FO_Capture!A372</f>
        <v>TRD00371</v>
      </c>
      <c r="B372" t="str">
        <f>FO_Capture!B372</f>
        <v>INE007A01060</v>
      </c>
      <c r="C372" t="str">
        <f>IFERROR(VLOOKUP(FO_Capture!C372, Reference_Data!A:D, 2, FALSE), "UNKNOWN")</f>
        <v>Alpha Capital 7</v>
      </c>
      <c r="D372" t="str">
        <f>IFERROR(VLOOKUP(FO_Capture!C372, Reference_Data!A:D, 3, FALSE), "XXX")</f>
        <v>INR</v>
      </c>
      <c r="E372" t="str">
        <f>IFERROR(VLOOKUP(FO_Capture!C372, Reference_Data!A:D, 4, FALSE), "MISSING SSI")</f>
        <v>Standard Chartered A/C 682134</v>
      </c>
      <c r="F372">
        <f>FO_Capture!D372</f>
        <v>450</v>
      </c>
      <c r="G372">
        <f>FO_Capture!E372</f>
        <v>265.45001220703125</v>
      </c>
      <c r="H372">
        <f t="shared" si="10"/>
        <v>119452.50549316406</v>
      </c>
      <c r="I372" t="str">
        <f t="shared" si="11"/>
        <v>Pass - Ready for Confirmation</v>
      </c>
    </row>
    <row r="373" spans="1:9" x14ac:dyDescent="0.3">
      <c r="A373" t="str">
        <f>FO_Capture!A373</f>
        <v>TRD00372</v>
      </c>
      <c r="B373" t="str">
        <f>FO_Capture!B373</f>
        <v>INE007A0106</v>
      </c>
      <c r="C373" t="str">
        <f>IFERROR(VLOOKUP(FO_Capture!C373, Reference_Data!A:D, 2, FALSE), "UNKNOWN")</f>
        <v>Alpha Global 45</v>
      </c>
      <c r="D373" t="str">
        <f>IFERROR(VLOOKUP(FO_Capture!C373, Reference_Data!A:D, 3, FALSE), "XXX")</f>
        <v>EUR</v>
      </c>
      <c r="E373" t="str">
        <f>IFERROR(VLOOKUP(FO_Capture!C373, Reference_Data!A:D, 4, FALSE), "MISSING SSI")</f>
        <v>HSBC A/C 540659</v>
      </c>
      <c r="F373">
        <f>FO_Capture!D373</f>
        <v>10</v>
      </c>
      <c r="G373">
        <f>FO_Capture!E373</f>
        <v>278.1099853515625</v>
      </c>
      <c r="H373">
        <f t="shared" si="10"/>
        <v>2781.099853515625</v>
      </c>
      <c r="I373" t="str">
        <f t="shared" si="11"/>
        <v>Pass - Ready for Confirmation</v>
      </c>
    </row>
    <row r="374" spans="1:9" x14ac:dyDescent="0.3">
      <c r="A374" t="str">
        <f>FO_Capture!A374</f>
        <v>TRD00373</v>
      </c>
      <c r="B374" t="str">
        <f>FO_Capture!B374</f>
        <v>INE008A01032</v>
      </c>
      <c r="C374" t="str">
        <f>IFERROR(VLOOKUP(FO_Capture!C374, Reference_Data!A:D, 2, FALSE), "UNKNOWN")</f>
        <v>Alpha Partners 26</v>
      </c>
      <c r="D374" t="str">
        <f>IFERROR(VLOOKUP(FO_Capture!C374, Reference_Data!A:D, 3, FALSE), "XXX")</f>
        <v>USD</v>
      </c>
      <c r="E374" t="str">
        <f>IFERROR(VLOOKUP(FO_Capture!C374, Reference_Data!A:D, 4, FALSE), "MISSING SSI")</f>
        <v>HSBC A/C 867781</v>
      </c>
      <c r="F374">
        <f>FO_Capture!D374</f>
        <v>250</v>
      </c>
      <c r="G374">
        <f>FO_Capture!E374</f>
        <v>315.92001342773438</v>
      </c>
      <c r="H374">
        <f t="shared" si="10"/>
        <v>78980.003356933594</v>
      </c>
      <c r="I374" t="str">
        <f t="shared" si="11"/>
        <v>Pass - Ready for Confirmation</v>
      </c>
    </row>
    <row r="375" spans="1:9" x14ac:dyDescent="0.3">
      <c r="A375" t="str">
        <f>FO_Capture!A375</f>
        <v>TRD00374</v>
      </c>
      <c r="B375" t="str">
        <f>FO_Capture!B375</f>
        <v>INE006A01044</v>
      </c>
      <c r="C375" t="str">
        <f>IFERROR(VLOOKUP(FO_Capture!C375, Reference_Data!A:D, 2, FALSE), "UNKNOWN")</f>
        <v>Alpha Quant Fund 27</v>
      </c>
      <c r="D375" t="str">
        <f>IFERROR(VLOOKUP(FO_Capture!C375, Reference_Data!A:D, 3, FALSE), "XXX")</f>
        <v>EUR</v>
      </c>
      <c r="E375" t="str">
        <f>IFERROR(VLOOKUP(FO_Capture!C375, Reference_Data!A:D, 4, FALSE), "MISSING SSI")</f>
        <v>Standard Chartered A/C 331839</v>
      </c>
      <c r="F375">
        <f>FO_Capture!D375</f>
        <v>460</v>
      </c>
      <c r="G375">
        <f>FO_Capture!E375</f>
        <v>202.3699951171875</v>
      </c>
      <c r="H375">
        <f t="shared" si="10"/>
        <v>93090.19775390625</v>
      </c>
      <c r="I375" t="str">
        <f t="shared" si="11"/>
        <v>Pass - Ready for Confirmation</v>
      </c>
    </row>
    <row r="376" spans="1:9" x14ac:dyDescent="0.3">
      <c r="A376" t="str">
        <f>FO_Capture!A376</f>
        <v>TRD00375</v>
      </c>
      <c r="B376" t="str">
        <f>FO_Capture!B376</f>
        <v>INE006A01024</v>
      </c>
      <c r="C376" t="str">
        <f>IFERROR(VLOOKUP(FO_Capture!C376, Reference_Data!A:D, 2, FALSE), "UNKNOWN")</f>
        <v>Alpha Partners 18</v>
      </c>
      <c r="D376" t="str">
        <f>IFERROR(VLOOKUP(FO_Capture!C376, Reference_Data!A:D, 3, FALSE), "XXX")</f>
        <v>INR</v>
      </c>
      <c r="E376" t="str">
        <f>IFERROR(VLOOKUP(FO_Capture!C376, Reference_Data!A:D, 4, FALSE), "MISSING SSI")</f>
        <v>JPMorgan A/C 704166</v>
      </c>
      <c r="F376">
        <f>FO_Capture!D376</f>
        <v>-50</v>
      </c>
      <c r="G376">
        <f>FO_Capture!E376</f>
        <v>277.07000732421875</v>
      </c>
      <c r="H376">
        <f t="shared" si="10"/>
        <v>-13853.500366210938</v>
      </c>
      <c r="I376" t="str">
        <f t="shared" si="11"/>
        <v>Fail - Invalid Price/Qty</v>
      </c>
    </row>
    <row r="377" spans="1:9" x14ac:dyDescent="0.3">
      <c r="A377" t="str">
        <f>FO_Capture!A377</f>
        <v>TRD00376</v>
      </c>
      <c r="B377" t="str">
        <f>FO_Capture!B377</f>
        <v>INE008A01063</v>
      </c>
      <c r="C377" t="str">
        <f>IFERROR(VLOOKUP(FO_Capture!C377, Reference_Data!A:D, 2, FALSE), "UNKNOWN")</f>
        <v>Alpha Partners 42</v>
      </c>
      <c r="D377" t="str">
        <f>IFERROR(VLOOKUP(FO_Capture!C377, Reference_Data!A:D, 3, FALSE), "XXX")</f>
        <v>USD</v>
      </c>
      <c r="E377" t="str">
        <f>IFERROR(VLOOKUP(FO_Capture!C377, Reference_Data!A:D, 4, FALSE), "MISSING SSI")</f>
        <v>Citi A/C 416082</v>
      </c>
      <c r="F377">
        <f>FO_Capture!D377</f>
        <v>90</v>
      </c>
      <c r="G377">
        <f>FO_Capture!E377</f>
        <v>233.1199951171875</v>
      </c>
      <c r="H377">
        <f t="shared" si="10"/>
        <v>20980.799560546875</v>
      </c>
      <c r="I377" t="str">
        <f t="shared" si="11"/>
        <v>Pass - Ready for Confirmation</v>
      </c>
    </row>
    <row r="378" spans="1:9" x14ac:dyDescent="0.3">
      <c r="A378" t="str">
        <f>FO_Capture!A378</f>
        <v>TRD00377</v>
      </c>
      <c r="B378" t="str">
        <f>FO_Capture!B378</f>
        <v>INE004A01080</v>
      </c>
      <c r="C378" t="str">
        <f>IFERROR(VLOOKUP(FO_Capture!C378, Reference_Data!A:D, 2, FALSE), "UNKNOWN")</f>
        <v>Alpha Partners 1</v>
      </c>
      <c r="D378" t="str">
        <f>IFERROR(VLOOKUP(FO_Capture!C378, Reference_Data!A:D, 3, FALSE), "XXX")</f>
        <v>JPY</v>
      </c>
      <c r="E378" t="str">
        <f>IFERROR(VLOOKUP(FO_Capture!C378, Reference_Data!A:D, 4, FALSE), "MISSING SSI")</f>
        <v>Standard Chartered A/C 277005</v>
      </c>
      <c r="F378">
        <f>FO_Capture!D378</f>
        <v>20</v>
      </c>
      <c r="G378">
        <f>FO_Capture!E378</f>
        <v>373.94000244140625</v>
      </c>
      <c r="H378">
        <f t="shared" si="10"/>
        <v>7478.800048828125</v>
      </c>
      <c r="I378" t="str">
        <f t="shared" si="11"/>
        <v>Pass - Ready for Confirmation</v>
      </c>
    </row>
    <row r="379" spans="1:9" x14ac:dyDescent="0.3">
      <c r="A379" t="str">
        <f>FO_Capture!A379</f>
        <v>TRD00378</v>
      </c>
      <c r="B379" t="str">
        <f>FO_Capture!B379</f>
        <v>INE005A01046</v>
      </c>
      <c r="C379" t="str">
        <f>IFERROR(VLOOKUP(FO_Capture!C379, Reference_Data!A:D, 2, FALSE), "UNKNOWN")</f>
        <v>Alpha Partners 48</v>
      </c>
      <c r="D379" t="str">
        <f>IFERROR(VLOOKUP(FO_Capture!C379, Reference_Data!A:D, 3, FALSE), "XXX")</f>
        <v>SGD</v>
      </c>
      <c r="E379" t="str">
        <f>IFERROR(VLOOKUP(FO_Capture!C379, Reference_Data!A:D, 4, FALSE), "MISSING SSI")</f>
        <v>JPMorgan A/C 391364</v>
      </c>
      <c r="F379">
        <f>FO_Capture!D379</f>
        <v>430</v>
      </c>
      <c r="G379">
        <f>FO_Capture!E379</f>
        <v>44.479999542236328</v>
      </c>
      <c r="H379">
        <f t="shared" si="10"/>
        <v>19126.399803161621</v>
      </c>
      <c r="I379" t="str">
        <f t="shared" si="11"/>
        <v>Pass - Ready for Confirmation</v>
      </c>
    </row>
    <row r="380" spans="1:9" x14ac:dyDescent="0.3">
      <c r="A380" t="str">
        <f>FO_Capture!A380</f>
        <v>TRD00379</v>
      </c>
      <c r="B380" t="str">
        <f>FO_Capture!B380</f>
        <v>INE005A01080</v>
      </c>
      <c r="C380" t="str">
        <f>IFERROR(VLOOKUP(FO_Capture!C380, Reference_Data!A:D, 2, FALSE), "UNKNOWN")</f>
        <v>Alpha Quant Fund 27</v>
      </c>
      <c r="D380" t="str">
        <f>IFERROR(VLOOKUP(FO_Capture!C380, Reference_Data!A:D, 3, FALSE), "XXX")</f>
        <v>EUR</v>
      </c>
      <c r="E380" t="str">
        <f>IFERROR(VLOOKUP(FO_Capture!C380, Reference_Data!A:D, 4, FALSE), "MISSING SSI")</f>
        <v>Standard Chartered A/C 331839</v>
      </c>
      <c r="F380">
        <f>FO_Capture!D380</f>
        <v>130</v>
      </c>
      <c r="G380">
        <f>FO_Capture!E380</f>
        <v>97.550003051757813</v>
      </c>
      <c r="H380">
        <f t="shared" si="10"/>
        <v>12681.500396728516</v>
      </c>
      <c r="I380" t="str">
        <f t="shared" si="11"/>
        <v>Pass - Ready for Confirmation</v>
      </c>
    </row>
    <row r="381" spans="1:9" x14ac:dyDescent="0.3">
      <c r="A381" t="str">
        <f>FO_Capture!A381</f>
        <v>TRD00380</v>
      </c>
      <c r="B381" t="str">
        <f>FO_Capture!B381</f>
        <v>INE008A01019</v>
      </c>
      <c r="C381" t="str">
        <f>IFERROR(VLOOKUP(FO_Capture!C381, Reference_Data!A:D, 2, FALSE), "UNKNOWN")</f>
        <v>Alpha Capital 44</v>
      </c>
      <c r="D381" t="str">
        <f>IFERROR(VLOOKUP(FO_Capture!C381, Reference_Data!A:D, 3, FALSE), "XXX")</f>
        <v>INR</v>
      </c>
      <c r="E381" t="str">
        <f>IFERROR(VLOOKUP(FO_Capture!C381, Reference_Data!A:D, 4, FALSE), "MISSING SSI")</f>
        <v>Deutsche Bank A/C 428758</v>
      </c>
      <c r="F381">
        <f>FO_Capture!D381</f>
        <v>320</v>
      </c>
      <c r="G381">
        <f>FO_Capture!E381</f>
        <v>143.72000122070313</v>
      </c>
      <c r="H381">
        <f t="shared" si="10"/>
        <v>45990.400390625</v>
      </c>
      <c r="I381" t="str">
        <f t="shared" si="11"/>
        <v>Pass - Ready for Confirmation</v>
      </c>
    </row>
    <row r="382" spans="1:9" x14ac:dyDescent="0.3">
      <c r="A382" t="str">
        <f>FO_Capture!A382</f>
        <v>TRD00381</v>
      </c>
      <c r="B382" t="str">
        <f>FO_Capture!B382</f>
        <v>INE004A01060</v>
      </c>
      <c r="C382" t="str">
        <f>IFERROR(VLOOKUP(FO_Capture!C382, Reference_Data!A:D, 2, FALSE), "UNKNOWN")</f>
        <v>Alpha Global 46</v>
      </c>
      <c r="D382" t="str">
        <f>IFERROR(VLOOKUP(FO_Capture!C382, Reference_Data!A:D, 3, FALSE), "XXX")</f>
        <v>USD</v>
      </c>
      <c r="E382" t="str">
        <f>IFERROR(VLOOKUP(FO_Capture!C382, Reference_Data!A:D, 4, FALSE), "MISSING SSI")</f>
        <v>Citi A/C 700450</v>
      </c>
      <c r="F382">
        <f>FO_Capture!D382</f>
        <v>380</v>
      </c>
      <c r="G382">
        <f>FO_Capture!E382</f>
        <v>301.41000366210938</v>
      </c>
      <c r="H382">
        <f t="shared" si="10"/>
        <v>114535.80139160156</v>
      </c>
      <c r="I382" t="str">
        <f t="shared" si="11"/>
        <v>Pass - Ready for Confirmation</v>
      </c>
    </row>
    <row r="383" spans="1:9" x14ac:dyDescent="0.3">
      <c r="A383" t="str">
        <f>FO_Capture!A383</f>
        <v>TRD00382</v>
      </c>
      <c r="B383" t="str">
        <f>FO_Capture!B383</f>
        <v>INE008A01019</v>
      </c>
      <c r="C383" t="str">
        <f>IFERROR(VLOOKUP(FO_Capture!C383, Reference_Data!A:D, 2, FALSE), "UNKNOWN")</f>
        <v>Alpha Partners 42</v>
      </c>
      <c r="D383" t="str">
        <f>IFERROR(VLOOKUP(FO_Capture!C383, Reference_Data!A:D, 3, FALSE), "XXX")</f>
        <v>USD</v>
      </c>
      <c r="E383" t="str">
        <f>IFERROR(VLOOKUP(FO_Capture!C383, Reference_Data!A:D, 4, FALSE), "MISSING SSI")</f>
        <v>Citi A/C 416082</v>
      </c>
      <c r="F383">
        <f>FO_Capture!D383</f>
        <v>100</v>
      </c>
      <c r="G383">
        <f>FO_Capture!E383</f>
        <v>446.83999633789063</v>
      </c>
      <c r="H383">
        <f t="shared" si="10"/>
        <v>44683.999633789063</v>
      </c>
      <c r="I383" t="str">
        <f t="shared" si="11"/>
        <v>Pass - Ready for Confirmation</v>
      </c>
    </row>
    <row r="384" spans="1:9" x14ac:dyDescent="0.3">
      <c r="A384" t="str">
        <f>FO_Capture!A384</f>
        <v>TRD00383</v>
      </c>
      <c r="B384" t="str">
        <f>FO_Capture!B384</f>
        <v>INE006A01070</v>
      </c>
      <c r="C384" t="str">
        <f>IFERROR(VLOOKUP(FO_Capture!C384, Reference_Data!A:D, 2, FALSE), "UNKNOWN")</f>
        <v>Alpha Global 30</v>
      </c>
      <c r="D384" t="str">
        <f>IFERROR(VLOOKUP(FO_Capture!C384, Reference_Data!A:D, 3, FALSE), "XXX")</f>
        <v>JPY</v>
      </c>
      <c r="E384" t="str">
        <f>IFERROR(VLOOKUP(FO_Capture!C384, Reference_Data!A:D, 4, FALSE), "MISSING SSI")</f>
        <v>Deutsche Bank A/C 917262</v>
      </c>
      <c r="F384">
        <f>FO_Capture!D384</f>
        <v>440</v>
      </c>
      <c r="G384">
        <f>FO_Capture!E384</f>
        <v>464.04000854492188</v>
      </c>
      <c r="H384">
        <f t="shared" si="10"/>
        <v>204177.60375976563</v>
      </c>
      <c r="I384" t="str">
        <f t="shared" si="11"/>
        <v>Pass - Ready for Confirmation</v>
      </c>
    </row>
    <row r="385" spans="1:9" x14ac:dyDescent="0.3">
      <c r="A385" t="str">
        <f>FO_Capture!A385</f>
        <v>TRD00384</v>
      </c>
      <c r="B385" t="str">
        <f>FO_Capture!B385</f>
        <v>INE007A0107</v>
      </c>
      <c r="C385" t="str">
        <f>IFERROR(VLOOKUP(FO_Capture!C385, Reference_Data!A:D, 2, FALSE), "UNKNOWN")</f>
        <v>Alpha Partners 19</v>
      </c>
      <c r="D385" t="str">
        <f>IFERROR(VLOOKUP(FO_Capture!C385, Reference_Data!A:D, 3, FALSE), "XXX")</f>
        <v>INR</v>
      </c>
      <c r="E385" t="str">
        <f>IFERROR(VLOOKUP(FO_Capture!C385, Reference_Data!A:D, 4, FALSE), "MISSING SSI")</f>
        <v>Citi A/C 543819</v>
      </c>
      <c r="F385">
        <f>FO_Capture!D385</f>
        <v>270</v>
      </c>
      <c r="G385">
        <f>FO_Capture!E385</f>
        <v>494.8699951171875</v>
      </c>
      <c r="H385">
        <f t="shared" si="10"/>
        <v>133614.89868164063</v>
      </c>
      <c r="I385" t="str">
        <f t="shared" si="11"/>
        <v>Pass - Ready for Confirmation</v>
      </c>
    </row>
    <row r="386" spans="1:9" x14ac:dyDescent="0.3">
      <c r="A386" t="str">
        <f>FO_Capture!A386</f>
        <v>TRD00385</v>
      </c>
      <c r="B386" t="str">
        <f>FO_Capture!B386</f>
        <v>INE009A01083</v>
      </c>
      <c r="C386" t="str">
        <f>IFERROR(VLOOKUP(FO_Capture!C386, Reference_Data!A:D, 2, FALSE), "UNKNOWN")</f>
        <v>Alpha Capital 10</v>
      </c>
      <c r="D386" t="str">
        <f>IFERROR(VLOOKUP(FO_Capture!C386, Reference_Data!A:D, 3, FALSE), "XXX")</f>
        <v>USD</v>
      </c>
      <c r="E386" t="str">
        <f>IFERROR(VLOOKUP(FO_Capture!C386, Reference_Data!A:D, 4, FALSE), "MISSING SSI")</f>
        <v>HDFC A/C 543407</v>
      </c>
      <c r="F386">
        <f>FO_Capture!D386</f>
        <v>120</v>
      </c>
      <c r="G386">
        <f>FO_Capture!E386</f>
        <v>188.96000671386719</v>
      </c>
      <c r="H386">
        <f t="shared" si="10"/>
        <v>22675.200805664063</v>
      </c>
      <c r="I386" t="str">
        <f t="shared" si="11"/>
        <v>Pass - Ready for Confirmation</v>
      </c>
    </row>
    <row r="387" spans="1:9" x14ac:dyDescent="0.3">
      <c r="A387" t="str">
        <f>FO_Capture!A387</f>
        <v>TRD00386</v>
      </c>
      <c r="B387" t="str">
        <f>FO_Capture!B387</f>
        <v>INE008A01069</v>
      </c>
      <c r="C387" t="str">
        <f>IFERROR(VLOOKUP(FO_Capture!C387, Reference_Data!A:D, 2, FALSE), "UNKNOWN")</f>
        <v>Alpha Asset Management 13</v>
      </c>
      <c r="D387" t="str">
        <f>IFERROR(VLOOKUP(FO_Capture!C387, Reference_Data!A:D, 3, FALSE), "XXX")</f>
        <v>INR</v>
      </c>
      <c r="E387" t="str">
        <f>IFERROR(VLOOKUP(FO_Capture!C387, Reference_Data!A:D, 4, FALSE), "MISSING SSI")</f>
        <v>HSBC A/C 972195</v>
      </c>
      <c r="F387">
        <f>FO_Capture!D387</f>
        <v>440</v>
      </c>
      <c r="G387">
        <f>FO_Capture!E387</f>
        <v>453.80999755859375</v>
      </c>
      <c r="H387">
        <f t="shared" ref="H387:H450" si="12">F387 * G387</f>
        <v>199676.39892578125</v>
      </c>
      <c r="I387" t="str">
        <f t="shared" ref="I387:I450" si="13">IF(C387="UNKNOWN", "Fail - Missing Ref Data", IF(OR(F387&lt;=0, G387&lt;=0), "Fail - Invalid Price/Qty", IF(H387&gt;1000000, "Exception - Limit Breach", "Pass - Ready for Confirmation")))</f>
        <v>Pass - Ready for Confirmation</v>
      </c>
    </row>
    <row r="388" spans="1:9" x14ac:dyDescent="0.3">
      <c r="A388" t="str">
        <f>FO_Capture!A388</f>
        <v>TRD00387</v>
      </c>
      <c r="B388" t="str">
        <f>FO_Capture!B388</f>
        <v>INE004A01098</v>
      </c>
      <c r="C388" t="str">
        <f>IFERROR(VLOOKUP(FO_Capture!C388, Reference_Data!A:D, 2, FALSE), "UNKNOWN")</f>
        <v>Alpha Global 30</v>
      </c>
      <c r="D388" t="str">
        <f>IFERROR(VLOOKUP(FO_Capture!C388, Reference_Data!A:D, 3, FALSE), "XXX")</f>
        <v>JPY</v>
      </c>
      <c r="E388" t="str">
        <f>IFERROR(VLOOKUP(FO_Capture!C388, Reference_Data!A:D, 4, FALSE), "MISSING SSI")</f>
        <v>Deutsche Bank A/C 917262</v>
      </c>
      <c r="F388">
        <f>FO_Capture!D388</f>
        <v>340</v>
      </c>
      <c r="G388">
        <f>FO_Capture!E388</f>
        <v>204.69000244140625</v>
      </c>
      <c r="H388">
        <f t="shared" si="12"/>
        <v>69594.600830078125</v>
      </c>
      <c r="I388" t="str">
        <f t="shared" si="13"/>
        <v>Pass - Ready for Confirmation</v>
      </c>
    </row>
    <row r="389" spans="1:9" x14ac:dyDescent="0.3">
      <c r="A389" t="str">
        <f>FO_Capture!A389</f>
        <v>TRD00388</v>
      </c>
      <c r="B389" t="str">
        <f>FO_Capture!B389</f>
        <v>INE007A01019</v>
      </c>
      <c r="C389" t="str">
        <f>IFERROR(VLOOKUP(FO_Capture!C389, Reference_Data!A:D, 2, FALSE), "UNKNOWN")</f>
        <v>Alpha Global 25</v>
      </c>
      <c r="D389" t="str">
        <f>IFERROR(VLOOKUP(FO_Capture!C389, Reference_Data!A:D, 3, FALSE), "XXX")</f>
        <v>EUR</v>
      </c>
      <c r="E389" t="str">
        <f>IFERROR(VLOOKUP(FO_Capture!C389, Reference_Data!A:D, 4, FALSE), "MISSING SSI")</f>
        <v>Standard Chartered A/C 438949</v>
      </c>
      <c r="F389">
        <f>FO_Capture!D389</f>
        <v>350</v>
      </c>
      <c r="G389">
        <f>FO_Capture!E389</f>
        <v>114.69000244140625</v>
      </c>
      <c r="H389">
        <f t="shared" si="12"/>
        <v>40141.500854492188</v>
      </c>
      <c r="I389" t="str">
        <f t="shared" si="13"/>
        <v>Pass - Ready for Confirmation</v>
      </c>
    </row>
    <row r="390" spans="1:9" x14ac:dyDescent="0.3">
      <c r="A390" t="str">
        <f>FO_Capture!A390</f>
        <v>TRD00389</v>
      </c>
      <c r="B390" t="str">
        <f>FO_Capture!B390</f>
        <v>INE002A01040</v>
      </c>
      <c r="C390" t="str">
        <f>IFERROR(VLOOKUP(FO_Capture!C390, Reference_Data!A:D, 2, FALSE), "UNKNOWN")</f>
        <v>Alpha Holdings 49</v>
      </c>
      <c r="D390" t="str">
        <f>IFERROR(VLOOKUP(FO_Capture!C390, Reference_Data!A:D, 3, FALSE), "XXX")</f>
        <v>JPY</v>
      </c>
      <c r="E390" t="str">
        <f>IFERROR(VLOOKUP(FO_Capture!C390, Reference_Data!A:D, 4, FALSE), "MISSING SSI")</f>
        <v>HDFC A/C 679335</v>
      </c>
      <c r="F390">
        <f>FO_Capture!D390</f>
        <v>150</v>
      </c>
      <c r="G390">
        <f>FO_Capture!E390</f>
        <v>364.73001098632813</v>
      </c>
      <c r="H390">
        <f t="shared" si="12"/>
        <v>54709.501647949219</v>
      </c>
      <c r="I390" t="str">
        <f t="shared" si="13"/>
        <v>Pass - Ready for Confirmation</v>
      </c>
    </row>
    <row r="391" spans="1:9" x14ac:dyDescent="0.3">
      <c r="A391" t="str">
        <f>FO_Capture!A391</f>
        <v>TRD00390</v>
      </c>
      <c r="B391" t="str">
        <f>FO_Capture!B391</f>
        <v>INE003A01089</v>
      </c>
      <c r="C391" t="str">
        <f>IFERROR(VLOOKUP(FO_Capture!C391, Reference_Data!A:D, 2, FALSE), "UNKNOWN")</f>
        <v>Alpha Partners 19</v>
      </c>
      <c r="D391" t="str">
        <f>IFERROR(VLOOKUP(FO_Capture!C391, Reference_Data!A:D, 3, FALSE), "XXX")</f>
        <v>INR</v>
      </c>
      <c r="E391" t="str">
        <f>IFERROR(VLOOKUP(FO_Capture!C391, Reference_Data!A:D, 4, FALSE), "MISSING SSI")</f>
        <v>Citi A/C 543819</v>
      </c>
      <c r="F391">
        <f>FO_Capture!D391</f>
        <v>350</v>
      </c>
      <c r="G391">
        <f>FO_Capture!E391</f>
        <v>393.51998901367188</v>
      </c>
      <c r="H391">
        <f t="shared" si="12"/>
        <v>137731.99615478516</v>
      </c>
      <c r="I391" t="str">
        <f t="shared" si="13"/>
        <v>Pass - Ready for Confirmation</v>
      </c>
    </row>
    <row r="392" spans="1:9" x14ac:dyDescent="0.3">
      <c r="A392" t="str">
        <f>FO_Capture!A392</f>
        <v>TRD00391</v>
      </c>
      <c r="B392" t="str">
        <f>FO_Capture!B392</f>
        <v>INE008A01056</v>
      </c>
      <c r="C392" t="str">
        <f>IFERROR(VLOOKUP(FO_Capture!C392, Reference_Data!A:D, 2, FALSE), "UNKNOWN")</f>
        <v>Alpha Capital 36</v>
      </c>
      <c r="D392" t="str">
        <f>IFERROR(VLOOKUP(FO_Capture!C392, Reference_Data!A:D, 3, FALSE), "XXX")</f>
        <v>JPY</v>
      </c>
      <c r="E392" t="str">
        <f>IFERROR(VLOOKUP(FO_Capture!C392, Reference_Data!A:D, 4, FALSE), "MISSING SSI")</f>
        <v>Citi A/C 359789</v>
      </c>
      <c r="F392">
        <f>FO_Capture!D392</f>
        <v>210</v>
      </c>
      <c r="G392">
        <f>FO_Capture!E392</f>
        <v>147.60000610351563</v>
      </c>
      <c r="H392">
        <f t="shared" si="12"/>
        <v>30996.001281738281</v>
      </c>
      <c r="I392" t="str">
        <f t="shared" si="13"/>
        <v>Pass - Ready for Confirmation</v>
      </c>
    </row>
    <row r="393" spans="1:9" x14ac:dyDescent="0.3">
      <c r="A393" t="str">
        <f>FO_Capture!A393</f>
        <v>TRD00392</v>
      </c>
      <c r="B393" t="str">
        <f>FO_Capture!B393</f>
        <v>INE006A01044</v>
      </c>
      <c r="C393" t="str">
        <f>IFERROR(VLOOKUP(FO_Capture!C393, Reference_Data!A:D, 2, FALSE), "UNKNOWN")</f>
        <v>Alpha Partners 19</v>
      </c>
      <c r="D393" t="str">
        <f>IFERROR(VLOOKUP(FO_Capture!C393, Reference_Data!A:D, 3, FALSE), "XXX")</f>
        <v>INR</v>
      </c>
      <c r="E393" t="str">
        <f>IFERROR(VLOOKUP(FO_Capture!C393, Reference_Data!A:D, 4, FALSE), "MISSING SSI")</f>
        <v>Citi A/C 543819</v>
      </c>
      <c r="F393">
        <f>FO_Capture!D393</f>
        <v>430</v>
      </c>
      <c r="G393">
        <f>FO_Capture!E393</f>
        <v>331.32000732421875</v>
      </c>
      <c r="H393">
        <f t="shared" si="12"/>
        <v>142467.60314941406</v>
      </c>
      <c r="I393" t="str">
        <f t="shared" si="13"/>
        <v>Pass - Ready for Confirmation</v>
      </c>
    </row>
    <row r="394" spans="1:9" x14ac:dyDescent="0.3">
      <c r="A394" t="str">
        <f>FO_Capture!A394</f>
        <v>TRD00393</v>
      </c>
      <c r="B394" t="str">
        <f>FO_Capture!B394</f>
        <v>INE001A01021</v>
      </c>
      <c r="C394" t="str">
        <f>IFERROR(VLOOKUP(FO_Capture!C394, Reference_Data!A:D, 2, FALSE), "UNKNOWN")</f>
        <v>Alpha Holdings 23</v>
      </c>
      <c r="D394" t="str">
        <f>IFERROR(VLOOKUP(FO_Capture!C394, Reference_Data!A:D, 3, FALSE), "XXX")</f>
        <v>INR</v>
      </c>
      <c r="E394" t="str">
        <f>IFERROR(VLOOKUP(FO_Capture!C394, Reference_Data!A:D, 4, FALSE), "MISSING SSI")</f>
        <v>Deutsche Bank A/C 983712</v>
      </c>
      <c r="F394">
        <f>FO_Capture!D394</f>
        <v>340</v>
      </c>
      <c r="G394">
        <f>FO_Capture!E394</f>
        <v>156.82000732421875</v>
      </c>
      <c r="H394">
        <f t="shared" si="12"/>
        <v>53318.802490234375</v>
      </c>
      <c r="I394" t="str">
        <f t="shared" si="13"/>
        <v>Pass - Ready for Confirmation</v>
      </c>
    </row>
    <row r="395" spans="1:9" x14ac:dyDescent="0.3">
      <c r="A395" t="str">
        <f>FO_Capture!A395</f>
        <v>TRD00394</v>
      </c>
      <c r="B395" t="str">
        <f>FO_Capture!B395</f>
        <v>INE003A01069</v>
      </c>
      <c r="C395" t="str">
        <f>IFERROR(VLOOKUP(FO_Capture!C395, Reference_Data!A:D, 2, FALSE), "UNKNOWN")</f>
        <v>Alpha Holdings 16</v>
      </c>
      <c r="D395" t="str">
        <f>IFERROR(VLOOKUP(FO_Capture!C395, Reference_Data!A:D, 3, FALSE), "XXX")</f>
        <v>USD</v>
      </c>
      <c r="E395" t="str">
        <f>IFERROR(VLOOKUP(FO_Capture!C395, Reference_Data!A:D, 4, FALSE), "MISSING SSI")</f>
        <v>Barclays A/C 197229</v>
      </c>
      <c r="F395">
        <f>FO_Capture!D395</f>
        <v>210</v>
      </c>
      <c r="G395">
        <f>FO_Capture!E395</f>
        <v>94.089996337890625</v>
      </c>
      <c r="H395">
        <f t="shared" si="12"/>
        <v>19758.899230957031</v>
      </c>
      <c r="I395" t="str">
        <f t="shared" si="13"/>
        <v>Pass - Ready for Confirmation</v>
      </c>
    </row>
    <row r="396" spans="1:9" x14ac:dyDescent="0.3">
      <c r="A396" t="str">
        <f>FO_Capture!A396</f>
        <v>TRD00395</v>
      </c>
      <c r="B396" t="str">
        <f>FO_Capture!B396</f>
        <v>INE009A01034</v>
      </c>
      <c r="C396" t="str">
        <f>IFERROR(VLOOKUP(FO_Capture!C396, Reference_Data!A:D, 2, FALSE), "UNKNOWN")</f>
        <v>Alpha Asset Management 5</v>
      </c>
      <c r="D396" t="str">
        <f>IFERROR(VLOOKUP(FO_Capture!C396, Reference_Data!A:D, 3, FALSE), "XXX")</f>
        <v>INR</v>
      </c>
      <c r="E396" t="str">
        <f>IFERROR(VLOOKUP(FO_Capture!C396, Reference_Data!A:D, 4, FALSE), "MISSING SSI")</f>
        <v>JPMorgan A/C 860462</v>
      </c>
      <c r="F396">
        <f>FO_Capture!D396</f>
        <v>450</v>
      </c>
      <c r="G396">
        <f>FO_Capture!E396</f>
        <v>120.91000366210938</v>
      </c>
      <c r="H396">
        <f t="shared" si="12"/>
        <v>54409.501647949219</v>
      </c>
      <c r="I396" t="str">
        <f t="shared" si="13"/>
        <v>Pass - Ready for Confirmation</v>
      </c>
    </row>
    <row r="397" spans="1:9" x14ac:dyDescent="0.3">
      <c r="A397" t="str">
        <f>FO_Capture!A397</f>
        <v>TRD00396</v>
      </c>
      <c r="B397" t="str">
        <f>FO_Capture!B397</f>
        <v>INE007A01074</v>
      </c>
      <c r="C397" t="str">
        <f>IFERROR(VLOOKUP(FO_Capture!C397, Reference_Data!A:D, 2, FALSE), "UNKNOWN")</f>
        <v>Alpha Capital 10</v>
      </c>
      <c r="D397" t="str">
        <f>IFERROR(VLOOKUP(FO_Capture!C397, Reference_Data!A:D, 3, FALSE), "XXX")</f>
        <v>USD</v>
      </c>
      <c r="E397" t="str">
        <f>IFERROR(VLOOKUP(FO_Capture!C397, Reference_Data!A:D, 4, FALSE), "MISSING SSI")</f>
        <v>HDFC A/C 543407</v>
      </c>
      <c r="F397">
        <f>FO_Capture!D397</f>
        <v>420</v>
      </c>
      <c r="G397">
        <f>FO_Capture!E397</f>
        <v>472.8699951171875</v>
      </c>
      <c r="H397">
        <f t="shared" si="12"/>
        <v>198605.39794921875</v>
      </c>
      <c r="I397" t="str">
        <f t="shared" si="13"/>
        <v>Pass - Ready for Confirmation</v>
      </c>
    </row>
    <row r="398" spans="1:9" x14ac:dyDescent="0.3">
      <c r="A398" t="str">
        <f>FO_Capture!A398</f>
        <v>TRD00397</v>
      </c>
      <c r="B398" t="str">
        <f>FO_Capture!B398</f>
        <v>INE006A01017</v>
      </c>
      <c r="C398" t="str">
        <f>IFERROR(VLOOKUP(FO_Capture!C398, Reference_Data!A:D, 2, FALSE), "UNKNOWN")</f>
        <v>Alpha Global 39</v>
      </c>
      <c r="D398" t="str">
        <f>IFERROR(VLOOKUP(FO_Capture!C398, Reference_Data!A:D, 3, FALSE), "XXX")</f>
        <v>SGD</v>
      </c>
      <c r="E398" t="str">
        <f>IFERROR(VLOOKUP(FO_Capture!C398, Reference_Data!A:D, 4, FALSE), "MISSING SSI")</f>
        <v>Deutsche Bank A/C 917029</v>
      </c>
      <c r="F398">
        <f>FO_Capture!D398</f>
        <v>100</v>
      </c>
      <c r="G398">
        <f>FO_Capture!E398</f>
        <v>393.3800048828125</v>
      </c>
      <c r="H398">
        <f t="shared" si="12"/>
        <v>39338.00048828125</v>
      </c>
      <c r="I398" t="str">
        <f t="shared" si="13"/>
        <v>Pass - Ready for Confirmation</v>
      </c>
    </row>
    <row r="399" spans="1:9" x14ac:dyDescent="0.3">
      <c r="A399" t="str">
        <f>FO_Capture!A399</f>
        <v>TRD00398</v>
      </c>
      <c r="B399" t="str">
        <f>FO_Capture!B399</f>
        <v>INE008A01098</v>
      </c>
      <c r="C399" t="str">
        <f>IFERROR(VLOOKUP(FO_Capture!C399, Reference_Data!A:D, 2, FALSE), "UNKNOWN")</f>
        <v>Alpha Global 14</v>
      </c>
      <c r="D399" t="str">
        <f>IFERROR(VLOOKUP(FO_Capture!C399, Reference_Data!A:D, 3, FALSE), "XXX")</f>
        <v>USD</v>
      </c>
      <c r="E399" t="str">
        <f>IFERROR(VLOOKUP(FO_Capture!C399, Reference_Data!A:D, 4, FALSE), "MISSING SSI")</f>
        <v>HSBC A/C 864249</v>
      </c>
      <c r="F399">
        <f>FO_Capture!D399</f>
        <v>410</v>
      </c>
      <c r="G399">
        <f>FO_Capture!E399</f>
        <v>383.66000366210938</v>
      </c>
      <c r="H399">
        <f t="shared" si="12"/>
        <v>157300.60150146484</v>
      </c>
      <c r="I399" t="str">
        <f t="shared" si="13"/>
        <v>Pass - Ready for Confirmation</v>
      </c>
    </row>
    <row r="400" spans="1:9" x14ac:dyDescent="0.3">
      <c r="A400" t="str">
        <f>FO_Capture!A400</f>
        <v>TRD00399</v>
      </c>
      <c r="B400" t="str">
        <f>FO_Capture!B400</f>
        <v>INE007A01021</v>
      </c>
      <c r="C400" t="str">
        <f>IFERROR(VLOOKUP(FO_Capture!C400, Reference_Data!A:D, 2, FALSE), "UNKNOWN")</f>
        <v>Alpha Global 45</v>
      </c>
      <c r="D400" t="str">
        <f>IFERROR(VLOOKUP(FO_Capture!C400, Reference_Data!A:D, 3, FALSE), "XXX")</f>
        <v>EUR</v>
      </c>
      <c r="E400" t="str">
        <f>IFERROR(VLOOKUP(FO_Capture!C400, Reference_Data!A:D, 4, FALSE), "MISSING SSI")</f>
        <v>HSBC A/C 540659</v>
      </c>
      <c r="F400">
        <f>FO_Capture!D400</f>
        <v>450</v>
      </c>
      <c r="G400">
        <f>FO_Capture!E400</f>
        <v>452.739990234375</v>
      </c>
      <c r="H400">
        <f t="shared" si="12"/>
        <v>203732.99560546875</v>
      </c>
      <c r="I400" t="str">
        <f t="shared" si="13"/>
        <v>Pass - Ready for Confirmation</v>
      </c>
    </row>
    <row r="401" spans="1:9" x14ac:dyDescent="0.3">
      <c r="A401" t="str">
        <f>FO_Capture!A401</f>
        <v>TRD00400</v>
      </c>
      <c r="B401" t="str">
        <f>FO_Capture!B401</f>
        <v>INE008A0101</v>
      </c>
      <c r="C401" t="str">
        <f>IFERROR(VLOOKUP(FO_Capture!C401, Reference_Data!A:D, 2, FALSE), "UNKNOWN")</f>
        <v>Alpha Asset Management 4</v>
      </c>
      <c r="D401" t="str">
        <f>IFERROR(VLOOKUP(FO_Capture!C401, Reference_Data!A:D, 3, FALSE), "XXX")</f>
        <v>JPY</v>
      </c>
      <c r="E401" t="str">
        <f>IFERROR(VLOOKUP(FO_Capture!C401, Reference_Data!A:D, 4, FALSE), "MISSING SSI")</f>
        <v>Deutsche Bank A/C 126543</v>
      </c>
      <c r="F401">
        <f>FO_Capture!D401</f>
        <v>190</v>
      </c>
      <c r="G401">
        <f>FO_Capture!E401</f>
        <v>367.47000122070313</v>
      </c>
      <c r="H401">
        <f t="shared" si="12"/>
        <v>69819.300231933594</v>
      </c>
      <c r="I401" t="str">
        <f t="shared" si="13"/>
        <v>Pass - Ready for Confirmation</v>
      </c>
    </row>
    <row r="402" spans="1:9" x14ac:dyDescent="0.3">
      <c r="A402" t="str">
        <f>FO_Capture!A402</f>
        <v>TRD00401</v>
      </c>
      <c r="B402" t="str">
        <f>FO_Capture!B402</f>
        <v>INE009A01019</v>
      </c>
      <c r="C402" t="str">
        <f>IFERROR(VLOOKUP(FO_Capture!C402, Reference_Data!A:D, 2, FALSE), "UNKNOWN")</f>
        <v>Alpha Asset Management 4</v>
      </c>
      <c r="D402" t="str">
        <f>IFERROR(VLOOKUP(FO_Capture!C402, Reference_Data!A:D, 3, FALSE), "XXX")</f>
        <v>JPY</v>
      </c>
      <c r="E402" t="str">
        <f>IFERROR(VLOOKUP(FO_Capture!C402, Reference_Data!A:D, 4, FALSE), "MISSING SSI")</f>
        <v>Deutsche Bank A/C 126543</v>
      </c>
      <c r="F402">
        <f>FO_Capture!D402</f>
        <v>-50</v>
      </c>
      <c r="G402">
        <f>FO_Capture!E402</f>
        <v>414.07000732421875</v>
      </c>
      <c r="H402">
        <f t="shared" si="12"/>
        <v>-20703.500366210938</v>
      </c>
      <c r="I402" t="str">
        <f t="shared" si="13"/>
        <v>Fail - Invalid Price/Qty</v>
      </c>
    </row>
    <row r="403" spans="1:9" x14ac:dyDescent="0.3">
      <c r="A403" t="str">
        <f>FO_Capture!A403</f>
        <v>TRD00402</v>
      </c>
      <c r="B403" t="str">
        <f>FO_Capture!B403</f>
        <v>INE006A01077</v>
      </c>
      <c r="C403" t="str">
        <f>IFERROR(VLOOKUP(FO_Capture!C403, Reference_Data!A:D, 2, FALSE), "UNKNOWN")</f>
        <v>UNKNOWN</v>
      </c>
      <c r="D403" t="str">
        <f>IFERROR(VLOOKUP(FO_Capture!C403, Reference_Data!A:D, 3, FALSE), "XXX")</f>
        <v>XXX</v>
      </c>
      <c r="E403" t="str">
        <f>IFERROR(VLOOKUP(FO_Capture!C403, Reference_Data!A:D, 4, FALSE), "MISSING SSI")</f>
        <v>MISSING SSI</v>
      </c>
      <c r="F403">
        <f>FO_Capture!D403</f>
        <v>200</v>
      </c>
      <c r="G403">
        <f>FO_Capture!E403</f>
        <v>69.389999389648438</v>
      </c>
      <c r="H403">
        <f t="shared" si="12"/>
        <v>13877.999877929688</v>
      </c>
      <c r="I403" t="str">
        <f t="shared" si="13"/>
        <v>Fail - Missing Ref Data</v>
      </c>
    </row>
    <row r="404" spans="1:9" x14ac:dyDescent="0.3">
      <c r="A404" t="str">
        <f>FO_Capture!A404</f>
        <v>TRD00403</v>
      </c>
      <c r="B404" t="str">
        <f>FO_Capture!B404</f>
        <v>INE008A01069</v>
      </c>
      <c r="C404" t="str">
        <f>IFERROR(VLOOKUP(FO_Capture!C404, Reference_Data!A:D, 2, FALSE), "UNKNOWN")</f>
        <v>Alpha Investments 15</v>
      </c>
      <c r="D404" t="str">
        <f>IFERROR(VLOOKUP(FO_Capture!C404, Reference_Data!A:D, 3, FALSE), "XXX")</f>
        <v>INR</v>
      </c>
      <c r="E404" t="str">
        <f>IFERROR(VLOOKUP(FO_Capture!C404, Reference_Data!A:D, 4, FALSE), "MISSING SSI")</f>
        <v>Deutsche Bank A/C 330518</v>
      </c>
      <c r="F404">
        <f>FO_Capture!D404</f>
        <v>130</v>
      </c>
      <c r="G404">
        <f>FO_Capture!E404</f>
        <v>480.22000122070313</v>
      </c>
      <c r="H404">
        <f t="shared" si="12"/>
        <v>62428.600158691406</v>
      </c>
      <c r="I404" t="str">
        <f t="shared" si="13"/>
        <v>Pass - Ready for Confirmation</v>
      </c>
    </row>
    <row r="405" spans="1:9" x14ac:dyDescent="0.3">
      <c r="A405" t="str">
        <f>FO_Capture!A405</f>
        <v>TRD00404</v>
      </c>
      <c r="B405" t="str">
        <f>FO_Capture!B405</f>
        <v>INE006A01016</v>
      </c>
      <c r="C405" t="str">
        <f>IFERROR(VLOOKUP(FO_Capture!C405, Reference_Data!A:D, 2, FALSE), "UNKNOWN")</f>
        <v>Alpha Partners 3</v>
      </c>
      <c r="D405" t="str">
        <f>IFERROR(VLOOKUP(FO_Capture!C405, Reference_Data!A:D, 3, FALSE), "XXX")</f>
        <v>USD</v>
      </c>
      <c r="E405" t="str">
        <f>IFERROR(VLOOKUP(FO_Capture!C405, Reference_Data!A:D, 4, FALSE), "MISSING SSI")</f>
        <v>Citi A/C 508769</v>
      </c>
      <c r="F405">
        <f>FO_Capture!D405</f>
        <v>110</v>
      </c>
      <c r="G405">
        <f>FO_Capture!E405</f>
        <v>203.58999633789063</v>
      </c>
      <c r="H405">
        <f t="shared" si="12"/>
        <v>22394.899597167969</v>
      </c>
      <c r="I405" t="str">
        <f t="shared" si="13"/>
        <v>Pass - Ready for Confirmation</v>
      </c>
    </row>
    <row r="406" spans="1:9" x14ac:dyDescent="0.3">
      <c r="A406" t="str">
        <f>FO_Capture!A406</f>
        <v>TRD00405</v>
      </c>
      <c r="B406" t="str">
        <f>FO_Capture!B406</f>
        <v>INE008A01028</v>
      </c>
      <c r="C406" t="str">
        <f>IFERROR(VLOOKUP(FO_Capture!C406, Reference_Data!A:D, 2, FALSE), "UNKNOWN")</f>
        <v>Alpha Partners 1</v>
      </c>
      <c r="D406" t="str">
        <f>IFERROR(VLOOKUP(FO_Capture!C406, Reference_Data!A:D, 3, FALSE), "XXX")</f>
        <v>JPY</v>
      </c>
      <c r="E406" t="str">
        <f>IFERROR(VLOOKUP(FO_Capture!C406, Reference_Data!A:D, 4, FALSE), "MISSING SSI")</f>
        <v>Standard Chartered A/C 277005</v>
      </c>
      <c r="F406">
        <f>FO_Capture!D406</f>
        <v>270</v>
      </c>
      <c r="G406">
        <f>FO_Capture!E406</f>
        <v>52.25</v>
      </c>
      <c r="H406">
        <f t="shared" si="12"/>
        <v>14107.5</v>
      </c>
      <c r="I406" t="str">
        <f t="shared" si="13"/>
        <v>Pass - Ready for Confirmation</v>
      </c>
    </row>
    <row r="407" spans="1:9" x14ac:dyDescent="0.3">
      <c r="A407" t="str">
        <f>FO_Capture!A407</f>
        <v>TRD00406</v>
      </c>
      <c r="B407" t="str">
        <f>FO_Capture!B407</f>
        <v>INE002A01068</v>
      </c>
      <c r="C407" t="str">
        <f>IFERROR(VLOOKUP(FO_Capture!C407, Reference_Data!A:D, 2, FALSE), "UNKNOWN")</f>
        <v>Alpha Partners 42</v>
      </c>
      <c r="D407" t="str">
        <f>IFERROR(VLOOKUP(FO_Capture!C407, Reference_Data!A:D, 3, FALSE), "XXX")</f>
        <v>USD</v>
      </c>
      <c r="E407" t="str">
        <f>IFERROR(VLOOKUP(FO_Capture!C407, Reference_Data!A:D, 4, FALSE), "MISSING SSI")</f>
        <v>Citi A/C 416082</v>
      </c>
      <c r="F407">
        <f>FO_Capture!D407</f>
        <v>410</v>
      </c>
      <c r="G407">
        <f>FO_Capture!E407</f>
        <v>440.489990234375</v>
      </c>
      <c r="H407">
        <f t="shared" si="12"/>
        <v>180600.89599609375</v>
      </c>
      <c r="I407" t="str">
        <f t="shared" si="13"/>
        <v>Pass - Ready for Confirmation</v>
      </c>
    </row>
    <row r="408" spans="1:9" x14ac:dyDescent="0.3">
      <c r="A408" t="str">
        <f>FO_Capture!A408</f>
        <v>TRD00407</v>
      </c>
      <c r="B408" t="str">
        <f>FO_Capture!B408</f>
        <v>INE006A01083</v>
      </c>
      <c r="C408" t="str">
        <f>IFERROR(VLOOKUP(FO_Capture!C408, Reference_Data!A:D, 2, FALSE), "UNKNOWN")</f>
        <v>Alpha Asset Management 32</v>
      </c>
      <c r="D408" t="str">
        <f>IFERROR(VLOOKUP(FO_Capture!C408, Reference_Data!A:D, 3, FALSE), "XXX")</f>
        <v>INR</v>
      </c>
      <c r="E408" t="str">
        <f>IFERROR(VLOOKUP(FO_Capture!C408, Reference_Data!A:D, 4, FALSE), "MISSING SSI")</f>
        <v>Barclays A/C 302646</v>
      </c>
      <c r="F408">
        <f>FO_Capture!D408</f>
        <v>180</v>
      </c>
      <c r="G408">
        <f>FO_Capture!E408</f>
        <v>134.19000244140625</v>
      </c>
      <c r="H408">
        <f t="shared" si="12"/>
        <v>24154.200439453125</v>
      </c>
      <c r="I408" t="str">
        <f t="shared" si="13"/>
        <v>Pass - Ready for Confirmation</v>
      </c>
    </row>
    <row r="409" spans="1:9" x14ac:dyDescent="0.3">
      <c r="A409" t="str">
        <f>FO_Capture!A409</f>
        <v>TRD00408</v>
      </c>
      <c r="B409" t="str">
        <f>FO_Capture!B409</f>
        <v>INE009A01051</v>
      </c>
      <c r="C409" t="str">
        <f>IFERROR(VLOOKUP(FO_Capture!C409, Reference_Data!A:D, 2, FALSE), "UNKNOWN")</f>
        <v>Alpha Quant Fund 24</v>
      </c>
      <c r="D409" t="str">
        <f>IFERROR(VLOOKUP(FO_Capture!C409, Reference_Data!A:D, 3, FALSE), "XXX")</f>
        <v>SGD</v>
      </c>
      <c r="E409" t="str">
        <f>IFERROR(VLOOKUP(FO_Capture!C409, Reference_Data!A:D, 4, FALSE), "MISSING SSI")</f>
        <v>JPMorgan A/C 603587</v>
      </c>
      <c r="F409">
        <f>FO_Capture!D409</f>
        <v>370</v>
      </c>
      <c r="G409">
        <f>FO_Capture!E409</f>
        <v>500.77999877929688</v>
      </c>
      <c r="H409">
        <f t="shared" si="12"/>
        <v>185288.59954833984</v>
      </c>
      <c r="I409" t="str">
        <f t="shared" si="13"/>
        <v>Pass - Ready for Confirmation</v>
      </c>
    </row>
    <row r="410" spans="1:9" x14ac:dyDescent="0.3">
      <c r="A410" t="str">
        <f>FO_Capture!A410</f>
        <v>TRD00409</v>
      </c>
      <c r="B410" t="str">
        <f>FO_Capture!B410</f>
        <v>INE006A01033</v>
      </c>
      <c r="C410" t="str">
        <f>IFERROR(VLOOKUP(FO_Capture!C410, Reference_Data!A:D, 2, FALSE), "UNKNOWN")</f>
        <v>Alpha Global 45</v>
      </c>
      <c r="D410" t="str">
        <f>IFERROR(VLOOKUP(FO_Capture!C410, Reference_Data!A:D, 3, FALSE), "XXX")</f>
        <v>EUR</v>
      </c>
      <c r="E410" t="str">
        <f>IFERROR(VLOOKUP(FO_Capture!C410, Reference_Data!A:D, 4, FALSE), "MISSING SSI")</f>
        <v>HSBC A/C 540659</v>
      </c>
      <c r="F410">
        <f>FO_Capture!D410</f>
        <v>160</v>
      </c>
      <c r="G410">
        <f>FO_Capture!E410</f>
        <v>259.260009765625</v>
      </c>
      <c r="H410">
        <f t="shared" si="12"/>
        <v>41481.6015625</v>
      </c>
      <c r="I410" t="str">
        <f t="shared" si="13"/>
        <v>Pass - Ready for Confirmation</v>
      </c>
    </row>
    <row r="411" spans="1:9" x14ac:dyDescent="0.3">
      <c r="A411" t="str">
        <f>FO_Capture!A411</f>
        <v>TRD00410</v>
      </c>
      <c r="B411" t="str">
        <f>FO_Capture!B411</f>
        <v>INE008A01024</v>
      </c>
      <c r="C411" t="str">
        <f>IFERROR(VLOOKUP(FO_Capture!C411, Reference_Data!A:D, 2, FALSE), "UNKNOWN")</f>
        <v>Alpha Partners 18</v>
      </c>
      <c r="D411" t="str">
        <f>IFERROR(VLOOKUP(FO_Capture!C411, Reference_Data!A:D, 3, FALSE), "XXX")</f>
        <v>INR</v>
      </c>
      <c r="E411" t="str">
        <f>IFERROR(VLOOKUP(FO_Capture!C411, Reference_Data!A:D, 4, FALSE), "MISSING SSI")</f>
        <v>JPMorgan A/C 704166</v>
      </c>
      <c r="F411">
        <f>FO_Capture!D411</f>
        <v>360</v>
      </c>
      <c r="G411">
        <f>FO_Capture!E411</f>
        <v>230.16999816894531</v>
      </c>
      <c r="H411">
        <f t="shared" si="12"/>
        <v>82861.199340820313</v>
      </c>
      <c r="I411" t="str">
        <f t="shared" si="13"/>
        <v>Pass - Ready for Confirmation</v>
      </c>
    </row>
    <row r="412" spans="1:9" x14ac:dyDescent="0.3">
      <c r="A412" t="str">
        <f>FO_Capture!A412</f>
        <v>TRD00411</v>
      </c>
      <c r="B412" t="str">
        <f>FO_Capture!B412</f>
        <v>INE009A0101</v>
      </c>
      <c r="C412" t="str">
        <f>IFERROR(VLOOKUP(FO_Capture!C412, Reference_Data!A:D, 2, FALSE), "UNKNOWN")</f>
        <v>Alpha Investments 40</v>
      </c>
      <c r="D412" t="str">
        <f>IFERROR(VLOOKUP(FO_Capture!C412, Reference_Data!A:D, 3, FALSE), "XXX")</f>
        <v>GBP</v>
      </c>
      <c r="E412" t="str">
        <f>IFERROR(VLOOKUP(FO_Capture!C412, Reference_Data!A:D, 4, FALSE), "MISSING SSI")</f>
        <v>HDFC A/C 897530</v>
      </c>
      <c r="F412">
        <f>FO_Capture!D412</f>
        <v>160</v>
      </c>
      <c r="G412">
        <f>FO_Capture!E412</f>
        <v>85.650001525878906</v>
      </c>
      <c r="H412">
        <f t="shared" si="12"/>
        <v>13704.000244140625</v>
      </c>
      <c r="I412" t="str">
        <f t="shared" si="13"/>
        <v>Pass - Ready for Confirmation</v>
      </c>
    </row>
    <row r="413" spans="1:9" x14ac:dyDescent="0.3">
      <c r="A413" t="str">
        <f>FO_Capture!A413</f>
        <v>TRD00412</v>
      </c>
      <c r="B413" t="str">
        <f>FO_Capture!B413</f>
        <v>INE007A01071</v>
      </c>
      <c r="C413" t="str">
        <f>IFERROR(VLOOKUP(FO_Capture!C413, Reference_Data!A:D, 2, FALSE), "UNKNOWN")</f>
        <v>Alpha Asset Management 5</v>
      </c>
      <c r="D413" t="str">
        <f>IFERROR(VLOOKUP(FO_Capture!C413, Reference_Data!A:D, 3, FALSE), "XXX")</f>
        <v>INR</v>
      </c>
      <c r="E413" t="str">
        <f>IFERROR(VLOOKUP(FO_Capture!C413, Reference_Data!A:D, 4, FALSE), "MISSING SSI")</f>
        <v>JPMorgan A/C 860462</v>
      </c>
      <c r="F413">
        <f>FO_Capture!D413</f>
        <v>400</v>
      </c>
      <c r="G413">
        <f>FO_Capture!E413</f>
        <v>99.360000610351563</v>
      </c>
      <c r="H413">
        <f t="shared" si="12"/>
        <v>39744.000244140625</v>
      </c>
      <c r="I413" t="str">
        <f t="shared" si="13"/>
        <v>Pass - Ready for Confirmation</v>
      </c>
    </row>
    <row r="414" spans="1:9" x14ac:dyDescent="0.3">
      <c r="A414" t="str">
        <f>FO_Capture!A414</f>
        <v>TRD00413</v>
      </c>
      <c r="B414" t="str">
        <f>FO_Capture!B414</f>
        <v>INE008A01031</v>
      </c>
      <c r="C414" t="str">
        <f>IFERROR(VLOOKUP(FO_Capture!C414, Reference_Data!A:D, 2, FALSE), "UNKNOWN")</f>
        <v>Alpha Global 30</v>
      </c>
      <c r="D414" t="str">
        <f>IFERROR(VLOOKUP(FO_Capture!C414, Reference_Data!A:D, 3, FALSE), "XXX")</f>
        <v>JPY</v>
      </c>
      <c r="E414" t="str">
        <f>IFERROR(VLOOKUP(FO_Capture!C414, Reference_Data!A:D, 4, FALSE), "MISSING SSI")</f>
        <v>Deutsche Bank A/C 917262</v>
      </c>
      <c r="F414">
        <f>FO_Capture!D414</f>
        <v>270</v>
      </c>
      <c r="G414">
        <f>FO_Capture!E414</f>
        <v>396.55999755859375</v>
      </c>
      <c r="H414">
        <f t="shared" si="12"/>
        <v>107071.19934082031</v>
      </c>
      <c r="I414" t="str">
        <f t="shared" si="13"/>
        <v>Pass - Ready for Confirmation</v>
      </c>
    </row>
    <row r="415" spans="1:9" x14ac:dyDescent="0.3">
      <c r="A415" t="str">
        <f>FO_Capture!A415</f>
        <v>TRD00414</v>
      </c>
      <c r="B415" t="str">
        <f>FO_Capture!B415</f>
        <v>INE001A0105</v>
      </c>
      <c r="C415" t="str">
        <f>IFERROR(VLOOKUP(FO_Capture!C415, Reference_Data!A:D, 2, FALSE), "UNKNOWN")</f>
        <v>Alpha Investments 29</v>
      </c>
      <c r="D415" t="str">
        <f>IFERROR(VLOOKUP(FO_Capture!C415, Reference_Data!A:D, 3, FALSE), "XXX")</f>
        <v>INR</v>
      </c>
      <c r="E415" t="str">
        <f>IFERROR(VLOOKUP(FO_Capture!C415, Reference_Data!A:D, 4, FALSE), "MISSING SSI")</f>
        <v>HSBC A/C 785870</v>
      </c>
      <c r="F415">
        <f>FO_Capture!D415</f>
        <v>120</v>
      </c>
      <c r="G415">
        <f>FO_Capture!E415</f>
        <v>204.05999755859375</v>
      </c>
      <c r="H415">
        <f t="shared" si="12"/>
        <v>24487.19970703125</v>
      </c>
      <c r="I415" t="str">
        <f t="shared" si="13"/>
        <v>Pass - Ready for Confirmation</v>
      </c>
    </row>
    <row r="416" spans="1:9" x14ac:dyDescent="0.3">
      <c r="A416" t="str">
        <f>FO_Capture!A416</f>
        <v>TRD00415</v>
      </c>
      <c r="B416" t="str">
        <f>FO_Capture!B416</f>
        <v>INE006A01098</v>
      </c>
      <c r="C416" t="str">
        <f>IFERROR(VLOOKUP(FO_Capture!C416, Reference_Data!A:D, 2, FALSE), "UNKNOWN")</f>
        <v>Alpha Investments 40</v>
      </c>
      <c r="D416" t="str">
        <f>IFERROR(VLOOKUP(FO_Capture!C416, Reference_Data!A:D, 3, FALSE), "XXX")</f>
        <v>GBP</v>
      </c>
      <c r="E416" t="str">
        <f>IFERROR(VLOOKUP(FO_Capture!C416, Reference_Data!A:D, 4, FALSE), "MISSING SSI")</f>
        <v>HDFC A/C 897530</v>
      </c>
      <c r="F416">
        <f>FO_Capture!D416</f>
        <v>170</v>
      </c>
      <c r="G416">
        <f>FO_Capture!E416</f>
        <v>100.20999908447266</v>
      </c>
      <c r="H416">
        <f t="shared" si="12"/>
        <v>17035.699844360352</v>
      </c>
      <c r="I416" t="str">
        <f t="shared" si="13"/>
        <v>Pass - Ready for Confirmation</v>
      </c>
    </row>
    <row r="417" spans="1:9" x14ac:dyDescent="0.3">
      <c r="A417" t="str">
        <f>FO_Capture!A417</f>
        <v>TRD00416</v>
      </c>
      <c r="B417" t="str">
        <f>FO_Capture!B417</f>
        <v>INE004A01056</v>
      </c>
      <c r="C417" t="str">
        <f>IFERROR(VLOOKUP(FO_Capture!C417, Reference_Data!A:D, 2, FALSE), "UNKNOWN")</f>
        <v>Alpha Holdings 47</v>
      </c>
      <c r="D417" t="str">
        <f>IFERROR(VLOOKUP(FO_Capture!C417, Reference_Data!A:D, 3, FALSE), "XXX")</f>
        <v>GBP</v>
      </c>
      <c r="E417" t="str">
        <f>IFERROR(VLOOKUP(FO_Capture!C417, Reference_Data!A:D, 4, FALSE), "MISSING SSI")</f>
        <v>Citi A/C 703401</v>
      </c>
      <c r="F417">
        <f>FO_Capture!D417</f>
        <v>290</v>
      </c>
      <c r="G417">
        <f>FO_Capture!E417</f>
        <v>264.95999145507813</v>
      </c>
      <c r="H417">
        <f t="shared" si="12"/>
        <v>76838.397521972656</v>
      </c>
      <c r="I417" t="str">
        <f t="shared" si="13"/>
        <v>Pass - Ready for Confirmation</v>
      </c>
    </row>
    <row r="418" spans="1:9" x14ac:dyDescent="0.3">
      <c r="A418" t="str">
        <f>FO_Capture!A418</f>
        <v>TRD00417</v>
      </c>
      <c r="B418" t="str">
        <f>FO_Capture!B418</f>
        <v>INE009A0100</v>
      </c>
      <c r="C418" t="str">
        <f>IFERROR(VLOOKUP(FO_Capture!C418, Reference_Data!A:D, 2, FALSE), "UNKNOWN")</f>
        <v>Alpha Capital 7</v>
      </c>
      <c r="D418" t="str">
        <f>IFERROR(VLOOKUP(FO_Capture!C418, Reference_Data!A:D, 3, FALSE), "XXX")</f>
        <v>INR</v>
      </c>
      <c r="E418" t="str">
        <f>IFERROR(VLOOKUP(FO_Capture!C418, Reference_Data!A:D, 4, FALSE), "MISSING SSI")</f>
        <v>Standard Chartered A/C 682134</v>
      </c>
      <c r="F418">
        <f>FO_Capture!D418</f>
        <v>200</v>
      </c>
      <c r="G418">
        <f>FO_Capture!E418</f>
        <v>229.78999328613281</v>
      </c>
      <c r="H418">
        <f t="shared" si="12"/>
        <v>45957.998657226563</v>
      </c>
      <c r="I418" t="str">
        <f t="shared" si="13"/>
        <v>Pass - Ready for Confirmation</v>
      </c>
    </row>
    <row r="419" spans="1:9" x14ac:dyDescent="0.3">
      <c r="A419" t="str">
        <f>FO_Capture!A419</f>
        <v>TRD00418</v>
      </c>
      <c r="B419" t="str">
        <f>FO_Capture!B419</f>
        <v>INE004A01087</v>
      </c>
      <c r="C419" t="str">
        <f>IFERROR(VLOOKUP(FO_Capture!C419, Reference_Data!A:D, 2, FALSE), "UNKNOWN")</f>
        <v>Alpha Quant Fund 27</v>
      </c>
      <c r="D419" t="str">
        <f>IFERROR(VLOOKUP(FO_Capture!C419, Reference_Data!A:D, 3, FALSE), "XXX")</f>
        <v>EUR</v>
      </c>
      <c r="E419" t="str">
        <f>IFERROR(VLOOKUP(FO_Capture!C419, Reference_Data!A:D, 4, FALSE), "MISSING SSI")</f>
        <v>Standard Chartered A/C 331839</v>
      </c>
      <c r="F419">
        <f>FO_Capture!D419</f>
        <v>280</v>
      </c>
      <c r="G419">
        <f>FO_Capture!E419</f>
        <v>127.76999664306641</v>
      </c>
      <c r="H419">
        <f t="shared" si="12"/>
        <v>35775.599060058594</v>
      </c>
      <c r="I419" t="str">
        <f t="shared" si="13"/>
        <v>Pass - Ready for Confirmation</v>
      </c>
    </row>
    <row r="420" spans="1:9" x14ac:dyDescent="0.3">
      <c r="A420" t="str">
        <f>FO_Capture!A420</f>
        <v>TRD00419</v>
      </c>
      <c r="B420" t="str">
        <f>FO_Capture!B420</f>
        <v>INE007A01057</v>
      </c>
      <c r="C420" t="str">
        <f>IFERROR(VLOOKUP(FO_Capture!C420, Reference_Data!A:D, 2, FALSE), "UNKNOWN")</f>
        <v>Alpha Capital 33</v>
      </c>
      <c r="D420" t="str">
        <f>IFERROR(VLOOKUP(FO_Capture!C420, Reference_Data!A:D, 3, FALSE), "XXX")</f>
        <v>JPY</v>
      </c>
      <c r="E420" t="str">
        <f>IFERROR(VLOOKUP(FO_Capture!C420, Reference_Data!A:D, 4, FALSE), "MISSING SSI")</f>
        <v>HSBC A/C 172861</v>
      </c>
      <c r="F420">
        <f>FO_Capture!D420</f>
        <v>280</v>
      </c>
      <c r="G420">
        <f>FO_Capture!E420</f>
        <v>443.510009765625</v>
      </c>
      <c r="H420">
        <f t="shared" si="12"/>
        <v>124182.802734375</v>
      </c>
      <c r="I420" t="str">
        <f t="shared" si="13"/>
        <v>Pass - Ready for Confirmation</v>
      </c>
    </row>
    <row r="421" spans="1:9" x14ac:dyDescent="0.3">
      <c r="A421" t="str">
        <f>FO_Capture!A421</f>
        <v>TRD00420</v>
      </c>
      <c r="B421" t="str">
        <f>FO_Capture!B421</f>
        <v>INE003A01082</v>
      </c>
      <c r="C421" t="str">
        <f>IFERROR(VLOOKUP(FO_Capture!C421, Reference_Data!A:D, 2, FALSE), "UNKNOWN")</f>
        <v>Alpha Partners 1</v>
      </c>
      <c r="D421" t="str">
        <f>IFERROR(VLOOKUP(FO_Capture!C421, Reference_Data!A:D, 3, FALSE), "XXX")</f>
        <v>JPY</v>
      </c>
      <c r="E421" t="str">
        <f>IFERROR(VLOOKUP(FO_Capture!C421, Reference_Data!A:D, 4, FALSE), "MISSING SSI")</f>
        <v>Standard Chartered A/C 277005</v>
      </c>
      <c r="F421">
        <f>FO_Capture!D421</f>
        <v>100</v>
      </c>
      <c r="G421">
        <f>FO_Capture!E421</f>
        <v>263.20001220703125</v>
      </c>
      <c r="H421">
        <f t="shared" si="12"/>
        <v>26320.001220703125</v>
      </c>
      <c r="I421" t="str">
        <f t="shared" si="13"/>
        <v>Pass - Ready for Confirmation</v>
      </c>
    </row>
    <row r="422" spans="1:9" x14ac:dyDescent="0.3">
      <c r="A422" t="str">
        <f>FO_Capture!A422</f>
        <v>TRD00421</v>
      </c>
      <c r="B422" t="str">
        <f>FO_Capture!B422</f>
        <v>INE002A01018</v>
      </c>
      <c r="C422" t="str">
        <f>IFERROR(VLOOKUP(FO_Capture!C422, Reference_Data!A:D, 2, FALSE), "UNKNOWN")</f>
        <v>Alpha Investments 29</v>
      </c>
      <c r="D422" t="str">
        <f>IFERROR(VLOOKUP(FO_Capture!C422, Reference_Data!A:D, 3, FALSE), "XXX")</f>
        <v>INR</v>
      </c>
      <c r="E422" t="str">
        <f>IFERROR(VLOOKUP(FO_Capture!C422, Reference_Data!A:D, 4, FALSE), "MISSING SSI")</f>
        <v>HSBC A/C 785870</v>
      </c>
      <c r="F422">
        <f>FO_Capture!D422</f>
        <v>10</v>
      </c>
      <c r="G422">
        <f>FO_Capture!E422</f>
        <v>24.569999694824219</v>
      </c>
      <c r="H422">
        <f t="shared" si="12"/>
        <v>245.69999694824219</v>
      </c>
      <c r="I422" t="str">
        <f t="shared" si="13"/>
        <v>Pass - Ready for Confirmation</v>
      </c>
    </row>
    <row r="423" spans="1:9" x14ac:dyDescent="0.3">
      <c r="A423" t="str">
        <f>FO_Capture!A423</f>
        <v>TRD00422</v>
      </c>
      <c r="B423" t="str">
        <f>FO_Capture!B423</f>
        <v>INE003A01051</v>
      </c>
      <c r="C423" t="str">
        <f>IFERROR(VLOOKUP(FO_Capture!C423, Reference_Data!A:D, 2, FALSE), "UNKNOWN")</f>
        <v>Alpha Asset Management 13</v>
      </c>
      <c r="D423" t="str">
        <f>IFERROR(VLOOKUP(FO_Capture!C423, Reference_Data!A:D, 3, FALSE), "XXX")</f>
        <v>INR</v>
      </c>
      <c r="E423" t="str">
        <f>IFERROR(VLOOKUP(FO_Capture!C423, Reference_Data!A:D, 4, FALSE), "MISSING SSI")</f>
        <v>HSBC A/C 972195</v>
      </c>
      <c r="F423">
        <f>FO_Capture!D423</f>
        <v>400</v>
      </c>
      <c r="G423">
        <f>FO_Capture!E423</f>
        <v>266.94000244140625</v>
      </c>
      <c r="H423">
        <f t="shared" si="12"/>
        <v>106776.0009765625</v>
      </c>
      <c r="I423" t="str">
        <f t="shared" si="13"/>
        <v>Pass - Ready for Confirmation</v>
      </c>
    </row>
    <row r="424" spans="1:9" x14ac:dyDescent="0.3">
      <c r="A424" t="str">
        <f>FO_Capture!A424</f>
        <v>TRD00423</v>
      </c>
      <c r="B424" t="str">
        <f>FO_Capture!B424</f>
        <v>INE008A01053</v>
      </c>
      <c r="C424" t="str">
        <f>IFERROR(VLOOKUP(FO_Capture!C424, Reference_Data!A:D, 2, FALSE), "UNKNOWN")</f>
        <v>Alpha Partners 22</v>
      </c>
      <c r="D424" t="str">
        <f>IFERROR(VLOOKUP(FO_Capture!C424, Reference_Data!A:D, 3, FALSE), "XXX")</f>
        <v>GBP</v>
      </c>
      <c r="E424" t="str">
        <f>IFERROR(VLOOKUP(FO_Capture!C424, Reference_Data!A:D, 4, FALSE), "MISSING SSI")</f>
        <v>JPMorgan A/C 488546</v>
      </c>
      <c r="F424">
        <f>FO_Capture!D424</f>
        <v>70</v>
      </c>
      <c r="G424">
        <f>FO_Capture!E424</f>
        <v>381.17001342773438</v>
      </c>
      <c r="H424">
        <f t="shared" si="12"/>
        <v>26681.900939941406</v>
      </c>
      <c r="I424" t="str">
        <f t="shared" si="13"/>
        <v>Pass - Ready for Confirmation</v>
      </c>
    </row>
    <row r="425" spans="1:9" x14ac:dyDescent="0.3">
      <c r="A425" t="str">
        <f>FO_Capture!A425</f>
        <v>TRD00424</v>
      </c>
      <c r="B425" t="str">
        <f>FO_Capture!B425</f>
        <v>INE009A01028</v>
      </c>
      <c r="C425" t="str">
        <f>IFERROR(VLOOKUP(FO_Capture!C425, Reference_Data!A:D, 2, FALSE), "UNKNOWN")</f>
        <v>Alpha Global 20</v>
      </c>
      <c r="D425" t="str">
        <f>IFERROR(VLOOKUP(FO_Capture!C425, Reference_Data!A:D, 3, FALSE), "XXX")</f>
        <v>JPY</v>
      </c>
      <c r="E425" t="str">
        <f>IFERROR(VLOOKUP(FO_Capture!C425, Reference_Data!A:D, 4, FALSE), "MISSING SSI")</f>
        <v>Barclays A/C 560891</v>
      </c>
      <c r="F425">
        <f>FO_Capture!D425</f>
        <v>430</v>
      </c>
      <c r="G425">
        <f>FO_Capture!E425</f>
        <v>359.70001220703125</v>
      </c>
      <c r="H425">
        <f t="shared" si="12"/>
        <v>154671.00524902344</v>
      </c>
      <c r="I425" t="str">
        <f t="shared" si="13"/>
        <v>Pass - Ready for Confirmation</v>
      </c>
    </row>
    <row r="426" spans="1:9" x14ac:dyDescent="0.3">
      <c r="A426" t="str">
        <f>FO_Capture!A426</f>
        <v>TRD00425</v>
      </c>
      <c r="B426" t="str">
        <f>FO_Capture!B426</f>
        <v>INE002A01062</v>
      </c>
      <c r="C426" t="str">
        <f>IFERROR(VLOOKUP(FO_Capture!C426, Reference_Data!A:D, 2, FALSE), "UNKNOWN")</f>
        <v>Alpha Holdings 47</v>
      </c>
      <c r="D426" t="str">
        <f>IFERROR(VLOOKUP(FO_Capture!C426, Reference_Data!A:D, 3, FALSE), "XXX")</f>
        <v>GBP</v>
      </c>
      <c r="E426" t="str">
        <f>IFERROR(VLOOKUP(FO_Capture!C426, Reference_Data!A:D, 4, FALSE), "MISSING SSI")</f>
        <v>Citi A/C 703401</v>
      </c>
      <c r="F426">
        <f>FO_Capture!D426</f>
        <v>290</v>
      </c>
      <c r="G426">
        <f>FO_Capture!E426</f>
        <v>46.520000457763672</v>
      </c>
      <c r="H426">
        <f t="shared" si="12"/>
        <v>13490.800132751465</v>
      </c>
      <c r="I426" t="str">
        <f t="shared" si="13"/>
        <v>Pass - Ready for Confirmation</v>
      </c>
    </row>
    <row r="427" spans="1:9" x14ac:dyDescent="0.3">
      <c r="A427" t="str">
        <f>FO_Capture!A427</f>
        <v>TRD00426</v>
      </c>
      <c r="B427" t="str">
        <f>FO_Capture!B427</f>
        <v>INE001A01073</v>
      </c>
      <c r="C427" t="str">
        <f>IFERROR(VLOOKUP(FO_Capture!C427, Reference_Data!A:D, 2, FALSE), "UNKNOWN")</f>
        <v>Alpha Investments 40</v>
      </c>
      <c r="D427" t="str">
        <f>IFERROR(VLOOKUP(FO_Capture!C427, Reference_Data!A:D, 3, FALSE), "XXX")</f>
        <v>GBP</v>
      </c>
      <c r="E427" t="str">
        <f>IFERROR(VLOOKUP(FO_Capture!C427, Reference_Data!A:D, 4, FALSE), "MISSING SSI")</f>
        <v>HDFC A/C 897530</v>
      </c>
      <c r="F427">
        <f>FO_Capture!D427</f>
        <v>70</v>
      </c>
      <c r="G427">
        <f>FO_Capture!E427</f>
        <v>387.19000244140625</v>
      </c>
      <c r="H427">
        <f t="shared" si="12"/>
        <v>27103.300170898438</v>
      </c>
      <c r="I427" t="str">
        <f t="shared" si="13"/>
        <v>Pass - Ready for Confirmation</v>
      </c>
    </row>
    <row r="428" spans="1:9" x14ac:dyDescent="0.3">
      <c r="A428" t="str">
        <f>FO_Capture!A428</f>
        <v>TRD00427</v>
      </c>
      <c r="B428" t="str">
        <f>FO_Capture!B428</f>
        <v>INE003A01065</v>
      </c>
      <c r="C428" t="str">
        <f>IFERROR(VLOOKUP(FO_Capture!C428, Reference_Data!A:D, 2, FALSE), "UNKNOWN")</f>
        <v>Alpha Capital 7</v>
      </c>
      <c r="D428" t="str">
        <f>IFERROR(VLOOKUP(FO_Capture!C428, Reference_Data!A:D, 3, FALSE), "XXX")</f>
        <v>INR</v>
      </c>
      <c r="E428" t="str">
        <f>IFERROR(VLOOKUP(FO_Capture!C428, Reference_Data!A:D, 4, FALSE), "MISSING SSI")</f>
        <v>Standard Chartered A/C 682134</v>
      </c>
      <c r="F428">
        <f>FO_Capture!D428</f>
        <v>110</v>
      </c>
      <c r="G428">
        <f>FO_Capture!E428</f>
        <v>178.82000732421875</v>
      </c>
      <c r="H428">
        <f t="shared" si="12"/>
        <v>19670.200805664063</v>
      </c>
      <c r="I428" t="str">
        <f t="shared" si="13"/>
        <v>Pass - Ready for Confirmation</v>
      </c>
    </row>
    <row r="429" spans="1:9" x14ac:dyDescent="0.3">
      <c r="A429" t="str">
        <f>FO_Capture!A429</f>
        <v>TRD00428</v>
      </c>
      <c r="B429" t="str">
        <f>FO_Capture!B429</f>
        <v>INE006A01072</v>
      </c>
      <c r="C429" t="str">
        <f>IFERROR(VLOOKUP(FO_Capture!C429, Reference_Data!A:D, 2, FALSE), "UNKNOWN")</f>
        <v>Alpha Asset Management 5</v>
      </c>
      <c r="D429" t="str">
        <f>IFERROR(VLOOKUP(FO_Capture!C429, Reference_Data!A:D, 3, FALSE), "XXX")</f>
        <v>INR</v>
      </c>
      <c r="E429" t="str">
        <f>IFERROR(VLOOKUP(FO_Capture!C429, Reference_Data!A:D, 4, FALSE), "MISSING SSI")</f>
        <v>JPMorgan A/C 860462</v>
      </c>
      <c r="F429">
        <f>FO_Capture!D429</f>
        <v>340</v>
      </c>
      <c r="G429">
        <f>FO_Capture!E429</f>
        <v>320.10000610351563</v>
      </c>
      <c r="H429">
        <f t="shared" si="12"/>
        <v>108834.00207519531</v>
      </c>
      <c r="I429" t="str">
        <f t="shared" si="13"/>
        <v>Pass - Ready for Confirmation</v>
      </c>
    </row>
    <row r="430" spans="1:9" x14ac:dyDescent="0.3">
      <c r="A430" t="str">
        <f>FO_Capture!A430</f>
        <v>TRD00429</v>
      </c>
      <c r="B430" t="str">
        <f>FO_Capture!B430</f>
        <v>INE002A01012</v>
      </c>
      <c r="C430" t="str">
        <f>IFERROR(VLOOKUP(FO_Capture!C430, Reference_Data!A:D, 2, FALSE), "UNKNOWN")</f>
        <v>Alpha Asset Management 13</v>
      </c>
      <c r="D430" t="str">
        <f>IFERROR(VLOOKUP(FO_Capture!C430, Reference_Data!A:D, 3, FALSE), "XXX")</f>
        <v>INR</v>
      </c>
      <c r="E430" t="str">
        <f>IFERROR(VLOOKUP(FO_Capture!C430, Reference_Data!A:D, 4, FALSE), "MISSING SSI")</f>
        <v>HSBC A/C 972195</v>
      </c>
      <c r="F430">
        <f>FO_Capture!D430</f>
        <v>110</v>
      </c>
      <c r="G430">
        <f>FO_Capture!E430</f>
        <v>61.270000457763672</v>
      </c>
      <c r="H430">
        <f t="shared" si="12"/>
        <v>6739.7000503540039</v>
      </c>
      <c r="I430" t="str">
        <f t="shared" si="13"/>
        <v>Pass - Ready for Confirmation</v>
      </c>
    </row>
    <row r="431" spans="1:9" x14ac:dyDescent="0.3">
      <c r="A431" t="str">
        <f>FO_Capture!A431</f>
        <v>TRD00430</v>
      </c>
      <c r="B431" t="str">
        <f>FO_Capture!B431</f>
        <v>INE001A01034</v>
      </c>
      <c r="C431" t="str">
        <f>IFERROR(VLOOKUP(FO_Capture!C431, Reference_Data!A:D, 2, FALSE), "UNKNOWN")</f>
        <v>Alpha Asset Management 8</v>
      </c>
      <c r="D431" t="str">
        <f>IFERROR(VLOOKUP(FO_Capture!C431, Reference_Data!A:D, 3, FALSE), "XXX")</f>
        <v>GBP</v>
      </c>
      <c r="E431" t="str">
        <f>IFERROR(VLOOKUP(FO_Capture!C431, Reference_Data!A:D, 4, FALSE), "MISSING SSI")</f>
        <v>HDFC A/C 180445</v>
      </c>
      <c r="F431">
        <f>FO_Capture!D431</f>
        <v>370</v>
      </c>
      <c r="G431">
        <f>FO_Capture!E431</f>
        <v>254.13999938964844</v>
      </c>
      <c r="H431">
        <f t="shared" si="12"/>
        <v>94031.799774169922</v>
      </c>
      <c r="I431" t="str">
        <f t="shared" si="13"/>
        <v>Pass - Ready for Confirmation</v>
      </c>
    </row>
    <row r="432" spans="1:9" x14ac:dyDescent="0.3">
      <c r="A432" t="str">
        <f>FO_Capture!A432</f>
        <v>TRD00431</v>
      </c>
      <c r="B432" t="str">
        <f>FO_Capture!B432</f>
        <v>INE005A01071</v>
      </c>
      <c r="C432" t="str">
        <f>IFERROR(VLOOKUP(FO_Capture!C432, Reference_Data!A:D, 2, FALSE), "UNKNOWN")</f>
        <v>Alpha Holdings 41</v>
      </c>
      <c r="D432" t="str">
        <f>IFERROR(VLOOKUP(FO_Capture!C432, Reference_Data!A:D, 3, FALSE), "XXX")</f>
        <v>JPY</v>
      </c>
      <c r="E432" t="str">
        <f>IFERROR(VLOOKUP(FO_Capture!C432, Reference_Data!A:D, 4, FALSE), "MISSING SSI")</f>
        <v>HSBC A/C 468615</v>
      </c>
      <c r="F432">
        <f>FO_Capture!D432</f>
        <v>480</v>
      </c>
      <c r="G432">
        <f>FO_Capture!E432</f>
        <v>102.08000183105469</v>
      </c>
      <c r="H432">
        <f t="shared" si="12"/>
        <v>48998.40087890625</v>
      </c>
      <c r="I432" t="str">
        <f t="shared" si="13"/>
        <v>Pass - Ready for Confirmation</v>
      </c>
    </row>
    <row r="433" spans="1:9" x14ac:dyDescent="0.3">
      <c r="A433" t="str">
        <f>FO_Capture!A433</f>
        <v>TRD00432</v>
      </c>
      <c r="B433" t="str">
        <f>FO_Capture!B433</f>
        <v>INE008A01092</v>
      </c>
      <c r="C433" t="str">
        <f>IFERROR(VLOOKUP(FO_Capture!C433, Reference_Data!A:D, 2, FALSE), "UNKNOWN")</f>
        <v>Alpha Capital 7</v>
      </c>
      <c r="D433" t="str">
        <f>IFERROR(VLOOKUP(FO_Capture!C433, Reference_Data!A:D, 3, FALSE), "XXX")</f>
        <v>INR</v>
      </c>
      <c r="E433" t="str">
        <f>IFERROR(VLOOKUP(FO_Capture!C433, Reference_Data!A:D, 4, FALSE), "MISSING SSI")</f>
        <v>Standard Chartered A/C 682134</v>
      </c>
      <c r="F433">
        <f>FO_Capture!D433</f>
        <v>420</v>
      </c>
      <c r="G433">
        <f>FO_Capture!E433</f>
        <v>410.010009765625</v>
      </c>
      <c r="H433">
        <f t="shared" si="12"/>
        <v>172204.2041015625</v>
      </c>
      <c r="I433" t="str">
        <f t="shared" si="13"/>
        <v>Pass - Ready for Confirmation</v>
      </c>
    </row>
    <row r="434" spans="1:9" x14ac:dyDescent="0.3">
      <c r="A434" t="str">
        <f>FO_Capture!A434</f>
        <v>TRD00433</v>
      </c>
      <c r="B434" t="str">
        <f>FO_Capture!B434</f>
        <v>INE007A01044</v>
      </c>
      <c r="C434" t="str">
        <f>IFERROR(VLOOKUP(FO_Capture!C434, Reference_Data!A:D, 2, FALSE), "UNKNOWN")</f>
        <v>UNKNOWN</v>
      </c>
      <c r="D434" t="str">
        <f>IFERROR(VLOOKUP(FO_Capture!C434, Reference_Data!A:D, 3, FALSE), "XXX")</f>
        <v>XXX</v>
      </c>
      <c r="E434" t="str">
        <f>IFERROR(VLOOKUP(FO_Capture!C434, Reference_Data!A:D, 4, FALSE), "MISSING SSI")</f>
        <v>MISSING SSI</v>
      </c>
      <c r="F434">
        <f>FO_Capture!D434</f>
        <v>90</v>
      </c>
      <c r="G434">
        <f>FO_Capture!E434</f>
        <v>57.779998779296875</v>
      </c>
      <c r="H434">
        <f t="shared" si="12"/>
        <v>5200.1998901367188</v>
      </c>
      <c r="I434" t="str">
        <f t="shared" si="13"/>
        <v>Fail - Missing Ref Data</v>
      </c>
    </row>
    <row r="435" spans="1:9" x14ac:dyDescent="0.3">
      <c r="A435" t="str">
        <f>FO_Capture!A435</f>
        <v>TRD00434</v>
      </c>
      <c r="B435" t="str">
        <f>FO_Capture!B435</f>
        <v>INE006A01074</v>
      </c>
      <c r="C435" t="str">
        <f>IFERROR(VLOOKUP(FO_Capture!C435, Reference_Data!A:D, 2, FALSE), "UNKNOWN")</f>
        <v>Alpha Holdings 16</v>
      </c>
      <c r="D435" t="str">
        <f>IFERROR(VLOOKUP(FO_Capture!C435, Reference_Data!A:D, 3, FALSE), "XXX")</f>
        <v>USD</v>
      </c>
      <c r="E435" t="str">
        <f>IFERROR(VLOOKUP(FO_Capture!C435, Reference_Data!A:D, 4, FALSE), "MISSING SSI")</f>
        <v>Barclays A/C 197229</v>
      </c>
      <c r="F435">
        <f>FO_Capture!D435</f>
        <v>100</v>
      </c>
      <c r="G435">
        <f>FO_Capture!E435</f>
        <v>379.760009765625</v>
      </c>
      <c r="H435">
        <f t="shared" si="12"/>
        <v>37976.0009765625</v>
      </c>
      <c r="I435" t="str">
        <f t="shared" si="13"/>
        <v>Pass - Ready for Confirmation</v>
      </c>
    </row>
    <row r="436" spans="1:9" x14ac:dyDescent="0.3">
      <c r="A436" t="str">
        <f>FO_Capture!A436</f>
        <v>TRD00435</v>
      </c>
      <c r="B436" t="str">
        <f>FO_Capture!B436</f>
        <v>INE003A01085</v>
      </c>
      <c r="C436" t="str">
        <f>IFERROR(VLOOKUP(FO_Capture!C436, Reference_Data!A:D, 2, FALSE), "UNKNOWN")</f>
        <v>Alpha Asset Management 13</v>
      </c>
      <c r="D436" t="str">
        <f>IFERROR(VLOOKUP(FO_Capture!C436, Reference_Data!A:D, 3, FALSE), "XXX")</f>
        <v>INR</v>
      </c>
      <c r="E436" t="str">
        <f>IFERROR(VLOOKUP(FO_Capture!C436, Reference_Data!A:D, 4, FALSE), "MISSING SSI")</f>
        <v>HSBC A/C 972195</v>
      </c>
      <c r="F436">
        <f>FO_Capture!D436</f>
        <v>440</v>
      </c>
      <c r="G436">
        <f>FO_Capture!E436</f>
        <v>272.1099853515625</v>
      </c>
      <c r="H436">
        <f t="shared" si="12"/>
        <v>119728.3935546875</v>
      </c>
      <c r="I436" t="str">
        <f t="shared" si="13"/>
        <v>Pass - Ready for Confirmation</v>
      </c>
    </row>
    <row r="437" spans="1:9" x14ac:dyDescent="0.3">
      <c r="A437" t="str">
        <f>FO_Capture!A437</f>
        <v>TRD00436</v>
      </c>
      <c r="B437" t="str">
        <f>FO_Capture!B437</f>
        <v>INE008A01089</v>
      </c>
      <c r="C437" t="str">
        <f>IFERROR(VLOOKUP(FO_Capture!C437, Reference_Data!A:D, 2, FALSE), "UNKNOWN")</f>
        <v>Alpha Holdings 21</v>
      </c>
      <c r="D437" t="str">
        <f>IFERROR(VLOOKUP(FO_Capture!C437, Reference_Data!A:D, 3, FALSE), "XXX")</f>
        <v>SGD</v>
      </c>
      <c r="E437" t="str">
        <f>IFERROR(VLOOKUP(FO_Capture!C437, Reference_Data!A:D, 4, FALSE), "MISSING SSI")</f>
        <v>HSBC A/C 562956</v>
      </c>
      <c r="F437">
        <f>FO_Capture!D437</f>
        <v>40</v>
      </c>
      <c r="G437">
        <f>FO_Capture!E437</f>
        <v>247.77999877929688</v>
      </c>
      <c r="H437">
        <f t="shared" si="12"/>
        <v>9911.199951171875</v>
      </c>
      <c r="I437" t="str">
        <f t="shared" si="13"/>
        <v>Pass - Ready for Confirmation</v>
      </c>
    </row>
    <row r="438" spans="1:9" x14ac:dyDescent="0.3">
      <c r="A438" t="str">
        <f>FO_Capture!A438</f>
        <v>TRD00437</v>
      </c>
      <c r="B438" t="str">
        <f>FO_Capture!B438</f>
        <v>INE007A01010</v>
      </c>
      <c r="C438" t="str">
        <f>IFERROR(VLOOKUP(FO_Capture!C438, Reference_Data!A:D, 2, FALSE), "UNKNOWN")</f>
        <v>Alpha Capital 44</v>
      </c>
      <c r="D438" t="str">
        <f>IFERROR(VLOOKUP(FO_Capture!C438, Reference_Data!A:D, 3, FALSE), "XXX")</f>
        <v>INR</v>
      </c>
      <c r="E438" t="str">
        <f>IFERROR(VLOOKUP(FO_Capture!C438, Reference_Data!A:D, 4, FALSE), "MISSING SSI")</f>
        <v>Deutsche Bank A/C 428758</v>
      </c>
      <c r="F438">
        <f>FO_Capture!D438</f>
        <v>350</v>
      </c>
      <c r="G438">
        <f>FO_Capture!E438</f>
        <v>202.52999877929688</v>
      </c>
      <c r="H438">
        <f t="shared" si="12"/>
        <v>70885.499572753906</v>
      </c>
      <c r="I438" t="str">
        <f t="shared" si="13"/>
        <v>Pass - Ready for Confirmation</v>
      </c>
    </row>
    <row r="439" spans="1:9" x14ac:dyDescent="0.3">
      <c r="A439" t="str">
        <f>FO_Capture!A439</f>
        <v>TRD00438</v>
      </c>
      <c r="B439" t="str">
        <f>FO_Capture!B439</f>
        <v>INE003A01057</v>
      </c>
      <c r="C439" t="str">
        <f>IFERROR(VLOOKUP(FO_Capture!C439, Reference_Data!A:D, 2, FALSE), "UNKNOWN")</f>
        <v>Alpha Global 39</v>
      </c>
      <c r="D439" t="str">
        <f>IFERROR(VLOOKUP(FO_Capture!C439, Reference_Data!A:D, 3, FALSE), "XXX")</f>
        <v>SGD</v>
      </c>
      <c r="E439" t="str">
        <f>IFERROR(VLOOKUP(FO_Capture!C439, Reference_Data!A:D, 4, FALSE), "MISSING SSI")</f>
        <v>Deutsche Bank A/C 917029</v>
      </c>
      <c r="F439">
        <f>FO_Capture!D439</f>
        <v>110</v>
      </c>
      <c r="G439">
        <f>FO_Capture!E439</f>
        <v>164.91000366210938</v>
      </c>
      <c r="H439">
        <f t="shared" si="12"/>
        <v>18140.100402832031</v>
      </c>
      <c r="I439" t="str">
        <f t="shared" si="13"/>
        <v>Pass - Ready for Confirmation</v>
      </c>
    </row>
    <row r="440" spans="1:9" x14ac:dyDescent="0.3">
      <c r="A440" t="str">
        <f>FO_Capture!A440</f>
        <v>TRD00439</v>
      </c>
      <c r="B440" t="str">
        <f>FO_Capture!B440</f>
        <v>INE006A01084</v>
      </c>
      <c r="C440" t="str">
        <f>IFERROR(VLOOKUP(FO_Capture!C440, Reference_Data!A:D, 2, FALSE), "UNKNOWN")</f>
        <v>Alpha Capital 36</v>
      </c>
      <c r="D440" t="str">
        <f>IFERROR(VLOOKUP(FO_Capture!C440, Reference_Data!A:D, 3, FALSE), "XXX")</f>
        <v>JPY</v>
      </c>
      <c r="E440" t="str">
        <f>IFERROR(VLOOKUP(FO_Capture!C440, Reference_Data!A:D, 4, FALSE), "MISSING SSI")</f>
        <v>Citi A/C 359789</v>
      </c>
      <c r="F440">
        <f>FO_Capture!D440</f>
        <v>100</v>
      </c>
      <c r="G440">
        <f>FO_Capture!E440</f>
        <v>46.310001373291016</v>
      </c>
      <c r="H440">
        <f t="shared" si="12"/>
        <v>4631.0001373291016</v>
      </c>
      <c r="I440" t="str">
        <f t="shared" si="13"/>
        <v>Pass - Ready for Confirmation</v>
      </c>
    </row>
    <row r="441" spans="1:9" x14ac:dyDescent="0.3">
      <c r="A441" t="str">
        <f>FO_Capture!A441</f>
        <v>TRD00440</v>
      </c>
      <c r="B441" t="str">
        <f>FO_Capture!B441</f>
        <v>INE007A01031</v>
      </c>
      <c r="C441" t="str">
        <f>IFERROR(VLOOKUP(FO_Capture!C441, Reference_Data!A:D, 2, FALSE), "UNKNOWN")</f>
        <v>Alpha Investments 17</v>
      </c>
      <c r="D441" t="str">
        <f>IFERROR(VLOOKUP(FO_Capture!C441, Reference_Data!A:D, 3, FALSE), "XXX")</f>
        <v>USD</v>
      </c>
      <c r="E441" t="str">
        <f>IFERROR(VLOOKUP(FO_Capture!C441, Reference_Data!A:D, 4, FALSE), "MISSING SSI")</f>
        <v>HDFC A/C 113752</v>
      </c>
      <c r="F441">
        <f>FO_Capture!D441</f>
        <v>380</v>
      </c>
      <c r="G441">
        <f>FO_Capture!E441</f>
        <v>390.91000366210938</v>
      </c>
      <c r="H441">
        <f t="shared" si="12"/>
        <v>148545.80139160156</v>
      </c>
      <c r="I441" t="str">
        <f t="shared" si="13"/>
        <v>Pass - Ready for Confirmation</v>
      </c>
    </row>
    <row r="442" spans="1:9" x14ac:dyDescent="0.3">
      <c r="A442" t="str">
        <f>FO_Capture!A442</f>
        <v>TRD00441</v>
      </c>
      <c r="B442" t="str">
        <f>FO_Capture!B442</f>
        <v>INE001A01077</v>
      </c>
      <c r="C442" t="str">
        <f>IFERROR(VLOOKUP(FO_Capture!C442, Reference_Data!A:D, 2, FALSE), "UNKNOWN")</f>
        <v>Alpha Holdings 41</v>
      </c>
      <c r="D442" t="str">
        <f>IFERROR(VLOOKUP(FO_Capture!C442, Reference_Data!A:D, 3, FALSE), "XXX")</f>
        <v>JPY</v>
      </c>
      <c r="E442" t="str">
        <f>IFERROR(VLOOKUP(FO_Capture!C442, Reference_Data!A:D, 4, FALSE), "MISSING SSI")</f>
        <v>HSBC A/C 468615</v>
      </c>
      <c r="F442">
        <f>FO_Capture!D442</f>
        <v>60</v>
      </c>
      <c r="G442">
        <f>FO_Capture!E442</f>
        <v>125.70999908447266</v>
      </c>
      <c r="H442">
        <f t="shared" si="12"/>
        <v>7542.5999450683594</v>
      </c>
      <c r="I442" t="str">
        <f t="shared" si="13"/>
        <v>Pass - Ready for Confirmation</v>
      </c>
    </row>
    <row r="443" spans="1:9" x14ac:dyDescent="0.3">
      <c r="A443" t="str">
        <f>FO_Capture!A443</f>
        <v>TRD00442</v>
      </c>
      <c r="B443" t="str">
        <f>FO_Capture!B443</f>
        <v>INE004A01091</v>
      </c>
      <c r="C443" t="str">
        <f>IFERROR(VLOOKUP(FO_Capture!C443, Reference_Data!A:D, 2, FALSE), "UNKNOWN")</f>
        <v>Alpha Investments 17</v>
      </c>
      <c r="D443" t="str">
        <f>IFERROR(VLOOKUP(FO_Capture!C443, Reference_Data!A:D, 3, FALSE), "XXX")</f>
        <v>USD</v>
      </c>
      <c r="E443" t="str">
        <f>IFERROR(VLOOKUP(FO_Capture!C443, Reference_Data!A:D, 4, FALSE), "MISSING SSI")</f>
        <v>HDFC A/C 113752</v>
      </c>
      <c r="F443">
        <f>FO_Capture!D443</f>
        <v>50</v>
      </c>
      <c r="G443">
        <f>FO_Capture!E443</f>
        <v>310.54000854492188</v>
      </c>
      <c r="H443">
        <f t="shared" si="12"/>
        <v>15527.000427246094</v>
      </c>
      <c r="I443" t="str">
        <f t="shared" si="13"/>
        <v>Pass - Ready for Confirmation</v>
      </c>
    </row>
    <row r="444" spans="1:9" x14ac:dyDescent="0.3">
      <c r="A444" t="str">
        <f>FO_Capture!A444</f>
        <v>TRD00443</v>
      </c>
      <c r="B444" t="str">
        <f>FO_Capture!B444</f>
        <v>INE009A01080</v>
      </c>
      <c r="C444" t="str">
        <f>IFERROR(VLOOKUP(FO_Capture!C444, Reference_Data!A:D, 2, FALSE), "UNKNOWN")</f>
        <v>Alpha Global 28</v>
      </c>
      <c r="D444" t="str">
        <f>IFERROR(VLOOKUP(FO_Capture!C444, Reference_Data!A:D, 3, FALSE), "XXX")</f>
        <v>USD</v>
      </c>
      <c r="E444" t="str">
        <f>IFERROR(VLOOKUP(FO_Capture!C444, Reference_Data!A:D, 4, FALSE), "MISSING SSI")</f>
        <v>HDFC A/C 638209</v>
      </c>
      <c r="F444">
        <f>FO_Capture!D444</f>
        <v>270</v>
      </c>
      <c r="G444">
        <f>FO_Capture!E444</f>
        <v>388.010009765625</v>
      </c>
      <c r="H444">
        <f t="shared" si="12"/>
        <v>104762.70263671875</v>
      </c>
      <c r="I444" t="str">
        <f t="shared" si="13"/>
        <v>Pass - Ready for Confirmation</v>
      </c>
    </row>
    <row r="445" spans="1:9" x14ac:dyDescent="0.3">
      <c r="A445" t="str">
        <f>FO_Capture!A445</f>
        <v>TRD00444</v>
      </c>
      <c r="B445" t="str">
        <f>FO_Capture!B445</f>
        <v>INE005A01043</v>
      </c>
      <c r="C445" t="str">
        <f>IFERROR(VLOOKUP(FO_Capture!C445, Reference_Data!A:D, 2, FALSE), "UNKNOWN")</f>
        <v>Alpha Capital 10</v>
      </c>
      <c r="D445" t="str">
        <f>IFERROR(VLOOKUP(FO_Capture!C445, Reference_Data!A:D, 3, FALSE), "XXX")</f>
        <v>USD</v>
      </c>
      <c r="E445" t="str">
        <f>IFERROR(VLOOKUP(FO_Capture!C445, Reference_Data!A:D, 4, FALSE), "MISSING SSI")</f>
        <v>HDFC A/C 543407</v>
      </c>
      <c r="F445">
        <f>FO_Capture!D445</f>
        <v>450</v>
      </c>
      <c r="G445">
        <f>FO_Capture!E445</f>
        <v>433.57000732421875</v>
      </c>
      <c r="H445">
        <f t="shared" si="12"/>
        <v>195106.50329589844</v>
      </c>
      <c r="I445" t="str">
        <f t="shared" si="13"/>
        <v>Pass - Ready for Confirmation</v>
      </c>
    </row>
    <row r="446" spans="1:9" x14ac:dyDescent="0.3">
      <c r="A446" t="str">
        <f>FO_Capture!A446</f>
        <v>TRD00445</v>
      </c>
      <c r="B446" t="str">
        <f>FO_Capture!B446</f>
        <v>INE002A01014</v>
      </c>
      <c r="C446" t="str">
        <f>IFERROR(VLOOKUP(FO_Capture!C446, Reference_Data!A:D, 2, FALSE), "UNKNOWN")</f>
        <v>Alpha Global 25</v>
      </c>
      <c r="D446" t="str">
        <f>IFERROR(VLOOKUP(FO_Capture!C446, Reference_Data!A:D, 3, FALSE), "XXX")</f>
        <v>EUR</v>
      </c>
      <c r="E446" t="str">
        <f>IFERROR(VLOOKUP(FO_Capture!C446, Reference_Data!A:D, 4, FALSE), "MISSING SSI")</f>
        <v>Standard Chartered A/C 438949</v>
      </c>
      <c r="F446">
        <f>FO_Capture!D446</f>
        <v>360</v>
      </c>
      <c r="G446">
        <f>FO_Capture!E446</f>
        <v>405.45999145507813</v>
      </c>
      <c r="H446">
        <f t="shared" si="12"/>
        <v>145965.59692382813</v>
      </c>
      <c r="I446" t="str">
        <f t="shared" si="13"/>
        <v>Pass - Ready for Confirmation</v>
      </c>
    </row>
    <row r="447" spans="1:9" x14ac:dyDescent="0.3">
      <c r="A447" t="str">
        <f>FO_Capture!A447</f>
        <v>TRD00446</v>
      </c>
      <c r="B447" t="str">
        <f>FO_Capture!B447</f>
        <v>INE007A01017</v>
      </c>
      <c r="C447" t="str">
        <f>IFERROR(VLOOKUP(FO_Capture!C447, Reference_Data!A:D, 2, FALSE), "UNKNOWN")</f>
        <v>Alpha Capital 33</v>
      </c>
      <c r="D447" t="str">
        <f>IFERROR(VLOOKUP(FO_Capture!C447, Reference_Data!A:D, 3, FALSE), "XXX")</f>
        <v>JPY</v>
      </c>
      <c r="E447" t="str">
        <f>IFERROR(VLOOKUP(FO_Capture!C447, Reference_Data!A:D, 4, FALSE), "MISSING SSI")</f>
        <v>HSBC A/C 172861</v>
      </c>
      <c r="F447">
        <f>FO_Capture!D447</f>
        <v>40</v>
      </c>
      <c r="G447">
        <f>FO_Capture!E447</f>
        <v>394.760009765625</v>
      </c>
      <c r="H447">
        <f t="shared" si="12"/>
        <v>15790.400390625</v>
      </c>
      <c r="I447" t="str">
        <f t="shared" si="13"/>
        <v>Pass - Ready for Confirmation</v>
      </c>
    </row>
    <row r="448" spans="1:9" x14ac:dyDescent="0.3">
      <c r="A448" t="str">
        <f>FO_Capture!A448</f>
        <v>TRD00447</v>
      </c>
      <c r="B448" t="str">
        <f>FO_Capture!B448</f>
        <v>INE009A01017</v>
      </c>
      <c r="C448" t="str">
        <f>IFERROR(VLOOKUP(FO_Capture!C448, Reference_Data!A:D, 2, FALSE), "UNKNOWN")</f>
        <v>Alpha Holdings 23</v>
      </c>
      <c r="D448" t="str">
        <f>IFERROR(VLOOKUP(FO_Capture!C448, Reference_Data!A:D, 3, FALSE), "XXX")</f>
        <v>INR</v>
      </c>
      <c r="E448" t="str">
        <f>IFERROR(VLOOKUP(FO_Capture!C448, Reference_Data!A:D, 4, FALSE), "MISSING SSI")</f>
        <v>Deutsche Bank A/C 983712</v>
      </c>
      <c r="F448">
        <f>FO_Capture!D448</f>
        <v>100</v>
      </c>
      <c r="G448">
        <f>FO_Capture!E448</f>
        <v>375.33999633789063</v>
      </c>
      <c r="H448">
        <f t="shared" si="12"/>
        <v>37533.999633789063</v>
      </c>
      <c r="I448" t="str">
        <f t="shared" si="13"/>
        <v>Pass - Ready for Confirmation</v>
      </c>
    </row>
    <row r="449" spans="1:9" x14ac:dyDescent="0.3">
      <c r="A449" t="str">
        <f>FO_Capture!A449</f>
        <v>TRD00448</v>
      </c>
      <c r="B449" t="str">
        <f>FO_Capture!B449</f>
        <v>INE007A01067</v>
      </c>
      <c r="C449" t="str">
        <f>IFERROR(VLOOKUP(FO_Capture!C449, Reference_Data!A:D, 2, FALSE), "UNKNOWN")</f>
        <v>Alpha Capital 33</v>
      </c>
      <c r="D449" t="str">
        <f>IFERROR(VLOOKUP(FO_Capture!C449, Reference_Data!A:D, 3, FALSE), "XXX")</f>
        <v>JPY</v>
      </c>
      <c r="E449" t="str">
        <f>IFERROR(VLOOKUP(FO_Capture!C449, Reference_Data!A:D, 4, FALSE), "MISSING SSI")</f>
        <v>HSBC A/C 172861</v>
      </c>
      <c r="F449">
        <f>FO_Capture!D449</f>
        <v>410</v>
      </c>
      <c r="G449">
        <f>FO_Capture!E449</f>
        <v>453.8900146484375</v>
      </c>
      <c r="H449">
        <f t="shared" si="12"/>
        <v>186094.90600585938</v>
      </c>
      <c r="I449" t="str">
        <f t="shared" si="13"/>
        <v>Pass - Ready for Confirmation</v>
      </c>
    </row>
    <row r="450" spans="1:9" x14ac:dyDescent="0.3">
      <c r="A450" t="str">
        <f>FO_Capture!A450</f>
        <v>TRD00449</v>
      </c>
      <c r="B450" t="str">
        <f>FO_Capture!B450</f>
        <v>INE007A01060</v>
      </c>
      <c r="C450" t="str">
        <f>IFERROR(VLOOKUP(FO_Capture!C450, Reference_Data!A:D, 2, FALSE), "UNKNOWN")</f>
        <v>Alpha Quant Fund 27</v>
      </c>
      <c r="D450" t="str">
        <f>IFERROR(VLOOKUP(FO_Capture!C450, Reference_Data!A:D, 3, FALSE), "XXX")</f>
        <v>EUR</v>
      </c>
      <c r="E450" t="str">
        <f>IFERROR(VLOOKUP(FO_Capture!C450, Reference_Data!A:D, 4, FALSE), "MISSING SSI")</f>
        <v>Standard Chartered A/C 331839</v>
      </c>
      <c r="F450">
        <f>FO_Capture!D450</f>
        <v>390</v>
      </c>
      <c r="G450">
        <f>FO_Capture!E450</f>
        <v>119.91000366210938</v>
      </c>
      <c r="H450">
        <f t="shared" si="12"/>
        <v>46764.901428222656</v>
      </c>
      <c r="I450" t="str">
        <f t="shared" si="13"/>
        <v>Pass - Ready for Confirmation</v>
      </c>
    </row>
    <row r="451" spans="1:9" x14ac:dyDescent="0.3">
      <c r="A451" t="str">
        <f>FO_Capture!A451</f>
        <v>TRD00450</v>
      </c>
      <c r="B451" t="str">
        <f>FO_Capture!B451</f>
        <v>INE006A01075</v>
      </c>
      <c r="C451" t="str">
        <f>IFERROR(VLOOKUP(FO_Capture!C451, Reference_Data!A:D, 2, FALSE), "UNKNOWN")</f>
        <v>Alpha Holdings 21</v>
      </c>
      <c r="D451" t="str">
        <f>IFERROR(VLOOKUP(FO_Capture!C451, Reference_Data!A:D, 3, FALSE), "XXX")</f>
        <v>SGD</v>
      </c>
      <c r="E451" t="str">
        <f>IFERROR(VLOOKUP(FO_Capture!C451, Reference_Data!A:D, 4, FALSE), "MISSING SSI")</f>
        <v>HSBC A/C 562956</v>
      </c>
      <c r="F451">
        <f>FO_Capture!D451</f>
        <v>250</v>
      </c>
      <c r="G451">
        <f>FO_Capture!E451</f>
        <v>495.70999145507813</v>
      </c>
      <c r="H451">
        <f t="shared" ref="H451:H514" si="14">F451 * G451</f>
        <v>123927.49786376953</v>
      </c>
      <c r="I451" t="str">
        <f t="shared" ref="I451:I514" si="15">IF(C451="UNKNOWN", "Fail - Missing Ref Data", IF(OR(F451&lt;=0, G451&lt;=0), "Fail - Invalid Price/Qty", IF(H451&gt;1000000, "Exception - Limit Breach", "Pass - Ready for Confirmation")))</f>
        <v>Pass - Ready for Confirmation</v>
      </c>
    </row>
    <row r="452" spans="1:9" x14ac:dyDescent="0.3">
      <c r="A452" t="str">
        <f>FO_Capture!A452</f>
        <v>TRD00451</v>
      </c>
      <c r="B452" t="str">
        <f>FO_Capture!B452</f>
        <v>INE002A01034</v>
      </c>
      <c r="C452" t="str">
        <f>IFERROR(VLOOKUP(FO_Capture!C452, Reference_Data!A:D, 2, FALSE), "UNKNOWN")</f>
        <v>Alpha Asset Management 4</v>
      </c>
      <c r="D452" t="str">
        <f>IFERROR(VLOOKUP(FO_Capture!C452, Reference_Data!A:D, 3, FALSE), "XXX")</f>
        <v>JPY</v>
      </c>
      <c r="E452" t="str">
        <f>IFERROR(VLOOKUP(FO_Capture!C452, Reference_Data!A:D, 4, FALSE), "MISSING SSI")</f>
        <v>Deutsche Bank A/C 126543</v>
      </c>
      <c r="F452">
        <f>FO_Capture!D452</f>
        <v>230</v>
      </c>
      <c r="G452">
        <f>FO_Capture!E452</f>
        <v>86.430000305175781</v>
      </c>
      <c r="H452">
        <f t="shared" si="14"/>
        <v>19878.90007019043</v>
      </c>
      <c r="I452" t="str">
        <f t="shared" si="15"/>
        <v>Pass - Ready for Confirmation</v>
      </c>
    </row>
    <row r="453" spans="1:9" x14ac:dyDescent="0.3">
      <c r="A453" t="str">
        <f>FO_Capture!A453</f>
        <v>TRD00452</v>
      </c>
      <c r="B453" t="str">
        <f>FO_Capture!B453</f>
        <v>INE008A01045</v>
      </c>
      <c r="C453" t="str">
        <f>IFERROR(VLOOKUP(FO_Capture!C453, Reference_Data!A:D, 2, FALSE), "UNKNOWN")</f>
        <v>Alpha Partners 18</v>
      </c>
      <c r="D453" t="str">
        <f>IFERROR(VLOOKUP(FO_Capture!C453, Reference_Data!A:D, 3, FALSE), "XXX")</f>
        <v>INR</v>
      </c>
      <c r="E453" t="str">
        <f>IFERROR(VLOOKUP(FO_Capture!C453, Reference_Data!A:D, 4, FALSE), "MISSING SSI")</f>
        <v>JPMorgan A/C 704166</v>
      </c>
      <c r="F453">
        <f>FO_Capture!D453</f>
        <v>390</v>
      </c>
      <c r="G453">
        <f>FO_Capture!E453</f>
        <v>30</v>
      </c>
      <c r="H453">
        <f t="shared" si="14"/>
        <v>11700</v>
      </c>
      <c r="I453" t="str">
        <f t="shared" si="15"/>
        <v>Pass - Ready for Confirmation</v>
      </c>
    </row>
    <row r="454" spans="1:9" x14ac:dyDescent="0.3">
      <c r="A454" t="str">
        <f>FO_Capture!A454</f>
        <v>TRD00453</v>
      </c>
      <c r="B454" t="str">
        <f>FO_Capture!B454</f>
        <v>INE002A01056</v>
      </c>
      <c r="C454" t="str">
        <f>IFERROR(VLOOKUP(FO_Capture!C454, Reference_Data!A:D, 2, FALSE), "UNKNOWN")</f>
        <v>Alpha Asset Management 32</v>
      </c>
      <c r="D454" t="str">
        <f>IFERROR(VLOOKUP(FO_Capture!C454, Reference_Data!A:D, 3, FALSE), "XXX")</f>
        <v>INR</v>
      </c>
      <c r="E454" t="str">
        <f>IFERROR(VLOOKUP(FO_Capture!C454, Reference_Data!A:D, 4, FALSE), "MISSING SSI")</f>
        <v>Barclays A/C 302646</v>
      </c>
      <c r="F454">
        <f>FO_Capture!D454</f>
        <v>290</v>
      </c>
      <c r="G454">
        <f>FO_Capture!E454</f>
        <v>347.17001342773438</v>
      </c>
      <c r="H454">
        <f t="shared" si="14"/>
        <v>100679.30389404297</v>
      </c>
      <c r="I454" t="str">
        <f t="shared" si="15"/>
        <v>Pass - Ready for Confirmation</v>
      </c>
    </row>
    <row r="455" spans="1:9" x14ac:dyDescent="0.3">
      <c r="A455" t="str">
        <f>FO_Capture!A455</f>
        <v>TRD00454</v>
      </c>
      <c r="B455" t="str">
        <f>FO_Capture!B455</f>
        <v>INE007A0107</v>
      </c>
      <c r="C455" t="str">
        <f>IFERROR(VLOOKUP(FO_Capture!C455, Reference_Data!A:D, 2, FALSE), "UNKNOWN")</f>
        <v>Alpha Quant Fund 12</v>
      </c>
      <c r="D455" t="str">
        <f>IFERROR(VLOOKUP(FO_Capture!C455, Reference_Data!A:D, 3, FALSE), "XXX")</f>
        <v>EUR</v>
      </c>
      <c r="E455" t="str">
        <f>IFERROR(VLOOKUP(FO_Capture!C455, Reference_Data!A:D, 4, FALSE), "MISSING SSI")</f>
        <v>Deutsche Bank A/C 324710</v>
      </c>
      <c r="F455">
        <f>FO_Capture!D455</f>
        <v>290</v>
      </c>
      <c r="G455">
        <f>FO_Capture!E455</f>
        <v>191.50999450683594</v>
      </c>
      <c r="H455">
        <f t="shared" si="14"/>
        <v>55537.898406982422</v>
      </c>
      <c r="I455" t="str">
        <f t="shared" si="15"/>
        <v>Pass - Ready for Confirmation</v>
      </c>
    </row>
    <row r="456" spans="1:9" x14ac:dyDescent="0.3">
      <c r="A456" t="str">
        <f>FO_Capture!A456</f>
        <v>TRD00455</v>
      </c>
      <c r="B456" t="str">
        <f>FO_Capture!B456</f>
        <v>INE001A01071</v>
      </c>
      <c r="C456" t="str">
        <f>IFERROR(VLOOKUP(FO_Capture!C456, Reference_Data!A:D, 2, FALSE), "UNKNOWN")</f>
        <v>Alpha Partners 3</v>
      </c>
      <c r="D456" t="str">
        <f>IFERROR(VLOOKUP(FO_Capture!C456, Reference_Data!A:D, 3, FALSE), "XXX")</f>
        <v>USD</v>
      </c>
      <c r="E456" t="str">
        <f>IFERROR(VLOOKUP(FO_Capture!C456, Reference_Data!A:D, 4, FALSE), "MISSING SSI")</f>
        <v>Citi A/C 508769</v>
      </c>
      <c r="F456">
        <f>FO_Capture!D456</f>
        <v>310</v>
      </c>
      <c r="G456">
        <f>FO_Capture!E456</f>
        <v>99.389999389648438</v>
      </c>
      <c r="H456">
        <f t="shared" si="14"/>
        <v>30810.899810791016</v>
      </c>
      <c r="I456" t="str">
        <f t="shared" si="15"/>
        <v>Pass - Ready for Confirmation</v>
      </c>
    </row>
    <row r="457" spans="1:9" x14ac:dyDescent="0.3">
      <c r="A457" t="str">
        <f>FO_Capture!A457</f>
        <v>TRD00456</v>
      </c>
      <c r="B457" t="str">
        <f>FO_Capture!B457</f>
        <v>INE003A01016</v>
      </c>
      <c r="C457" t="str">
        <f>IFERROR(VLOOKUP(FO_Capture!C457, Reference_Data!A:D, 2, FALSE), "UNKNOWN")</f>
        <v>Alpha Holdings 49</v>
      </c>
      <c r="D457" t="str">
        <f>IFERROR(VLOOKUP(FO_Capture!C457, Reference_Data!A:D, 3, FALSE), "XXX")</f>
        <v>JPY</v>
      </c>
      <c r="E457" t="str">
        <f>IFERROR(VLOOKUP(FO_Capture!C457, Reference_Data!A:D, 4, FALSE), "MISSING SSI")</f>
        <v>HDFC A/C 679335</v>
      </c>
      <c r="F457">
        <f>FO_Capture!D457</f>
        <v>30</v>
      </c>
      <c r="G457">
        <f>FO_Capture!E457</f>
        <v>240.00999450683594</v>
      </c>
      <c r="H457">
        <f t="shared" si="14"/>
        <v>7200.2998352050781</v>
      </c>
      <c r="I457" t="str">
        <f t="shared" si="15"/>
        <v>Pass - Ready for Confirmation</v>
      </c>
    </row>
    <row r="458" spans="1:9" x14ac:dyDescent="0.3">
      <c r="A458" t="str">
        <f>FO_Capture!A458</f>
        <v>TRD00457</v>
      </c>
      <c r="B458" t="str">
        <f>FO_Capture!B458</f>
        <v>INE001A01044</v>
      </c>
      <c r="C458" t="str">
        <f>IFERROR(VLOOKUP(FO_Capture!C458, Reference_Data!A:D, 2, FALSE), "UNKNOWN")</f>
        <v>Alpha Holdings 21</v>
      </c>
      <c r="D458" t="str">
        <f>IFERROR(VLOOKUP(FO_Capture!C458, Reference_Data!A:D, 3, FALSE), "XXX")</f>
        <v>SGD</v>
      </c>
      <c r="E458" t="str">
        <f>IFERROR(VLOOKUP(FO_Capture!C458, Reference_Data!A:D, 4, FALSE), "MISSING SSI")</f>
        <v>HSBC A/C 562956</v>
      </c>
      <c r="F458">
        <f>FO_Capture!D458</f>
        <v>200</v>
      </c>
      <c r="G458">
        <f>FO_Capture!E458</f>
        <v>165.3699951171875</v>
      </c>
      <c r="H458">
        <f t="shared" si="14"/>
        <v>33073.9990234375</v>
      </c>
      <c r="I458" t="str">
        <f t="shared" si="15"/>
        <v>Pass - Ready for Confirmation</v>
      </c>
    </row>
    <row r="459" spans="1:9" x14ac:dyDescent="0.3">
      <c r="A459" t="str">
        <f>FO_Capture!A459</f>
        <v>TRD00458</v>
      </c>
      <c r="B459" t="str">
        <f>FO_Capture!B459</f>
        <v>INE005A01051</v>
      </c>
      <c r="C459" t="str">
        <f>IFERROR(VLOOKUP(FO_Capture!C459, Reference_Data!A:D, 2, FALSE), "UNKNOWN")</f>
        <v>Alpha Investments 40</v>
      </c>
      <c r="D459" t="str">
        <f>IFERROR(VLOOKUP(FO_Capture!C459, Reference_Data!A:D, 3, FALSE), "XXX")</f>
        <v>GBP</v>
      </c>
      <c r="E459" t="str">
        <f>IFERROR(VLOOKUP(FO_Capture!C459, Reference_Data!A:D, 4, FALSE), "MISSING SSI")</f>
        <v>HDFC A/C 897530</v>
      </c>
      <c r="F459">
        <f>FO_Capture!D459</f>
        <v>320</v>
      </c>
      <c r="G459">
        <f>FO_Capture!E459</f>
        <v>60.279998779296875</v>
      </c>
      <c r="H459">
        <f t="shared" si="14"/>
        <v>19289.599609375</v>
      </c>
      <c r="I459" t="str">
        <f t="shared" si="15"/>
        <v>Pass - Ready for Confirmation</v>
      </c>
    </row>
    <row r="460" spans="1:9" x14ac:dyDescent="0.3">
      <c r="A460" t="str">
        <f>FO_Capture!A460</f>
        <v>TRD00459</v>
      </c>
      <c r="B460" t="str">
        <f>FO_Capture!B460</f>
        <v>INE001A01069</v>
      </c>
      <c r="C460" t="str">
        <f>IFERROR(VLOOKUP(FO_Capture!C460, Reference_Data!A:D, 2, FALSE), "UNKNOWN")</f>
        <v>Alpha Partners 3</v>
      </c>
      <c r="D460" t="str">
        <f>IFERROR(VLOOKUP(FO_Capture!C460, Reference_Data!A:D, 3, FALSE), "XXX")</f>
        <v>USD</v>
      </c>
      <c r="E460" t="str">
        <f>IFERROR(VLOOKUP(FO_Capture!C460, Reference_Data!A:D, 4, FALSE), "MISSING SSI")</f>
        <v>Citi A/C 508769</v>
      </c>
      <c r="F460">
        <f>FO_Capture!D460</f>
        <v>460</v>
      </c>
      <c r="G460">
        <f>FO_Capture!E460</f>
        <v>492.3699951171875</v>
      </c>
      <c r="H460">
        <f t="shared" si="14"/>
        <v>226490.19775390625</v>
      </c>
      <c r="I460" t="str">
        <f t="shared" si="15"/>
        <v>Pass - Ready for Confirmation</v>
      </c>
    </row>
    <row r="461" spans="1:9" x14ac:dyDescent="0.3">
      <c r="A461" t="str">
        <f>FO_Capture!A461</f>
        <v>TRD00460</v>
      </c>
      <c r="B461" t="str">
        <f>FO_Capture!B461</f>
        <v>INE007A01020</v>
      </c>
      <c r="C461" t="str">
        <f>IFERROR(VLOOKUP(FO_Capture!C461, Reference_Data!A:D, 2, FALSE), "UNKNOWN")</f>
        <v>Alpha Capital 7</v>
      </c>
      <c r="D461" t="str">
        <f>IFERROR(VLOOKUP(FO_Capture!C461, Reference_Data!A:D, 3, FALSE), "XXX")</f>
        <v>INR</v>
      </c>
      <c r="E461" t="str">
        <f>IFERROR(VLOOKUP(FO_Capture!C461, Reference_Data!A:D, 4, FALSE), "MISSING SSI")</f>
        <v>Standard Chartered A/C 682134</v>
      </c>
      <c r="F461">
        <f>FO_Capture!D461</f>
        <v>480</v>
      </c>
      <c r="G461">
        <f>FO_Capture!E461</f>
        <v>162.07000732421875</v>
      </c>
      <c r="H461">
        <f t="shared" si="14"/>
        <v>77793.603515625</v>
      </c>
      <c r="I461" t="str">
        <f t="shared" si="15"/>
        <v>Pass - Ready for Confirmation</v>
      </c>
    </row>
    <row r="462" spans="1:9" x14ac:dyDescent="0.3">
      <c r="A462" t="str">
        <f>FO_Capture!A462</f>
        <v>TRD00461</v>
      </c>
      <c r="B462" t="str">
        <f>FO_Capture!B462</f>
        <v>INE009A01064</v>
      </c>
      <c r="C462" t="str">
        <f>IFERROR(VLOOKUP(FO_Capture!C462, Reference_Data!A:D, 2, FALSE), "UNKNOWN")</f>
        <v>Alpha Quant Fund 27</v>
      </c>
      <c r="D462" t="str">
        <f>IFERROR(VLOOKUP(FO_Capture!C462, Reference_Data!A:D, 3, FALSE), "XXX")</f>
        <v>EUR</v>
      </c>
      <c r="E462" t="str">
        <f>IFERROR(VLOOKUP(FO_Capture!C462, Reference_Data!A:D, 4, FALSE), "MISSING SSI")</f>
        <v>Standard Chartered A/C 331839</v>
      </c>
      <c r="F462">
        <f>FO_Capture!D462</f>
        <v>260</v>
      </c>
      <c r="G462">
        <f>FO_Capture!E462</f>
        <v>152.63999938964844</v>
      </c>
      <c r="H462">
        <f t="shared" si="14"/>
        <v>39686.399841308594</v>
      </c>
      <c r="I462" t="str">
        <f t="shared" si="15"/>
        <v>Pass - Ready for Confirmation</v>
      </c>
    </row>
    <row r="463" spans="1:9" x14ac:dyDescent="0.3">
      <c r="A463" t="str">
        <f>FO_Capture!A463</f>
        <v>TRD00462</v>
      </c>
      <c r="B463" t="str">
        <f>FO_Capture!B463</f>
        <v>INE006A01051</v>
      </c>
      <c r="C463" t="str">
        <f>IFERROR(VLOOKUP(FO_Capture!C463, Reference_Data!A:D, 2, FALSE), "UNKNOWN")</f>
        <v>Alpha Partners 37</v>
      </c>
      <c r="D463" t="str">
        <f>IFERROR(VLOOKUP(FO_Capture!C463, Reference_Data!A:D, 3, FALSE), "XXX")</f>
        <v>JPY</v>
      </c>
      <c r="E463" t="str">
        <f>IFERROR(VLOOKUP(FO_Capture!C463, Reference_Data!A:D, 4, FALSE), "MISSING SSI")</f>
        <v>HSBC A/C 994063</v>
      </c>
      <c r="F463">
        <f>FO_Capture!D463</f>
        <v>470</v>
      </c>
      <c r="G463">
        <f>FO_Capture!E463</f>
        <v>180.14999389648438</v>
      </c>
      <c r="H463">
        <f t="shared" si="14"/>
        <v>84670.497131347656</v>
      </c>
      <c r="I463" t="str">
        <f t="shared" si="15"/>
        <v>Pass - Ready for Confirmation</v>
      </c>
    </row>
    <row r="464" spans="1:9" x14ac:dyDescent="0.3">
      <c r="A464" t="str">
        <f>FO_Capture!A464</f>
        <v>TRD00463</v>
      </c>
      <c r="B464" t="str">
        <f>FO_Capture!B464</f>
        <v>INE008A01070</v>
      </c>
      <c r="C464" t="str">
        <f>IFERROR(VLOOKUP(FO_Capture!C464, Reference_Data!A:D, 2, FALSE), "UNKNOWN")</f>
        <v>Alpha Capital 36</v>
      </c>
      <c r="D464" t="str">
        <f>IFERROR(VLOOKUP(FO_Capture!C464, Reference_Data!A:D, 3, FALSE), "XXX")</f>
        <v>JPY</v>
      </c>
      <c r="E464" t="str">
        <f>IFERROR(VLOOKUP(FO_Capture!C464, Reference_Data!A:D, 4, FALSE), "MISSING SSI")</f>
        <v>Citi A/C 359789</v>
      </c>
      <c r="F464">
        <f>FO_Capture!D464</f>
        <v>340</v>
      </c>
      <c r="G464">
        <f>FO_Capture!E464</f>
        <v>343.47000122070313</v>
      </c>
      <c r="H464">
        <f t="shared" si="14"/>
        <v>116779.80041503906</v>
      </c>
      <c r="I464" t="str">
        <f t="shared" si="15"/>
        <v>Pass - Ready for Confirmation</v>
      </c>
    </row>
    <row r="465" spans="1:9" x14ac:dyDescent="0.3">
      <c r="A465" t="str">
        <f>FO_Capture!A465</f>
        <v>TRD00464</v>
      </c>
      <c r="B465" t="str">
        <f>FO_Capture!B465</f>
        <v>INE007A0100</v>
      </c>
      <c r="C465" t="str">
        <f>IFERROR(VLOOKUP(FO_Capture!C465, Reference_Data!A:D, 2, FALSE), "UNKNOWN")</f>
        <v>Alpha Quant Fund 27</v>
      </c>
      <c r="D465" t="str">
        <f>IFERROR(VLOOKUP(FO_Capture!C465, Reference_Data!A:D, 3, FALSE), "XXX")</f>
        <v>EUR</v>
      </c>
      <c r="E465" t="str">
        <f>IFERROR(VLOOKUP(FO_Capture!C465, Reference_Data!A:D, 4, FALSE), "MISSING SSI")</f>
        <v>Standard Chartered A/C 331839</v>
      </c>
      <c r="F465">
        <f>FO_Capture!D465</f>
        <v>370</v>
      </c>
      <c r="G465">
        <f>FO_Capture!E465</f>
        <v>374.29000854492188</v>
      </c>
      <c r="H465">
        <f t="shared" si="14"/>
        <v>138487.30316162109</v>
      </c>
      <c r="I465" t="str">
        <f t="shared" si="15"/>
        <v>Pass - Ready for Confirmation</v>
      </c>
    </row>
    <row r="466" spans="1:9" x14ac:dyDescent="0.3">
      <c r="A466" t="str">
        <f>FO_Capture!A466</f>
        <v>TRD00465</v>
      </c>
      <c r="B466" t="str">
        <f>FO_Capture!B466</f>
        <v>INE003A01055</v>
      </c>
      <c r="C466" t="str">
        <f>IFERROR(VLOOKUP(FO_Capture!C466, Reference_Data!A:D, 2, FALSE), "UNKNOWN")</f>
        <v>Alpha Quant Fund 34</v>
      </c>
      <c r="D466" t="str">
        <f>IFERROR(VLOOKUP(FO_Capture!C466, Reference_Data!A:D, 3, FALSE), "XXX")</f>
        <v>JPY</v>
      </c>
      <c r="E466" t="str">
        <f>IFERROR(VLOOKUP(FO_Capture!C466, Reference_Data!A:D, 4, FALSE), "MISSING SSI")</f>
        <v>Citi A/C 837378</v>
      </c>
      <c r="F466">
        <f>FO_Capture!D466</f>
        <v>110</v>
      </c>
      <c r="G466">
        <f>FO_Capture!E466</f>
        <v>387.1099853515625</v>
      </c>
      <c r="H466">
        <f t="shared" si="14"/>
        <v>42582.098388671875</v>
      </c>
      <c r="I466" t="str">
        <f t="shared" si="15"/>
        <v>Pass - Ready for Confirmation</v>
      </c>
    </row>
    <row r="467" spans="1:9" x14ac:dyDescent="0.3">
      <c r="A467" t="str">
        <f>FO_Capture!A467</f>
        <v>TRD00466</v>
      </c>
      <c r="B467" t="str">
        <f>FO_Capture!B467</f>
        <v>INE004A01045</v>
      </c>
      <c r="C467" t="str">
        <f>IFERROR(VLOOKUP(FO_Capture!C467, Reference_Data!A:D, 2, FALSE), "UNKNOWN")</f>
        <v>Alpha Capital 36</v>
      </c>
      <c r="D467" t="str">
        <f>IFERROR(VLOOKUP(FO_Capture!C467, Reference_Data!A:D, 3, FALSE), "XXX")</f>
        <v>JPY</v>
      </c>
      <c r="E467" t="str">
        <f>IFERROR(VLOOKUP(FO_Capture!C467, Reference_Data!A:D, 4, FALSE), "MISSING SSI")</f>
        <v>Citi A/C 359789</v>
      </c>
      <c r="F467">
        <f>FO_Capture!D467</f>
        <v>390</v>
      </c>
      <c r="G467">
        <f>FO_Capture!E467</f>
        <v>129.24000549316406</v>
      </c>
      <c r="H467">
        <f t="shared" si="14"/>
        <v>50403.602142333984</v>
      </c>
      <c r="I467" t="str">
        <f t="shared" si="15"/>
        <v>Pass - Ready for Confirmation</v>
      </c>
    </row>
    <row r="468" spans="1:9" x14ac:dyDescent="0.3">
      <c r="A468" t="str">
        <f>FO_Capture!A468</f>
        <v>TRD00467</v>
      </c>
      <c r="B468" t="str">
        <f>FO_Capture!B468</f>
        <v>INE009A01013</v>
      </c>
      <c r="C468" t="str">
        <f>IFERROR(VLOOKUP(FO_Capture!C468, Reference_Data!A:D, 2, FALSE), "UNKNOWN")</f>
        <v>Alpha Partners 37</v>
      </c>
      <c r="D468" t="str">
        <f>IFERROR(VLOOKUP(FO_Capture!C468, Reference_Data!A:D, 3, FALSE), "XXX")</f>
        <v>JPY</v>
      </c>
      <c r="E468" t="str">
        <f>IFERROR(VLOOKUP(FO_Capture!C468, Reference_Data!A:D, 4, FALSE), "MISSING SSI")</f>
        <v>HSBC A/C 994063</v>
      </c>
      <c r="F468">
        <f>FO_Capture!D468</f>
        <v>80</v>
      </c>
      <c r="G468">
        <f>FO_Capture!E468</f>
        <v>230.82000732421875</v>
      </c>
      <c r="H468">
        <f t="shared" si="14"/>
        <v>18465.6005859375</v>
      </c>
      <c r="I468" t="str">
        <f t="shared" si="15"/>
        <v>Pass - Ready for Confirmation</v>
      </c>
    </row>
    <row r="469" spans="1:9" x14ac:dyDescent="0.3">
      <c r="A469" t="str">
        <f>FO_Capture!A469</f>
        <v>TRD00468</v>
      </c>
      <c r="B469" t="str">
        <f>FO_Capture!B469</f>
        <v>INE007A01093</v>
      </c>
      <c r="C469" t="str">
        <f>IFERROR(VLOOKUP(FO_Capture!C469, Reference_Data!A:D, 2, FALSE), "UNKNOWN")</f>
        <v>Alpha Investments 40</v>
      </c>
      <c r="D469" t="str">
        <f>IFERROR(VLOOKUP(FO_Capture!C469, Reference_Data!A:D, 3, FALSE), "XXX")</f>
        <v>GBP</v>
      </c>
      <c r="E469" t="str">
        <f>IFERROR(VLOOKUP(FO_Capture!C469, Reference_Data!A:D, 4, FALSE), "MISSING SSI")</f>
        <v>HDFC A/C 897530</v>
      </c>
      <c r="F469">
        <f>FO_Capture!D469</f>
        <v>350</v>
      </c>
      <c r="G469">
        <f>FO_Capture!E469</f>
        <v>454.79000854492188</v>
      </c>
      <c r="H469">
        <f t="shared" si="14"/>
        <v>159176.50299072266</v>
      </c>
      <c r="I469" t="str">
        <f t="shared" si="15"/>
        <v>Pass - Ready for Confirmation</v>
      </c>
    </row>
    <row r="470" spans="1:9" x14ac:dyDescent="0.3">
      <c r="A470" t="str">
        <f>FO_Capture!A470</f>
        <v>TRD00469</v>
      </c>
      <c r="B470" t="str">
        <f>FO_Capture!B470</f>
        <v>INE007A01060</v>
      </c>
      <c r="C470" t="str">
        <f>IFERROR(VLOOKUP(FO_Capture!C470, Reference_Data!A:D, 2, FALSE), "UNKNOWN")</f>
        <v>Alpha Quant Fund 24</v>
      </c>
      <c r="D470" t="str">
        <f>IFERROR(VLOOKUP(FO_Capture!C470, Reference_Data!A:D, 3, FALSE), "XXX")</f>
        <v>SGD</v>
      </c>
      <c r="E470" t="str">
        <f>IFERROR(VLOOKUP(FO_Capture!C470, Reference_Data!A:D, 4, FALSE), "MISSING SSI")</f>
        <v>JPMorgan A/C 603587</v>
      </c>
      <c r="F470">
        <f>FO_Capture!D470</f>
        <v>400</v>
      </c>
      <c r="G470">
        <f>FO_Capture!E470</f>
        <v>446.8900146484375</v>
      </c>
      <c r="H470">
        <f t="shared" si="14"/>
        <v>178756.005859375</v>
      </c>
      <c r="I470" t="str">
        <f t="shared" si="15"/>
        <v>Pass - Ready for Confirmation</v>
      </c>
    </row>
    <row r="471" spans="1:9" x14ac:dyDescent="0.3">
      <c r="A471" t="str">
        <f>FO_Capture!A471</f>
        <v>TRD00470</v>
      </c>
      <c r="B471" t="str">
        <f>FO_Capture!B471</f>
        <v>INE005A01075</v>
      </c>
      <c r="C471" t="str">
        <f>IFERROR(VLOOKUP(FO_Capture!C471, Reference_Data!A:D, 2, FALSE), "UNKNOWN")</f>
        <v>Alpha Holdings 21</v>
      </c>
      <c r="D471" t="str">
        <f>IFERROR(VLOOKUP(FO_Capture!C471, Reference_Data!A:D, 3, FALSE), "XXX")</f>
        <v>SGD</v>
      </c>
      <c r="E471" t="str">
        <f>IFERROR(VLOOKUP(FO_Capture!C471, Reference_Data!A:D, 4, FALSE), "MISSING SSI")</f>
        <v>HSBC A/C 562956</v>
      </c>
      <c r="F471">
        <f>FO_Capture!D471</f>
        <v>210</v>
      </c>
      <c r="G471">
        <f>FO_Capture!E471</f>
        <v>485.69000244140625</v>
      </c>
      <c r="H471">
        <f t="shared" si="14"/>
        <v>101994.90051269531</v>
      </c>
      <c r="I471" t="str">
        <f t="shared" si="15"/>
        <v>Pass - Ready for Confirmation</v>
      </c>
    </row>
    <row r="472" spans="1:9" x14ac:dyDescent="0.3">
      <c r="A472" t="str">
        <f>FO_Capture!A472</f>
        <v>TRD00471</v>
      </c>
      <c r="B472" t="str">
        <f>FO_Capture!B472</f>
        <v>INE008A01039</v>
      </c>
      <c r="C472" t="str">
        <f>IFERROR(VLOOKUP(FO_Capture!C472, Reference_Data!A:D, 2, FALSE), "UNKNOWN")</f>
        <v>Alpha Partners 37</v>
      </c>
      <c r="D472" t="str">
        <f>IFERROR(VLOOKUP(FO_Capture!C472, Reference_Data!A:D, 3, FALSE), "XXX")</f>
        <v>JPY</v>
      </c>
      <c r="E472" t="str">
        <f>IFERROR(VLOOKUP(FO_Capture!C472, Reference_Data!A:D, 4, FALSE), "MISSING SSI")</f>
        <v>HSBC A/C 994063</v>
      </c>
      <c r="F472">
        <f>FO_Capture!D472</f>
        <v>330</v>
      </c>
      <c r="G472">
        <f>FO_Capture!E472</f>
        <v>232.55999755859375</v>
      </c>
      <c r="H472">
        <f t="shared" si="14"/>
        <v>76744.799194335938</v>
      </c>
      <c r="I472" t="str">
        <f t="shared" si="15"/>
        <v>Pass - Ready for Confirmation</v>
      </c>
    </row>
    <row r="473" spans="1:9" x14ac:dyDescent="0.3">
      <c r="A473" t="str">
        <f>FO_Capture!A473</f>
        <v>TRD00472</v>
      </c>
      <c r="B473" t="str">
        <f>FO_Capture!B473</f>
        <v>INE004A01044</v>
      </c>
      <c r="C473" t="str">
        <f>IFERROR(VLOOKUP(FO_Capture!C473, Reference_Data!A:D, 2, FALSE), "UNKNOWN")</f>
        <v>Alpha Investments 29</v>
      </c>
      <c r="D473" t="str">
        <f>IFERROR(VLOOKUP(FO_Capture!C473, Reference_Data!A:D, 3, FALSE), "XXX")</f>
        <v>INR</v>
      </c>
      <c r="E473" t="str">
        <f>IFERROR(VLOOKUP(FO_Capture!C473, Reference_Data!A:D, 4, FALSE), "MISSING SSI")</f>
        <v>HSBC A/C 785870</v>
      </c>
      <c r="F473">
        <f>FO_Capture!D473</f>
        <v>60</v>
      </c>
      <c r="G473">
        <f>FO_Capture!E473</f>
        <v>481.70001220703125</v>
      </c>
      <c r="H473">
        <f t="shared" si="14"/>
        <v>28902.000732421875</v>
      </c>
      <c r="I473" t="str">
        <f t="shared" si="15"/>
        <v>Pass - Ready for Confirmation</v>
      </c>
    </row>
    <row r="474" spans="1:9" x14ac:dyDescent="0.3">
      <c r="A474" t="str">
        <f>FO_Capture!A474</f>
        <v>TRD00473</v>
      </c>
      <c r="B474" t="str">
        <f>FO_Capture!B474</f>
        <v>INE007A01019</v>
      </c>
      <c r="C474" t="str">
        <f>IFERROR(VLOOKUP(FO_Capture!C474, Reference_Data!A:D, 2, FALSE), "UNKNOWN")</f>
        <v>Alpha Global 30</v>
      </c>
      <c r="D474" t="str">
        <f>IFERROR(VLOOKUP(FO_Capture!C474, Reference_Data!A:D, 3, FALSE), "XXX")</f>
        <v>JPY</v>
      </c>
      <c r="E474" t="str">
        <f>IFERROR(VLOOKUP(FO_Capture!C474, Reference_Data!A:D, 4, FALSE), "MISSING SSI")</f>
        <v>Deutsche Bank A/C 917262</v>
      </c>
      <c r="F474">
        <f>FO_Capture!D474</f>
        <v>260</v>
      </c>
      <c r="G474">
        <f>FO_Capture!E474</f>
        <v>410.1099853515625</v>
      </c>
      <c r="H474">
        <f t="shared" si="14"/>
        <v>106628.59619140625</v>
      </c>
      <c r="I474" t="str">
        <f t="shared" si="15"/>
        <v>Pass - Ready for Confirmation</v>
      </c>
    </row>
    <row r="475" spans="1:9" x14ac:dyDescent="0.3">
      <c r="A475" t="str">
        <f>FO_Capture!A475</f>
        <v>TRD00474</v>
      </c>
      <c r="B475" t="str">
        <f>FO_Capture!B475</f>
        <v>INE004A01081</v>
      </c>
      <c r="C475" t="str">
        <f>IFERROR(VLOOKUP(FO_Capture!C475, Reference_Data!A:D, 2, FALSE), "UNKNOWN")</f>
        <v>Alpha Quant Fund 24</v>
      </c>
      <c r="D475" t="str">
        <f>IFERROR(VLOOKUP(FO_Capture!C475, Reference_Data!A:D, 3, FALSE), "XXX")</f>
        <v>SGD</v>
      </c>
      <c r="E475" t="str">
        <f>IFERROR(VLOOKUP(FO_Capture!C475, Reference_Data!A:D, 4, FALSE), "MISSING SSI")</f>
        <v>JPMorgan A/C 603587</v>
      </c>
      <c r="F475">
        <f>FO_Capture!D475</f>
        <v>90</v>
      </c>
      <c r="G475">
        <f>FO_Capture!E475</f>
        <v>327.60000610351563</v>
      </c>
      <c r="H475">
        <f t="shared" si="14"/>
        <v>29484.000549316406</v>
      </c>
      <c r="I475" t="str">
        <f t="shared" si="15"/>
        <v>Pass - Ready for Confirmation</v>
      </c>
    </row>
    <row r="476" spans="1:9" x14ac:dyDescent="0.3">
      <c r="A476" t="str">
        <f>FO_Capture!A476</f>
        <v>TRD00475</v>
      </c>
      <c r="B476" t="str">
        <f>FO_Capture!B476</f>
        <v>INE001A01089</v>
      </c>
      <c r="C476" t="str">
        <f>IFERROR(VLOOKUP(FO_Capture!C476, Reference_Data!A:D, 2, FALSE), "UNKNOWN")</f>
        <v>Alpha Partners 19</v>
      </c>
      <c r="D476" t="str">
        <f>IFERROR(VLOOKUP(FO_Capture!C476, Reference_Data!A:D, 3, FALSE), "XXX")</f>
        <v>INR</v>
      </c>
      <c r="E476" t="str">
        <f>IFERROR(VLOOKUP(FO_Capture!C476, Reference_Data!A:D, 4, FALSE), "MISSING SSI")</f>
        <v>Citi A/C 543819</v>
      </c>
      <c r="F476">
        <f>FO_Capture!D476</f>
        <v>220</v>
      </c>
      <c r="G476">
        <f>FO_Capture!E476</f>
        <v>426.79998779296875</v>
      </c>
      <c r="H476">
        <f t="shared" si="14"/>
        <v>93895.997314453125</v>
      </c>
      <c r="I476" t="str">
        <f t="shared" si="15"/>
        <v>Pass - Ready for Confirmation</v>
      </c>
    </row>
    <row r="477" spans="1:9" x14ac:dyDescent="0.3">
      <c r="A477" t="str">
        <f>FO_Capture!A477</f>
        <v>TRD00476</v>
      </c>
      <c r="B477" t="str">
        <f>FO_Capture!B477</f>
        <v>INE001A01091</v>
      </c>
      <c r="C477" t="str">
        <f>IFERROR(VLOOKUP(FO_Capture!C477, Reference_Data!A:D, 2, FALSE), "UNKNOWN")</f>
        <v>Alpha Global 28</v>
      </c>
      <c r="D477" t="str">
        <f>IFERROR(VLOOKUP(FO_Capture!C477, Reference_Data!A:D, 3, FALSE), "XXX")</f>
        <v>USD</v>
      </c>
      <c r="E477" t="str">
        <f>IFERROR(VLOOKUP(FO_Capture!C477, Reference_Data!A:D, 4, FALSE), "MISSING SSI")</f>
        <v>HDFC A/C 638209</v>
      </c>
      <c r="F477">
        <f>FO_Capture!D477</f>
        <v>130</v>
      </c>
      <c r="G477">
        <f>FO_Capture!E477</f>
        <v>33.150001525878906</v>
      </c>
      <c r="H477">
        <f t="shared" si="14"/>
        <v>4309.5001983642578</v>
      </c>
      <c r="I477" t="str">
        <f t="shared" si="15"/>
        <v>Pass - Ready for Confirmation</v>
      </c>
    </row>
    <row r="478" spans="1:9" x14ac:dyDescent="0.3">
      <c r="A478" t="str">
        <f>FO_Capture!A478</f>
        <v>TRD00477</v>
      </c>
      <c r="B478" t="str">
        <f>FO_Capture!B478</f>
        <v>INE008A01071</v>
      </c>
      <c r="C478" t="str">
        <f>IFERROR(VLOOKUP(FO_Capture!C478, Reference_Data!A:D, 2, FALSE), "UNKNOWN")</f>
        <v>Alpha Asset Management 35</v>
      </c>
      <c r="D478" t="str">
        <f>IFERROR(VLOOKUP(FO_Capture!C478, Reference_Data!A:D, 3, FALSE), "XXX")</f>
        <v>JPY</v>
      </c>
      <c r="E478" t="str">
        <f>IFERROR(VLOOKUP(FO_Capture!C478, Reference_Data!A:D, 4, FALSE), "MISSING SSI")</f>
        <v>HSBC A/C 604357</v>
      </c>
      <c r="F478">
        <f>FO_Capture!D478</f>
        <v>340</v>
      </c>
      <c r="G478">
        <f>FO_Capture!E478</f>
        <v>354.89999389648438</v>
      </c>
      <c r="H478">
        <f t="shared" si="14"/>
        <v>120665.99792480469</v>
      </c>
      <c r="I478" t="str">
        <f t="shared" si="15"/>
        <v>Pass - Ready for Confirmation</v>
      </c>
    </row>
    <row r="479" spans="1:9" x14ac:dyDescent="0.3">
      <c r="A479" t="str">
        <f>FO_Capture!A479</f>
        <v>TRD00478</v>
      </c>
      <c r="B479" t="str">
        <f>FO_Capture!B479</f>
        <v>INE007A0104</v>
      </c>
      <c r="C479" t="str">
        <f>IFERROR(VLOOKUP(FO_Capture!C479, Reference_Data!A:D, 2, FALSE), "UNKNOWN")</f>
        <v>Alpha Quant Fund 27</v>
      </c>
      <c r="D479" t="str">
        <f>IFERROR(VLOOKUP(FO_Capture!C479, Reference_Data!A:D, 3, FALSE), "XXX")</f>
        <v>EUR</v>
      </c>
      <c r="E479" t="str">
        <f>IFERROR(VLOOKUP(FO_Capture!C479, Reference_Data!A:D, 4, FALSE), "MISSING SSI")</f>
        <v>Standard Chartered A/C 331839</v>
      </c>
      <c r="F479">
        <f>FO_Capture!D479</f>
        <v>140</v>
      </c>
      <c r="G479">
        <f>FO_Capture!E479</f>
        <v>233.1199951171875</v>
      </c>
      <c r="H479">
        <f t="shared" si="14"/>
        <v>32636.79931640625</v>
      </c>
      <c r="I479" t="str">
        <f t="shared" si="15"/>
        <v>Pass - Ready for Confirmation</v>
      </c>
    </row>
    <row r="480" spans="1:9" x14ac:dyDescent="0.3">
      <c r="A480" t="str">
        <f>FO_Capture!A480</f>
        <v>TRD00479</v>
      </c>
      <c r="B480" t="str">
        <f>FO_Capture!B480</f>
        <v>INE002A0105</v>
      </c>
      <c r="C480" t="str">
        <f>IFERROR(VLOOKUP(FO_Capture!C480, Reference_Data!A:D, 2, FALSE), "UNKNOWN")</f>
        <v>Alpha Investments 17</v>
      </c>
      <c r="D480" t="str">
        <f>IFERROR(VLOOKUP(FO_Capture!C480, Reference_Data!A:D, 3, FALSE), "XXX")</f>
        <v>USD</v>
      </c>
      <c r="E480" t="str">
        <f>IFERROR(VLOOKUP(FO_Capture!C480, Reference_Data!A:D, 4, FALSE), "MISSING SSI")</f>
        <v>HDFC A/C 113752</v>
      </c>
      <c r="F480">
        <f>FO_Capture!D480</f>
        <v>390</v>
      </c>
      <c r="G480">
        <f>FO_Capture!E480</f>
        <v>391.67001342773438</v>
      </c>
      <c r="H480">
        <f t="shared" si="14"/>
        <v>152751.30523681641</v>
      </c>
      <c r="I480" t="str">
        <f t="shared" si="15"/>
        <v>Pass - Ready for Confirmation</v>
      </c>
    </row>
    <row r="481" spans="1:9" x14ac:dyDescent="0.3">
      <c r="A481" t="str">
        <f>FO_Capture!A481</f>
        <v>TRD00480</v>
      </c>
      <c r="B481" t="str">
        <f>FO_Capture!B481</f>
        <v>INE003A01075</v>
      </c>
      <c r="C481" t="str">
        <f>IFERROR(VLOOKUP(FO_Capture!C481, Reference_Data!A:D, 2, FALSE), "UNKNOWN")</f>
        <v>Alpha Partners 19</v>
      </c>
      <c r="D481" t="str">
        <f>IFERROR(VLOOKUP(FO_Capture!C481, Reference_Data!A:D, 3, FALSE), "XXX")</f>
        <v>INR</v>
      </c>
      <c r="E481" t="str">
        <f>IFERROR(VLOOKUP(FO_Capture!C481, Reference_Data!A:D, 4, FALSE), "MISSING SSI")</f>
        <v>Citi A/C 543819</v>
      </c>
      <c r="F481">
        <f>FO_Capture!D481</f>
        <v>210</v>
      </c>
      <c r="G481">
        <f>FO_Capture!E481</f>
        <v>187.25999450683594</v>
      </c>
      <c r="H481">
        <f t="shared" si="14"/>
        <v>39324.598846435547</v>
      </c>
      <c r="I481" t="str">
        <f t="shared" si="15"/>
        <v>Pass - Ready for Confirmation</v>
      </c>
    </row>
    <row r="482" spans="1:9" x14ac:dyDescent="0.3">
      <c r="A482" t="str">
        <f>FO_Capture!A482</f>
        <v>TRD00481</v>
      </c>
      <c r="B482" t="str">
        <f>FO_Capture!B482</f>
        <v>INE005A01058</v>
      </c>
      <c r="C482" t="str">
        <f>IFERROR(VLOOKUP(FO_Capture!C482, Reference_Data!A:D, 2, FALSE), "UNKNOWN")</f>
        <v>Alpha Holdings 21</v>
      </c>
      <c r="D482" t="str">
        <f>IFERROR(VLOOKUP(FO_Capture!C482, Reference_Data!A:D, 3, FALSE), "XXX")</f>
        <v>SGD</v>
      </c>
      <c r="E482" t="str">
        <f>IFERROR(VLOOKUP(FO_Capture!C482, Reference_Data!A:D, 4, FALSE), "MISSING SSI")</f>
        <v>HSBC A/C 562956</v>
      </c>
      <c r="F482">
        <f>FO_Capture!D482</f>
        <v>-50</v>
      </c>
      <c r="G482">
        <f>FO_Capture!E482</f>
        <v>317.07000732421875</v>
      </c>
      <c r="H482">
        <f t="shared" si="14"/>
        <v>-15853.500366210938</v>
      </c>
      <c r="I482" t="str">
        <f t="shared" si="15"/>
        <v>Fail - Invalid Price/Qty</v>
      </c>
    </row>
    <row r="483" spans="1:9" x14ac:dyDescent="0.3">
      <c r="A483" t="str">
        <f>FO_Capture!A483</f>
        <v>TRD00482</v>
      </c>
      <c r="B483" t="str">
        <f>FO_Capture!B483</f>
        <v>INE005A01069</v>
      </c>
      <c r="C483" t="str">
        <f>IFERROR(VLOOKUP(FO_Capture!C483, Reference_Data!A:D, 2, FALSE), "UNKNOWN")</f>
        <v>Alpha Investments 43</v>
      </c>
      <c r="D483" t="str">
        <f>IFERROR(VLOOKUP(FO_Capture!C483, Reference_Data!A:D, 3, FALSE), "XXX")</f>
        <v>EUR</v>
      </c>
      <c r="E483" t="str">
        <f>IFERROR(VLOOKUP(FO_Capture!C483, Reference_Data!A:D, 4, FALSE), "MISSING SSI")</f>
        <v>Citi A/C 714496</v>
      </c>
      <c r="F483">
        <f>FO_Capture!D483</f>
        <v>480</v>
      </c>
      <c r="G483">
        <f>FO_Capture!E483</f>
        <v>346.42999267578125</v>
      </c>
      <c r="H483">
        <f t="shared" si="14"/>
        <v>166286.396484375</v>
      </c>
      <c r="I483" t="str">
        <f t="shared" si="15"/>
        <v>Pass - Ready for Confirmation</v>
      </c>
    </row>
    <row r="484" spans="1:9" x14ac:dyDescent="0.3">
      <c r="A484" t="str">
        <f>FO_Capture!A484</f>
        <v>TRD00483</v>
      </c>
      <c r="B484" t="str">
        <f>FO_Capture!B484</f>
        <v>INE001A01053</v>
      </c>
      <c r="C484" t="str">
        <f>IFERROR(VLOOKUP(FO_Capture!C484, Reference_Data!A:D, 2, FALSE), "UNKNOWN")</f>
        <v>Alpha Asset Management 13</v>
      </c>
      <c r="D484" t="str">
        <f>IFERROR(VLOOKUP(FO_Capture!C484, Reference_Data!A:D, 3, FALSE), "XXX")</f>
        <v>INR</v>
      </c>
      <c r="E484" t="str">
        <f>IFERROR(VLOOKUP(FO_Capture!C484, Reference_Data!A:D, 4, FALSE), "MISSING SSI")</f>
        <v>HSBC A/C 972195</v>
      </c>
      <c r="F484">
        <f>FO_Capture!D484</f>
        <v>340</v>
      </c>
      <c r="G484">
        <f>FO_Capture!E484</f>
        <v>20.329999923706055</v>
      </c>
      <c r="H484">
        <f t="shared" si="14"/>
        <v>6912.1999740600586</v>
      </c>
      <c r="I484" t="str">
        <f t="shared" si="15"/>
        <v>Pass - Ready for Confirmation</v>
      </c>
    </row>
    <row r="485" spans="1:9" x14ac:dyDescent="0.3">
      <c r="A485" t="str">
        <f>FO_Capture!A485</f>
        <v>TRD00484</v>
      </c>
      <c r="B485" t="str">
        <f>FO_Capture!B485</f>
        <v>INE009A01038</v>
      </c>
      <c r="C485" t="str">
        <f>IFERROR(VLOOKUP(FO_Capture!C485, Reference_Data!A:D, 2, FALSE), "UNKNOWN")</f>
        <v>Alpha Partners 19</v>
      </c>
      <c r="D485" t="str">
        <f>IFERROR(VLOOKUP(FO_Capture!C485, Reference_Data!A:D, 3, FALSE), "XXX")</f>
        <v>INR</v>
      </c>
      <c r="E485" t="str">
        <f>IFERROR(VLOOKUP(FO_Capture!C485, Reference_Data!A:D, 4, FALSE), "MISSING SSI")</f>
        <v>Citi A/C 543819</v>
      </c>
      <c r="F485">
        <f>FO_Capture!D485</f>
        <v>340</v>
      </c>
      <c r="G485">
        <f>FO_Capture!E485</f>
        <v>326.30999755859375</v>
      </c>
      <c r="H485">
        <f t="shared" si="14"/>
        <v>110945.39916992188</v>
      </c>
      <c r="I485" t="str">
        <f t="shared" si="15"/>
        <v>Pass - Ready for Confirmation</v>
      </c>
    </row>
    <row r="486" spans="1:9" x14ac:dyDescent="0.3">
      <c r="A486" t="str">
        <f>FO_Capture!A486</f>
        <v>TRD00485</v>
      </c>
      <c r="B486" t="str">
        <f>FO_Capture!B486</f>
        <v>INE008A0102</v>
      </c>
      <c r="C486" t="str">
        <f>IFERROR(VLOOKUP(FO_Capture!C486, Reference_Data!A:D, 2, FALSE), "UNKNOWN")</f>
        <v>Alpha Capital 11</v>
      </c>
      <c r="D486" t="str">
        <f>IFERROR(VLOOKUP(FO_Capture!C486, Reference_Data!A:D, 3, FALSE), "XXX")</f>
        <v>USD</v>
      </c>
      <c r="E486" t="str">
        <f>IFERROR(VLOOKUP(FO_Capture!C486, Reference_Data!A:D, 4, FALSE), "MISSING SSI")</f>
        <v>JPMorgan A/C 987170</v>
      </c>
      <c r="F486">
        <f>FO_Capture!D486</f>
        <v>450</v>
      </c>
      <c r="G486">
        <f>FO_Capture!E486</f>
        <v>72.25</v>
      </c>
      <c r="H486">
        <f t="shared" si="14"/>
        <v>32512.5</v>
      </c>
      <c r="I486" t="str">
        <f t="shared" si="15"/>
        <v>Pass - Ready for Confirmation</v>
      </c>
    </row>
    <row r="487" spans="1:9" x14ac:dyDescent="0.3">
      <c r="A487" t="str">
        <f>FO_Capture!A487</f>
        <v>TRD00486</v>
      </c>
      <c r="B487" t="str">
        <f>FO_Capture!B487</f>
        <v>INE004A01097</v>
      </c>
      <c r="C487" t="str">
        <f>IFERROR(VLOOKUP(FO_Capture!C487, Reference_Data!A:D, 2, FALSE), "UNKNOWN")</f>
        <v>Alpha Asset Management 32</v>
      </c>
      <c r="D487" t="str">
        <f>IFERROR(VLOOKUP(FO_Capture!C487, Reference_Data!A:D, 3, FALSE), "XXX")</f>
        <v>INR</v>
      </c>
      <c r="E487" t="str">
        <f>IFERROR(VLOOKUP(FO_Capture!C487, Reference_Data!A:D, 4, FALSE), "MISSING SSI")</f>
        <v>Barclays A/C 302646</v>
      </c>
      <c r="F487">
        <f>FO_Capture!D487</f>
        <v>140</v>
      </c>
      <c r="G487">
        <f>FO_Capture!E487</f>
        <v>136.30999755859375</v>
      </c>
      <c r="H487">
        <f t="shared" si="14"/>
        <v>19083.399658203125</v>
      </c>
      <c r="I487" t="str">
        <f t="shared" si="15"/>
        <v>Pass - Ready for Confirmation</v>
      </c>
    </row>
    <row r="488" spans="1:9" x14ac:dyDescent="0.3">
      <c r="A488" t="str">
        <f>FO_Capture!A488</f>
        <v>TRD00487</v>
      </c>
      <c r="B488" t="str">
        <f>FO_Capture!B488</f>
        <v>INE007A0107</v>
      </c>
      <c r="C488" t="str">
        <f>IFERROR(VLOOKUP(FO_Capture!C488, Reference_Data!A:D, 2, FALSE), "UNKNOWN")</f>
        <v>Alpha Global 46</v>
      </c>
      <c r="D488" t="str">
        <f>IFERROR(VLOOKUP(FO_Capture!C488, Reference_Data!A:D, 3, FALSE), "XXX")</f>
        <v>USD</v>
      </c>
      <c r="E488" t="str">
        <f>IFERROR(VLOOKUP(FO_Capture!C488, Reference_Data!A:D, 4, FALSE), "MISSING SSI")</f>
        <v>Citi A/C 700450</v>
      </c>
      <c r="F488">
        <f>FO_Capture!D488</f>
        <v>80</v>
      </c>
      <c r="G488">
        <f>FO_Capture!E488</f>
        <v>216.97000122070313</v>
      </c>
      <c r="H488">
        <f t="shared" si="14"/>
        <v>17357.60009765625</v>
      </c>
      <c r="I488" t="str">
        <f t="shared" si="15"/>
        <v>Pass - Ready for Confirmation</v>
      </c>
    </row>
    <row r="489" spans="1:9" x14ac:dyDescent="0.3">
      <c r="A489" t="str">
        <f>FO_Capture!A489</f>
        <v>TRD00488</v>
      </c>
      <c r="B489" t="str">
        <f>FO_Capture!B489</f>
        <v>INE003A01086</v>
      </c>
      <c r="C489" t="str">
        <f>IFERROR(VLOOKUP(FO_Capture!C489, Reference_Data!A:D, 2, FALSE), "UNKNOWN")</f>
        <v>Alpha Capital 9</v>
      </c>
      <c r="D489" t="str">
        <f>IFERROR(VLOOKUP(FO_Capture!C489, Reference_Data!A:D, 3, FALSE), "XXX")</f>
        <v>JPY</v>
      </c>
      <c r="E489" t="str">
        <f>IFERROR(VLOOKUP(FO_Capture!C489, Reference_Data!A:D, 4, FALSE), "MISSING SSI")</f>
        <v>Citi A/C 744145</v>
      </c>
      <c r="F489">
        <f>FO_Capture!D489</f>
        <v>450</v>
      </c>
      <c r="G489">
        <f>FO_Capture!E489</f>
        <v>83.050003051757813</v>
      </c>
      <c r="H489">
        <f t="shared" si="14"/>
        <v>37372.501373291016</v>
      </c>
      <c r="I489" t="str">
        <f t="shared" si="15"/>
        <v>Pass - Ready for Confirmation</v>
      </c>
    </row>
    <row r="490" spans="1:9" x14ac:dyDescent="0.3">
      <c r="A490" t="str">
        <f>FO_Capture!A490</f>
        <v>TRD00489</v>
      </c>
      <c r="B490" t="str">
        <f>FO_Capture!B490</f>
        <v>INE009A01020</v>
      </c>
      <c r="C490" t="str">
        <f>IFERROR(VLOOKUP(FO_Capture!C490, Reference_Data!A:D, 2, FALSE), "UNKNOWN")</f>
        <v>Alpha Partners 1</v>
      </c>
      <c r="D490" t="str">
        <f>IFERROR(VLOOKUP(FO_Capture!C490, Reference_Data!A:D, 3, FALSE), "XXX")</f>
        <v>JPY</v>
      </c>
      <c r="E490" t="str">
        <f>IFERROR(VLOOKUP(FO_Capture!C490, Reference_Data!A:D, 4, FALSE), "MISSING SSI")</f>
        <v>Standard Chartered A/C 277005</v>
      </c>
      <c r="F490">
        <f>FO_Capture!D490</f>
        <v>110</v>
      </c>
      <c r="G490">
        <f>FO_Capture!E490</f>
        <v>323.6400146484375</v>
      </c>
      <c r="H490">
        <f t="shared" si="14"/>
        <v>35600.401611328125</v>
      </c>
      <c r="I490" t="str">
        <f t="shared" si="15"/>
        <v>Pass - Ready for Confirmation</v>
      </c>
    </row>
    <row r="491" spans="1:9" x14ac:dyDescent="0.3">
      <c r="A491" t="str">
        <f>FO_Capture!A491</f>
        <v>TRD00490</v>
      </c>
      <c r="B491" t="str">
        <f>FO_Capture!B491</f>
        <v>INE005A01069</v>
      </c>
      <c r="C491" t="str">
        <f>IFERROR(VLOOKUP(FO_Capture!C491, Reference_Data!A:D, 2, FALSE), "UNKNOWN")</f>
        <v>Alpha Holdings 41</v>
      </c>
      <c r="D491" t="str">
        <f>IFERROR(VLOOKUP(FO_Capture!C491, Reference_Data!A:D, 3, FALSE), "XXX")</f>
        <v>JPY</v>
      </c>
      <c r="E491" t="str">
        <f>IFERROR(VLOOKUP(FO_Capture!C491, Reference_Data!A:D, 4, FALSE), "MISSING SSI")</f>
        <v>HSBC A/C 468615</v>
      </c>
      <c r="F491">
        <f>FO_Capture!D491</f>
        <v>-50</v>
      </c>
      <c r="G491">
        <f>FO_Capture!E491</f>
        <v>192.02999877929688</v>
      </c>
      <c r="H491">
        <f t="shared" si="14"/>
        <v>-9601.4999389648438</v>
      </c>
      <c r="I491" t="str">
        <f t="shared" si="15"/>
        <v>Fail - Invalid Price/Qty</v>
      </c>
    </row>
    <row r="492" spans="1:9" x14ac:dyDescent="0.3">
      <c r="A492" t="str">
        <f>FO_Capture!A492</f>
        <v>TRD00491</v>
      </c>
      <c r="B492" t="str">
        <f>FO_Capture!B492</f>
        <v>INE008A01017</v>
      </c>
      <c r="C492" t="str">
        <f>IFERROR(VLOOKUP(FO_Capture!C492, Reference_Data!A:D, 2, FALSE), "UNKNOWN")</f>
        <v>Alpha Capital 11</v>
      </c>
      <c r="D492" t="str">
        <f>IFERROR(VLOOKUP(FO_Capture!C492, Reference_Data!A:D, 3, FALSE), "XXX")</f>
        <v>USD</v>
      </c>
      <c r="E492" t="str">
        <f>IFERROR(VLOOKUP(FO_Capture!C492, Reference_Data!A:D, 4, FALSE), "MISSING SSI")</f>
        <v>JPMorgan A/C 987170</v>
      </c>
      <c r="F492">
        <f>FO_Capture!D492</f>
        <v>400</v>
      </c>
      <c r="G492">
        <f>FO_Capture!E492</f>
        <v>292.14999389648438</v>
      </c>
      <c r="H492">
        <f t="shared" si="14"/>
        <v>116859.99755859375</v>
      </c>
      <c r="I492" t="str">
        <f t="shared" si="15"/>
        <v>Pass - Ready for Confirmation</v>
      </c>
    </row>
    <row r="493" spans="1:9" x14ac:dyDescent="0.3">
      <c r="A493" t="str">
        <f>FO_Capture!A493</f>
        <v>TRD00492</v>
      </c>
      <c r="B493" t="str">
        <f>FO_Capture!B493</f>
        <v>INE001A01074</v>
      </c>
      <c r="C493" t="str">
        <f>IFERROR(VLOOKUP(FO_Capture!C493, Reference_Data!A:D, 2, FALSE), "UNKNOWN")</f>
        <v>Alpha Partners 19</v>
      </c>
      <c r="D493" t="str">
        <f>IFERROR(VLOOKUP(FO_Capture!C493, Reference_Data!A:D, 3, FALSE), "XXX")</f>
        <v>INR</v>
      </c>
      <c r="E493" t="str">
        <f>IFERROR(VLOOKUP(FO_Capture!C493, Reference_Data!A:D, 4, FALSE), "MISSING SSI")</f>
        <v>Citi A/C 543819</v>
      </c>
      <c r="F493">
        <f>FO_Capture!D493</f>
        <v>260</v>
      </c>
      <c r="G493">
        <f>FO_Capture!E493</f>
        <v>223.99000549316406</v>
      </c>
      <c r="H493">
        <f t="shared" si="14"/>
        <v>58237.401428222656</v>
      </c>
      <c r="I493" t="str">
        <f t="shared" si="15"/>
        <v>Pass - Ready for Confirmation</v>
      </c>
    </row>
    <row r="494" spans="1:9" x14ac:dyDescent="0.3">
      <c r="A494" t="str">
        <f>FO_Capture!A494</f>
        <v>TRD00493</v>
      </c>
      <c r="B494" t="str">
        <f>FO_Capture!B494</f>
        <v>INE009A01045</v>
      </c>
      <c r="C494" t="str">
        <f>IFERROR(VLOOKUP(FO_Capture!C494, Reference_Data!A:D, 2, FALSE), "UNKNOWN")</f>
        <v>Alpha Asset Management 4</v>
      </c>
      <c r="D494" t="str">
        <f>IFERROR(VLOOKUP(FO_Capture!C494, Reference_Data!A:D, 3, FALSE), "XXX")</f>
        <v>JPY</v>
      </c>
      <c r="E494" t="str">
        <f>IFERROR(VLOOKUP(FO_Capture!C494, Reference_Data!A:D, 4, FALSE), "MISSING SSI")</f>
        <v>Deutsche Bank A/C 126543</v>
      </c>
      <c r="F494">
        <f>FO_Capture!D494</f>
        <v>170</v>
      </c>
      <c r="G494">
        <f>FO_Capture!E494</f>
        <v>473.17001342773438</v>
      </c>
      <c r="H494">
        <f t="shared" si="14"/>
        <v>80438.902282714844</v>
      </c>
      <c r="I494" t="str">
        <f t="shared" si="15"/>
        <v>Pass - Ready for Confirmation</v>
      </c>
    </row>
    <row r="495" spans="1:9" x14ac:dyDescent="0.3">
      <c r="A495" t="str">
        <f>FO_Capture!A495</f>
        <v>TRD00494</v>
      </c>
      <c r="B495" t="str">
        <f>FO_Capture!B495</f>
        <v>INE009A0102</v>
      </c>
      <c r="C495" t="str">
        <f>IFERROR(VLOOKUP(FO_Capture!C495, Reference_Data!A:D, 2, FALSE), "UNKNOWN")</f>
        <v>Alpha Partners 1</v>
      </c>
      <c r="D495" t="str">
        <f>IFERROR(VLOOKUP(FO_Capture!C495, Reference_Data!A:D, 3, FALSE), "XXX")</f>
        <v>JPY</v>
      </c>
      <c r="E495" t="str">
        <f>IFERROR(VLOOKUP(FO_Capture!C495, Reference_Data!A:D, 4, FALSE), "MISSING SSI")</f>
        <v>Standard Chartered A/C 277005</v>
      </c>
      <c r="F495">
        <f>FO_Capture!D495</f>
        <v>390</v>
      </c>
      <c r="G495">
        <f>FO_Capture!E495</f>
        <v>33.080001831054688</v>
      </c>
      <c r="H495">
        <f t="shared" si="14"/>
        <v>12901.200714111328</v>
      </c>
      <c r="I495" t="str">
        <f t="shared" si="15"/>
        <v>Pass - Ready for Confirmation</v>
      </c>
    </row>
    <row r="496" spans="1:9" x14ac:dyDescent="0.3">
      <c r="A496" t="str">
        <f>FO_Capture!A496</f>
        <v>TRD00495</v>
      </c>
      <c r="B496" t="str">
        <f>FO_Capture!B496</f>
        <v>INE008A01034</v>
      </c>
      <c r="C496" t="str">
        <f>IFERROR(VLOOKUP(FO_Capture!C496, Reference_Data!A:D, 2, FALSE), "UNKNOWN")</f>
        <v>Alpha Asset Management 5</v>
      </c>
      <c r="D496" t="str">
        <f>IFERROR(VLOOKUP(FO_Capture!C496, Reference_Data!A:D, 3, FALSE), "XXX")</f>
        <v>INR</v>
      </c>
      <c r="E496" t="str">
        <f>IFERROR(VLOOKUP(FO_Capture!C496, Reference_Data!A:D, 4, FALSE), "MISSING SSI")</f>
        <v>JPMorgan A/C 860462</v>
      </c>
      <c r="F496">
        <f>FO_Capture!D496</f>
        <v>80</v>
      </c>
      <c r="G496">
        <f>FO_Capture!E496</f>
        <v>154.94999694824219</v>
      </c>
      <c r="H496">
        <f t="shared" si="14"/>
        <v>12395.999755859375</v>
      </c>
      <c r="I496" t="str">
        <f t="shared" si="15"/>
        <v>Pass - Ready for Confirmation</v>
      </c>
    </row>
    <row r="497" spans="1:9" x14ac:dyDescent="0.3">
      <c r="A497" t="str">
        <f>FO_Capture!A497</f>
        <v>TRD00496</v>
      </c>
      <c r="B497" t="str">
        <f>FO_Capture!B497</f>
        <v>INE005A01093</v>
      </c>
      <c r="C497" t="str">
        <f>IFERROR(VLOOKUP(FO_Capture!C497, Reference_Data!A:D, 2, FALSE), "UNKNOWN")</f>
        <v>Alpha Partners 1</v>
      </c>
      <c r="D497" t="str">
        <f>IFERROR(VLOOKUP(FO_Capture!C497, Reference_Data!A:D, 3, FALSE), "XXX")</f>
        <v>JPY</v>
      </c>
      <c r="E497" t="str">
        <f>IFERROR(VLOOKUP(FO_Capture!C497, Reference_Data!A:D, 4, FALSE), "MISSING SSI")</f>
        <v>Standard Chartered A/C 277005</v>
      </c>
      <c r="F497">
        <f>FO_Capture!D497</f>
        <v>70</v>
      </c>
      <c r="G497">
        <f>FO_Capture!E497</f>
        <v>97.80999755859375</v>
      </c>
      <c r="H497">
        <f t="shared" si="14"/>
        <v>6846.6998291015625</v>
      </c>
      <c r="I497" t="str">
        <f t="shared" si="15"/>
        <v>Pass - Ready for Confirmation</v>
      </c>
    </row>
    <row r="498" spans="1:9" x14ac:dyDescent="0.3">
      <c r="A498" t="str">
        <f>FO_Capture!A498</f>
        <v>TRD00497</v>
      </c>
      <c r="B498" t="str">
        <f>FO_Capture!B498</f>
        <v>INE008A01046</v>
      </c>
      <c r="C498" t="str">
        <f>IFERROR(VLOOKUP(FO_Capture!C498, Reference_Data!A:D, 2, FALSE), "UNKNOWN")</f>
        <v>Alpha Global 39</v>
      </c>
      <c r="D498" t="str">
        <f>IFERROR(VLOOKUP(FO_Capture!C498, Reference_Data!A:D, 3, FALSE), "XXX")</f>
        <v>SGD</v>
      </c>
      <c r="E498" t="str">
        <f>IFERROR(VLOOKUP(FO_Capture!C498, Reference_Data!A:D, 4, FALSE), "MISSING SSI")</f>
        <v>Deutsche Bank A/C 917029</v>
      </c>
      <c r="F498">
        <f>FO_Capture!D498</f>
        <v>110</v>
      </c>
      <c r="G498">
        <f>FO_Capture!E498</f>
        <v>378.510009765625</v>
      </c>
      <c r="H498">
        <f t="shared" si="14"/>
        <v>41636.10107421875</v>
      </c>
      <c r="I498" t="str">
        <f t="shared" si="15"/>
        <v>Pass - Ready for Confirmation</v>
      </c>
    </row>
    <row r="499" spans="1:9" x14ac:dyDescent="0.3">
      <c r="A499" t="str">
        <f>FO_Capture!A499</f>
        <v>TRD00498</v>
      </c>
      <c r="B499" t="str">
        <f>FO_Capture!B499</f>
        <v>INE003A01023</v>
      </c>
      <c r="C499" t="str">
        <f>IFERROR(VLOOKUP(FO_Capture!C499, Reference_Data!A:D, 2, FALSE), "UNKNOWN")</f>
        <v>Alpha Partners 3</v>
      </c>
      <c r="D499" t="str">
        <f>IFERROR(VLOOKUP(FO_Capture!C499, Reference_Data!A:D, 3, FALSE), "XXX")</f>
        <v>USD</v>
      </c>
      <c r="E499" t="str">
        <f>IFERROR(VLOOKUP(FO_Capture!C499, Reference_Data!A:D, 4, FALSE), "MISSING SSI")</f>
        <v>Citi A/C 508769</v>
      </c>
      <c r="F499">
        <f>FO_Capture!D499</f>
        <v>100</v>
      </c>
      <c r="G499">
        <f>FO_Capture!E499</f>
        <v>21.709999084472656</v>
      </c>
      <c r="H499">
        <f t="shared" si="14"/>
        <v>2170.9999084472656</v>
      </c>
      <c r="I499" t="str">
        <f t="shared" si="15"/>
        <v>Pass - Ready for Confirmation</v>
      </c>
    </row>
    <row r="500" spans="1:9" x14ac:dyDescent="0.3">
      <c r="A500" t="str">
        <f>FO_Capture!A500</f>
        <v>TRD00499</v>
      </c>
      <c r="B500" t="str">
        <f>FO_Capture!B500</f>
        <v>INE002A01067</v>
      </c>
      <c r="C500" t="str">
        <f>IFERROR(VLOOKUP(FO_Capture!C500, Reference_Data!A:D, 2, FALSE), "UNKNOWN")</f>
        <v>Alpha Capital 44</v>
      </c>
      <c r="D500" t="str">
        <f>IFERROR(VLOOKUP(FO_Capture!C500, Reference_Data!A:D, 3, FALSE), "XXX")</f>
        <v>INR</v>
      </c>
      <c r="E500" t="str">
        <f>IFERROR(VLOOKUP(FO_Capture!C500, Reference_Data!A:D, 4, FALSE), "MISSING SSI")</f>
        <v>Deutsche Bank A/C 428758</v>
      </c>
      <c r="F500">
        <f>FO_Capture!D500</f>
        <v>370</v>
      </c>
      <c r="G500">
        <f>FO_Capture!E500</f>
        <v>309.8699951171875</v>
      </c>
      <c r="H500">
        <f t="shared" si="14"/>
        <v>114651.89819335938</v>
      </c>
      <c r="I500" t="str">
        <f t="shared" si="15"/>
        <v>Pass - Ready for Confirmation</v>
      </c>
    </row>
    <row r="501" spans="1:9" x14ac:dyDescent="0.3">
      <c r="A501" t="str">
        <f>FO_Capture!A501</f>
        <v>TRD00500</v>
      </c>
      <c r="B501" t="str">
        <f>FO_Capture!B501</f>
        <v>INE003A01088</v>
      </c>
      <c r="C501" t="str">
        <f>IFERROR(VLOOKUP(FO_Capture!C501, Reference_Data!A:D, 2, FALSE), "UNKNOWN")</f>
        <v>Alpha Quant Fund 50</v>
      </c>
      <c r="D501" t="str">
        <f>IFERROR(VLOOKUP(FO_Capture!C501, Reference_Data!A:D, 3, FALSE), "XXX")</f>
        <v>SGD</v>
      </c>
      <c r="E501" t="str">
        <f>IFERROR(VLOOKUP(FO_Capture!C501, Reference_Data!A:D, 4, FALSE), "MISSING SSI")</f>
        <v>Standard Chartered A/C 307017</v>
      </c>
      <c r="F501">
        <f>FO_Capture!D501</f>
        <v>410</v>
      </c>
      <c r="G501">
        <f>FO_Capture!E501</f>
        <v>33.279998779296875</v>
      </c>
      <c r="H501">
        <f t="shared" si="14"/>
        <v>13644.799499511719</v>
      </c>
      <c r="I501" t="str">
        <f t="shared" si="15"/>
        <v>Pass - Ready for Confirmation</v>
      </c>
    </row>
    <row r="502" spans="1:9" x14ac:dyDescent="0.3">
      <c r="A502" t="str">
        <f>FO_Capture!A502</f>
        <v>TRD00501</v>
      </c>
      <c r="B502" t="str">
        <f>FO_Capture!B502</f>
        <v>INE005A0109</v>
      </c>
      <c r="C502" t="str">
        <f>IFERROR(VLOOKUP(FO_Capture!C502, Reference_Data!A:D, 2, FALSE), "UNKNOWN")</f>
        <v>Alpha Holdings 23</v>
      </c>
      <c r="D502" t="str">
        <f>IFERROR(VLOOKUP(FO_Capture!C502, Reference_Data!A:D, 3, FALSE), "XXX")</f>
        <v>INR</v>
      </c>
      <c r="E502" t="str">
        <f>IFERROR(VLOOKUP(FO_Capture!C502, Reference_Data!A:D, 4, FALSE), "MISSING SSI")</f>
        <v>Deutsche Bank A/C 983712</v>
      </c>
      <c r="F502">
        <f>FO_Capture!D502</f>
        <v>110</v>
      </c>
      <c r="G502">
        <f>FO_Capture!E502</f>
        <v>240.03999328613281</v>
      </c>
      <c r="H502">
        <f t="shared" si="14"/>
        <v>26404.399261474609</v>
      </c>
      <c r="I502" t="str">
        <f t="shared" si="15"/>
        <v>Pass - Ready for Confirmation</v>
      </c>
    </row>
    <row r="503" spans="1:9" x14ac:dyDescent="0.3">
      <c r="A503" t="str">
        <f>FO_Capture!A503</f>
        <v>TRD00502</v>
      </c>
      <c r="B503" t="str">
        <f>FO_Capture!B503</f>
        <v>INE009A01015</v>
      </c>
      <c r="C503" t="str">
        <f>IFERROR(VLOOKUP(FO_Capture!C503, Reference_Data!A:D, 2, FALSE), "UNKNOWN")</f>
        <v>Alpha Partners 1</v>
      </c>
      <c r="D503" t="str">
        <f>IFERROR(VLOOKUP(FO_Capture!C503, Reference_Data!A:D, 3, FALSE), "XXX")</f>
        <v>JPY</v>
      </c>
      <c r="E503" t="str">
        <f>IFERROR(VLOOKUP(FO_Capture!C503, Reference_Data!A:D, 4, FALSE), "MISSING SSI")</f>
        <v>Standard Chartered A/C 277005</v>
      </c>
      <c r="F503">
        <f>FO_Capture!D503</f>
        <v>30</v>
      </c>
      <c r="G503">
        <f>FO_Capture!E503</f>
        <v>486.04998779296875</v>
      </c>
      <c r="H503">
        <f t="shared" si="14"/>
        <v>14581.499633789063</v>
      </c>
      <c r="I503" t="str">
        <f t="shared" si="15"/>
        <v>Pass - Ready for Confirmation</v>
      </c>
    </row>
    <row r="504" spans="1:9" x14ac:dyDescent="0.3">
      <c r="A504" t="str">
        <f>FO_Capture!A504</f>
        <v>TRD00503</v>
      </c>
      <c r="B504" t="str">
        <f>FO_Capture!B504</f>
        <v>INE008A0107</v>
      </c>
      <c r="C504" t="str">
        <f>IFERROR(VLOOKUP(FO_Capture!C504, Reference_Data!A:D, 2, FALSE), "UNKNOWN")</f>
        <v>Alpha Partners 37</v>
      </c>
      <c r="D504" t="str">
        <f>IFERROR(VLOOKUP(FO_Capture!C504, Reference_Data!A:D, 3, FALSE), "XXX")</f>
        <v>JPY</v>
      </c>
      <c r="E504" t="str">
        <f>IFERROR(VLOOKUP(FO_Capture!C504, Reference_Data!A:D, 4, FALSE), "MISSING SSI")</f>
        <v>HSBC A/C 994063</v>
      </c>
      <c r="F504">
        <f>FO_Capture!D504</f>
        <v>170</v>
      </c>
      <c r="G504">
        <f>FO_Capture!E504</f>
        <v>85.029998779296875</v>
      </c>
      <c r="H504">
        <f t="shared" si="14"/>
        <v>14455.099792480469</v>
      </c>
      <c r="I504" t="str">
        <f t="shared" si="15"/>
        <v>Pass - Ready for Confirmation</v>
      </c>
    </row>
    <row r="505" spans="1:9" x14ac:dyDescent="0.3">
      <c r="A505" t="str">
        <f>FO_Capture!A505</f>
        <v>TRD00504</v>
      </c>
      <c r="B505" t="str">
        <f>FO_Capture!B505</f>
        <v>INE007A01050</v>
      </c>
      <c r="C505" t="str">
        <f>IFERROR(VLOOKUP(FO_Capture!C505, Reference_Data!A:D, 2, FALSE), "UNKNOWN")</f>
        <v>Alpha Holdings 23</v>
      </c>
      <c r="D505" t="str">
        <f>IFERROR(VLOOKUP(FO_Capture!C505, Reference_Data!A:D, 3, FALSE), "XXX")</f>
        <v>INR</v>
      </c>
      <c r="E505" t="str">
        <f>IFERROR(VLOOKUP(FO_Capture!C505, Reference_Data!A:D, 4, FALSE), "MISSING SSI")</f>
        <v>Deutsche Bank A/C 983712</v>
      </c>
      <c r="F505">
        <f>FO_Capture!D505</f>
        <v>150</v>
      </c>
      <c r="G505">
        <f>FO_Capture!E505</f>
        <v>358.51998901367188</v>
      </c>
      <c r="H505">
        <f t="shared" si="14"/>
        <v>53777.998352050781</v>
      </c>
      <c r="I505" t="str">
        <f t="shared" si="15"/>
        <v>Pass - Ready for Confirmation</v>
      </c>
    </row>
    <row r="506" spans="1:9" x14ac:dyDescent="0.3">
      <c r="A506" t="str">
        <f>FO_Capture!A506</f>
        <v>TRD00505</v>
      </c>
      <c r="B506" t="str">
        <f>FO_Capture!B506</f>
        <v>INE002A01023</v>
      </c>
      <c r="C506" t="str">
        <f>IFERROR(VLOOKUP(FO_Capture!C506, Reference_Data!A:D, 2, FALSE), "UNKNOWN")</f>
        <v>Alpha Global 14</v>
      </c>
      <c r="D506" t="str">
        <f>IFERROR(VLOOKUP(FO_Capture!C506, Reference_Data!A:D, 3, FALSE), "XXX")</f>
        <v>USD</v>
      </c>
      <c r="E506" t="str">
        <f>IFERROR(VLOOKUP(FO_Capture!C506, Reference_Data!A:D, 4, FALSE), "MISSING SSI")</f>
        <v>HSBC A/C 864249</v>
      </c>
      <c r="F506">
        <f>FO_Capture!D506</f>
        <v>50</v>
      </c>
      <c r="G506">
        <f>FO_Capture!E506</f>
        <v>385.8599853515625</v>
      </c>
      <c r="H506">
        <f t="shared" si="14"/>
        <v>19292.999267578125</v>
      </c>
      <c r="I506" t="str">
        <f t="shared" si="15"/>
        <v>Pass - Ready for Confirmation</v>
      </c>
    </row>
    <row r="507" spans="1:9" x14ac:dyDescent="0.3">
      <c r="A507" t="str">
        <f>FO_Capture!A507</f>
        <v>TRD00506</v>
      </c>
      <c r="B507" t="str">
        <f>FO_Capture!B507</f>
        <v>INE003A01068</v>
      </c>
      <c r="C507" t="str">
        <f>IFERROR(VLOOKUP(FO_Capture!C507, Reference_Data!A:D, 2, FALSE), "UNKNOWN")</f>
        <v>Alpha Partners 1</v>
      </c>
      <c r="D507" t="str">
        <f>IFERROR(VLOOKUP(FO_Capture!C507, Reference_Data!A:D, 3, FALSE), "XXX")</f>
        <v>JPY</v>
      </c>
      <c r="E507" t="str">
        <f>IFERROR(VLOOKUP(FO_Capture!C507, Reference_Data!A:D, 4, FALSE), "MISSING SSI")</f>
        <v>Standard Chartered A/C 277005</v>
      </c>
      <c r="F507">
        <f>FO_Capture!D507</f>
        <v>70</v>
      </c>
      <c r="G507">
        <f>FO_Capture!E507</f>
        <v>254.22000122070313</v>
      </c>
      <c r="H507">
        <f t="shared" si="14"/>
        <v>17795.400085449219</v>
      </c>
      <c r="I507" t="str">
        <f t="shared" si="15"/>
        <v>Pass - Ready for Confirmation</v>
      </c>
    </row>
    <row r="508" spans="1:9" x14ac:dyDescent="0.3">
      <c r="A508" t="str">
        <f>FO_Capture!A508</f>
        <v>TRD00507</v>
      </c>
      <c r="B508" t="str">
        <f>FO_Capture!B508</f>
        <v>INE009A01043</v>
      </c>
      <c r="C508" t="str">
        <f>IFERROR(VLOOKUP(FO_Capture!C508, Reference_Data!A:D, 2, FALSE), "UNKNOWN")</f>
        <v>Alpha Holdings 41</v>
      </c>
      <c r="D508" t="str">
        <f>IFERROR(VLOOKUP(FO_Capture!C508, Reference_Data!A:D, 3, FALSE), "XXX")</f>
        <v>JPY</v>
      </c>
      <c r="E508" t="str">
        <f>IFERROR(VLOOKUP(FO_Capture!C508, Reference_Data!A:D, 4, FALSE), "MISSING SSI")</f>
        <v>HSBC A/C 468615</v>
      </c>
      <c r="F508">
        <f>FO_Capture!D508</f>
        <v>350</v>
      </c>
      <c r="G508">
        <f>FO_Capture!E508</f>
        <v>308.54998779296875</v>
      </c>
      <c r="H508">
        <f t="shared" si="14"/>
        <v>107992.49572753906</v>
      </c>
      <c r="I508" t="str">
        <f t="shared" si="15"/>
        <v>Pass - Ready for Confirmation</v>
      </c>
    </row>
    <row r="509" spans="1:9" x14ac:dyDescent="0.3">
      <c r="A509" t="str">
        <f>FO_Capture!A509</f>
        <v>TRD00508</v>
      </c>
      <c r="B509" t="str">
        <f>FO_Capture!B509</f>
        <v>INE007A01068</v>
      </c>
      <c r="C509" t="str">
        <f>IFERROR(VLOOKUP(FO_Capture!C509, Reference_Data!A:D, 2, FALSE), "UNKNOWN")</f>
        <v>Alpha Global 28</v>
      </c>
      <c r="D509" t="str">
        <f>IFERROR(VLOOKUP(FO_Capture!C509, Reference_Data!A:D, 3, FALSE), "XXX")</f>
        <v>USD</v>
      </c>
      <c r="E509" t="str">
        <f>IFERROR(VLOOKUP(FO_Capture!C509, Reference_Data!A:D, 4, FALSE), "MISSING SSI")</f>
        <v>HDFC A/C 638209</v>
      </c>
      <c r="F509">
        <f>FO_Capture!D509</f>
        <v>200</v>
      </c>
      <c r="G509">
        <f>FO_Capture!E509</f>
        <v>401.64999389648438</v>
      </c>
      <c r="H509">
        <f t="shared" si="14"/>
        <v>80329.998779296875</v>
      </c>
      <c r="I509" t="str">
        <f t="shared" si="15"/>
        <v>Pass - Ready for Confirmation</v>
      </c>
    </row>
    <row r="510" spans="1:9" x14ac:dyDescent="0.3">
      <c r="A510" t="str">
        <f>FO_Capture!A510</f>
        <v>TRD00509</v>
      </c>
      <c r="B510" t="str">
        <f>FO_Capture!B510</f>
        <v>INE008A01078</v>
      </c>
      <c r="C510" t="str">
        <f>IFERROR(VLOOKUP(FO_Capture!C510, Reference_Data!A:D, 2, FALSE), "UNKNOWN")</f>
        <v>Alpha Global 20</v>
      </c>
      <c r="D510" t="str">
        <f>IFERROR(VLOOKUP(FO_Capture!C510, Reference_Data!A:D, 3, FALSE), "XXX")</f>
        <v>JPY</v>
      </c>
      <c r="E510" t="str">
        <f>IFERROR(VLOOKUP(FO_Capture!C510, Reference_Data!A:D, 4, FALSE), "MISSING SSI")</f>
        <v>Barclays A/C 560891</v>
      </c>
      <c r="F510">
        <f>FO_Capture!D510</f>
        <v>-50</v>
      </c>
      <c r="G510">
        <f>FO_Capture!E510</f>
        <v>288.41000366210938</v>
      </c>
      <c r="H510">
        <f t="shared" si="14"/>
        <v>-14420.500183105469</v>
      </c>
      <c r="I510" t="str">
        <f t="shared" si="15"/>
        <v>Fail - Invalid Price/Qty</v>
      </c>
    </row>
    <row r="511" spans="1:9" x14ac:dyDescent="0.3">
      <c r="A511" t="str">
        <f>FO_Capture!A511</f>
        <v>TRD00510</v>
      </c>
      <c r="B511" t="str">
        <f>FO_Capture!B511</f>
        <v>INE006A01026</v>
      </c>
      <c r="C511" t="str">
        <f>IFERROR(VLOOKUP(FO_Capture!C511, Reference_Data!A:D, 2, FALSE), "UNKNOWN")</f>
        <v>Alpha Capital 38</v>
      </c>
      <c r="D511" t="str">
        <f>IFERROR(VLOOKUP(FO_Capture!C511, Reference_Data!A:D, 3, FALSE), "XXX")</f>
        <v>SGD</v>
      </c>
      <c r="E511" t="str">
        <f>IFERROR(VLOOKUP(FO_Capture!C511, Reference_Data!A:D, 4, FALSE), "MISSING SSI")</f>
        <v>Deutsche Bank A/C 153521</v>
      </c>
      <c r="F511">
        <f>FO_Capture!D511</f>
        <v>400</v>
      </c>
      <c r="G511">
        <f>FO_Capture!E511</f>
        <v>352.8599853515625</v>
      </c>
      <c r="H511">
        <f t="shared" si="14"/>
        <v>141143.994140625</v>
      </c>
      <c r="I511" t="str">
        <f t="shared" si="15"/>
        <v>Pass - Ready for Confirmation</v>
      </c>
    </row>
    <row r="512" spans="1:9" x14ac:dyDescent="0.3">
      <c r="A512" t="str">
        <f>FO_Capture!A512</f>
        <v>TRD00511</v>
      </c>
      <c r="B512" t="str">
        <f>FO_Capture!B512</f>
        <v>INE002A01028</v>
      </c>
      <c r="C512" t="str">
        <f>IFERROR(VLOOKUP(FO_Capture!C512, Reference_Data!A:D, 2, FALSE), "UNKNOWN")</f>
        <v>Alpha Quant Fund 34</v>
      </c>
      <c r="D512" t="str">
        <f>IFERROR(VLOOKUP(FO_Capture!C512, Reference_Data!A:D, 3, FALSE), "XXX")</f>
        <v>JPY</v>
      </c>
      <c r="E512" t="str">
        <f>IFERROR(VLOOKUP(FO_Capture!C512, Reference_Data!A:D, 4, FALSE), "MISSING SSI")</f>
        <v>Citi A/C 837378</v>
      </c>
      <c r="F512">
        <f>FO_Capture!D512</f>
        <v>460</v>
      </c>
      <c r="G512">
        <f>FO_Capture!E512</f>
        <v>105.18000030517578</v>
      </c>
      <c r="H512">
        <f t="shared" si="14"/>
        <v>48382.800140380859</v>
      </c>
      <c r="I512" t="str">
        <f t="shared" si="15"/>
        <v>Pass - Ready for Confirmation</v>
      </c>
    </row>
    <row r="513" spans="1:9" x14ac:dyDescent="0.3">
      <c r="A513" t="str">
        <f>FO_Capture!A513</f>
        <v>TRD00512</v>
      </c>
      <c r="B513" t="str">
        <f>FO_Capture!B513</f>
        <v>INE006A01059</v>
      </c>
      <c r="C513" t="str">
        <f>IFERROR(VLOOKUP(FO_Capture!C513, Reference_Data!A:D, 2, FALSE), "UNKNOWN")</f>
        <v>Alpha Partners 18</v>
      </c>
      <c r="D513" t="str">
        <f>IFERROR(VLOOKUP(FO_Capture!C513, Reference_Data!A:D, 3, FALSE), "XXX")</f>
        <v>INR</v>
      </c>
      <c r="E513" t="str">
        <f>IFERROR(VLOOKUP(FO_Capture!C513, Reference_Data!A:D, 4, FALSE), "MISSING SSI")</f>
        <v>JPMorgan A/C 704166</v>
      </c>
      <c r="F513">
        <f>FO_Capture!D513</f>
        <v>500</v>
      </c>
      <c r="G513">
        <f>FO_Capture!E513</f>
        <v>310.26998901367188</v>
      </c>
      <c r="H513">
        <f t="shared" si="14"/>
        <v>155134.99450683594</v>
      </c>
      <c r="I513" t="str">
        <f t="shared" si="15"/>
        <v>Pass - Ready for Confirmation</v>
      </c>
    </row>
    <row r="514" spans="1:9" x14ac:dyDescent="0.3">
      <c r="A514" t="str">
        <f>FO_Capture!A514</f>
        <v>TRD00513</v>
      </c>
      <c r="B514" t="str">
        <f>FO_Capture!B514</f>
        <v>INE008A01095</v>
      </c>
      <c r="C514" t="str">
        <f>IFERROR(VLOOKUP(FO_Capture!C514, Reference_Data!A:D, 2, FALSE), "UNKNOWN")</f>
        <v>Alpha Asset Management 35</v>
      </c>
      <c r="D514" t="str">
        <f>IFERROR(VLOOKUP(FO_Capture!C514, Reference_Data!A:D, 3, FALSE), "XXX")</f>
        <v>JPY</v>
      </c>
      <c r="E514" t="str">
        <f>IFERROR(VLOOKUP(FO_Capture!C514, Reference_Data!A:D, 4, FALSE), "MISSING SSI")</f>
        <v>HSBC A/C 604357</v>
      </c>
      <c r="F514">
        <f>FO_Capture!D514</f>
        <v>460</v>
      </c>
      <c r="G514">
        <f>FO_Capture!E514</f>
        <v>428.32998657226563</v>
      </c>
      <c r="H514">
        <f t="shared" si="14"/>
        <v>197031.79382324219</v>
      </c>
      <c r="I514" t="str">
        <f t="shared" si="15"/>
        <v>Pass - Ready for Confirmation</v>
      </c>
    </row>
    <row r="515" spans="1:9" x14ac:dyDescent="0.3">
      <c r="A515" t="str">
        <f>FO_Capture!A515</f>
        <v>TRD00514</v>
      </c>
      <c r="B515" t="str">
        <f>FO_Capture!B515</f>
        <v>INE006A01065</v>
      </c>
      <c r="C515" t="str">
        <f>IFERROR(VLOOKUP(FO_Capture!C515, Reference_Data!A:D, 2, FALSE), "UNKNOWN")</f>
        <v>Alpha Quant Fund 12</v>
      </c>
      <c r="D515" t="str">
        <f>IFERROR(VLOOKUP(FO_Capture!C515, Reference_Data!A:D, 3, FALSE), "XXX")</f>
        <v>EUR</v>
      </c>
      <c r="E515" t="str">
        <f>IFERROR(VLOOKUP(FO_Capture!C515, Reference_Data!A:D, 4, FALSE), "MISSING SSI")</f>
        <v>Deutsche Bank A/C 324710</v>
      </c>
      <c r="F515">
        <f>FO_Capture!D515</f>
        <v>120</v>
      </c>
      <c r="G515">
        <f>FO_Capture!E515</f>
        <v>364.8800048828125</v>
      </c>
      <c r="H515">
        <f t="shared" ref="H515:H578" si="16">F515 * G515</f>
        <v>43785.6005859375</v>
      </c>
      <c r="I515" t="str">
        <f t="shared" ref="I515:I578" si="17">IF(C515="UNKNOWN", "Fail - Missing Ref Data", IF(OR(F515&lt;=0, G515&lt;=0), "Fail - Invalid Price/Qty", IF(H515&gt;1000000, "Exception - Limit Breach", "Pass - Ready for Confirmation")))</f>
        <v>Pass - Ready for Confirmation</v>
      </c>
    </row>
    <row r="516" spans="1:9" x14ac:dyDescent="0.3">
      <c r="A516" t="str">
        <f>FO_Capture!A516</f>
        <v>TRD00515</v>
      </c>
      <c r="B516" t="str">
        <f>FO_Capture!B516</f>
        <v>INE001A0100</v>
      </c>
      <c r="C516" t="str">
        <f>IFERROR(VLOOKUP(FO_Capture!C516, Reference_Data!A:D, 2, FALSE), "UNKNOWN")</f>
        <v>Alpha Asset Management 35</v>
      </c>
      <c r="D516" t="str">
        <f>IFERROR(VLOOKUP(FO_Capture!C516, Reference_Data!A:D, 3, FALSE), "XXX")</f>
        <v>JPY</v>
      </c>
      <c r="E516" t="str">
        <f>IFERROR(VLOOKUP(FO_Capture!C516, Reference_Data!A:D, 4, FALSE), "MISSING SSI")</f>
        <v>HSBC A/C 604357</v>
      </c>
      <c r="F516">
        <f>FO_Capture!D516</f>
        <v>370</v>
      </c>
      <c r="G516">
        <f>FO_Capture!E516</f>
        <v>220.75</v>
      </c>
      <c r="H516">
        <f t="shared" si="16"/>
        <v>81677.5</v>
      </c>
      <c r="I516" t="str">
        <f t="shared" si="17"/>
        <v>Pass - Ready for Confirmation</v>
      </c>
    </row>
    <row r="517" spans="1:9" x14ac:dyDescent="0.3">
      <c r="A517" t="str">
        <f>FO_Capture!A517</f>
        <v>TRD00516</v>
      </c>
      <c r="B517" t="str">
        <f>FO_Capture!B517</f>
        <v>INE009A01079</v>
      </c>
      <c r="C517" t="str">
        <f>IFERROR(VLOOKUP(FO_Capture!C517, Reference_Data!A:D, 2, FALSE), "UNKNOWN")</f>
        <v>Alpha Global 20</v>
      </c>
      <c r="D517" t="str">
        <f>IFERROR(VLOOKUP(FO_Capture!C517, Reference_Data!A:D, 3, FALSE), "XXX")</f>
        <v>JPY</v>
      </c>
      <c r="E517" t="str">
        <f>IFERROR(VLOOKUP(FO_Capture!C517, Reference_Data!A:D, 4, FALSE), "MISSING SSI")</f>
        <v>Barclays A/C 560891</v>
      </c>
      <c r="F517">
        <f>FO_Capture!D517</f>
        <v>420</v>
      </c>
      <c r="G517">
        <f>FO_Capture!E517</f>
        <v>42.090000152587891</v>
      </c>
      <c r="H517">
        <f t="shared" si="16"/>
        <v>17677.800064086914</v>
      </c>
      <c r="I517" t="str">
        <f t="shared" si="17"/>
        <v>Pass - Ready for Confirmation</v>
      </c>
    </row>
    <row r="518" spans="1:9" x14ac:dyDescent="0.3">
      <c r="A518" t="str">
        <f>FO_Capture!A518</f>
        <v>TRD00517</v>
      </c>
      <c r="B518" t="str">
        <f>FO_Capture!B518</f>
        <v>INE005A01087</v>
      </c>
      <c r="C518" t="str">
        <f>IFERROR(VLOOKUP(FO_Capture!C518, Reference_Data!A:D, 2, FALSE), "UNKNOWN")</f>
        <v>UNKNOWN</v>
      </c>
      <c r="D518" t="str">
        <f>IFERROR(VLOOKUP(FO_Capture!C518, Reference_Data!A:D, 3, FALSE), "XXX")</f>
        <v>XXX</v>
      </c>
      <c r="E518" t="str">
        <f>IFERROR(VLOOKUP(FO_Capture!C518, Reference_Data!A:D, 4, FALSE), "MISSING SSI")</f>
        <v>MISSING SSI</v>
      </c>
      <c r="F518">
        <f>FO_Capture!D518</f>
        <v>80</v>
      </c>
      <c r="G518">
        <f>FO_Capture!E518</f>
        <v>138.39999389648438</v>
      </c>
      <c r="H518">
        <f t="shared" si="16"/>
        <v>11071.99951171875</v>
      </c>
      <c r="I518" t="str">
        <f t="shared" si="17"/>
        <v>Fail - Missing Ref Data</v>
      </c>
    </row>
    <row r="519" spans="1:9" x14ac:dyDescent="0.3">
      <c r="A519" t="str">
        <f>FO_Capture!A519</f>
        <v>TRD00518</v>
      </c>
      <c r="B519" t="str">
        <f>FO_Capture!B519</f>
        <v>INE002A01089</v>
      </c>
      <c r="C519" t="str">
        <f>IFERROR(VLOOKUP(FO_Capture!C519, Reference_Data!A:D, 2, FALSE), "UNKNOWN")</f>
        <v>Alpha Investments 40</v>
      </c>
      <c r="D519" t="str">
        <f>IFERROR(VLOOKUP(FO_Capture!C519, Reference_Data!A:D, 3, FALSE), "XXX")</f>
        <v>GBP</v>
      </c>
      <c r="E519" t="str">
        <f>IFERROR(VLOOKUP(FO_Capture!C519, Reference_Data!A:D, 4, FALSE), "MISSING SSI")</f>
        <v>HDFC A/C 897530</v>
      </c>
      <c r="F519">
        <f>FO_Capture!D519</f>
        <v>470</v>
      </c>
      <c r="G519">
        <f>FO_Capture!E519</f>
        <v>188.60000610351563</v>
      </c>
      <c r="H519">
        <f t="shared" si="16"/>
        <v>88642.002868652344</v>
      </c>
      <c r="I519" t="str">
        <f t="shared" si="17"/>
        <v>Pass - Ready for Confirmation</v>
      </c>
    </row>
    <row r="520" spans="1:9" x14ac:dyDescent="0.3">
      <c r="A520" t="str">
        <f>FO_Capture!A520</f>
        <v>TRD00519</v>
      </c>
      <c r="B520" t="str">
        <f>FO_Capture!B520</f>
        <v>INE009A01043</v>
      </c>
      <c r="C520" t="str">
        <f>IFERROR(VLOOKUP(FO_Capture!C520, Reference_Data!A:D, 2, FALSE), "UNKNOWN")</f>
        <v>Alpha Global 14</v>
      </c>
      <c r="D520" t="str">
        <f>IFERROR(VLOOKUP(FO_Capture!C520, Reference_Data!A:D, 3, FALSE), "XXX")</f>
        <v>USD</v>
      </c>
      <c r="E520" t="str">
        <f>IFERROR(VLOOKUP(FO_Capture!C520, Reference_Data!A:D, 4, FALSE), "MISSING SSI")</f>
        <v>HSBC A/C 864249</v>
      </c>
      <c r="F520">
        <f>FO_Capture!D520</f>
        <v>470</v>
      </c>
      <c r="G520">
        <f>FO_Capture!E520</f>
        <v>368.22000122070313</v>
      </c>
      <c r="H520">
        <f t="shared" si="16"/>
        <v>173063.40057373047</v>
      </c>
      <c r="I520" t="str">
        <f t="shared" si="17"/>
        <v>Pass - Ready for Confirmation</v>
      </c>
    </row>
    <row r="521" spans="1:9" x14ac:dyDescent="0.3">
      <c r="A521" t="str">
        <f>FO_Capture!A521</f>
        <v>TRD00520</v>
      </c>
      <c r="B521" t="str">
        <f>FO_Capture!B521</f>
        <v>INE004A01033</v>
      </c>
      <c r="C521" t="str">
        <f>IFERROR(VLOOKUP(FO_Capture!C521, Reference_Data!A:D, 2, FALSE), "UNKNOWN")</f>
        <v>Alpha Global 14</v>
      </c>
      <c r="D521" t="str">
        <f>IFERROR(VLOOKUP(FO_Capture!C521, Reference_Data!A:D, 3, FALSE), "XXX")</f>
        <v>USD</v>
      </c>
      <c r="E521" t="str">
        <f>IFERROR(VLOOKUP(FO_Capture!C521, Reference_Data!A:D, 4, FALSE), "MISSING SSI")</f>
        <v>HSBC A/C 864249</v>
      </c>
      <c r="F521">
        <f>FO_Capture!D521</f>
        <v>110</v>
      </c>
      <c r="G521">
        <f>FO_Capture!E521</f>
        <v>318.14999389648438</v>
      </c>
      <c r="H521">
        <f t="shared" si="16"/>
        <v>34996.499328613281</v>
      </c>
      <c r="I521" t="str">
        <f t="shared" si="17"/>
        <v>Pass - Ready for Confirmation</v>
      </c>
    </row>
    <row r="522" spans="1:9" x14ac:dyDescent="0.3">
      <c r="A522" t="str">
        <f>FO_Capture!A522</f>
        <v>TRD00521</v>
      </c>
      <c r="B522" t="str">
        <f>FO_Capture!B522</f>
        <v>INE009A01012</v>
      </c>
      <c r="C522" t="str">
        <f>IFERROR(VLOOKUP(FO_Capture!C522, Reference_Data!A:D, 2, FALSE), "UNKNOWN")</f>
        <v>Alpha Asset Management 31</v>
      </c>
      <c r="D522" t="str">
        <f>IFERROR(VLOOKUP(FO_Capture!C522, Reference_Data!A:D, 3, FALSE), "XXX")</f>
        <v>USD</v>
      </c>
      <c r="E522" t="str">
        <f>IFERROR(VLOOKUP(FO_Capture!C522, Reference_Data!A:D, 4, FALSE), "MISSING SSI")</f>
        <v>Citi A/C 194841</v>
      </c>
      <c r="F522">
        <f>FO_Capture!D522</f>
        <v>60</v>
      </c>
      <c r="G522">
        <f>FO_Capture!E522</f>
        <v>280.80999755859375</v>
      </c>
      <c r="H522">
        <f t="shared" si="16"/>
        <v>16848.599853515625</v>
      </c>
      <c r="I522" t="str">
        <f t="shared" si="17"/>
        <v>Pass - Ready for Confirmation</v>
      </c>
    </row>
    <row r="523" spans="1:9" x14ac:dyDescent="0.3">
      <c r="A523" t="str">
        <f>FO_Capture!A523</f>
        <v>TRD00522</v>
      </c>
      <c r="B523" t="str">
        <f>FO_Capture!B523</f>
        <v>INE008A01017</v>
      </c>
      <c r="C523" t="str">
        <f>IFERROR(VLOOKUP(FO_Capture!C523, Reference_Data!A:D, 2, FALSE), "UNKNOWN")</f>
        <v>Alpha Global 30</v>
      </c>
      <c r="D523" t="str">
        <f>IFERROR(VLOOKUP(FO_Capture!C523, Reference_Data!A:D, 3, FALSE), "XXX")</f>
        <v>JPY</v>
      </c>
      <c r="E523" t="str">
        <f>IFERROR(VLOOKUP(FO_Capture!C523, Reference_Data!A:D, 4, FALSE), "MISSING SSI")</f>
        <v>Deutsche Bank A/C 917262</v>
      </c>
      <c r="F523">
        <f>FO_Capture!D523</f>
        <v>370</v>
      </c>
      <c r="G523">
        <f>FO_Capture!E523</f>
        <v>350.19000244140625</v>
      </c>
      <c r="H523">
        <f t="shared" si="16"/>
        <v>129570.30090332031</v>
      </c>
      <c r="I523" t="str">
        <f t="shared" si="17"/>
        <v>Pass - Ready for Confirmation</v>
      </c>
    </row>
    <row r="524" spans="1:9" x14ac:dyDescent="0.3">
      <c r="A524" t="str">
        <f>FO_Capture!A524</f>
        <v>TRD00523</v>
      </c>
      <c r="B524" t="str">
        <f>FO_Capture!B524</f>
        <v>INE008A01017</v>
      </c>
      <c r="C524" t="str">
        <f>IFERROR(VLOOKUP(FO_Capture!C524, Reference_Data!A:D, 2, FALSE), "UNKNOWN")</f>
        <v>Alpha Partners 22</v>
      </c>
      <c r="D524" t="str">
        <f>IFERROR(VLOOKUP(FO_Capture!C524, Reference_Data!A:D, 3, FALSE), "XXX")</f>
        <v>GBP</v>
      </c>
      <c r="E524" t="str">
        <f>IFERROR(VLOOKUP(FO_Capture!C524, Reference_Data!A:D, 4, FALSE), "MISSING SSI")</f>
        <v>JPMorgan A/C 488546</v>
      </c>
      <c r="F524">
        <f>FO_Capture!D524</f>
        <v>230</v>
      </c>
      <c r="G524">
        <f>FO_Capture!E524</f>
        <v>221.8699951171875</v>
      </c>
      <c r="H524">
        <f t="shared" si="16"/>
        <v>51030.098876953125</v>
      </c>
      <c r="I524" t="str">
        <f t="shared" si="17"/>
        <v>Pass - Ready for Confirmation</v>
      </c>
    </row>
    <row r="525" spans="1:9" x14ac:dyDescent="0.3">
      <c r="A525" t="str">
        <f>FO_Capture!A525</f>
        <v>TRD00524</v>
      </c>
      <c r="B525" t="str">
        <f>FO_Capture!B525</f>
        <v>INE004A01065</v>
      </c>
      <c r="C525" t="str">
        <f>IFERROR(VLOOKUP(FO_Capture!C525, Reference_Data!A:D, 2, FALSE), "UNKNOWN")</f>
        <v>Alpha Investments 40</v>
      </c>
      <c r="D525" t="str">
        <f>IFERROR(VLOOKUP(FO_Capture!C525, Reference_Data!A:D, 3, FALSE), "XXX")</f>
        <v>GBP</v>
      </c>
      <c r="E525" t="str">
        <f>IFERROR(VLOOKUP(FO_Capture!C525, Reference_Data!A:D, 4, FALSE), "MISSING SSI")</f>
        <v>HDFC A/C 897530</v>
      </c>
      <c r="F525">
        <f>FO_Capture!D525</f>
        <v>210</v>
      </c>
      <c r="G525">
        <f>FO_Capture!E525</f>
        <v>442.94000244140625</v>
      </c>
      <c r="H525">
        <f t="shared" si="16"/>
        <v>93017.400512695313</v>
      </c>
      <c r="I525" t="str">
        <f t="shared" si="17"/>
        <v>Pass - Ready for Confirmation</v>
      </c>
    </row>
    <row r="526" spans="1:9" x14ac:dyDescent="0.3">
      <c r="A526" t="str">
        <f>FO_Capture!A526</f>
        <v>TRD00525</v>
      </c>
      <c r="B526" t="str">
        <f>FO_Capture!B526</f>
        <v>INE007A01044</v>
      </c>
      <c r="C526" t="str">
        <f>IFERROR(VLOOKUP(FO_Capture!C526, Reference_Data!A:D, 2, FALSE), "UNKNOWN")</f>
        <v>Alpha Holdings 16</v>
      </c>
      <c r="D526" t="str">
        <f>IFERROR(VLOOKUP(FO_Capture!C526, Reference_Data!A:D, 3, FALSE), "XXX")</f>
        <v>USD</v>
      </c>
      <c r="E526" t="str">
        <f>IFERROR(VLOOKUP(FO_Capture!C526, Reference_Data!A:D, 4, FALSE), "MISSING SSI")</f>
        <v>Barclays A/C 197229</v>
      </c>
      <c r="F526">
        <f>FO_Capture!D526</f>
        <v>500</v>
      </c>
      <c r="G526">
        <f>FO_Capture!E526</f>
        <v>162.10000610351563</v>
      </c>
      <c r="H526">
        <f t="shared" si="16"/>
        <v>81050.003051757813</v>
      </c>
      <c r="I526" t="str">
        <f t="shared" si="17"/>
        <v>Pass - Ready for Confirmation</v>
      </c>
    </row>
    <row r="527" spans="1:9" x14ac:dyDescent="0.3">
      <c r="A527" t="str">
        <f>FO_Capture!A527</f>
        <v>TRD00526</v>
      </c>
      <c r="B527" t="str">
        <f>FO_Capture!B527</f>
        <v>INE003A01024</v>
      </c>
      <c r="C527" t="str">
        <f>IFERROR(VLOOKUP(FO_Capture!C527, Reference_Data!A:D, 2, FALSE), "UNKNOWN")</f>
        <v>Alpha Asset Management 5</v>
      </c>
      <c r="D527" t="str">
        <f>IFERROR(VLOOKUP(FO_Capture!C527, Reference_Data!A:D, 3, FALSE), "XXX")</f>
        <v>INR</v>
      </c>
      <c r="E527" t="str">
        <f>IFERROR(VLOOKUP(FO_Capture!C527, Reference_Data!A:D, 4, FALSE), "MISSING SSI")</f>
        <v>JPMorgan A/C 860462</v>
      </c>
      <c r="F527">
        <f>FO_Capture!D527</f>
        <v>190</v>
      </c>
      <c r="G527">
        <f>FO_Capture!E527</f>
        <v>379.58999633789063</v>
      </c>
      <c r="H527">
        <f t="shared" si="16"/>
        <v>72122.099304199219</v>
      </c>
      <c r="I527" t="str">
        <f t="shared" si="17"/>
        <v>Pass - Ready for Confirmation</v>
      </c>
    </row>
    <row r="528" spans="1:9" x14ac:dyDescent="0.3">
      <c r="A528" t="str">
        <f>FO_Capture!A528</f>
        <v>TRD00527</v>
      </c>
      <c r="B528" t="str">
        <f>FO_Capture!B528</f>
        <v>INE008A0104</v>
      </c>
      <c r="C528" t="str">
        <f>IFERROR(VLOOKUP(FO_Capture!C528, Reference_Data!A:D, 2, FALSE), "UNKNOWN")</f>
        <v>Alpha Capital 9</v>
      </c>
      <c r="D528" t="str">
        <f>IFERROR(VLOOKUP(FO_Capture!C528, Reference_Data!A:D, 3, FALSE), "XXX")</f>
        <v>JPY</v>
      </c>
      <c r="E528" t="str">
        <f>IFERROR(VLOOKUP(FO_Capture!C528, Reference_Data!A:D, 4, FALSE), "MISSING SSI")</f>
        <v>Citi A/C 744145</v>
      </c>
      <c r="F528">
        <f>FO_Capture!D528</f>
        <v>490</v>
      </c>
      <c r="G528">
        <f>FO_Capture!E528</f>
        <v>197.22000122070313</v>
      </c>
      <c r="H528">
        <f t="shared" si="16"/>
        <v>96637.800598144531</v>
      </c>
      <c r="I528" t="str">
        <f t="shared" si="17"/>
        <v>Pass - Ready for Confirmation</v>
      </c>
    </row>
    <row r="529" spans="1:9" x14ac:dyDescent="0.3">
      <c r="A529" t="str">
        <f>FO_Capture!A529</f>
        <v>TRD00528</v>
      </c>
      <c r="B529" t="str">
        <f>FO_Capture!B529</f>
        <v>INE009A01066</v>
      </c>
      <c r="C529" t="str">
        <f>IFERROR(VLOOKUP(FO_Capture!C529, Reference_Data!A:D, 2, FALSE), "UNKNOWN")</f>
        <v>Alpha Partners 1</v>
      </c>
      <c r="D529" t="str">
        <f>IFERROR(VLOOKUP(FO_Capture!C529, Reference_Data!A:D, 3, FALSE), "XXX")</f>
        <v>JPY</v>
      </c>
      <c r="E529" t="str">
        <f>IFERROR(VLOOKUP(FO_Capture!C529, Reference_Data!A:D, 4, FALSE), "MISSING SSI")</f>
        <v>Standard Chartered A/C 277005</v>
      </c>
      <c r="F529">
        <f>FO_Capture!D529</f>
        <v>10</v>
      </c>
      <c r="G529">
        <f>FO_Capture!E529</f>
        <v>68.349998474121094</v>
      </c>
      <c r="H529">
        <f t="shared" si="16"/>
        <v>683.49998474121094</v>
      </c>
      <c r="I529" t="str">
        <f t="shared" si="17"/>
        <v>Pass - Ready for Confirmation</v>
      </c>
    </row>
    <row r="530" spans="1:9" x14ac:dyDescent="0.3">
      <c r="A530" t="str">
        <f>FO_Capture!A530</f>
        <v>TRD00529</v>
      </c>
      <c r="B530" t="str">
        <f>FO_Capture!B530</f>
        <v>INE007A01029</v>
      </c>
      <c r="C530" t="str">
        <f>IFERROR(VLOOKUP(FO_Capture!C530, Reference_Data!A:D, 2, FALSE), "UNKNOWN")</f>
        <v>Alpha Partners 6</v>
      </c>
      <c r="D530" t="str">
        <f>IFERROR(VLOOKUP(FO_Capture!C530, Reference_Data!A:D, 3, FALSE), "XXX")</f>
        <v>INR</v>
      </c>
      <c r="E530" t="str">
        <f>IFERROR(VLOOKUP(FO_Capture!C530, Reference_Data!A:D, 4, FALSE), "MISSING SSI")</f>
        <v>Standard Chartered A/C 441247</v>
      </c>
      <c r="F530">
        <f>FO_Capture!D530</f>
        <v>480</v>
      </c>
      <c r="G530">
        <f>FO_Capture!E530</f>
        <v>47.909999847412109</v>
      </c>
      <c r="H530">
        <f t="shared" si="16"/>
        <v>22996.799926757813</v>
      </c>
      <c r="I530" t="str">
        <f t="shared" si="17"/>
        <v>Pass - Ready for Confirmation</v>
      </c>
    </row>
    <row r="531" spans="1:9" x14ac:dyDescent="0.3">
      <c r="A531" t="str">
        <f>FO_Capture!A531</f>
        <v>TRD00530</v>
      </c>
      <c r="B531" t="str">
        <f>FO_Capture!B531</f>
        <v>INE001A01089</v>
      </c>
      <c r="C531" t="str">
        <f>IFERROR(VLOOKUP(FO_Capture!C531, Reference_Data!A:D, 2, FALSE), "UNKNOWN")</f>
        <v>Alpha Holdings 16</v>
      </c>
      <c r="D531" t="str">
        <f>IFERROR(VLOOKUP(FO_Capture!C531, Reference_Data!A:D, 3, FALSE), "XXX")</f>
        <v>USD</v>
      </c>
      <c r="E531" t="str">
        <f>IFERROR(VLOOKUP(FO_Capture!C531, Reference_Data!A:D, 4, FALSE), "MISSING SSI")</f>
        <v>Barclays A/C 197229</v>
      </c>
      <c r="F531">
        <f>FO_Capture!D531</f>
        <v>500</v>
      </c>
      <c r="G531">
        <f>FO_Capture!E531</f>
        <v>42.409999847412109</v>
      </c>
      <c r="H531">
        <f t="shared" si="16"/>
        <v>21204.999923706055</v>
      </c>
      <c r="I531" t="str">
        <f t="shared" si="17"/>
        <v>Pass - Ready for Confirmation</v>
      </c>
    </row>
    <row r="532" spans="1:9" x14ac:dyDescent="0.3">
      <c r="A532" t="str">
        <f>FO_Capture!A532</f>
        <v>TRD00531</v>
      </c>
      <c r="B532" t="str">
        <f>FO_Capture!B532</f>
        <v>INE002A01079</v>
      </c>
      <c r="C532" t="str">
        <f>IFERROR(VLOOKUP(FO_Capture!C532, Reference_Data!A:D, 2, FALSE), "UNKNOWN")</f>
        <v>Alpha Partners 26</v>
      </c>
      <c r="D532" t="str">
        <f>IFERROR(VLOOKUP(FO_Capture!C532, Reference_Data!A:D, 3, FALSE), "XXX")</f>
        <v>USD</v>
      </c>
      <c r="E532" t="str">
        <f>IFERROR(VLOOKUP(FO_Capture!C532, Reference_Data!A:D, 4, FALSE), "MISSING SSI")</f>
        <v>HSBC A/C 867781</v>
      </c>
      <c r="F532">
        <f>FO_Capture!D532</f>
        <v>330</v>
      </c>
      <c r="G532">
        <f>FO_Capture!E532</f>
        <v>59.900001525878906</v>
      </c>
      <c r="H532">
        <f t="shared" si="16"/>
        <v>19767.000503540039</v>
      </c>
      <c r="I532" t="str">
        <f t="shared" si="17"/>
        <v>Pass - Ready for Confirmation</v>
      </c>
    </row>
    <row r="533" spans="1:9" x14ac:dyDescent="0.3">
      <c r="A533" t="str">
        <f>FO_Capture!A533</f>
        <v>TRD00532</v>
      </c>
      <c r="B533" t="str">
        <f>FO_Capture!B533</f>
        <v>INE005A01015</v>
      </c>
      <c r="C533" t="str">
        <f>IFERROR(VLOOKUP(FO_Capture!C533, Reference_Data!A:D, 2, FALSE), "UNKNOWN")</f>
        <v>Alpha Quant Fund 50</v>
      </c>
      <c r="D533" t="str">
        <f>IFERROR(VLOOKUP(FO_Capture!C533, Reference_Data!A:D, 3, FALSE), "XXX")</f>
        <v>SGD</v>
      </c>
      <c r="E533" t="str">
        <f>IFERROR(VLOOKUP(FO_Capture!C533, Reference_Data!A:D, 4, FALSE), "MISSING SSI")</f>
        <v>Standard Chartered A/C 307017</v>
      </c>
      <c r="F533">
        <f>FO_Capture!D533</f>
        <v>100</v>
      </c>
      <c r="G533">
        <f>FO_Capture!E533</f>
        <v>459.989990234375</v>
      </c>
      <c r="H533">
        <f t="shared" si="16"/>
        <v>45998.9990234375</v>
      </c>
      <c r="I533" t="str">
        <f t="shared" si="17"/>
        <v>Pass - Ready for Confirmation</v>
      </c>
    </row>
    <row r="534" spans="1:9" x14ac:dyDescent="0.3">
      <c r="A534" t="str">
        <f>FO_Capture!A534</f>
        <v>TRD00533</v>
      </c>
      <c r="B534" t="str">
        <f>FO_Capture!B534</f>
        <v>INE003A01042</v>
      </c>
      <c r="C534" t="str">
        <f>IFERROR(VLOOKUP(FO_Capture!C534, Reference_Data!A:D, 2, FALSE), "UNKNOWN")</f>
        <v>Alpha Global 2</v>
      </c>
      <c r="D534" t="str">
        <f>IFERROR(VLOOKUP(FO_Capture!C534, Reference_Data!A:D, 3, FALSE), "XXX")</f>
        <v>GBP</v>
      </c>
      <c r="E534" t="str">
        <f>IFERROR(VLOOKUP(FO_Capture!C534, Reference_Data!A:D, 4, FALSE), "MISSING SSI")</f>
        <v>JPMorgan A/C 582379</v>
      </c>
      <c r="F534">
        <f>FO_Capture!D534</f>
        <v>70</v>
      </c>
      <c r="G534">
        <f>FO_Capture!E534</f>
        <v>203.8699951171875</v>
      </c>
      <c r="H534">
        <f t="shared" si="16"/>
        <v>14270.899658203125</v>
      </c>
      <c r="I534" t="str">
        <f t="shared" si="17"/>
        <v>Pass - Ready for Confirmation</v>
      </c>
    </row>
    <row r="535" spans="1:9" x14ac:dyDescent="0.3">
      <c r="A535" t="str">
        <f>FO_Capture!A535</f>
        <v>TRD00534</v>
      </c>
      <c r="B535" t="str">
        <f>FO_Capture!B535</f>
        <v>INE004A01090</v>
      </c>
      <c r="C535" t="str">
        <f>IFERROR(VLOOKUP(FO_Capture!C535, Reference_Data!A:D, 2, FALSE), "UNKNOWN")</f>
        <v>Alpha Holdings 16</v>
      </c>
      <c r="D535" t="str">
        <f>IFERROR(VLOOKUP(FO_Capture!C535, Reference_Data!A:D, 3, FALSE), "XXX")</f>
        <v>USD</v>
      </c>
      <c r="E535" t="str">
        <f>IFERROR(VLOOKUP(FO_Capture!C535, Reference_Data!A:D, 4, FALSE), "MISSING SSI")</f>
        <v>Barclays A/C 197229</v>
      </c>
      <c r="F535">
        <f>FO_Capture!D535</f>
        <v>390</v>
      </c>
      <c r="G535">
        <f>FO_Capture!E535</f>
        <v>104.27999877929688</v>
      </c>
      <c r="H535">
        <f t="shared" si="16"/>
        <v>40669.199523925781</v>
      </c>
      <c r="I535" t="str">
        <f t="shared" si="17"/>
        <v>Pass - Ready for Confirmation</v>
      </c>
    </row>
    <row r="536" spans="1:9" x14ac:dyDescent="0.3">
      <c r="A536" t="str">
        <f>FO_Capture!A536</f>
        <v>TRD00535</v>
      </c>
      <c r="B536" t="str">
        <f>FO_Capture!B536</f>
        <v>INE004A01024</v>
      </c>
      <c r="C536" t="str">
        <f>IFERROR(VLOOKUP(FO_Capture!C536, Reference_Data!A:D, 2, FALSE), "UNKNOWN")</f>
        <v>Alpha Partners 26</v>
      </c>
      <c r="D536" t="str">
        <f>IFERROR(VLOOKUP(FO_Capture!C536, Reference_Data!A:D, 3, FALSE), "XXX")</f>
        <v>USD</v>
      </c>
      <c r="E536" t="str">
        <f>IFERROR(VLOOKUP(FO_Capture!C536, Reference_Data!A:D, 4, FALSE), "MISSING SSI")</f>
        <v>HSBC A/C 867781</v>
      </c>
      <c r="F536">
        <f>FO_Capture!D536</f>
        <v>330</v>
      </c>
      <c r="G536">
        <f>FO_Capture!E536</f>
        <v>75.529998779296875</v>
      </c>
      <c r="H536">
        <f t="shared" si="16"/>
        <v>24924.899597167969</v>
      </c>
      <c r="I536" t="str">
        <f t="shared" si="17"/>
        <v>Pass - Ready for Confirmation</v>
      </c>
    </row>
    <row r="537" spans="1:9" x14ac:dyDescent="0.3">
      <c r="A537" t="str">
        <f>FO_Capture!A537</f>
        <v>TRD00536</v>
      </c>
      <c r="B537" t="str">
        <f>FO_Capture!B537</f>
        <v>INE003A01088</v>
      </c>
      <c r="C537" t="str">
        <f>IFERROR(VLOOKUP(FO_Capture!C537, Reference_Data!A:D, 2, FALSE), "UNKNOWN")</f>
        <v>Alpha Capital 38</v>
      </c>
      <c r="D537" t="str">
        <f>IFERROR(VLOOKUP(FO_Capture!C537, Reference_Data!A:D, 3, FALSE), "XXX")</f>
        <v>SGD</v>
      </c>
      <c r="E537" t="str">
        <f>IFERROR(VLOOKUP(FO_Capture!C537, Reference_Data!A:D, 4, FALSE), "MISSING SSI")</f>
        <v>Deutsche Bank A/C 153521</v>
      </c>
      <c r="F537">
        <f>FO_Capture!D537</f>
        <v>60</v>
      </c>
      <c r="G537">
        <f>FO_Capture!E537</f>
        <v>383.489990234375</v>
      </c>
      <c r="H537">
        <f t="shared" si="16"/>
        <v>23009.3994140625</v>
      </c>
      <c r="I537" t="str">
        <f t="shared" si="17"/>
        <v>Pass - Ready for Confirmation</v>
      </c>
    </row>
    <row r="538" spans="1:9" x14ac:dyDescent="0.3">
      <c r="A538" t="str">
        <f>FO_Capture!A538</f>
        <v>TRD00537</v>
      </c>
      <c r="B538" t="str">
        <f>FO_Capture!B538</f>
        <v>INE001A01062</v>
      </c>
      <c r="C538" t="str">
        <f>IFERROR(VLOOKUP(FO_Capture!C538, Reference_Data!A:D, 2, FALSE), "UNKNOWN")</f>
        <v>Alpha Partners 6</v>
      </c>
      <c r="D538" t="str">
        <f>IFERROR(VLOOKUP(FO_Capture!C538, Reference_Data!A:D, 3, FALSE), "XXX")</f>
        <v>INR</v>
      </c>
      <c r="E538" t="str">
        <f>IFERROR(VLOOKUP(FO_Capture!C538, Reference_Data!A:D, 4, FALSE), "MISSING SSI")</f>
        <v>Standard Chartered A/C 441247</v>
      </c>
      <c r="F538">
        <f>FO_Capture!D538</f>
        <v>370</v>
      </c>
      <c r="G538">
        <f>FO_Capture!E538</f>
        <v>395.58999633789063</v>
      </c>
      <c r="H538">
        <f t="shared" si="16"/>
        <v>146368.29864501953</v>
      </c>
      <c r="I538" t="str">
        <f t="shared" si="17"/>
        <v>Pass - Ready for Confirmation</v>
      </c>
    </row>
    <row r="539" spans="1:9" x14ac:dyDescent="0.3">
      <c r="A539" t="str">
        <f>FO_Capture!A539</f>
        <v>TRD00538</v>
      </c>
      <c r="B539" t="str">
        <f>FO_Capture!B539</f>
        <v>INE008A0107</v>
      </c>
      <c r="C539" t="str">
        <f>IFERROR(VLOOKUP(FO_Capture!C539, Reference_Data!A:D, 2, FALSE), "UNKNOWN")</f>
        <v>Alpha Asset Management 5</v>
      </c>
      <c r="D539" t="str">
        <f>IFERROR(VLOOKUP(FO_Capture!C539, Reference_Data!A:D, 3, FALSE), "XXX")</f>
        <v>INR</v>
      </c>
      <c r="E539" t="str">
        <f>IFERROR(VLOOKUP(FO_Capture!C539, Reference_Data!A:D, 4, FALSE), "MISSING SSI")</f>
        <v>JPMorgan A/C 860462</v>
      </c>
      <c r="F539">
        <f>FO_Capture!D539</f>
        <v>430</v>
      </c>
      <c r="G539">
        <f>FO_Capture!E539</f>
        <v>330.82000732421875</v>
      </c>
      <c r="H539">
        <f t="shared" si="16"/>
        <v>142252.60314941406</v>
      </c>
      <c r="I539" t="str">
        <f t="shared" si="17"/>
        <v>Pass - Ready for Confirmation</v>
      </c>
    </row>
    <row r="540" spans="1:9" x14ac:dyDescent="0.3">
      <c r="A540" t="str">
        <f>FO_Capture!A540</f>
        <v>TRD00539</v>
      </c>
      <c r="B540" t="str">
        <f>FO_Capture!B540</f>
        <v>INE009A01015</v>
      </c>
      <c r="C540" t="str">
        <f>IFERROR(VLOOKUP(FO_Capture!C540, Reference_Data!A:D, 2, FALSE), "UNKNOWN")</f>
        <v>Alpha Capital 10</v>
      </c>
      <c r="D540" t="str">
        <f>IFERROR(VLOOKUP(FO_Capture!C540, Reference_Data!A:D, 3, FALSE), "XXX")</f>
        <v>USD</v>
      </c>
      <c r="E540" t="str">
        <f>IFERROR(VLOOKUP(FO_Capture!C540, Reference_Data!A:D, 4, FALSE), "MISSING SSI")</f>
        <v>HDFC A/C 543407</v>
      </c>
      <c r="F540">
        <f>FO_Capture!D540</f>
        <v>70</v>
      </c>
      <c r="G540">
        <f>FO_Capture!E540</f>
        <v>509.739990234375</v>
      </c>
      <c r="H540">
        <f t="shared" si="16"/>
        <v>35681.79931640625</v>
      </c>
      <c r="I540" t="str">
        <f t="shared" si="17"/>
        <v>Pass - Ready for Confirmation</v>
      </c>
    </row>
    <row r="541" spans="1:9" x14ac:dyDescent="0.3">
      <c r="A541" t="str">
        <f>FO_Capture!A541</f>
        <v>TRD00540</v>
      </c>
      <c r="B541" t="str">
        <f>FO_Capture!B541</f>
        <v>INE008A01066</v>
      </c>
      <c r="C541" t="str">
        <f>IFERROR(VLOOKUP(FO_Capture!C541, Reference_Data!A:D, 2, FALSE), "UNKNOWN")</f>
        <v>Alpha Investments 17</v>
      </c>
      <c r="D541" t="str">
        <f>IFERROR(VLOOKUP(FO_Capture!C541, Reference_Data!A:D, 3, FALSE), "XXX")</f>
        <v>USD</v>
      </c>
      <c r="E541" t="str">
        <f>IFERROR(VLOOKUP(FO_Capture!C541, Reference_Data!A:D, 4, FALSE), "MISSING SSI")</f>
        <v>HDFC A/C 113752</v>
      </c>
      <c r="F541">
        <f>FO_Capture!D541</f>
        <v>460</v>
      </c>
      <c r="G541">
        <f>FO_Capture!E541</f>
        <v>104.48000335693359</v>
      </c>
      <c r="H541">
        <f t="shared" si="16"/>
        <v>48060.801544189453</v>
      </c>
      <c r="I541" t="str">
        <f t="shared" si="17"/>
        <v>Pass - Ready for Confirmation</v>
      </c>
    </row>
    <row r="542" spans="1:9" x14ac:dyDescent="0.3">
      <c r="A542" t="str">
        <f>FO_Capture!A542</f>
        <v>TRD00541</v>
      </c>
      <c r="B542" t="str">
        <f>FO_Capture!B542</f>
        <v>INE002A01068</v>
      </c>
      <c r="C542" t="str">
        <f>IFERROR(VLOOKUP(FO_Capture!C542, Reference_Data!A:D, 2, FALSE), "UNKNOWN")</f>
        <v>Alpha Global 20</v>
      </c>
      <c r="D542" t="str">
        <f>IFERROR(VLOOKUP(FO_Capture!C542, Reference_Data!A:D, 3, FALSE), "XXX")</f>
        <v>JPY</v>
      </c>
      <c r="E542" t="str">
        <f>IFERROR(VLOOKUP(FO_Capture!C542, Reference_Data!A:D, 4, FALSE), "MISSING SSI")</f>
        <v>Barclays A/C 560891</v>
      </c>
      <c r="F542">
        <f>FO_Capture!D542</f>
        <v>440</v>
      </c>
      <c r="G542">
        <f>FO_Capture!E542</f>
        <v>388.70001220703125</v>
      </c>
      <c r="H542">
        <f t="shared" si="16"/>
        <v>171028.00537109375</v>
      </c>
      <c r="I542" t="str">
        <f t="shared" si="17"/>
        <v>Pass - Ready for Confirmation</v>
      </c>
    </row>
    <row r="543" spans="1:9" x14ac:dyDescent="0.3">
      <c r="A543" t="str">
        <f>FO_Capture!A543</f>
        <v>TRD00542</v>
      </c>
      <c r="B543" t="str">
        <f>FO_Capture!B543</f>
        <v>INE006A01015</v>
      </c>
      <c r="C543" t="str">
        <f>IFERROR(VLOOKUP(FO_Capture!C543, Reference_Data!A:D, 2, FALSE), "UNKNOWN")</f>
        <v>Alpha Capital 36</v>
      </c>
      <c r="D543" t="str">
        <f>IFERROR(VLOOKUP(FO_Capture!C543, Reference_Data!A:D, 3, FALSE), "XXX")</f>
        <v>JPY</v>
      </c>
      <c r="E543" t="str">
        <f>IFERROR(VLOOKUP(FO_Capture!C543, Reference_Data!A:D, 4, FALSE), "MISSING SSI")</f>
        <v>Citi A/C 359789</v>
      </c>
      <c r="F543">
        <f>FO_Capture!D543</f>
        <v>210</v>
      </c>
      <c r="G543">
        <f>FO_Capture!E543</f>
        <v>487.66000366210938</v>
      </c>
      <c r="H543">
        <f t="shared" si="16"/>
        <v>102408.60076904297</v>
      </c>
      <c r="I543" t="str">
        <f t="shared" si="17"/>
        <v>Pass - Ready for Confirmation</v>
      </c>
    </row>
    <row r="544" spans="1:9" x14ac:dyDescent="0.3">
      <c r="A544" t="str">
        <f>FO_Capture!A544</f>
        <v>TRD00543</v>
      </c>
      <c r="B544" t="str">
        <f>FO_Capture!B544</f>
        <v>INE001A01031</v>
      </c>
      <c r="C544" t="str">
        <f>IFERROR(VLOOKUP(FO_Capture!C544, Reference_Data!A:D, 2, FALSE), "UNKNOWN")</f>
        <v>Alpha Investments 29</v>
      </c>
      <c r="D544" t="str">
        <f>IFERROR(VLOOKUP(FO_Capture!C544, Reference_Data!A:D, 3, FALSE), "XXX")</f>
        <v>INR</v>
      </c>
      <c r="E544" t="str">
        <f>IFERROR(VLOOKUP(FO_Capture!C544, Reference_Data!A:D, 4, FALSE), "MISSING SSI")</f>
        <v>HSBC A/C 785870</v>
      </c>
      <c r="F544">
        <f>FO_Capture!D544</f>
        <v>120</v>
      </c>
      <c r="G544">
        <f>FO_Capture!E544</f>
        <v>128.16000366210938</v>
      </c>
      <c r="H544">
        <f t="shared" si="16"/>
        <v>15379.200439453125</v>
      </c>
      <c r="I544" t="str">
        <f t="shared" si="17"/>
        <v>Pass - Ready for Confirmation</v>
      </c>
    </row>
    <row r="545" spans="1:9" x14ac:dyDescent="0.3">
      <c r="A545" t="str">
        <f>FO_Capture!A545</f>
        <v>TRD00544</v>
      </c>
      <c r="B545" t="str">
        <f>FO_Capture!B545</f>
        <v>INE006A01025</v>
      </c>
      <c r="C545" t="str">
        <f>IFERROR(VLOOKUP(FO_Capture!C545, Reference_Data!A:D, 2, FALSE), "UNKNOWN")</f>
        <v>Alpha Partners 37</v>
      </c>
      <c r="D545" t="str">
        <f>IFERROR(VLOOKUP(FO_Capture!C545, Reference_Data!A:D, 3, FALSE), "XXX")</f>
        <v>JPY</v>
      </c>
      <c r="E545" t="str">
        <f>IFERROR(VLOOKUP(FO_Capture!C545, Reference_Data!A:D, 4, FALSE), "MISSING SSI")</f>
        <v>HSBC A/C 994063</v>
      </c>
      <c r="F545">
        <f>FO_Capture!D545</f>
        <v>380</v>
      </c>
      <c r="G545">
        <f>FO_Capture!E545</f>
        <v>388.57000732421875</v>
      </c>
      <c r="H545">
        <f t="shared" si="16"/>
        <v>147656.60278320313</v>
      </c>
      <c r="I545" t="str">
        <f t="shared" si="17"/>
        <v>Pass - Ready for Confirmation</v>
      </c>
    </row>
    <row r="546" spans="1:9" x14ac:dyDescent="0.3">
      <c r="A546" t="str">
        <f>FO_Capture!A546</f>
        <v>TRD00545</v>
      </c>
      <c r="B546" t="str">
        <f>FO_Capture!B546</f>
        <v>INE002A01038</v>
      </c>
      <c r="C546" t="str">
        <f>IFERROR(VLOOKUP(FO_Capture!C546, Reference_Data!A:D, 2, FALSE), "UNKNOWN")</f>
        <v>Alpha Global 45</v>
      </c>
      <c r="D546" t="str">
        <f>IFERROR(VLOOKUP(FO_Capture!C546, Reference_Data!A:D, 3, FALSE), "XXX")</f>
        <v>EUR</v>
      </c>
      <c r="E546" t="str">
        <f>IFERROR(VLOOKUP(FO_Capture!C546, Reference_Data!A:D, 4, FALSE), "MISSING SSI")</f>
        <v>HSBC A/C 540659</v>
      </c>
      <c r="F546">
        <f>FO_Capture!D546</f>
        <v>360</v>
      </c>
      <c r="G546">
        <f>FO_Capture!E546</f>
        <v>448.82998657226563</v>
      </c>
      <c r="H546">
        <f t="shared" si="16"/>
        <v>161578.79516601563</v>
      </c>
      <c r="I546" t="str">
        <f t="shared" si="17"/>
        <v>Pass - Ready for Confirmation</v>
      </c>
    </row>
    <row r="547" spans="1:9" x14ac:dyDescent="0.3">
      <c r="A547" t="str">
        <f>FO_Capture!A547</f>
        <v>TRD00546</v>
      </c>
      <c r="B547" t="str">
        <f>FO_Capture!B547</f>
        <v>INE004A01093</v>
      </c>
      <c r="C547" t="str">
        <f>IFERROR(VLOOKUP(FO_Capture!C547, Reference_Data!A:D, 2, FALSE), "UNKNOWN")</f>
        <v>Alpha Capital 9</v>
      </c>
      <c r="D547" t="str">
        <f>IFERROR(VLOOKUP(FO_Capture!C547, Reference_Data!A:D, 3, FALSE), "XXX")</f>
        <v>JPY</v>
      </c>
      <c r="E547" t="str">
        <f>IFERROR(VLOOKUP(FO_Capture!C547, Reference_Data!A:D, 4, FALSE), "MISSING SSI")</f>
        <v>Citi A/C 744145</v>
      </c>
      <c r="F547">
        <f>FO_Capture!D547</f>
        <v>290</v>
      </c>
      <c r="G547">
        <f>FO_Capture!E547</f>
        <v>340.42001342773438</v>
      </c>
      <c r="H547">
        <f t="shared" si="16"/>
        <v>98721.803894042969</v>
      </c>
      <c r="I547" t="str">
        <f t="shared" si="17"/>
        <v>Pass - Ready for Confirmation</v>
      </c>
    </row>
    <row r="548" spans="1:9" x14ac:dyDescent="0.3">
      <c r="A548" t="str">
        <f>FO_Capture!A548</f>
        <v>TRD00547</v>
      </c>
      <c r="B548" t="str">
        <f>FO_Capture!B548</f>
        <v>INE003A01049</v>
      </c>
      <c r="C548" t="str">
        <f>IFERROR(VLOOKUP(FO_Capture!C548, Reference_Data!A:D, 2, FALSE), "UNKNOWN")</f>
        <v>Alpha Asset Management 35</v>
      </c>
      <c r="D548" t="str">
        <f>IFERROR(VLOOKUP(FO_Capture!C548, Reference_Data!A:D, 3, FALSE), "XXX")</f>
        <v>JPY</v>
      </c>
      <c r="E548" t="str">
        <f>IFERROR(VLOOKUP(FO_Capture!C548, Reference_Data!A:D, 4, FALSE), "MISSING SSI")</f>
        <v>HSBC A/C 604357</v>
      </c>
      <c r="F548">
        <f>FO_Capture!D548</f>
        <v>60</v>
      </c>
      <c r="G548">
        <f>FO_Capture!E548</f>
        <v>196.41000366210938</v>
      </c>
      <c r="H548">
        <f t="shared" si="16"/>
        <v>11784.600219726563</v>
      </c>
      <c r="I548" t="str">
        <f t="shared" si="17"/>
        <v>Pass - Ready for Confirmation</v>
      </c>
    </row>
    <row r="549" spans="1:9" x14ac:dyDescent="0.3">
      <c r="A549" t="str">
        <f>FO_Capture!A549</f>
        <v>TRD00548</v>
      </c>
      <c r="B549" t="str">
        <f>FO_Capture!B549</f>
        <v>INE008A01043</v>
      </c>
      <c r="C549" t="str">
        <f>IFERROR(VLOOKUP(FO_Capture!C549, Reference_Data!A:D, 2, FALSE), "UNKNOWN")</f>
        <v>Alpha Partners 1</v>
      </c>
      <c r="D549" t="str">
        <f>IFERROR(VLOOKUP(FO_Capture!C549, Reference_Data!A:D, 3, FALSE), "XXX")</f>
        <v>JPY</v>
      </c>
      <c r="E549" t="str">
        <f>IFERROR(VLOOKUP(FO_Capture!C549, Reference_Data!A:D, 4, FALSE), "MISSING SSI")</f>
        <v>Standard Chartered A/C 277005</v>
      </c>
      <c r="F549">
        <f>FO_Capture!D549</f>
        <v>400</v>
      </c>
      <c r="G549">
        <f>FO_Capture!E549</f>
        <v>501.39999389648438</v>
      </c>
      <c r="H549">
        <f t="shared" si="16"/>
        <v>200559.99755859375</v>
      </c>
      <c r="I549" t="str">
        <f t="shared" si="17"/>
        <v>Pass - Ready for Confirmation</v>
      </c>
    </row>
    <row r="550" spans="1:9" x14ac:dyDescent="0.3">
      <c r="A550" t="str">
        <f>FO_Capture!A550</f>
        <v>TRD00549</v>
      </c>
      <c r="B550" t="str">
        <f>FO_Capture!B550</f>
        <v>INE005A01049</v>
      </c>
      <c r="C550" t="str">
        <f>IFERROR(VLOOKUP(FO_Capture!C550, Reference_Data!A:D, 2, FALSE), "UNKNOWN")</f>
        <v>Alpha Capital 33</v>
      </c>
      <c r="D550" t="str">
        <f>IFERROR(VLOOKUP(FO_Capture!C550, Reference_Data!A:D, 3, FALSE), "XXX")</f>
        <v>JPY</v>
      </c>
      <c r="E550" t="str">
        <f>IFERROR(VLOOKUP(FO_Capture!C550, Reference_Data!A:D, 4, FALSE), "MISSING SSI")</f>
        <v>HSBC A/C 172861</v>
      </c>
      <c r="F550">
        <f>FO_Capture!D550</f>
        <v>210</v>
      </c>
      <c r="G550">
        <f>FO_Capture!E550</f>
        <v>341.60000610351563</v>
      </c>
      <c r="H550">
        <f t="shared" si="16"/>
        <v>71736.001281738281</v>
      </c>
      <c r="I550" t="str">
        <f t="shared" si="17"/>
        <v>Pass - Ready for Confirmation</v>
      </c>
    </row>
    <row r="551" spans="1:9" x14ac:dyDescent="0.3">
      <c r="A551" t="str">
        <f>FO_Capture!A551</f>
        <v>TRD00550</v>
      </c>
      <c r="B551" t="str">
        <f>FO_Capture!B551</f>
        <v>INE003A01021</v>
      </c>
      <c r="C551" t="str">
        <f>IFERROR(VLOOKUP(FO_Capture!C551, Reference_Data!A:D, 2, FALSE), "UNKNOWN")</f>
        <v>Alpha Quant Fund 27</v>
      </c>
      <c r="D551" t="str">
        <f>IFERROR(VLOOKUP(FO_Capture!C551, Reference_Data!A:D, 3, FALSE), "XXX")</f>
        <v>EUR</v>
      </c>
      <c r="E551" t="str">
        <f>IFERROR(VLOOKUP(FO_Capture!C551, Reference_Data!A:D, 4, FALSE), "MISSING SSI")</f>
        <v>Standard Chartered A/C 331839</v>
      </c>
      <c r="F551">
        <f>FO_Capture!D551</f>
        <v>270</v>
      </c>
      <c r="G551">
        <f>FO_Capture!E551</f>
        <v>154.72999572753906</v>
      </c>
      <c r="H551">
        <f t="shared" si="16"/>
        <v>41777.098846435547</v>
      </c>
      <c r="I551" t="str">
        <f t="shared" si="17"/>
        <v>Pass - Ready for Confirmation</v>
      </c>
    </row>
    <row r="552" spans="1:9" x14ac:dyDescent="0.3">
      <c r="A552" t="str">
        <f>FO_Capture!A552</f>
        <v>TRD00551</v>
      </c>
      <c r="B552" t="str">
        <f>FO_Capture!B552</f>
        <v>INE001A01048</v>
      </c>
      <c r="C552" t="str">
        <f>IFERROR(VLOOKUP(FO_Capture!C552, Reference_Data!A:D, 2, FALSE), "UNKNOWN")</f>
        <v>Alpha Global 30</v>
      </c>
      <c r="D552" t="str">
        <f>IFERROR(VLOOKUP(FO_Capture!C552, Reference_Data!A:D, 3, FALSE), "XXX")</f>
        <v>JPY</v>
      </c>
      <c r="E552" t="str">
        <f>IFERROR(VLOOKUP(FO_Capture!C552, Reference_Data!A:D, 4, FALSE), "MISSING SSI")</f>
        <v>Deutsche Bank A/C 917262</v>
      </c>
      <c r="F552">
        <f>FO_Capture!D552</f>
        <v>25000</v>
      </c>
      <c r="G552">
        <f>FO_Capture!E552</f>
        <v>470.25</v>
      </c>
      <c r="H552">
        <f t="shared" si="16"/>
        <v>11756250</v>
      </c>
      <c r="I552" t="str">
        <f t="shared" si="17"/>
        <v>Exception - Limit Breach</v>
      </c>
    </row>
    <row r="553" spans="1:9" x14ac:dyDescent="0.3">
      <c r="A553" t="str">
        <f>FO_Capture!A553</f>
        <v>TRD00552</v>
      </c>
      <c r="B553" t="str">
        <f>FO_Capture!B553</f>
        <v>INE009A0107</v>
      </c>
      <c r="C553" t="str">
        <f>IFERROR(VLOOKUP(FO_Capture!C553, Reference_Data!A:D, 2, FALSE), "UNKNOWN")</f>
        <v>Alpha Global 20</v>
      </c>
      <c r="D553" t="str">
        <f>IFERROR(VLOOKUP(FO_Capture!C553, Reference_Data!A:D, 3, FALSE), "XXX")</f>
        <v>JPY</v>
      </c>
      <c r="E553" t="str">
        <f>IFERROR(VLOOKUP(FO_Capture!C553, Reference_Data!A:D, 4, FALSE), "MISSING SSI")</f>
        <v>Barclays A/C 560891</v>
      </c>
      <c r="F553">
        <f>FO_Capture!D553</f>
        <v>20</v>
      </c>
      <c r="G553">
        <f>FO_Capture!E553</f>
        <v>99.569999694824219</v>
      </c>
      <c r="H553">
        <f t="shared" si="16"/>
        <v>1991.3999938964844</v>
      </c>
      <c r="I553" t="str">
        <f t="shared" si="17"/>
        <v>Pass - Ready for Confirmation</v>
      </c>
    </row>
    <row r="554" spans="1:9" x14ac:dyDescent="0.3">
      <c r="A554" t="str">
        <f>FO_Capture!A554</f>
        <v>TRD00553</v>
      </c>
      <c r="B554" t="str">
        <f>FO_Capture!B554</f>
        <v>INE004A01050</v>
      </c>
      <c r="C554" t="str">
        <f>IFERROR(VLOOKUP(FO_Capture!C554, Reference_Data!A:D, 2, FALSE), "UNKNOWN")</f>
        <v>Alpha Capital 10</v>
      </c>
      <c r="D554" t="str">
        <f>IFERROR(VLOOKUP(FO_Capture!C554, Reference_Data!A:D, 3, FALSE), "XXX")</f>
        <v>USD</v>
      </c>
      <c r="E554" t="str">
        <f>IFERROR(VLOOKUP(FO_Capture!C554, Reference_Data!A:D, 4, FALSE), "MISSING SSI")</f>
        <v>HDFC A/C 543407</v>
      </c>
      <c r="F554">
        <f>FO_Capture!D554</f>
        <v>220</v>
      </c>
      <c r="G554">
        <f>FO_Capture!E554</f>
        <v>78.80999755859375</v>
      </c>
      <c r="H554">
        <f t="shared" si="16"/>
        <v>17338.199462890625</v>
      </c>
      <c r="I554" t="str">
        <f t="shared" si="17"/>
        <v>Pass - Ready for Confirmation</v>
      </c>
    </row>
    <row r="555" spans="1:9" x14ac:dyDescent="0.3">
      <c r="A555" t="str">
        <f>FO_Capture!A555</f>
        <v>TRD00554</v>
      </c>
      <c r="B555" t="str">
        <f>FO_Capture!B555</f>
        <v>INE006A01088</v>
      </c>
      <c r="C555" t="str">
        <f>IFERROR(VLOOKUP(FO_Capture!C555, Reference_Data!A:D, 2, FALSE), "UNKNOWN")</f>
        <v>Alpha Quant Fund 24</v>
      </c>
      <c r="D555" t="str">
        <f>IFERROR(VLOOKUP(FO_Capture!C555, Reference_Data!A:D, 3, FALSE), "XXX")</f>
        <v>SGD</v>
      </c>
      <c r="E555" t="str">
        <f>IFERROR(VLOOKUP(FO_Capture!C555, Reference_Data!A:D, 4, FALSE), "MISSING SSI")</f>
        <v>JPMorgan A/C 603587</v>
      </c>
      <c r="F555">
        <f>FO_Capture!D555</f>
        <v>60</v>
      </c>
      <c r="G555">
        <f>FO_Capture!E555</f>
        <v>209.97999572753906</v>
      </c>
      <c r="H555">
        <f t="shared" si="16"/>
        <v>12598.799743652344</v>
      </c>
      <c r="I555" t="str">
        <f t="shared" si="17"/>
        <v>Pass - Ready for Confirmation</v>
      </c>
    </row>
    <row r="556" spans="1:9" x14ac:dyDescent="0.3">
      <c r="A556" t="str">
        <f>FO_Capture!A556</f>
        <v>TRD00555</v>
      </c>
      <c r="B556" t="str">
        <f>FO_Capture!B556</f>
        <v>INE004A01066</v>
      </c>
      <c r="C556" t="str">
        <f>IFERROR(VLOOKUP(FO_Capture!C556, Reference_Data!A:D, 2, FALSE), "UNKNOWN")</f>
        <v>Alpha Capital 10</v>
      </c>
      <c r="D556" t="str">
        <f>IFERROR(VLOOKUP(FO_Capture!C556, Reference_Data!A:D, 3, FALSE), "XXX")</f>
        <v>USD</v>
      </c>
      <c r="E556" t="str">
        <f>IFERROR(VLOOKUP(FO_Capture!C556, Reference_Data!A:D, 4, FALSE), "MISSING SSI")</f>
        <v>HDFC A/C 543407</v>
      </c>
      <c r="F556">
        <f>FO_Capture!D556</f>
        <v>330</v>
      </c>
      <c r="G556">
        <f>FO_Capture!E556</f>
        <v>427.8900146484375</v>
      </c>
      <c r="H556">
        <f t="shared" si="16"/>
        <v>141203.70483398438</v>
      </c>
      <c r="I556" t="str">
        <f t="shared" si="17"/>
        <v>Pass - Ready for Confirmation</v>
      </c>
    </row>
    <row r="557" spans="1:9" x14ac:dyDescent="0.3">
      <c r="A557" t="str">
        <f>FO_Capture!A557</f>
        <v>TRD00556</v>
      </c>
      <c r="B557" t="str">
        <f>FO_Capture!B557</f>
        <v>INE005A01065</v>
      </c>
      <c r="C557" t="str">
        <f>IFERROR(VLOOKUP(FO_Capture!C557, Reference_Data!A:D, 2, FALSE), "UNKNOWN")</f>
        <v>Alpha Investments 40</v>
      </c>
      <c r="D557" t="str">
        <f>IFERROR(VLOOKUP(FO_Capture!C557, Reference_Data!A:D, 3, FALSE), "XXX")</f>
        <v>GBP</v>
      </c>
      <c r="E557" t="str">
        <f>IFERROR(VLOOKUP(FO_Capture!C557, Reference_Data!A:D, 4, FALSE), "MISSING SSI")</f>
        <v>HDFC A/C 897530</v>
      </c>
      <c r="F557">
        <f>FO_Capture!D557</f>
        <v>330</v>
      </c>
      <c r="G557">
        <f>FO_Capture!E557</f>
        <v>50.159999847412109</v>
      </c>
      <c r="H557">
        <f t="shared" si="16"/>
        <v>16552.799949645996</v>
      </c>
      <c r="I557" t="str">
        <f t="shared" si="17"/>
        <v>Pass - Ready for Confirmation</v>
      </c>
    </row>
    <row r="558" spans="1:9" x14ac:dyDescent="0.3">
      <c r="A558" t="str">
        <f>FO_Capture!A558</f>
        <v>TRD00557</v>
      </c>
      <c r="B558" t="str">
        <f>FO_Capture!B558</f>
        <v>INE005A01058</v>
      </c>
      <c r="C558" t="str">
        <f>IFERROR(VLOOKUP(FO_Capture!C558, Reference_Data!A:D, 2, FALSE), "UNKNOWN")</f>
        <v>Alpha Asset Management 35</v>
      </c>
      <c r="D558" t="str">
        <f>IFERROR(VLOOKUP(FO_Capture!C558, Reference_Data!A:D, 3, FALSE), "XXX")</f>
        <v>JPY</v>
      </c>
      <c r="E558" t="str">
        <f>IFERROR(VLOOKUP(FO_Capture!C558, Reference_Data!A:D, 4, FALSE), "MISSING SSI")</f>
        <v>HSBC A/C 604357</v>
      </c>
      <c r="F558">
        <f>FO_Capture!D558</f>
        <v>160</v>
      </c>
      <c r="G558">
        <f>FO_Capture!E558</f>
        <v>27.239999771118164</v>
      </c>
      <c r="H558">
        <f t="shared" si="16"/>
        <v>4358.3999633789063</v>
      </c>
      <c r="I558" t="str">
        <f t="shared" si="17"/>
        <v>Pass - Ready for Confirmation</v>
      </c>
    </row>
    <row r="559" spans="1:9" x14ac:dyDescent="0.3">
      <c r="A559" t="str">
        <f>FO_Capture!A559</f>
        <v>TRD00558</v>
      </c>
      <c r="B559" t="str">
        <f>FO_Capture!B559</f>
        <v>INE004A01055</v>
      </c>
      <c r="C559" t="str">
        <f>IFERROR(VLOOKUP(FO_Capture!C559, Reference_Data!A:D, 2, FALSE), "UNKNOWN")</f>
        <v>Alpha Capital 44</v>
      </c>
      <c r="D559" t="str">
        <f>IFERROR(VLOOKUP(FO_Capture!C559, Reference_Data!A:D, 3, FALSE), "XXX")</f>
        <v>INR</v>
      </c>
      <c r="E559" t="str">
        <f>IFERROR(VLOOKUP(FO_Capture!C559, Reference_Data!A:D, 4, FALSE), "MISSING SSI")</f>
        <v>Deutsche Bank A/C 428758</v>
      </c>
      <c r="F559">
        <f>FO_Capture!D559</f>
        <v>460</v>
      </c>
      <c r="G559">
        <f>FO_Capture!E559</f>
        <v>192.3699951171875</v>
      </c>
      <c r="H559">
        <f t="shared" si="16"/>
        <v>88490.19775390625</v>
      </c>
      <c r="I559" t="str">
        <f t="shared" si="17"/>
        <v>Pass - Ready for Confirmation</v>
      </c>
    </row>
    <row r="560" spans="1:9" x14ac:dyDescent="0.3">
      <c r="A560" t="str">
        <f>FO_Capture!A560</f>
        <v>TRD00559</v>
      </c>
      <c r="B560" t="str">
        <f>FO_Capture!B560</f>
        <v>INE004A01057</v>
      </c>
      <c r="C560" t="str">
        <f>IFERROR(VLOOKUP(FO_Capture!C560, Reference_Data!A:D, 2, FALSE), "UNKNOWN")</f>
        <v>Alpha Partners 18</v>
      </c>
      <c r="D560" t="str">
        <f>IFERROR(VLOOKUP(FO_Capture!C560, Reference_Data!A:D, 3, FALSE), "XXX")</f>
        <v>INR</v>
      </c>
      <c r="E560" t="str">
        <f>IFERROR(VLOOKUP(FO_Capture!C560, Reference_Data!A:D, 4, FALSE), "MISSING SSI")</f>
        <v>JPMorgan A/C 704166</v>
      </c>
      <c r="F560">
        <f>FO_Capture!D560</f>
        <v>160</v>
      </c>
      <c r="G560">
        <f>FO_Capture!E560</f>
        <v>11.619999885559082</v>
      </c>
      <c r="H560">
        <f t="shared" si="16"/>
        <v>1859.1999816894531</v>
      </c>
      <c r="I560" t="str">
        <f t="shared" si="17"/>
        <v>Pass - Ready for Confirmation</v>
      </c>
    </row>
    <row r="561" spans="1:9" x14ac:dyDescent="0.3">
      <c r="A561" t="str">
        <f>FO_Capture!A561</f>
        <v>TRD00560</v>
      </c>
      <c r="B561" t="str">
        <f>FO_Capture!B561</f>
        <v>INE005A0101</v>
      </c>
      <c r="C561" t="str">
        <f>IFERROR(VLOOKUP(FO_Capture!C561, Reference_Data!A:D, 2, FALSE), "UNKNOWN")</f>
        <v>Alpha Asset Management 31</v>
      </c>
      <c r="D561" t="str">
        <f>IFERROR(VLOOKUP(FO_Capture!C561, Reference_Data!A:D, 3, FALSE), "XXX")</f>
        <v>USD</v>
      </c>
      <c r="E561" t="str">
        <f>IFERROR(VLOOKUP(FO_Capture!C561, Reference_Data!A:D, 4, FALSE), "MISSING SSI")</f>
        <v>Citi A/C 194841</v>
      </c>
      <c r="F561">
        <f>FO_Capture!D561</f>
        <v>230</v>
      </c>
      <c r="G561">
        <f>FO_Capture!E561</f>
        <v>333.8800048828125</v>
      </c>
      <c r="H561">
        <f t="shared" si="16"/>
        <v>76792.401123046875</v>
      </c>
      <c r="I561" t="str">
        <f t="shared" si="17"/>
        <v>Pass - Ready for Confirmation</v>
      </c>
    </row>
    <row r="562" spans="1:9" x14ac:dyDescent="0.3">
      <c r="A562" t="str">
        <f>FO_Capture!A562</f>
        <v>TRD00561</v>
      </c>
      <c r="B562" t="str">
        <f>FO_Capture!B562</f>
        <v>INE009A01017</v>
      </c>
      <c r="C562" t="str">
        <f>IFERROR(VLOOKUP(FO_Capture!C562, Reference_Data!A:D, 2, FALSE), "UNKNOWN")</f>
        <v>Alpha Asset Management 8</v>
      </c>
      <c r="D562" t="str">
        <f>IFERROR(VLOOKUP(FO_Capture!C562, Reference_Data!A:D, 3, FALSE), "XXX")</f>
        <v>GBP</v>
      </c>
      <c r="E562" t="str">
        <f>IFERROR(VLOOKUP(FO_Capture!C562, Reference_Data!A:D, 4, FALSE), "MISSING SSI")</f>
        <v>HDFC A/C 180445</v>
      </c>
      <c r="F562">
        <f>FO_Capture!D562</f>
        <v>420</v>
      </c>
      <c r="G562">
        <f>FO_Capture!E562</f>
        <v>140.82000732421875</v>
      </c>
      <c r="H562">
        <f t="shared" si="16"/>
        <v>59144.403076171875</v>
      </c>
      <c r="I562" t="str">
        <f t="shared" si="17"/>
        <v>Pass - Ready for Confirmation</v>
      </c>
    </row>
    <row r="563" spans="1:9" x14ac:dyDescent="0.3">
      <c r="A563" t="str">
        <f>FO_Capture!A563</f>
        <v>TRD00562</v>
      </c>
      <c r="B563" t="str">
        <f>FO_Capture!B563</f>
        <v>INE003A01069</v>
      </c>
      <c r="C563" t="str">
        <f>IFERROR(VLOOKUP(FO_Capture!C563, Reference_Data!A:D, 2, FALSE), "UNKNOWN")</f>
        <v>Alpha Global 2</v>
      </c>
      <c r="D563" t="str">
        <f>IFERROR(VLOOKUP(FO_Capture!C563, Reference_Data!A:D, 3, FALSE), "XXX")</f>
        <v>GBP</v>
      </c>
      <c r="E563" t="str">
        <f>IFERROR(VLOOKUP(FO_Capture!C563, Reference_Data!A:D, 4, FALSE), "MISSING SSI")</f>
        <v>JPMorgan A/C 582379</v>
      </c>
      <c r="F563">
        <f>FO_Capture!D563</f>
        <v>20</v>
      </c>
      <c r="G563">
        <f>FO_Capture!E563</f>
        <v>296.95001220703125</v>
      </c>
      <c r="H563">
        <f t="shared" si="16"/>
        <v>5939.000244140625</v>
      </c>
      <c r="I563" t="str">
        <f t="shared" si="17"/>
        <v>Pass - Ready for Confirmation</v>
      </c>
    </row>
    <row r="564" spans="1:9" x14ac:dyDescent="0.3">
      <c r="A564" t="str">
        <f>FO_Capture!A564</f>
        <v>TRD00563</v>
      </c>
      <c r="B564" t="str">
        <f>FO_Capture!B564</f>
        <v>INE001A01017</v>
      </c>
      <c r="C564" t="str">
        <f>IFERROR(VLOOKUP(FO_Capture!C564, Reference_Data!A:D, 2, FALSE), "UNKNOWN")</f>
        <v>Alpha Holdings 16</v>
      </c>
      <c r="D564" t="str">
        <f>IFERROR(VLOOKUP(FO_Capture!C564, Reference_Data!A:D, 3, FALSE), "XXX")</f>
        <v>USD</v>
      </c>
      <c r="E564" t="str">
        <f>IFERROR(VLOOKUP(FO_Capture!C564, Reference_Data!A:D, 4, FALSE), "MISSING SSI")</f>
        <v>Barclays A/C 197229</v>
      </c>
      <c r="F564">
        <f>FO_Capture!D564</f>
        <v>130</v>
      </c>
      <c r="G564">
        <f>FO_Capture!E564</f>
        <v>299.58999633789063</v>
      </c>
      <c r="H564">
        <f t="shared" si="16"/>
        <v>38946.699523925781</v>
      </c>
      <c r="I564" t="str">
        <f t="shared" si="17"/>
        <v>Pass - Ready for Confirmation</v>
      </c>
    </row>
    <row r="565" spans="1:9" x14ac:dyDescent="0.3">
      <c r="A565" t="str">
        <f>FO_Capture!A565</f>
        <v>TRD00564</v>
      </c>
      <c r="B565" t="str">
        <f>FO_Capture!B565</f>
        <v>INE005A01054</v>
      </c>
      <c r="C565" t="str">
        <f>IFERROR(VLOOKUP(FO_Capture!C565, Reference_Data!A:D, 2, FALSE), "UNKNOWN")</f>
        <v>Alpha Partners 26</v>
      </c>
      <c r="D565" t="str">
        <f>IFERROR(VLOOKUP(FO_Capture!C565, Reference_Data!A:D, 3, FALSE), "XXX")</f>
        <v>USD</v>
      </c>
      <c r="E565" t="str">
        <f>IFERROR(VLOOKUP(FO_Capture!C565, Reference_Data!A:D, 4, FALSE), "MISSING SSI")</f>
        <v>HSBC A/C 867781</v>
      </c>
      <c r="F565">
        <f>FO_Capture!D565</f>
        <v>370</v>
      </c>
      <c r="G565">
        <f>FO_Capture!E565</f>
        <v>28.850000381469727</v>
      </c>
      <c r="H565">
        <f t="shared" si="16"/>
        <v>10674.500141143799</v>
      </c>
      <c r="I565" t="str">
        <f t="shared" si="17"/>
        <v>Pass - Ready for Confirmation</v>
      </c>
    </row>
    <row r="566" spans="1:9" x14ac:dyDescent="0.3">
      <c r="A566" t="str">
        <f>FO_Capture!A566</f>
        <v>TRD00565</v>
      </c>
      <c r="B566" t="str">
        <f>FO_Capture!B566</f>
        <v>INE001A01064</v>
      </c>
      <c r="C566" t="str">
        <f>IFERROR(VLOOKUP(FO_Capture!C566, Reference_Data!A:D, 2, FALSE), "UNKNOWN")</f>
        <v>Alpha Asset Management 13</v>
      </c>
      <c r="D566" t="str">
        <f>IFERROR(VLOOKUP(FO_Capture!C566, Reference_Data!A:D, 3, FALSE), "XXX")</f>
        <v>INR</v>
      </c>
      <c r="E566" t="str">
        <f>IFERROR(VLOOKUP(FO_Capture!C566, Reference_Data!A:D, 4, FALSE), "MISSING SSI")</f>
        <v>HSBC A/C 972195</v>
      </c>
      <c r="F566">
        <f>FO_Capture!D566</f>
        <v>140</v>
      </c>
      <c r="G566">
        <f>FO_Capture!E566</f>
        <v>497.69000244140625</v>
      </c>
      <c r="H566">
        <f t="shared" si="16"/>
        <v>69676.600341796875</v>
      </c>
      <c r="I566" t="str">
        <f t="shared" si="17"/>
        <v>Pass - Ready for Confirmation</v>
      </c>
    </row>
    <row r="567" spans="1:9" x14ac:dyDescent="0.3">
      <c r="A567" t="str">
        <f>FO_Capture!A567</f>
        <v>TRD00566</v>
      </c>
      <c r="B567" t="str">
        <f>FO_Capture!B567</f>
        <v>INE001A01072</v>
      </c>
      <c r="C567" t="str">
        <f>IFERROR(VLOOKUP(FO_Capture!C567, Reference_Data!A:D, 2, FALSE), "UNKNOWN")</f>
        <v>Alpha Asset Management 31</v>
      </c>
      <c r="D567" t="str">
        <f>IFERROR(VLOOKUP(FO_Capture!C567, Reference_Data!A:D, 3, FALSE), "XXX")</f>
        <v>USD</v>
      </c>
      <c r="E567" t="str">
        <f>IFERROR(VLOOKUP(FO_Capture!C567, Reference_Data!A:D, 4, FALSE), "MISSING SSI")</f>
        <v>Citi A/C 194841</v>
      </c>
      <c r="F567">
        <f>FO_Capture!D567</f>
        <v>400</v>
      </c>
      <c r="G567">
        <f>FO_Capture!E567</f>
        <v>101.84999847412109</v>
      </c>
      <c r="H567">
        <f t="shared" si="16"/>
        <v>40739.999389648438</v>
      </c>
      <c r="I567" t="str">
        <f t="shared" si="17"/>
        <v>Pass - Ready for Confirmation</v>
      </c>
    </row>
    <row r="568" spans="1:9" x14ac:dyDescent="0.3">
      <c r="A568" t="str">
        <f>FO_Capture!A568</f>
        <v>TRD00567</v>
      </c>
      <c r="B568" t="str">
        <f>FO_Capture!B568</f>
        <v>INE006A01088</v>
      </c>
      <c r="C568" t="str">
        <f>IFERROR(VLOOKUP(FO_Capture!C568, Reference_Data!A:D, 2, FALSE), "UNKNOWN")</f>
        <v>Alpha Capital 36</v>
      </c>
      <c r="D568" t="str">
        <f>IFERROR(VLOOKUP(FO_Capture!C568, Reference_Data!A:D, 3, FALSE), "XXX")</f>
        <v>JPY</v>
      </c>
      <c r="E568" t="str">
        <f>IFERROR(VLOOKUP(FO_Capture!C568, Reference_Data!A:D, 4, FALSE), "MISSING SSI")</f>
        <v>Citi A/C 359789</v>
      </c>
      <c r="F568">
        <f>FO_Capture!D568</f>
        <v>390</v>
      </c>
      <c r="G568">
        <f>FO_Capture!E568</f>
        <v>369.89999389648438</v>
      </c>
      <c r="H568">
        <f t="shared" si="16"/>
        <v>144260.99761962891</v>
      </c>
      <c r="I568" t="str">
        <f t="shared" si="17"/>
        <v>Pass - Ready for Confirmation</v>
      </c>
    </row>
    <row r="569" spans="1:9" x14ac:dyDescent="0.3">
      <c r="A569" t="str">
        <f>FO_Capture!A569</f>
        <v>TRD00568</v>
      </c>
      <c r="B569" t="str">
        <f>FO_Capture!B569</f>
        <v>INE002A01065</v>
      </c>
      <c r="C569" t="str">
        <f>IFERROR(VLOOKUP(FO_Capture!C569, Reference_Data!A:D, 2, FALSE), "UNKNOWN")</f>
        <v>Alpha Capital 9</v>
      </c>
      <c r="D569" t="str">
        <f>IFERROR(VLOOKUP(FO_Capture!C569, Reference_Data!A:D, 3, FALSE), "XXX")</f>
        <v>JPY</v>
      </c>
      <c r="E569" t="str">
        <f>IFERROR(VLOOKUP(FO_Capture!C569, Reference_Data!A:D, 4, FALSE), "MISSING SSI")</f>
        <v>Citi A/C 744145</v>
      </c>
      <c r="F569">
        <f>FO_Capture!D569</f>
        <v>380</v>
      </c>
      <c r="G569">
        <f>FO_Capture!E569</f>
        <v>213.21000671386719</v>
      </c>
      <c r="H569">
        <f t="shared" si="16"/>
        <v>81019.802551269531</v>
      </c>
      <c r="I569" t="str">
        <f t="shared" si="17"/>
        <v>Pass - Ready for Confirmation</v>
      </c>
    </row>
    <row r="570" spans="1:9" x14ac:dyDescent="0.3">
      <c r="A570" t="str">
        <f>FO_Capture!A570</f>
        <v>TRD00569</v>
      </c>
      <c r="B570" t="str">
        <f>FO_Capture!B570</f>
        <v>INE006A01044</v>
      </c>
      <c r="C570" t="str">
        <f>IFERROR(VLOOKUP(FO_Capture!C570, Reference_Data!A:D, 2, FALSE), "UNKNOWN")</f>
        <v>Alpha Asset Management 32</v>
      </c>
      <c r="D570" t="str">
        <f>IFERROR(VLOOKUP(FO_Capture!C570, Reference_Data!A:D, 3, FALSE), "XXX")</f>
        <v>INR</v>
      </c>
      <c r="E570" t="str">
        <f>IFERROR(VLOOKUP(FO_Capture!C570, Reference_Data!A:D, 4, FALSE), "MISSING SSI")</f>
        <v>Barclays A/C 302646</v>
      </c>
      <c r="F570">
        <f>FO_Capture!D570</f>
        <v>460</v>
      </c>
      <c r="G570">
        <f>FO_Capture!E570</f>
        <v>175.97000122070313</v>
      </c>
      <c r="H570">
        <f t="shared" si="16"/>
        <v>80946.200561523438</v>
      </c>
      <c r="I570" t="str">
        <f t="shared" si="17"/>
        <v>Pass - Ready for Confirmation</v>
      </c>
    </row>
    <row r="571" spans="1:9" x14ac:dyDescent="0.3">
      <c r="A571" t="str">
        <f>FO_Capture!A571</f>
        <v>TRD00570</v>
      </c>
      <c r="B571" t="str">
        <f>FO_Capture!B571</f>
        <v>INE002A0103</v>
      </c>
      <c r="C571" t="str">
        <f>IFERROR(VLOOKUP(FO_Capture!C571, Reference_Data!A:D, 2, FALSE), "UNKNOWN")</f>
        <v>Alpha Asset Management 13</v>
      </c>
      <c r="D571" t="str">
        <f>IFERROR(VLOOKUP(FO_Capture!C571, Reference_Data!A:D, 3, FALSE), "XXX")</f>
        <v>INR</v>
      </c>
      <c r="E571" t="str">
        <f>IFERROR(VLOOKUP(FO_Capture!C571, Reference_Data!A:D, 4, FALSE), "MISSING SSI")</f>
        <v>HSBC A/C 972195</v>
      </c>
      <c r="F571">
        <f>FO_Capture!D571</f>
        <v>220</v>
      </c>
      <c r="G571">
        <f>FO_Capture!E571</f>
        <v>185.19000244140625</v>
      </c>
      <c r="H571">
        <f t="shared" si="16"/>
        <v>40741.800537109375</v>
      </c>
      <c r="I571" t="str">
        <f t="shared" si="17"/>
        <v>Pass - Ready for Confirmation</v>
      </c>
    </row>
    <row r="572" spans="1:9" x14ac:dyDescent="0.3">
      <c r="A572" t="str">
        <f>FO_Capture!A572</f>
        <v>TRD00571</v>
      </c>
      <c r="B572" t="str">
        <f>FO_Capture!B572</f>
        <v>INE008A01011</v>
      </c>
      <c r="C572" t="str">
        <f>IFERROR(VLOOKUP(FO_Capture!C572, Reference_Data!A:D, 2, FALSE), "UNKNOWN")</f>
        <v>Alpha Capital 11</v>
      </c>
      <c r="D572" t="str">
        <f>IFERROR(VLOOKUP(FO_Capture!C572, Reference_Data!A:D, 3, FALSE), "XXX")</f>
        <v>USD</v>
      </c>
      <c r="E572" t="str">
        <f>IFERROR(VLOOKUP(FO_Capture!C572, Reference_Data!A:D, 4, FALSE), "MISSING SSI")</f>
        <v>JPMorgan A/C 987170</v>
      </c>
      <c r="F572">
        <f>FO_Capture!D572</f>
        <v>60</v>
      </c>
      <c r="G572">
        <f>FO_Capture!E572</f>
        <v>300.67999267578125</v>
      </c>
      <c r="H572">
        <f t="shared" si="16"/>
        <v>18040.799560546875</v>
      </c>
      <c r="I572" t="str">
        <f t="shared" si="17"/>
        <v>Pass - Ready for Confirmation</v>
      </c>
    </row>
    <row r="573" spans="1:9" x14ac:dyDescent="0.3">
      <c r="A573" t="str">
        <f>FO_Capture!A573</f>
        <v>TRD00572</v>
      </c>
      <c r="B573" t="str">
        <f>FO_Capture!B573</f>
        <v>INE008A01075</v>
      </c>
      <c r="C573" t="str">
        <f>IFERROR(VLOOKUP(FO_Capture!C573, Reference_Data!A:D, 2, FALSE), "UNKNOWN")</f>
        <v>Alpha Capital 11</v>
      </c>
      <c r="D573" t="str">
        <f>IFERROR(VLOOKUP(FO_Capture!C573, Reference_Data!A:D, 3, FALSE), "XXX")</f>
        <v>USD</v>
      </c>
      <c r="E573" t="str">
        <f>IFERROR(VLOOKUP(FO_Capture!C573, Reference_Data!A:D, 4, FALSE), "MISSING SSI")</f>
        <v>JPMorgan A/C 987170</v>
      </c>
      <c r="F573">
        <f>FO_Capture!D573</f>
        <v>420</v>
      </c>
      <c r="G573">
        <f>FO_Capture!E573</f>
        <v>465.05999755859375</v>
      </c>
      <c r="H573">
        <f t="shared" si="16"/>
        <v>195325.19897460938</v>
      </c>
      <c r="I573" t="str">
        <f t="shared" si="17"/>
        <v>Pass - Ready for Confirmation</v>
      </c>
    </row>
    <row r="574" spans="1:9" x14ac:dyDescent="0.3">
      <c r="A574" t="str">
        <f>FO_Capture!A574</f>
        <v>TRD00573</v>
      </c>
      <c r="B574" t="str">
        <f>FO_Capture!B574</f>
        <v>INE009A01094</v>
      </c>
      <c r="C574" t="str">
        <f>IFERROR(VLOOKUP(FO_Capture!C574, Reference_Data!A:D, 2, FALSE), "UNKNOWN")</f>
        <v>Alpha Holdings 47</v>
      </c>
      <c r="D574" t="str">
        <f>IFERROR(VLOOKUP(FO_Capture!C574, Reference_Data!A:D, 3, FALSE), "XXX")</f>
        <v>GBP</v>
      </c>
      <c r="E574" t="str">
        <f>IFERROR(VLOOKUP(FO_Capture!C574, Reference_Data!A:D, 4, FALSE), "MISSING SSI")</f>
        <v>Citi A/C 703401</v>
      </c>
      <c r="F574">
        <f>FO_Capture!D574</f>
        <v>20</v>
      </c>
      <c r="G574">
        <f>FO_Capture!E574</f>
        <v>253.78999328613281</v>
      </c>
      <c r="H574">
        <f t="shared" si="16"/>
        <v>5075.7998657226563</v>
      </c>
      <c r="I574" t="str">
        <f t="shared" si="17"/>
        <v>Pass - Ready for Confirmation</v>
      </c>
    </row>
    <row r="575" spans="1:9" x14ac:dyDescent="0.3">
      <c r="A575" t="str">
        <f>FO_Capture!A575</f>
        <v>TRD00574</v>
      </c>
      <c r="B575" t="str">
        <f>FO_Capture!B575</f>
        <v>INE001A0103</v>
      </c>
      <c r="C575" t="str">
        <f>IFERROR(VLOOKUP(FO_Capture!C575, Reference_Data!A:D, 2, FALSE), "UNKNOWN")</f>
        <v>Alpha Asset Management 31</v>
      </c>
      <c r="D575" t="str">
        <f>IFERROR(VLOOKUP(FO_Capture!C575, Reference_Data!A:D, 3, FALSE), "XXX")</f>
        <v>USD</v>
      </c>
      <c r="E575" t="str">
        <f>IFERROR(VLOOKUP(FO_Capture!C575, Reference_Data!A:D, 4, FALSE), "MISSING SSI")</f>
        <v>Citi A/C 194841</v>
      </c>
      <c r="F575">
        <f>FO_Capture!D575</f>
        <v>130</v>
      </c>
      <c r="G575">
        <f>FO_Capture!E575</f>
        <v>125.09999847412109</v>
      </c>
      <c r="H575">
        <f t="shared" si="16"/>
        <v>16262.999801635742</v>
      </c>
      <c r="I575" t="str">
        <f t="shared" si="17"/>
        <v>Pass - Ready for Confirmation</v>
      </c>
    </row>
    <row r="576" spans="1:9" x14ac:dyDescent="0.3">
      <c r="A576" t="str">
        <f>FO_Capture!A576</f>
        <v>TRD00575</v>
      </c>
      <c r="B576" t="str">
        <f>FO_Capture!B576</f>
        <v>INE002A01025</v>
      </c>
      <c r="C576" t="str">
        <f>IFERROR(VLOOKUP(FO_Capture!C576, Reference_Data!A:D, 2, FALSE), "UNKNOWN")</f>
        <v>Alpha Global 25</v>
      </c>
      <c r="D576" t="str">
        <f>IFERROR(VLOOKUP(FO_Capture!C576, Reference_Data!A:D, 3, FALSE), "XXX")</f>
        <v>EUR</v>
      </c>
      <c r="E576" t="str">
        <f>IFERROR(VLOOKUP(FO_Capture!C576, Reference_Data!A:D, 4, FALSE), "MISSING SSI")</f>
        <v>Standard Chartered A/C 438949</v>
      </c>
      <c r="F576">
        <f>FO_Capture!D576</f>
        <v>300</v>
      </c>
      <c r="G576">
        <f>FO_Capture!E576</f>
        <v>170.05999755859375</v>
      </c>
      <c r="H576">
        <f t="shared" si="16"/>
        <v>51017.999267578125</v>
      </c>
      <c r="I576" t="str">
        <f t="shared" si="17"/>
        <v>Pass - Ready for Confirmation</v>
      </c>
    </row>
    <row r="577" spans="1:9" x14ac:dyDescent="0.3">
      <c r="A577" t="str">
        <f>FO_Capture!A577</f>
        <v>TRD00576</v>
      </c>
      <c r="B577" t="str">
        <f>FO_Capture!B577</f>
        <v>INE002A01025</v>
      </c>
      <c r="C577" t="str">
        <f>IFERROR(VLOOKUP(FO_Capture!C577, Reference_Data!A:D, 2, FALSE), "UNKNOWN")</f>
        <v>Alpha Holdings 16</v>
      </c>
      <c r="D577" t="str">
        <f>IFERROR(VLOOKUP(FO_Capture!C577, Reference_Data!A:D, 3, FALSE), "XXX")</f>
        <v>USD</v>
      </c>
      <c r="E577" t="str">
        <f>IFERROR(VLOOKUP(FO_Capture!C577, Reference_Data!A:D, 4, FALSE), "MISSING SSI")</f>
        <v>Barclays A/C 197229</v>
      </c>
      <c r="F577">
        <f>FO_Capture!D577</f>
        <v>120</v>
      </c>
      <c r="G577">
        <f>FO_Capture!E577</f>
        <v>362.54998779296875</v>
      </c>
      <c r="H577">
        <f t="shared" si="16"/>
        <v>43505.99853515625</v>
      </c>
      <c r="I577" t="str">
        <f t="shared" si="17"/>
        <v>Pass - Ready for Confirmation</v>
      </c>
    </row>
    <row r="578" spans="1:9" x14ac:dyDescent="0.3">
      <c r="A578" t="str">
        <f>FO_Capture!A578</f>
        <v>TRD00577</v>
      </c>
      <c r="B578" t="str">
        <f>FO_Capture!B578</f>
        <v>INE006A01057</v>
      </c>
      <c r="C578" t="str">
        <f>IFERROR(VLOOKUP(FO_Capture!C578, Reference_Data!A:D, 2, FALSE), "UNKNOWN")</f>
        <v>Alpha Partners 42</v>
      </c>
      <c r="D578" t="str">
        <f>IFERROR(VLOOKUP(FO_Capture!C578, Reference_Data!A:D, 3, FALSE), "XXX")</f>
        <v>USD</v>
      </c>
      <c r="E578" t="str">
        <f>IFERROR(VLOOKUP(FO_Capture!C578, Reference_Data!A:D, 4, FALSE), "MISSING SSI")</f>
        <v>Citi A/C 416082</v>
      </c>
      <c r="F578">
        <f>FO_Capture!D578</f>
        <v>470</v>
      </c>
      <c r="G578">
        <f>FO_Capture!E578</f>
        <v>309.260009765625</v>
      </c>
      <c r="H578">
        <f t="shared" si="16"/>
        <v>145352.20458984375</v>
      </c>
      <c r="I578" t="str">
        <f t="shared" si="17"/>
        <v>Pass - Ready for Confirmation</v>
      </c>
    </row>
    <row r="579" spans="1:9" x14ac:dyDescent="0.3">
      <c r="A579" t="str">
        <f>FO_Capture!A579</f>
        <v>TRD00578</v>
      </c>
      <c r="B579" t="str">
        <f>FO_Capture!B579</f>
        <v>INE004A01012</v>
      </c>
      <c r="C579" t="str">
        <f>IFERROR(VLOOKUP(FO_Capture!C579, Reference_Data!A:D, 2, FALSE), "UNKNOWN")</f>
        <v>Alpha Partners 18</v>
      </c>
      <c r="D579" t="str">
        <f>IFERROR(VLOOKUP(FO_Capture!C579, Reference_Data!A:D, 3, FALSE), "XXX")</f>
        <v>INR</v>
      </c>
      <c r="E579" t="str">
        <f>IFERROR(VLOOKUP(FO_Capture!C579, Reference_Data!A:D, 4, FALSE), "MISSING SSI")</f>
        <v>JPMorgan A/C 704166</v>
      </c>
      <c r="F579">
        <f>FO_Capture!D579</f>
        <v>270</v>
      </c>
      <c r="G579">
        <f>FO_Capture!E579</f>
        <v>499.70001220703125</v>
      </c>
      <c r="H579">
        <f t="shared" ref="H579:H642" si="18">F579 * G579</f>
        <v>134919.00329589844</v>
      </c>
      <c r="I579" t="str">
        <f t="shared" ref="I579:I642" si="19">IF(C579="UNKNOWN", "Fail - Missing Ref Data", IF(OR(F579&lt;=0, G579&lt;=0), "Fail - Invalid Price/Qty", IF(H579&gt;1000000, "Exception - Limit Breach", "Pass - Ready for Confirmation")))</f>
        <v>Pass - Ready for Confirmation</v>
      </c>
    </row>
    <row r="580" spans="1:9" x14ac:dyDescent="0.3">
      <c r="A580" t="str">
        <f>FO_Capture!A580</f>
        <v>TRD00579</v>
      </c>
      <c r="B580" t="str">
        <f>FO_Capture!B580</f>
        <v>INE002A01071</v>
      </c>
      <c r="C580" t="str">
        <f>IFERROR(VLOOKUP(FO_Capture!C580, Reference_Data!A:D, 2, FALSE), "UNKNOWN")</f>
        <v>Alpha Capital 9</v>
      </c>
      <c r="D580" t="str">
        <f>IFERROR(VLOOKUP(FO_Capture!C580, Reference_Data!A:D, 3, FALSE), "XXX")</f>
        <v>JPY</v>
      </c>
      <c r="E580" t="str">
        <f>IFERROR(VLOOKUP(FO_Capture!C580, Reference_Data!A:D, 4, FALSE), "MISSING SSI")</f>
        <v>Citi A/C 744145</v>
      </c>
      <c r="F580">
        <f>FO_Capture!D580</f>
        <v>240</v>
      </c>
      <c r="G580">
        <f>FO_Capture!E580</f>
        <v>56.169998168945313</v>
      </c>
      <c r="H580">
        <f t="shared" si="18"/>
        <v>13480.799560546875</v>
      </c>
      <c r="I580" t="str">
        <f t="shared" si="19"/>
        <v>Pass - Ready for Confirmation</v>
      </c>
    </row>
    <row r="581" spans="1:9" x14ac:dyDescent="0.3">
      <c r="A581" t="str">
        <f>FO_Capture!A581</f>
        <v>TRD00580</v>
      </c>
      <c r="B581" t="str">
        <f>FO_Capture!B581</f>
        <v>INE006A01055</v>
      </c>
      <c r="C581" t="str">
        <f>IFERROR(VLOOKUP(FO_Capture!C581, Reference_Data!A:D, 2, FALSE), "UNKNOWN")</f>
        <v>Alpha Partners 6</v>
      </c>
      <c r="D581" t="str">
        <f>IFERROR(VLOOKUP(FO_Capture!C581, Reference_Data!A:D, 3, FALSE), "XXX")</f>
        <v>INR</v>
      </c>
      <c r="E581" t="str">
        <f>IFERROR(VLOOKUP(FO_Capture!C581, Reference_Data!A:D, 4, FALSE), "MISSING SSI")</f>
        <v>Standard Chartered A/C 441247</v>
      </c>
      <c r="F581">
        <f>FO_Capture!D581</f>
        <v>110</v>
      </c>
      <c r="G581">
        <f>FO_Capture!E581</f>
        <v>483.79998779296875</v>
      </c>
      <c r="H581">
        <f t="shared" si="18"/>
        <v>53217.998657226563</v>
      </c>
      <c r="I581" t="str">
        <f t="shared" si="19"/>
        <v>Pass - Ready for Confirmation</v>
      </c>
    </row>
    <row r="582" spans="1:9" x14ac:dyDescent="0.3">
      <c r="A582" t="str">
        <f>FO_Capture!A582</f>
        <v>TRD00581</v>
      </c>
      <c r="B582" t="str">
        <f>FO_Capture!B582</f>
        <v>INE002A01072</v>
      </c>
      <c r="C582" t="str">
        <f>IFERROR(VLOOKUP(FO_Capture!C582, Reference_Data!A:D, 2, FALSE), "UNKNOWN")</f>
        <v>Alpha Quant Fund 50</v>
      </c>
      <c r="D582" t="str">
        <f>IFERROR(VLOOKUP(FO_Capture!C582, Reference_Data!A:D, 3, FALSE), "XXX")</f>
        <v>SGD</v>
      </c>
      <c r="E582" t="str">
        <f>IFERROR(VLOOKUP(FO_Capture!C582, Reference_Data!A:D, 4, FALSE), "MISSING SSI")</f>
        <v>Standard Chartered A/C 307017</v>
      </c>
      <c r="F582">
        <f>FO_Capture!D582</f>
        <v>440</v>
      </c>
      <c r="G582">
        <f>FO_Capture!E582</f>
        <v>420.52999877929688</v>
      </c>
      <c r="H582">
        <f t="shared" si="18"/>
        <v>185033.19946289063</v>
      </c>
      <c r="I582" t="str">
        <f t="shared" si="19"/>
        <v>Pass - Ready for Confirmation</v>
      </c>
    </row>
    <row r="583" spans="1:9" x14ac:dyDescent="0.3">
      <c r="A583" t="str">
        <f>FO_Capture!A583</f>
        <v>TRD00582</v>
      </c>
      <c r="B583" t="str">
        <f>FO_Capture!B583</f>
        <v>INE006A01072</v>
      </c>
      <c r="C583" t="str">
        <f>IFERROR(VLOOKUP(FO_Capture!C583, Reference_Data!A:D, 2, FALSE), "UNKNOWN")</f>
        <v>Alpha Asset Management 8</v>
      </c>
      <c r="D583" t="str">
        <f>IFERROR(VLOOKUP(FO_Capture!C583, Reference_Data!A:D, 3, FALSE), "XXX")</f>
        <v>GBP</v>
      </c>
      <c r="E583" t="str">
        <f>IFERROR(VLOOKUP(FO_Capture!C583, Reference_Data!A:D, 4, FALSE), "MISSING SSI")</f>
        <v>HDFC A/C 180445</v>
      </c>
      <c r="F583">
        <f>FO_Capture!D583</f>
        <v>280</v>
      </c>
      <c r="G583">
        <f>FO_Capture!E583</f>
        <v>387.1199951171875</v>
      </c>
      <c r="H583">
        <f t="shared" si="18"/>
        <v>108393.5986328125</v>
      </c>
      <c r="I583" t="str">
        <f t="shared" si="19"/>
        <v>Pass - Ready for Confirmation</v>
      </c>
    </row>
    <row r="584" spans="1:9" x14ac:dyDescent="0.3">
      <c r="A584" t="str">
        <f>FO_Capture!A584</f>
        <v>TRD00583</v>
      </c>
      <c r="B584" t="str">
        <f>FO_Capture!B584</f>
        <v>INE003A01090</v>
      </c>
      <c r="C584" t="str">
        <f>IFERROR(VLOOKUP(FO_Capture!C584, Reference_Data!A:D, 2, FALSE), "UNKNOWN")</f>
        <v>Alpha Partners 48</v>
      </c>
      <c r="D584" t="str">
        <f>IFERROR(VLOOKUP(FO_Capture!C584, Reference_Data!A:D, 3, FALSE), "XXX")</f>
        <v>SGD</v>
      </c>
      <c r="E584" t="str">
        <f>IFERROR(VLOOKUP(FO_Capture!C584, Reference_Data!A:D, 4, FALSE), "MISSING SSI")</f>
        <v>JPMorgan A/C 391364</v>
      </c>
      <c r="F584">
        <f>FO_Capture!D584</f>
        <v>20</v>
      </c>
      <c r="G584">
        <f>FO_Capture!E584</f>
        <v>37.119998931884766</v>
      </c>
      <c r="H584">
        <f t="shared" si="18"/>
        <v>742.39997863769531</v>
      </c>
      <c r="I584" t="str">
        <f t="shared" si="19"/>
        <v>Pass - Ready for Confirmation</v>
      </c>
    </row>
    <row r="585" spans="1:9" x14ac:dyDescent="0.3">
      <c r="A585" t="str">
        <f>FO_Capture!A585</f>
        <v>TRD00584</v>
      </c>
      <c r="B585" t="str">
        <f>FO_Capture!B585</f>
        <v>INE007A0106</v>
      </c>
      <c r="C585" t="str">
        <f>IFERROR(VLOOKUP(FO_Capture!C585, Reference_Data!A:D, 2, FALSE), "UNKNOWN")</f>
        <v>Alpha Investments 15</v>
      </c>
      <c r="D585" t="str">
        <f>IFERROR(VLOOKUP(FO_Capture!C585, Reference_Data!A:D, 3, FALSE), "XXX")</f>
        <v>INR</v>
      </c>
      <c r="E585" t="str">
        <f>IFERROR(VLOOKUP(FO_Capture!C585, Reference_Data!A:D, 4, FALSE), "MISSING SSI")</f>
        <v>Deutsche Bank A/C 330518</v>
      </c>
      <c r="F585">
        <f>FO_Capture!D585</f>
        <v>50</v>
      </c>
      <c r="G585">
        <f>FO_Capture!E585</f>
        <v>406.92001342773438</v>
      </c>
      <c r="H585">
        <f t="shared" si="18"/>
        <v>20346.000671386719</v>
      </c>
      <c r="I585" t="str">
        <f t="shared" si="19"/>
        <v>Pass - Ready for Confirmation</v>
      </c>
    </row>
    <row r="586" spans="1:9" x14ac:dyDescent="0.3">
      <c r="A586" t="str">
        <f>FO_Capture!A586</f>
        <v>TRD00585</v>
      </c>
      <c r="B586" t="str">
        <f>FO_Capture!B586</f>
        <v>INE003A01081</v>
      </c>
      <c r="C586" t="str">
        <f>IFERROR(VLOOKUP(FO_Capture!C586, Reference_Data!A:D, 2, FALSE), "UNKNOWN")</f>
        <v>Alpha Global 2</v>
      </c>
      <c r="D586" t="str">
        <f>IFERROR(VLOOKUP(FO_Capture!C586, Reference_Data!A:D, 3, FALSE), "XXX")</f>
        <v>GBP</v>
      </c>
      <c r="E586" t="str">
        <f>IFERROR(VLOOKUP(FO_Capture!C586, Reference_Data!A:D, 4, FALSE), "MISSING SSI")</f>
        <v>JPMorgan A/C 582379</v>
      </c>
      <c r="F586">
        <f>FO_Capture!D586</f>
        <v>25000</v>
      </c>
      <c r="G586">
        <f>FO_Capture!E586</f>
        <v>72.330001831054688</v>
      </c>
      <c r="H586">
        <f t="shared" si="18"/>
        <v>1808250.0457763672</v>
      </c>
      <c r="I586" t="str">
        <f t="shared" si="19"/>
        <v>Exception - Limit Breach</v>
      </c>
    </row>
    <row r="587" spans="1:9" x14ac:dyDescent="0.3">
      <c r="A587" t="str">
        <f>FO_Capture!A587</f>
        <v>TRD00586</v>
      </c>
      <c r="B587" t="str">
        <f>FO_Capture!B587</f>
        <v>INE003A01032</v>
      </c>
      <c r="C587" t="str">
        <f>IFERROR(VLOOKUP(FO_Capture!C587, Reference_Data!A:D, 2, FALSE), "UNKNOWN")</f>
        <v>Alpha Global 28</v>
      </c>
      <c r="D587" t="str">
        <f>IFERROR(VLOOKUP(FO_Capture!C587, Reference_Data!A:D, 3, FALSE), "XXX")</f>
        <v>USD</v>
      </c>
      <c r="E587" t="str">
        <f>IFERROR(VLOOKUP(FO_Capture!C587, Reference_Data!A:D, 4, FALSE), "MISSING SSI")</f>
        <v>HDFC A/C 638209</v>
      </c>
      <c r="F587">
        <f>FO_Capture!D587</f>
        <v>340</v>
      </c>
      <c r="G587">
        <f>FO_Capture!E587</f>
        <v>310.510009765625</v>
      </c>
      <c r="H587">
        <f t="shared" si="18"/>
        <v>105573.4033203125</v>
      </c>
      <c r="I587" t="str">
        <f t="shared" si="19"/>
        <v>Pass - Ready for Confirmation</v>
      </c>
    </row>
    <row r="588" spans="1:9" x14ac:dyDescent="0.3">
      <c r="A588" t="str">
        <f>FO_Capture!A588</f>
        <v>TRD00587</v>
      </c>
      <c r="B588" t="str">
        <f>FO_Capture!B588</f>
        <v>INE007A01014</v>
      </c>
      <c r="C588" t="str">
        <f>IFERROR(VLOOKUP(FO_Capture!C588, Reference_Data!A:D, 2, FALSE), "UNKNOWN")</f>
        <v>Alpha Capital 33</v>
      </c>
      <c r="D588" t="str">
        <f>IFERROR(VLOOKUP(FO_Capture!C588, Reference_Data!A:D, 3, FALSE), "XXX")</f>
        <v>JPY</v>
      </c>
      <c r="E588" t="str">
        <f>IFERROR(VLOOKUP(FO_Capture!C588, Reference_Data!A:D, 4, FALSE), "MISSING SSI")</f>
        <v>HSBC A/C 172861</v>
      </c>
      <c r="F588">
        <f>FO_Capture!D588</f>
        <v>400</v>
      </c>
      <c r="G588">
        <f>FO_Capture!E588</f>
        <v>290.6099853515625</v>
      </c>
      <c r="H588">
        <f t="shared" si="18"/>
        <v>116243.994140625</v>
      </c>
      <c r="I588" t="str">
        <f t="shared" si="19"/>
        <v>Pass - Ready for Confirmation</v>
      </c>
    </row>
    <row r="589" spans="1:9" x14ac:dyDescent="0.3">
      <c r="A589" t="str">
        <f>FO_Capture!A589</f>
        <v>TRD00588</v>
      </c>
      <c r="B589" t="str">
        <f>FO_Capture!B589</f>
        <v>INE004A0109</v>
      </c>
      <c r="C589" t="str">
        <f>IFERROR(VLOOKUP(FO_Capture!C589, Reference_Data!A:D, 2, FALSE), "UNKNOWN")</f>
        <v>Alpha Partners 1</v>
      </c>
      <c r="D589" t="str">
        <f>IFERROR(VLOOKUP(FO_Capture!C589, Reference_Data!A:D, 3, FALSE), "XXX")</f>
        <v>JPY</v>
      </c>
      <c r="E589" t="str">
        <f>IFERROR(VLOOKUP(FO_Capture!C589, Reference_Data!A:D, 4, FALSE), "MISSING SSI")</f>
        <v>Standard Chartered A/C 277005</v>
      </c>
      <c r="F589">
        <f>FO_Capture!D589</f>
        <v>410</v>
      </c>
      <c r="G589">
        <f>FO_Capture!E589</f>
        <v>73.419998168945313</v>
      </c>
      <c r="H589">
        <f t="shared" si="18"/>
        <v>30102.199249267578</v>
      </c>
      <c r="I589" t="str">
        <f t="shared" si="19"/>
        <v>Pass - Ready for Confirmation</v>
      </c>
    </row>
    <row r="590" spans="1:9" x14ac:dyDescent="0.3">
      <c r="A590" t="str">
        <f>FO_Capture!A590</f>
        <v>TRD00589</v>
      </c>
      <c r="B590" t="str">
        <f>FO_Capture!B590</f>
        <v>INE004A01027</v>
      </c>
      <c r="C590" t="str">
        <f>IFERROR(VLOOKUP(FO_Capture!C590, Reference_Data!A:D, 2, FALSE), "UNKNOWN")</f>
        <v>Alpha Holdings 23</v>
      </c>
      <c r="D590" t="str">
        <f>IFERROR(VLOOKUP(FO_Capture!C590, Reference_Data!A:D, 3, FALSE), "XXX")</f>
        <v>INR</v>
      </c>
      <c r="E590" t="str">
        <f>IFERROR(VLOOKUP(FO_Capture!C590, Reference_Data!A:D, 4, FALSE), "MISSING SSI")</f>
        <v>Deutsche Bank A/C 983712</v>
      </c>
      <c r="F590">
        <f>FO_Capture!D590</f>
        <v>150</v>
      </c>
      <c r="G590">
        <f>FO_Capture!E590</f>
        <v>508.79998779296875</v>
      </c>
      <c r="H590">
        <f t="shared" si="18"/>
        <v>76319.998168945313</v>
      </c>
      <c r="I590" t="str">
        <f t="shared" si="19"/>
        <v>Pass - Ready for Confirmation</v>
      </c>
    </row>
    <row r="591" spans="1:9" x14ac:dyDescent="0.3">
      <c r="A591" t="str">
        <f>FO_Capture!A591</f>
        <v>TRD00590</v>
      </c>
      <c r="B591" t="str">
        <f>FO_Capture!B591</f>
        <v>INE003A01097</v>
      </c>
      <c r="C591" t="str">
        <f>IFERROR(VLOOKUP(FO_Capture!C591, Reference_Data!A:D, 2, FALSE), "UNKNOWN")</f>
        <v>Alpha Quant Fund 34</v>
      </c>
      <c r="D591" t="str">
        <f>IFERROR(VLOOKUP(FO_Capture!C591, Reference_Data!A:D, 3, FALSE), "XXX")</f>
        <v>JPY</v>
      </c>
      <c r="E591" t="str">
        <f>IFERROR(VLOOKUP(FO_Capture!C591, Reference_Data!A:D, 4, FALSE), "MISSING SSI")</f>
        <v>Citi A/C 837378</v>
      </c>
      <c r="F591">
        <f>FO_Capture!D591</f>
        <v>260</v>
      </c>
      <c r="G591">
        <f>FO_Capture!E591</f>
        <v>485.64999389648438</v>
      </c>
      <c r="H591">
        <f t="shared" si="18"/>
        <v>126268.99841308594</v>
      </c>
      <c r="I591" t="str">
        <f t="shared" si="19"/>
        <v>Pass - Ready for Confirmation</v>
      </c>
    </row>
    <row r="592" spans="1:9" x14ac:dyDescent="0.3">
      <c r="A592" t="str">
        <f>FO_Capture!A592</f>
        <v>TRD00591</v>
      </c>
      <c r="B592" t="str">
        <f>FO_Capture!B592</f>
        <v>INE001A01021</v>
      </c>
      <c r="C592" t="str">
        <f>IFERROR(VLOOKUP(FO_Capture!C592, Reference_Data!A:D, 2, FALSE), "UNKNOWN")</f>
        <v>Alpha Asset Management 35</v>
      </c>
      <c r="D592" t="str">
        <f>IFERROR(VLOOKUP(FO_Capture!C592, Reference_Data!A:D, 3, FALSE), "XXX")</f>
        <v>JPY</v>
      </c>
      <c r="E592" t="str">
        <f>IFERROR(VLOOKUP(FO_Capture!C592, Reference_Data!A:D, 4, FALSE), "MISSING SSI")</f>
        <v>HSBC A/C 604357</v>
      </c>
      <c r="F592">
        <f>FO_Capture!D592</f>
        <v>430</v>
      </c>
      <c r="G592">
        <f>FO_Capture!E592</f>
        <v>181.97000122070313</v>
      </c>
      <c r="H592">
        <f t="shared" si="18"/>
        <v>78247.100524902344</v>
      </c>
      <c r="I592" t="str">
        <f t="shared" si="19"/>
        <v>Pass - Ready for Confirmation</v>
      </c>
    </row>
    <row r="593" spans="1:9" x14ac:dyDescent="0.3">
      <c r="A593" t="str">
        <f>FO_Capture!A593</f>
        <v>TRD00592</v>
      </c>
      <c r="B593" t="str">
        <f>FO_Capture!B593</f>
        <v>INE002A01018</v>
      </c>
      <c r="C593" t="str">
        <f>IFERROR(VLOOKUP(FO_Capture!C593, Reference_Data!A:D, 2, FALSE), "UNKNOWN")</f>
        <v>Alpha Holdings 16</v>
      </c>
      <c r="D593" t="str">
        <f>IFERROR(VLOOKUP(FO_Capture!C593, Reference_Data!A:D, 3, FALSE), "XXX")</f>
        <v>USD</v>
      </c>
      <c r="E593" t="str">
        <f>IFERROR(VLOOKUP(FO_Capture!C593, Reference_Data!A:D, 4, FALSE), "MISSING SSI")</f>
        <v>Barclays A/C 197229</v>
      </c>
      <c r="F593">
        <f>FO_Capture!D593</f>
        <v>160</v>
      </c>
      <c r="G593">
        <f>FO_Capture!E593</f>
        <v>314.79000854492188</v>
      </c>
      <c r="H593">
        <f t="shared" si="18"/>
        <v>50366.4013671875</v>
      </c>
      <c r="I593" t="str">
        <f t="shared" si="19"/>
        <v>Pass - Ready for Confirmation</v>
      </c>
    </row>
    <row r="594" spans="1:9" x14ac:dyDescent="0.3">
      <c r="A594" t="str">
        <f>FO_Capture!A594</f>
        <v>TRD00593</v>
      </c>
      <c r="B594" t="str">
        <f>FO_Capture!B594</f>
        <v>INE009A01078</v>
      </c>
      <c r="C594" t="str">
        <f>IFERROR(VLOOKUP(FO_Capture!C594, Reference_Data!A:D, 2, FALSE), "UNKNOWN")</f>
        <v>Alpha Capital 36</v>
      </c>
      <c r="D594" t="str">
        <f>IFERROR(VLOOKUP(FO_Capture!C594, Reference_Data!A:D, 3, FALSE), "XXX")</f>
        <v>JPY</v>
      </c>
      <c r="E594" t="str">
        <f>IFERROR(VLOOKUP(FO_Capture!C594, Reference_Data!A:D, 4, FALSE), "MISSING SSI")</f>
        <v>Citi A/C 359789</v>
      </c>
      <c r="F594">
        <f>FO_Capture!D594</f>
        <v>40</v>
      </c>
      <c r="G594">
        <f>FO_Capture!E594</f>
        <v>390.20999145507813</v>
      </c>
      <c r="H594">
        <f t="shared" si="18"/>
        <v>15608.399658203125</v>
      </c>
      <c r="I594" t="str">
        <f t="shared" si="19"/>
        <v>Pass - Ready for Confirmation</v>
      </c>
    </row>
    <row r="595" spans="1:9" x14ac:dyDescent="0.3">
      <c r="A595" t="str">
        <f>FO_Capture!A595</f>
        <v>TRD00594</v>
      </c>
      <c r="B595" t="str">
        <f>FO_Capture!B595</f>
        <v>INE007A01014</v>
      </c>
      <c r="C595" t="str">
        <f>IFERROR(VLOOKUP(FO_Capture!C595, Reference_Data!A:D, 2, FALSE), "UNKNOWN")</f>
        <v>Alpha Global 45</v>
      </c>
      <c r="D595" t="str">
        <f>IFERROR(VLOOKUP(FO_Capture!C595, Reference_Data!A:D, 3, FALSE), "XXX")</f>
        <v>EUR</v>
      </c>
      <c r="E595" t="str">
        <f>IFERROR(VLOOKUP(FO_Capture!C595, Reference_Data!A:D, 4, FALSE), "MISSING SSI")</f>
        <v>HSBC A/C 540659</v>
      </c>
      <c r="F595">
        <f>FO_Capture!D595</f>
        <v>460</v>
      </c>
      <c r="G595">
        <f>FO_Capture!E595</f>
        <v>453.39999389648438</v>
      </c>
      <c r="H595">
        <f t="shared" si="18"/>
        <v>208563.99719238281</v>
      </c>
      <c r="I595" t="str">
        <f t="shared" si="19"/>
        <v>Pass - Ready for Confirmation</v>
      </c>
    </row>
    <row r="596" spans="1:9" x14ac:dyDescent="0.3">
      <c r="A596" t="str">
        <f>FO_Capture!A596</f>
        <v>TRD00595</v>
      </c>
      <c r="B596" t="str">
        <f>FO_Capture!B596</f>
        <v>INE008A0106</v>
      </c>
      <c r="C596" t="str">
        <f>IFERROR(VLOOKUP(FO_Capture!C596, Reference_Data!A:D, 2, FALSE), "UNKNOWN")</f>
        <v>Alpha Capital 7</v>
      </c>
      <c r="D596" t="str">
        <f>IFERROR(VLOOKUP(FO_Capture!C596, Reference_Data!A:D, 3, FALSE), "XXX")</f>
        <v>INR</v>
      </c>
      <c r="E596" t="str">
        <f>IFERROR(VLOOKUP(FO_Capture!C596, Reference_Data!A:D, 4, FALSE), "MISSING SSI")</f>
        <v>Standard Chartered A/C 682134</v>
      </c>
      <c r="F596">
        <f>FO_Capture!D596</f>
        <v>410</v>
      </c>
      <c r="G596">
        <f>FO_Capture!E596</f>
        <v>338.58999633789063</v>
      </c>
      <c r="H596">
        <f t="shared" si="18"/>
        <v>138821.89849853516</v>
      </c>
      <c r="I596" t="str">
        <f t="shared" si="19"/>
        <v>Pass - Ready for Confirmation</v>
      </c>
    </row>
    <row r="597" spans="1:9" x14ac:dyDescent="0.3">
      <c r="A597" t="str">
        <f>FO_Capture!A597</f>
        <v>TRD00596</v>
      </c>
      <c r="B597" t="str">
        <f>FO_Capture!B597</f>
        <v>INE006A01055</v>
      </c>
      <c r="C597" t="str">
        <f>IFERROR(VLOOKUP(FO_Capture!C597, Reference_Data!A:D, 2, FALSE), "UNKNOWN")</f>
        <v>Alpha Asset Management 31</v>
      </c>
      <c r="D597" t="str">
        <f>IFERROR(VLOOKUP(FO_Capture!C597, Reference_Data!A:D, 3, FALSE), "XXX")</f>
        <v>USD</v>
      </c>
      <c r="E597" t="str">
        <f>IFERROR(VLOOKUP(FO_Capture!C597, Reference_Data!A:D, 4, FALSE), "MISSING SSI")</f>
        <v>Citi A/C 194841</v>
      </c>
      <c r="F597">
        <f>FO_Capture!D597</f>
        <v>170</v>
      </c>
      <c r="G597">
        <f>FO_Capture!E597</f>
        <v>419.05999755859375</v>
      </c>
      <c r="H597">
        <f t="shared" si="18"/>
        <v>71240.199584960938</v>
      </c>
      <c r="I597" t="str">
        <f t="shared" si="19"/>
        <v>Pass - Ready for Confirmation</v>
      </c>
    </row>
    <row r="598" spans="1:9" x14ac:dyDescent="0.3">
      <c r="A598" t="str">
        <f>FO_Capture!A598</f>
        <v>TRD00597</v>
      </c>
      <c r="B598" t="str">
        <f>FO_Capture!B598</f>
        <v>INE005A01034</v>
      </c>
      <c r="C598" t="str">
        <f>IFERROR(VLOOKUP(FO_Capture!C598, Reference_Data!A:D, 2, FALSE), "UNKNOWN")</f>
        <v>Alpha Global 39</v>
      </c>
      <c r="D598" t="str">
        <f>IFERROR(VLOOKUP(FO_Capture!C598, Reference_Data!A:D, 3, FALSE), "XXX")</f>
        <v>SGD</v>
      </c>
      <c r="E598" t="str">
        <f>IFERROR(VLOOKUP(FO_Capture!C598, Reference_Data!A:D, 4, FALSE), "MISSING SSI")</f>
        <v>Deutsche Bank A/C 917029</v>
      </c>
      <c r="F598">
        <f>FO_Capture!D598</f>
        <v>25000</v>
      </c>
      <c r="G598">
        <f>FO_Capture!E598</f>
        <v>107.87999725341797</v>
      </c>
      <c r="H598">
        <f t="shared" si="18"/>
        <v>2696999.9313354492</v>
      </c>
      <c r="I598" t="str">
        <f t="shared" si="19"/>
        <v>Exception - Limit Breach</v>
      </c>
    </row>
    <row r="599" spans="1:9" x14ac:dyDescent="0.3">
      <c r="A599" t="str">
        <f>FO_Capture!A599</f>
        <v>TRD00598</v>
      </c>
      <c r="B599" t="str">
        <f>FO_Capture!B599</f>
        <v>INE007A01094</v>
      </c>
      <c r="C599" t="str">
        <f>IFERROR(VLOOKUP(FO_Capture!C599, Reference_Data!A:D, 2, FALSE), "UNKNOWN")</f>
        <v>Alpha Investments 15</v>
      </c>
      <c r="D599" t="str">
        <f>IFERROR(VLOOKUP(FO_Capture!C599, Reference_Data!A:D, 3, FALSE), "XXX")</f>
        <v>INR</v>
      </c>
      <c r="E599" t="str">
        <f>IFERROR(VLOOKUP(FO_Capture!C599, Reference_Data!A:D, 4, FALSE), "MISSING SSI")</f>
        <v>Deutsche Bank A/C 330518</v>
      </c>
      <c r="F599">
        <f>FO_Capture!D599</f>
        <v>220</v>
      </c>
      <c r="G599">
        <f>FO_Capture!E599</f>
        <v>399.58999633789063</v>
      </c>
      <c r="H599">
        <f t="shared" si="18"/>
        <v>87909.799194335938</v>
      </c>
      <c r="I599" t="str">
        <f t="shared" si="19"/>
        <v>Pass - Ready for Confirmation</v>
      </c>
    </row>
    <row r="600" spans="1:9" x14ac:dyDescent="0.3">
      <c r="A600" t="str">
        <f>FO_Capture!A600</f>
        <v>TRD00599</v>
      </c>
      <c r="B600" t="str">
        <f>FO_Capture!B600</f>
        <v>INE007A01023</v>
      </c>
      <c r="C600" t="str">
        <f>IFERROR(VLOOKUP(FO_Capture!C600, Reference_Data!A:D, 2, FALSE), "UNKNOWN")</f>
        <v>Alpha Capital 7</v>
      </c>
      <c r="D600" t="str">
        <f>IFERROR(VLOOKUP(FO_Capture!C600, Reference_Data!A:D, 3, FALSE), "XXX")</f>
        <v>INR</v>
      </c>
      <c r="E600" t="str">
        <f>IFERROR(VLOOKUP(FO_Capture!C600, Reference_Data!A:D, 4, FALSE), "MISSING SSI")</f>
        <v>Standard Chartered A/C 682134</v>
      </c>
      <c r="F600">
        <f>FO_Capture!D600</f>
        <v>420</v>
      </c>
      <c r="G600">
        <f>FO_Capture!E600</f>
        <v>302.3900146484375</v>
      </c>
      <c r="H600">
        <f t="shared" si="18"/>
        <v>127003.80615234375</v>
      </c>
      <c r="I600" t="str">
        <f t="shared" si="19"/>
        <v>Pass - Ready for Confirmation</v>
      </c>
    </row>
    <row r="601" spans="1:9" x14ac:dyDescent="0.3">
      <c r="A601" t="str">
        <f>FO_Capture!A601</f>
        <v>TRD00600</v>
      </c>
      <c r="B601" t="str">
        <f>FO_Capture!B601</f>
        <v>INE008A01091</v>
      </c>
      <c r="C601" t="str">
        <f>IFERROR(VLOOKUP(FO_Capture!C601, Reference_Data!A:D, 2, FALSE), "UNKNOWN")</f>
        <v>Alpha Investments 15</v>
      </c>
      <c r="D601" t="str">
        <f>IFERROR(VLOOKUP(FO_Capture!C601, Reference_Data!A:D, 3, FALSE), "XXX")</f>
        <v>INR</v>
      </c>
      <c r="E601" t="str">
        <f>IFERROR(VLOOKUP(FO_Capture!C601, Reference_Data!A:D, 4, FALSE), "MISSING SSI")</f>
        <v>Deutsche Bank A/C 330518</v>
      </c>
      <c r="F601">
        <f>FO_Capture!D601</f>
        <v>150</v>
      </c>
      <c r="G601">
        <f>FO_Capture!E601</f>
        <v>389.77999877929688</v>
      </c>
      <c r="H601">
        <f t="shared" si="18"/>
        <v>58466.999816894531</v>
      </c>
      <c r="I601" t="str">
        <f t="shared" si="19"/>
        <v>Pass - Ready for Confirmation</v>
      </c>
    </row>
    <row r="602" spans="1:9" x14ac:dyDescent="0.3">
      <c r="A602" t="str">
        <f>FO_Capture!A602</f>
        <v>TRD00601</v>
      </c>
      <c r="B602" t="str">
        <f>FO_Capture!B602</f>
        <v>INE001A01033</v>
      </c>
      <c r="C602" t="str">
        <f>IFERROR(VLOOKUP(FO_Capture!C602, Reference_Data!A:D, 2, FALSE), "UNKNOWN")</f>
        <v>Alpha Capital 33</v>
      </c>
      <c r="D602" t="str">
        <f>IFERROR(VLOOKUP(FO_Capture!C602, Reference_Data!A:D, 3, FALSE), "XXX")</f>
        <v>JPY</v>
      </c>
      <c r="E602" t="str">
        <f>IFERROR(VLOOKUP(FO_Capture!C602, Reference_Data!A:D, 4, FALSE), "MISSING SSI")</f>
        <v>HSBC A/C 172861</v>
      </c>
      <c r="F602">
        <f>FO_Capture!D602</f>
        <v>450</v>
      </c>
      <c r="G602">
        <f>FO_Capture!E602</f>
        <v>305.52999877929688</v>
      </c>
      <c r="H602">
        <f t="shared" si="18"/>
        <v>137488.49945068359</v>
      </c>
      <c r="I602" t="str">
        <f t="shared" si="19"/>
        <v>Pass - Ready for Confirmation</v>
      </c>
    </row>
    <row r="603" spans="1:9" x14ac:dyDescent="0.3">
      <c r="A603" t="str">
        <f>FO_Capture!A603</f>
        <v>TRD00602</v>
      </c>
      <c r="B603" t="str">
        <f>FO_Capture!B603</f>
        <v>INE001A0107</v>
      </c>
      <c r="C603" t="str">
        <f>IFERROR(VLOOKUP(FO_Capture!C603, Reference_Data!A:D, 2, FALSE), "UNKNOWN")</f>
        <v>Alpha Partners 26</v>
      </c>
      <c r="D603" t="str">
        <f>IFERROR(VLOOKUP(FO_Capture!C603, Reference_Data!A:D, 3, FALSE), "XXX")</f>
        <v>USD</v>
      </c>
      <c r="E603" t="str">
        <f>IFERROR(VLOOKUP(FO_Capture!C603, Reference_Data!A:D, 4, FALSE), "MISSING SSI")</f>
        <v>HSBC A/C 867781</v>
      </c>
      <c r="F603">
        <f>FO_Capture!D603</f>
        <v>90</v>
      </c>
      <c r="G603">
        <f>FO_Capture!E603</f>
        <v>13.779999732971191</v>
      </c>
      <c r="H603">
        <f t="shared" si="18"/>
        <v>1240.1999759674072</v>
      </c>
      <c r="I603" t="str">
        <f t="shared" si="19"/>
        <v>Pass - Ready for Confirmation</v>
      </c>
    </row>
    <row r="604" spans="1:9" x14ac:dyDescent="0.3">
      <c r="A604" t="str">
        <f>FO_Capture!A604</f>
        <v>TRD00603</v>
      </c>
      <c r="B604" t="str">
        <f>FO_Capture!B604</f>
        <v>INE006A01047</v>
      </c>
      <c r="C604" t="str">
        <f>IFERROR(VLOOKUP(FO_Capture!C604, Reference_Data!A:D, 2, FALSE), "UNKNOWN")</f>
        <v>Alpha Asset Management 4</v>
      </c>
      <c r="D604" t="str">
        <f>IFERROR(VLOOKUP(FO_Capture!C604, Reference_Data!A:D, 3, FALSE), "XXX")</f>
        <v>JPY</v>
      </c>
      <c r="E604" t="str">
        <f>IFERROR(VLOOKUP(FO_Capture!C604, Reference_Data!A:D, 4, FALSE), "MISSING SSI")</f>
        <v>Deutsche Bank A/C 126543</v>
      </c>
      <c r="F604">
        <f>FO_Capture!D604</f>
        <v>300</v>
      </c>
      <c r="G604">
        <f>FO_Capture!E604</f>
        <v>48.939998626708984</v>
      </c>
      <c r="H604">
        <f t="shared" si="18"/>
        <v>14681.999588012695</v>
      </c>
      <c r="I604" t="str">
        <f t="shared" si="19"/>
        <v>Pass - Ready for Confirmation</v>
      </c>
    </row>
    <row r="605" spans="1:9" x14ac:dyDescent="0.3">
      <c r="A605" t="str">
        <f>FO_Capture!A605</f>
        <v>TRD00604</v>
      </c>
      <c r="B605" t="str">
        <f>FO_Capture!B605</f>
        <v>INE001A01017</v>
      </c>
      <c r="C605" t="str">
        <f>IFERROR(VLOOKUP(FO_Capture!C605, Reference_Data!A:D, 2, FALSE), "UNKNOWN")</f>
        <v>Alpha Global 46</v>
      </c>
      <c r="D605" t="str">
        <f>IFERROR(VLOOKUP(FO_Capture!C605, Reference_Data!A:D, 3, FALSE), "XXX")</f>
        <v>USD</v>
      </c>
      <c r="E605" t="str">
        <f>IFERROR(VLOOKUP(FO_Capture!C605, Reference_Data!A:D, 4, FALSE), "MISSING SSI")</f>
        <v>Citi A/C 700450</v>
      </c>
      <c r="F605">
        <f>FO_Capture!D605</f>
        <v>40</v>
      </c>
      <c r="G605">
        <f>FO_Capture!E605</f>
        <v>265.739990234375</v>
      </c>
      <c r="H605">
        <f t="shared" si="18"/>
        <v>10629.599609375</v>
      </c>
      <c r="I605" t="str">
        <f t="shared" si="19"/>
        <v>Pass - Ready for Confirmation</v>
      </c>
    </row>
    <row r="606" spans="1:9" x14ac:dyDescent="0.3">
      <c r="A606" t="str">
        <f>FO_Capture!A606</f>
        <v>TRD00605</v>
      </c>
      <c r="B606" t="str">
        <f>FO_Capture!B606</f>
        <v>INE005A01054</v>
      </c>
      <c r="C606" t="str">
        <f>IFERROR(VLOOKUP(FO_Capture!C606, Reference_Data!A:D, 2, FALSE), "UNKNOWN")</f>
        <v>Alpha Global 25</v>
      </c>
      <c r="D606" t="str">
        <f>IFERROR(VLOOKUP(FO_Capture!C606, Reference_Data!A:D, 3, FALSE), "XXX")</f>
        <v>EUR</v>
      </c>
      <c r="E606" t="str">
        <f>IFERROR(VLOOKUP(FO_Capture!C606, Reference_Data!A:D, 4, FALSE), "MISSING SSI")</f>
        <v>Standard Chartered A/C 438949</v>
      </c>
      <c r="F606">
        <f>FO_Capture!D606</f>
        <v>260</v>
      </c>
      <c r="G606">
        <f>FO_Capture!E606</f>
        <v>89.239997863769531</v>
      </c>
      <c r="H606">
        <f t="shared" si="18"/>
        <v>23202.399444580078</v>
      </c>
      <c r="I606" t="str">
        <f t="shared" si="19"/>
        <v>Pass - Ready for Confirmation</v>
      </c>
    </row>
    <row r="607" spans="1:9" x14ac:dyDescent="0.3">
      <c r="A607" t="str">
        <f>FO_Capture!A607</f>
        <v>TRD00606</v>
      </c>
      <c r="B607" t="str">
        <f>FO_Capture!B607</f>
        <v>INE002A01024</v>
      </c>
      <c r="C607" t="str">
        <f>IFERROR(VLOOKUP(FO_Capture!C607, Reference_Data!A:D, 2, FALSE), "UNKNOWN")</f>
        <v>Alpha Quant Fund 34</v>
      </c>
      <c r="D607" t="str">
        <f>IFERROR(VLOOKUP(FO_Capture!C607, Reference_Data!A:D, 3, FALSE), "XXX")</f>
        <v>JPY</v>
      </c>
      <c r="E607" t="str">
        <f>IFERROR(VLOOKUP(FO_Capture!C607, Reference_Data!A:D, 4, FALSE), "MISSING SSI")</f>
        <v>Citi A/C 837378</v>
      </c>
      <c r="F607">
        <f>FO_Capture!D607</f>
        <v>120</v>
      </c>
      <c r="G607">
        <f>FO_Capture!E607</f>
        <v>264.80999755859375</v>
      </c>
      <c r="H607">
        <f t="shared" si="18"/>
        <v>31777.19970703125</v>
      </c>
      <c r="I607" t="str">
        <f t="shared" si="19"/>
        <v>Pass - Ready for Confirmation</v>
      </c>
    </row>
    <row r="608" spans="1:9" x14ac:dyDescent="0.3">
      <c r="A608" t="str">
        <f>FO_Capture!A608</f>
        <v>TRD00607</v>
      </c>
      <c r="B608" t="str">
        <f>FO_Capture!B608</f>
        <v>INE001A01068</v>
      </c>
      <c r="C608" t="str">
        <f>IFERROR(VLOOKUP(FO_Capture!C608, Reference_Data!A:D, 2, FALSE), "UNKNOWN")</f>
        <v>Alpha Capital 10</v>
      </c>
      <c r="D608" t="str">
        <f>IFERROR(VLOOKUP(FO_Capture!C608, Reference_Data!A:D, 3, FALSE), "XXX")</f>
        <v>USD</v>
      </c>
      <c r="E608" t="str">
        <f>IFERROR(VLOOKUP(FO_Capture!C608, Reference_Data!A:D, 4, FALSE), "MISSING SSI")</f>
        <v>HDFC A/C 543407</v>
      </c>
      <c r="F608">
        <f>FO_Capture!D608</f>
        <v>280</v>
      </c>
      <c r="G608">
        <f>FO_Capture!E608</f>
        <v>108.09999847412109</v>
      </c>
      <c r="H608">
        <f t="shared" si="18"/>
        <v>30267.999572753906</v>
      </c>
      <c r="I608" t="str">
        <f t="shared" si="19"/>
        <v>Pass - Ready for Confirmation</v>
      </c>
    </row>
    <row r="609" spans="1:9" x14ac:dyDescent="0.3">
      <c r="A609" t="str">
        <f>FO_Capture!A609</f>
        <v>TRD00608</v>
      </c>
      <c r="B609" t="str">
        <f>FO_Capture!B609</f>
        <v>INE006A01055</v>
      </c>
      <c r="C609" t="str">
        <f>IFERROR(VLOOKUP(FO_Capture!C609, Reference_Data!A:D, 2, FALSE), "UNKNOWN")</f>
        <v>Alpha Capital 10</v>
      </c>
      <c r="D609" t="str">
        <f>IFERROR(VLOOKUP(FO_Capture!C609, Reference_Data!A:D, 3, FALSE), "XXX")</f>
        <v>USD</v>
      </c>
      <c r="E609" t="str">
        <f>IFERROR(VLOOKUP(FO_Capture!C609, Reference_Data!A:D, 4, FALSE), "MISSING SSI")</f>
        <v>HDFC A/C 543407</v>
      </c>
      <c r="F609">
        <f>FO_Capture!D609</f>
        <v>100</v>
      </c>
      <c r="G609">
        <f>FO_Capture!E609</f>
        <v>255.11000061035156</v>
      </c>
      <c r="H609">
        <f t="shared" si="18"/>
        <v>25511.000061035156</v>
      </c>
      <c r="I609" t="str">
        <f t="shared" si="19"/>
        <v>Pass - Ready for Confirmation</v>
      </c>
    </row>
    <row r="610" spans="1:9" x14ac:dyDescent="0.3">
      <c r="A610" t="str">
        <f>FO_Capture!A610</f>
        <v>TRD00609</v>
      </c>
      <c r="B610" t="str">
        <f>FO_Capture!B610</f>
        <v>INE006A01029</v>
      </c>
      <c r="C610" t="str">
        <f>IFERROR(VLOOKUP(FO_Capture!C610, Reference_Data!A:D, 2, FALSE), "UNKNOWN")</f>
        <v>Alpha Capital 36</v>
      </c>
      <c r="D610" t="str">
        <f>IFERROR(VLOOKUP(FO_Capture!C610, Reference_Data!A:D, 3, FALSE), "XXX")</f>
        <v>JPY</v>
      </c>
      <c r="E610" t="str">
        <f>IFERROR(VLOOKUP(FO_Capture!C610, Reference_Data!A:D, 4, FALSE), "MISSING SSI")</f>
        <v>Citi A/C 359789</v>
      </c>
      <c r="F610">
        <f>FO_Capture!D610</f>
        <v>420</v>
      </c>
      <c r="G610">
        <f>FO_Capture!E610</f>
        <v>412.1400146484375</v>
      </c>
      <c r="H610">
        <f t="shared" si="18"/>
        <v>173098.80615234375</v>
      </c>
      <c r="I610" t="str">
        <f t="shared" si="19"/>
        <v>Pass - Ready for Confirmation</v>
      </c>
    </row>
    <row r="611" spans="1:9" x14ac:dyDescent="0.3">
      <c r="A611" t="str">
        <f>FO_Capture!A611</f>
        <v>TRD00610</v>
      </c>
      <c r="B611" t="str">
        <f>FO_Capture!B611</f>
        <v>INE004A01062</v>
      </c>
      <c r="C611" t="str">
        <f>IFERROR(VLOOKUP(FO_Capture!C611, Reference_Data!A:D, 2, FALSE), "UNKNOWN")</f>
        <v>Alpha Capital 9</v>
      </c>
      <c r="D611" t="str">
        <f>IFERROR(VLOOKUP(FO_Capture!C611, Reference_Data!A:D, 3, FALSE), "XXX")</f>
        <v>JPY</v>
      </c>
      <c r="E611" t="str">
        <f>IFERROR(VLOOKUP(FO_Capture!C611, Reference_Data!A:D, 4, FALSE), "MISSING SSI")</f>
        <v>Citi A/C 744145</v>
      </c>
      <c r="F611">
        <f>FO_Capture!D611</f>
        <v>330</v>
      </c>
      <c r="G611">
        <f>FO_Capture!E611</f>
        <v>105.80000305175781</v>
      </c>
      <c r="H611">
        <f t="shared" si="18"/>
        <v>34914.001007080078</v>
      </c>
      <c r="I611" t="str">
        <f t="shared" si="19"/>
        <v>Pass - Ready for Confirmation</v>
      </c>
    </row>
    <row r="612" spans="1:9" x14ac:dyDescent="0.3">
      <c r="A612" t="str">
        <f>FO_Capture!A612</f>
        <v>TRD00611</v>
      </c>
      <c r="B612" t="str">
        <f>FO_Capture!B612</f>
        <v>INE001A0102</v>
      </c>
      <c r="C612" t="str">
        <f>IFERROR(VLOOKUP(FO_Capture!C612, Reference_Data!A:D, 2, FALSE), "UNKNOWN")</f>
        <v>Alpha Capital 44</v>
      </c>
      <c r="D612" t="str">
        <f>IFERROR(VLOOKUP(FO_Capture!C612, Reference_Data!A:D, 3, FALSE), "XXX")</f>
        <v>INR</v>
      </c>
      <c r="E612" t="str">
        <f>IFERROR(VLOOKUP(FO_Capture!C612, Reference_Data!A:D, 4, FALSE), "MISSING SSI")</f>
        <v>Deutsche Bank A/C 428758</v>
      </c>
      <c r="F612">
        <f>FO_Capture!D612</f>
        <v>380</v>
      </c>
      <c r="G612">
        <f>FO_Capture!E612</f>
        <v>433.010009765625</v>
      </c>
      <c r="H612">
        <f t="shared" si="18"/>
        <v>164543.8037109375</v>
      </c>
      <c r="I612" t="str">
        <f t="shared" si="19"/>
        <v>Pass - Ready for Confirmation</v>
      </c>
    </row>
    <row r="613" spans="1:9" x14ac:dyDescent="0.3">
      <c r="A613" t="str">
        <f>FO_Capture!A613</f>
        <v>TRD00612</v>
      </c>
      <c r="B613" t="str">
        <f>FO_Capture!B613</f>
        <v>INE008A01022</v>
      </c>
      <c r="C613" t="str">
        <f>IFERROR(VLOOKUP(FO_Capture!C613, Reference_Data!A:D, 2, FALSE), "UNKNOWN")</f>
        <v>Alpha Quant Fund 27</v>
      </c>
      <c r="D613" t="str">
        <f>IFERROR(VLOOKUP(FO_Capture!C613, Reference_Data!A:D, 3, FALSE), "XXX")</f>
        <v>EUR</v>
      </c>
      <c r="E613" t="str">
        <f>IFERROR(VLOOKUP(FO_Capture!C613, Reference_Data!A:D, 4, FALSE), "MISSING SSI")</f>
        <v>Standard Chartered A/C 331839</v>
      </c>
      <c r="F613">
        <f>FO_Capture!D613</f>
        <v>340</v>
      </c>
      <c r="G613">
        <f>FO_Capture!E613</f>
        <v>311.010009765625</v>
      </c>
      <c r="H613">
        <f t="shared" si="18"/>
        <v>105743.4033203125</v>
      </c>
      <c r="I613" t="str">
        <f t="shared" si="19"/>
        <v>Pass - Ready for Confirmation</v>
      </c>
    </row>
    <row r="614" spans="1:9" x14ac:dyDescent="0.3">
      <c r="A614" t="str">
        <f>FO_Capture!A614</f>
        <v>TRD00613</v>
      </c>
      <c r="B614" t="str">
        <f>FO_Capture!B614</f>
        <v>INE005A01074</v>
      </c>
      <c r="C614" t="str">
        <f>IFERROR(VLOOKUP(FO_Capture!C614, Reference_Data!A:D, 2, FALSE), "UNKNOWN")</f>
        <v>Alpha Capital 36</v>
      </c>
      <c r="D614" t="str">
        <f>IFERROR(VLOOKUP(FO_Capture!C614, Reference_Data!A:D, 3, FALSE), "XXX")</f>
        <v>JPY</v>
      </c>
      <c r="E614" t="str">
        <f>IFERROR(VLOOKUP(FO_Capture!C614, Reference_Data!A:D, 4, FALSE), "MISSING SSI")</f>
        <v>Citi A/C 359789</v>
      </c>
      <c r="F614">
        <f>FO_Capture!D614</f>
        <v>470</v>
      </c>
      <c r="G614">
        <f>FO_Capture!E614</f>
        <v>227.35000610351563</v>
      </c>
      <c r="H614">
        <f t="shared" si="18"/>
        <v>106854.50286865234</v>
      </c>
      <c r="I614" t="str">
        <f t="shared" si="19"/>
        <v>Pass - Ready for Confirmation</v>
      </c>
    </row>
    <row r="615" spans="1:9" x14ac:dyDescent="0.3">
      <c r="A615" t="str">
        <f>FO_Capture!A615</f>
        <v>TRD00614</v>
      </c>
      <c r="B615" t="str">
        <f>FO_Capture!B615</f>
        <v>INE007A01036</v>
      </c>
      <c r="C615" t="str">
        <f>IFERROR(VLOOKUP(FO_Capture!C615, Reference_Data!A:D, 2, FALSE), "UNKNOWN")</f>
        <v>Alpha Partners 22</v>
      </c>
      <c r="D615" t="str">
        <f>IFERROR(VLOOKUP(FO_Capture!C615, Reference_Data!A:D, 3, FALSE), "XXX")</f>
        <v>GBP</v>
      </c>
      <c r="E615" t="str">
        <f>IFERROR(VLOOKUP(FO_Capture!C615, Reference_Data!A:D, 4, FALSE), "MISSING SSI")</f>
        <v>JPMorgan A/C 488546</v>
      </c>
      <c r="F615">
        <f>FO_Capture!D615</f>
        <v>240</v>
      </c>
      <c r="G615">
        <f>FO_Capture!E615</f>
        <v>489.8800048828125</v>
      </c>
      <c r="H615">
        <f t="shared" si="18"/>
        <v>117571.201171875</v>
      </c>
      <c r="I615" t="str">
        <f t="shared" si="19"/>
        <v>Pass - Ready for Confirmation</v>
      </c>
    </row>
    <row r="616" spans="1:9" x14ac:dyDescent="0.3">
      <c r="A616" t="str">
        <f>FO_Capture!A616</f>
        <v>TRD00615</v>
      </c>
      <c r="B616" t="str">
        <f>FO_Capture!B616</f>
        <v>INE002A01061</v>
      </c>
      <c r="C616" t="str">
        <f>IFERROR(VLOOKUP(FO_Capture!C616, Reference_Data!A:D, 2, FALSE), "UNKNOWN")</f>
        <v>Alpha Global 28</v>
      </c>
      <c r="D616" t="str">
        <f>IFERROR(VLOOKUP(FO_Capture!C616, Reference_Data!A:D, 3, FALSE), "XXX")</f>
        <v>USD</v>
      </c>
      <c r="E616" t="str">
        <f>IFERROR(VLOOKUP(FO_Capture!C616, Reference_Data!A:D, 4, FALSE), "MISSING SSI")</f>
        <v>HDFC A/C 638209</v>
      </c>
      <c r="F616">
        <f>FO_Capture!D616</f>
        <v>120</v>
      </c>
      <c r="G616">
        <f>FO_Capture!E616</f>
        <v>476.79000854492188</v>
      </c>
      <c r="H616">
        <f t="shared" si="18"/>
        <v>57214.801025390625</v>
      </c>
      <c r="I616" t="str">
        <f t="shared" si="19"/>
        <v>Pass - Ready for Confirmation</v>
      </c>
    </row>
    <row r="617" spans="1:9" x14ac:dyDescent="0.3">
      <c r="A617" t="str">
        <f>FO_Capture!A617</f>
        <v>TRD00616</v>
      </c>
      <c r="B617" t="str">
        <f>FO_Capture!B617</f>
        <v>INE001A01032</v>
      </c>
      <c r="C617" t="str">
        <f>IFERROR(VLOOKUP(FO_Capture!C617, Reference_Data!A:D, 2, FALSE), "UNKNOWN")</f>
        <v>Alpha Holdings 16</v>
      </c>
      <c r="D617" t="str">
        <f>IFERROR(VLOOKUP(FO_Capture!C617, Reference_Data!A:D, 3, FALSE), "XXX")</f>
        <v>USD</v>
      </c>
      <c r="E617" t="str">
        <f>IFERROR(VLOOKUP(FO_Capture!C617, Reference_Data!A:D, 4, FALSE), "MISSING SSI")</f>
        <v>Barclays A/C 197229</v>
      </c>
      <c r="F617">
        <f>FO_Capture!D617</f>
        <v>290</v>
      </c>
      <c r="G617">
        <f>FO_Capture!E617</f>
        <v>386.55999755859375</v>
      </c>
      <c r="H617">
        <f t="shared" si="18"/>
        <v>112102.39929199219</v>
      </c>
      <c r="I617" t="str">
        <f t="shared" si="19"/>
        <v>Pass - Ready for Confirmation</v>
      </c>
    </row>
    <row r="618" spans="1:9" x14ac:dyDescent="0.3">
      <c r="A618" t="str">
        <f>FO_Capture!A618</f>
        <v>TRD00617</v>
      </c>
      <c r="B618" t="str">
        <f>FO_Capture!B618</f>
        <v>INE006A0104</v>
      </c>
      <c r="C618" t="str">
        <f>IFERROR(VLOOKUP(FO_Capture!C618, Reference_Data!A:D, 2, FALSE), "UNKNOWN")</f>
        <v>Alpha Global 46</v>
      </c>
      <c r="D618" t="str">
        <f>IFERROR(VLOOKUP(FO_Capture!C618, Reference_Data!A:D, 3, FALSE), "XXX")</f>
        <v>USD</v>
      </c>
      <c r="E618" t="str">
        <f>IFERROR(VLOOKUP(FO_Capture!C618, Reference_Data!A:D, 4, FALSE), "MISSING SSI")</f>
        <v>Citi A/C 700450</v>
      </c>
      <c r="F618">
        <f>FO_Capture!D618</f>
        <v>400</v>
      </c>
      <c r="G618">
        <f>FO_Capture!E618</f>
        <v>487.989990234375</v>
      </c>
      <c r="H618">
        <f t="shared" si="18"/>
        <v>195195.99609375</v>
      </c>
      <c r="I618" t="str">
        <f t="shared" si="19"/>
        <v>Pass - Ready for Confirmation</v>
      </c>
    </row>
    <row r="619" spans="1:9" x14ac:dyDescent="0.3">
      <c r="A619" t="str">
        <f>FO_Capture!A619</f>
        <v>TRD00618</v>
      </c>
      <c r="B619" t="str">
        <f>FO_Capture!B619</f>
        <v>INE007A01061</v>
      </c>
      <c r="C619" t="str">
        <f>IFERROR(VLOOKUP(FO_Capture!C619, Reference_Data!A:D, 2, FALSE), "UNKNOWN")</f>
        <v>Alpha Investments 43</v>
      </c>
      <c r="D619" t="str">
        <f>IFERROR(VLOOKUP(FO_Capture!C619, Reference_Data!A:D, 3, FALSE), "XXX")</f>
        <v>EUR</v>
      </c>
      <c r="E619" t="str">
        <f>IFERROR(VLOOKUP(FO_Capture!C619, Reference_Data!A:D, 4, FALSE), "MISSING SSI")</f>
        <v>Citi A/C 714496</v>
      </c>
      <c r="F619">
        <f>FO_Capture!D619</f>
        <v>360</v>
      </c>
      <c r="G619">
        <f>FO_Capture!E619</f>
        <v>370.17999267578125</v>
      </c>
      <c r="H619">
        <f t="shared" si="18"/>
        <v>133264.79736328125</v>
      </c>
      <c r="I619" t="str">
        <f t="shared" si="19"/>
        <v>Pass - Ready for Confirmation</v>
      </c>
    </row>
    <row r="620" spans="1:9" x14ac:dyDescent="0.3">
      <c r="A620" t="str">
        <f>FO_Capture!A620</f>
        <v>TRD00619</v>
      </c>
      <c r="B620" t="str">
        <f>FO_Capture!B620</f>
        <v>INE005A01065</v>
      </c>
      <c r="C620" t="str">
        <f>IFERROR(VLOOKUP(FO_Capture!C620, Reference_Data!A:D, 2, FALSE), "UNKNOWN")</f>
        <v>UNKNOWN</v>
      </c>
      <c r="D620" t="str">
        <f>IFERROR(VLOOKUP(FO_Capture!C620, Reference_Data!A:D, 3, FALSE), "XXX")</f>
        <v>XXX</v>
      </c>
      <c r="E620" t="str">
        <f>IFERROR(VLOOKUP(FO_Capture!C620, Reference_Data!A:D, 4, FALSE), "MISSING SSI")</f>
        <v>MISSING SSI</v>
      </c>
      <c r="F620">
        <f>FO_Capture!D620</f>
        <v>300</v>
      </c>
      <c r="G620">
        <f>FO_Capture!E620</f>
        <v>14.119999885559082</v>
      </c>
      <c r="H620">
        <f t="shared" si="18"/>
        <v>4235.9999656677246</v>
      </c>
      <c r="I620" t="str">
        <f t="shared" si="19"/>
        <v>Fail - Missing Ref Data</v>
      </c>
    </row>
    <row r="621" spans="1:9" x14ac:dyDescent="0.3">
      <c r="A621" t="str">
        <f>FO_Capture!A621</f>
        <v>TRD00620</v>
      </c>
      <c r="B621" t="str">
        <f>FO_Capture!B621</f>
        <v>INE004A01042</v>
      </c>
      <c r="C621" t="str">
        <f>IFERROR(VLOOKUP(FO_Capture!C621, Reference_Data!A:D, 2, FALSE), "UNKNOWN")</f>
        <v>Alpha Investments 15</v>
      </c>
      <c r="D621" t="str">
        <f>IFERROR(VLOOKUP(FO_Capture!C621, Reference_Data!A:D, 3, FALSE), "XXX")</f>
        <v>INR</v>
      </c>
      <c r="E621" t="str">
        <f>IFERROR(VLOOKUP(FO_Capture!C621, Reference_Data!A:D, 4, FALSE), "MISSING SSI")</f>
        <v>Deutsche Bank A/C 330518</v>
      </c>
      <c r="F621">
        <f>FO_Capture!D621</f>
        <v>290</v>
      </c>
      <c r="G621">
        <f>FO_Capture!E621</f>
        <v>456.22000122070313</v>
      </c>
      <c r="H621">
        <f t="shared" si="18"/>
        <v>132303.80035400391</v>
      </c>
      <c r="I621" t="str">
        <f t="shared" si="19"/>
        <v>Pass - Ready for Confirmation</v>
      </c>
    </row>
    <row r="622" spans="1:9" x14ac:dyDescent="0.3">
      <c r="A622" t="str">
        <f>FO_Capture!A622</f>
        <v>TRD00621</v>
      </c>
      <c r="B622" t="str">
        <f>FO_Capture!B622</f>
        <v>INE008A0106</v>
      </c>
      <c r="C622" t="str">
        <f>IFERROR(VLOOKUP(FO_Capture!C622, Reference_Data!A:D, 2, FALSE), "UNKNOWN")</f>
        <v>Alpha Asset Management 5</v>
      </c>
      <c r="D622" t="str">
        <f>IFERROR(VLOOKUP(FO_Capture!C622, Reference_Data!A:D, 3, FALSE), "XXX")</f>
        <v>INR</v>
      </c>
      <c r="E622" t="str">
        <f>IFERROR(VLOOKUP(FO_Capture!C622, Reference_Data!A:D, 4, FALSE), "MISSING SSI")</f>
        <v>JPMorgan A/C 860462</v>
      </c>
      <c r="F622">
        <f>FO_Capture!D622</f>
        <v>260</v>
      </c>
      <c r="G622">
        <f>FO_Capture!E622</f>
        <v>254.66999816894531</v>
      </c>
      <c r="H622">
        <f t="shared" si="18"/>
        <v>66214.199523925781</v>
      </c>
      <c r="I622" t="str">
        <f t="shared" si="19"/>
        <v>Pass - Ready for Confirmation</v>
      </c>
    </row>
    <row r="623" spans="1:9" x14ac:dyDescent="0.3">
      <c r="A623" t="str">
        <f>FO_Capture!A623</f>
        <v>TRD00622</v>
      </c>
      <c r="B623" t="str">
        <f>FO_Capture!B623</f>
        <v>INE003A01063</v>
      </c>
      <c r="C623" t="str">
        <f>IFERROR(VLOOKUP(FO_Capture!C623, Reference_Data!A:D, 2, FALSE), "UNKNOWN")</f>
        <v>Alpha Capital 10</v>
      </c>
      <c r="D623" t="str">
        <f>IFERROR(VLOOKUP(FO_Capture!C623, Reference_Data!A:D, 3, FALSE), "XXX")</f>
        <v>USD</v>
      </c>
      <c r="E623" t="str">
        <f>IFERROR(VLOOKUP(FO_Capture!C623, Reference_Data!A:D, 4, FALSE), "MISSING SSI")</f>
        <v>HDFC A/C 543407</v>
      </c>
      <c r="F623">
        <f>FO_Capture!D623</f>
        <v>200</v>
      </c>
      <c r="G623">
        <f>FO_Capture!E623</f>
        <v>202.69999694824219</v>
      </c>
      <c r="H623">
        <f t="shared" si="18"/>
        <v>40539.999389648438</v>
      </c>
      <c r="I623" t="str">
        <f t="shared" si="19"/>
        <v>Pass - Ready for Confirmation</v>
      </c>
    </row>
    <row r="624" spans="1:9" x14ac:dyDescent="0.3">
      <c r="A624" t="str">
        <f>FO_Capture!A624</f>
        <v>TRD00623</v>
      </c>
      <c r="B624" t="str">
        <f>FO_Capture!B624</f>
        <v>INE004A01044</v>
      </c>
      <c r="C624" t="str">
        <f>IFERROR(VLOOKUP(FO_Capture!C624, Reference_Data!A:D, 2, FALSE), "UNKNOWN")</f>
        <v>Alpha Asset Management 4</v>
      </c>
      <c r="D624" t="str">
        <f>IFERROR(VLOOKUP(FO_Capture!C624, Reference_Data!A:D, 3, FALSE), "XXX")</f>
        <v>JPY</v>
      </c>
      <c r="E624" t="str">
        <f>IFERROR(VLOOKUP(FO_Capture!C624, Reference_Data!A:D, 4, FALSE), "MISSING SSI")</f>
        <v>Deutsche Bank A/C 126543</v>
      </c>
      <c r="F624">
        <f>FO_Capture!D624</f>
        <v>120</v>
      </c>
      <c r="G624">
        <f>FO_Capture!E624</f>
        <v>70.080001831054688</v>
      </c>
      <c r="H624">
        <f t="shared" si="18"/>
        <v>8409.6002197265625</v>
      </c>
      <c r="I624" t="str">
        <f t="shared" si="19"/>
        <v>Pass - Ready for Confirmation</v>
      </c>
    </row>
    <row r="625" spans="1:9" x14ac:dyDescent="0.3">
      <c r="A625" t="str">
        <f>FO_Capture!A625</f>
        <v>TRD00624</v>
      </c>
      <c r="B625" t="str">
        <f>FO_Capture!B625</f>
        <v>INE001A01032</v>
      </c>
      <c r="C625" t="str">
        <f>IFERROR(VLOOKUP(FO_Capture!C625, Reference_Data!A:D, 2, FALSE), "UNKNOWN")</f>
        <v>Alpha Quant Fund 24</v>
      </c>
      <c r="D625" t="str">
        <f>IFERROR(VLOOKUP(FO_Capture!C625, Reference_Data!A:D, 3, FALSE), "XXX")</f>
        <v>SGD</v>
      </c>
      <c r="E625" t="str">
        <f>IFERROR(VLOOKUP(FO_Capture!C625, Reference_Data!A:D, 4, FALSE), "MISSING SSI")</f>
        <v>JPMorgan A/C 603587</v>
      </c>
      <c r="F625">
        <f>FO_Capture!D625</f>
        <v>250</v>
      </c>
      <c r="G625">
        <f>FO_Capture!E625</f>
        <v>353.14999389648438</v>
      </c>
      <c r="H625">
        <f t="shared" si="18"/>
        <v>88287.498474121094</v>
      </c>
      <c r="I625" t="str">
        <f t="shared" si="19"/>
        <v>Pass - Ready for Confirmation</v>
      </c>
    </row>
    <row r="626" spans="1:9" x14ac:dyDescent="0.3">
      <c r="A626" t="str">
        <f>FO_Capture!A626</f>
        <v>TRD00625</v>
      </c>
      <c r="B626" t="str">
        <f>FO_Capture!B626</f>
        <v>INE008A01022</v>
      </c>
      <c r="C626" t="str">
        <f>IFERROR(VLOOKUP(FO_Capture!C626, Reference_Data!A:D, 2, FALSE), "UNKNOWN")</f>
        <v>Alpha Capital 38</v>
      </c>
      <c r="D626" t="str">
        <f>IFERROR(VLOOKUP(FO_Capture!C626, Reference_Data!A:D, 3, FALSE), "XXX")</f>
        <v>SGD</v>
      </c>
      <c r="E626" t="str">
        <f>IFERROR(VLOOKUP(FO_Capture!C626, Reference_Data!A:D, 4, FALSE), "MISSING SSI")</f>
        <v>Deutsche Bank A/C 153521</v>
      </c>
      <c r="F626">
        <f>FO_Capture!D626</f>
        <v>25000</v>
      </c>
      <c r="G626">
        <f>FO_Capture!E626</f>
        <v>358.95001220703125</v>
      </c>
      <c r="H626">
        <f t="shared" si="18"/>
        <v>8973750.3051757813</v>
      </c>
      <c r="I626" t="str">
        <f t="shared" si="19"/>
        <v>Exception - Limit Breach</v>
      </c>
    </row>
    <row r="627" spans="1:9" x14ac:dyDescent="0.3">
      <c r="A627" t="str">
        <f>FO_Capture!A627</f>
        <v>TRD00626</v>
      </c>
      <c r="B627" t="str">
        <f>FO_Capture!B627</f>
        <v>INE001A01029</v>
      </c>
      <c r="C627" t="str">
        <f>IFERROR(VLOOKUP(FO_Capture!C627, Reference_Data!A:D, 2, FALSE), "UNKNOWN")</f>
        <v>Alpha Investments 17</v>
      </c>
      <c r="D627" t="str">
        <f>IFERROR(VLOOKUP(FO_Capture!C627, Reference_Data!A:D, 3, FALSE), "XXX")</f>
        <v>USD</v>
      </c>
      <c r="E627" t="str">
        <f>IFERROR(VLOOKUP(FO_Capture!C627, Reference_Data!A:D, 4, FALSE), "MISSING SSI")</f>
        <v>HDFC A/C 113752</v>
      </c>
      <c r="F627">
        <f>FO_Capture!D627</f>
        <v>90</v>
      </c>
      <c r="G627">
        <f>FO_Capture!E627</f>
        <v>460.94000244140625</v>
      </c>
      <c r="H627">
        <f t="shared" si="18"/>
        <v>41484.600219726563</v>
      </c>
      <c r="I627" t="str">
        <f t="shared" si="19"/>
        <v>Pass - Ready for Confirmation</v>
      </c>
    </row>
    <row r="628" spans="1:9" x14ac:dyDescent="0.3">
      <c r="A628" t="str">
        <f>FO_Capture!A628</f>
        <v>TRD00627</v>
      </c>
      <c r="B628" t="str">
        <f>FO_Capture!B628</f>
        <v>INE005A01083</v>
      </c>
      <c r="C628" t="str">
        <f>IFERROR(VLOOKUP(FO_Capture!C628, Reference_Data!A:D, 2, FALSE), "UNKNOWN")</f>
        <v>Alpha Capital 33</v>
      </c>
      <c r="D628" t="str">
        <f>IFERROR(VLOOKUP(FO_Capture!C628, Reference_Data!A:D, 3, FALSE), "XXX")</f>
        <v>JPY</v>
      </c>
      <c r="E628" t="str">
        <f>IFERROR(VLOOKUP(FO_Capture!C628, Reference_Data!A:D, 4, FALSE), "MISSING SSI")</f>
        <v>HSBC A/C 172861</v>
      </c>
      <c r="F628">
        <f>FO_Capture!D628</f>
        <v>430</v>
      </c>
      <c r="G628">
        <f>FO_Capture!E628</f>
        <v>81.680000305175781</v>
      </c>
      <c r="H628">
        <f t="shared" si="18"/>
        <v>35122.400131225586</v>
      </c>
      <c r="I628" t="str">
        <f t="shared" si="19"/>
        <v>Pass - Ready for Confirmation</v>
      </c>
    </row>
    <row r="629" spans="1:9" x14ac:dyDescent="0.3">
      <c r="A629" t="str">
        <f>FO_Capture!A629</f>
        <v>TRD00628</v>
      </c>
      <c r="B629" t="str">
        <f>FO_Capture!B629</f>
        <v>INE006A01087</v>
      </c>
      <c r="C629" t="str">
        <f>IFERROR(VLOOKUP(FO_Capture!C629, Reference_Data!A:D, 2, FALSE), "UNKNOWN")</f>
        <v>Alpha Investments 43</v>
      </c>
      <c r="D629" t="str">
        <f>IFERROR(VLOOKUP(FO_Capture!C629, Reference_Data!A:D, 3, FALSE), "XXX")</f>
        <v>EUR</v>
      </c>
      <c r="E629" t="str">
        <f>IFERROR(VLOOKUP(FO_Capture!C629, Reference_Data!A:D, 4, FALSE), "MISSING SSI")</f>
        <v>Citi A/C 714496</v>
      </c>
      <c r="F629">
        <f>FO_Capture!D629</f>
        <v>320</v>
      </c>
      <c r="G629">
        <f>FO_Capture!E629</f>
        <v>503.6300048828125</v>
      </c>
      <c r="H629">
        <f t="shared" si="18"/>
        <v>161161.6015625</v>
      </c>
      <c r="I629" t="str">
        <f t="shared" si="19"/>
        <v>Pass - Ready for Confirmation</v>
      </c>
    </row>
    <row r="630" spans="1:9" x14ac:dyDescent="0.3">
      <c r="A630" t="str">
        <f>FO_Capture!A630</f>
        <v>TRD00629</v>
      </c>
      <c r="B630" t="str">
        <f>FO_Capture!B630</f>
        <v>INE009A01049</v>
      </c>
      <c r="C630" t="str">
        <f>IFERROR(VLOOKUP(FO_Capture!C630, Reference_Data!A:D, 2, FALSE), "UNKNOWN")</f>
        <v>Alpha Asset Management 32</v>
      </c>
      <c r="D630" t="str">
        <f>IFERROR(VLOOKUP(FO_Capture!C630, Reference_Data!A:D, 3, FALSE), "XXX")</f>
        <v>INR</v>
      </c>
      <c r="E630" t="str">
        <f>IFERROR(VLOOKUP(FO_Capture!C630, Reference_Data!A:D, 4, FALSE), "MISSING SSI")</f>
        <v>Barclays A/C 302646</v>
      </c>
      <c r="F630">
        <f>FO_Capture!D630</f>
        <v>260</v>
      </c>
      <c r="G630">
        <f>FO_Capture!E630</f>
        <v>17.079999923706055</v>
      </c>
      <c r="H630">
        <f t="shared" si="18"/>
        <v>4440.7999801635742</v>
      </c>
      <c r="I630" t="str">
        <f t="shared" si="19"/>
        <v>Pass - Ready for Confirmation</v>
      </c>
    </row>
    <row r="631" spans="1:9" x14ac:dyDescent="0.3">
      <c r="A631" t="str">
        <f>FO_Capture!A631</f>
        <v>TRD00630</v>
      </c>
      <c r="B631" t="str">
        <f>FO_Capture!B631</f>
        <v>INE005A01091</v>
      </c>
      <c r="C631" t="str">
        <f>IFERROR(VLOOKUP(FO_Capture!C631, Reference_Data!A:D, 2, FALSE), "UNKNOWN")</f>
        <v>Alpha Asset Management 4</v>
      </c>
      <c r="D631" t="str">
        <f>IFERROR(VLOOKUP(FO_Capture!C631, Reference_Data!A:D, 3, FALSE), "XXX")</f>
        <v>JPY</v>
      </c>
      <c r="E631" t="str">
        <f>IFERROR(VLOOKUP(FO_Capture!C631, Reference_Data!A:D, 4, FALSE), "MISSING SSI")</f>
        <v>Deutsche Bank A/C 126543</v>
      </c>
      <c r="F631">
        <f>FO_Capture!D631</f>
        <v>140</v>
      </c>
      <c r="G631">
        <f>FO_Capture!E631</f>
        <v>170.1199951171875</v>
      </c>
      <c r="H631">
        <f t="shared" si="18"/>
        <v>23816.79931640625</v>
      </c>
      <c r="I631" t="str">
        <f t="shared" si="19"/>
        <v>Pass - Ready for Confirmation</v>
      </c>
    </row>
    <row r="632" spans="1:9" x14ac:dyDescent="0.3">
      <c r="A632" t="str">
        <f>FO_Capture!A632</f>
        <v>TRD00631</v>
      </c>
      <c r="B632" t="str">
        <f>FO_Capture!B632</f>
        <v>INE003A0101</v>
      </c>
      <c r="C632" t="str">
        <f>IFERROR(VLOOKUP(FO_Capture!C632, Reference_Data!A:D, 2, FALSE), "UNKNOWN")</f>
        <v>Alpha Holdings 47</v>
      </c>
      <c r="D632" t="str">
        <f>IFERROR(VLOOKUP(FO_Capture!C632, Reference_Data!A:D, 3, FALSE), "XXX")</f>
        <v>GBP</v>
      </c>
      <c r="E632" t="str">
        <f>IFERROR(VLOOKUP(FO_Capture!C632, Reference_Data!A:D, 4, FALSE), "MISSING SSI")</f>
        <v>Citi A/C 703401</v>
      </c>
      <c r="F632">
        <f>FO_Capture!D632</f>
        <v>30</v>
      </c>
      <c r="G632">
        <f>FO_Capture!E632</f>
        <v>18.670000076293945</v>
      </c>
      <c r="H632">
        <f t="shared" si="18"/>
        <v>560.10000228881836</v>
      </c>
      <c r="I632" t="str">
        <f t="shared" si="19"/>
        <v>Pass - Ready for Confirmation</v>
      </c>
    </row>
    <row r="633" spans="1:9" x14ac:dyDescent="0.3">
      <c r="A633" t="str">
        <f>FO_Capture!A633</f>
        <v>TRD00632</v>
      </c>
      <c r="B633" t="str">
        <f>FO_Capture!B633</f>
        <v>INE005A01077</v>
      </c>
      <c r="C633" t="str">
        <f>IFERROR(VLOOKUP(FO_Capture!C633, Reference_Data!A:D, 2, FALSE), "UNKNOWN")</f>
        <v>Alpha Global 14</v>
      </c>
      <c r="D633" t="str">
        <f>IFERROR(VLOOKUP(FO_Capture!C633, Reference_Data!A:D, 3, FALSE), "XXX")</f>
        <v>USD</v>
      </c>
      <c r="E633" t="str">
        <f>IFERROR(VLOOKUP(FO_Capture!C633, Reference_Data!A:D, 4, FALSE), "MISSING SSI")</f>
        <v>HSBC A/C 864249</v>
      </c>
      <c r="F633">
        <f>FO_Capture!D633</f>
        <v>410</v>
      </c>
      <c r="G633">
        <f>FO_Capture!E633</f>
        <v>376.44000244140625</v>
      </c>
      <c r="H633">
        <f t="shared" si="18"/>
        <v>154340.40100097656</v>
      </c>
      <c r="I633" t="str">
        <f t="shared" si="19"/>
        <v>Pass - Ready for Confirmation</v>
      </c>
    </row>
    <row r="634" spans="1:9" x14ac:dyDescent="0.3">
      <c r="A634" t="str">
        <f>FO_Capture!A634</f>
        <v>TRD00633</v>
      </c>
      <c r="B634" t="str">
        <f>FO_Capture!B634</f>
        <v>INE008A01086</v>
      </c>
      <c r="C634" t="str">
        <f>IFERROR(VLOOKUP(FO_Capture!C634, Reference_Data!A:D, 2, FALSE), "UNKNOWN")</f>
        <v>Alpha Global 46</v>
      </c>
      <c r="D634" t="str">
        <f>IFERROR(VLOOKUP(FO_Capture!C634, Reference_Data!A:D, 3, FALSE), "XXX")</f>
        <v>USD</v>
      </c>
      <c r="E634" t="str">
        <f>IFERROR(VLOOKUP(FO_Capture!C634, Reference_Data!A:D, 4, FALSE), "MISSING SSI")</f>
        <v>Citi A/C 700450</v>
      </c>
      <c r="F634">
        <f>FO_Capture!D634</f>
        <v>430</v>
      </c>
      <c r="G634">
        <f>FO_Capture!E634</f>
        <v>64.970001220703125</v>
      </c>
      <c r="H634">
        <f t="shared" si="18"/>
        <v>27937.100524902344</v>
      </c>
      <c r="I634" t="str">
        <f t="shared" si="19"/>
        <v>Pass - Ready for Confirmation</v>
      </c>
    </row>
    <row r="635" spans="1:9" x14ac:dyDescent="0.3">
      <c r="A635" t="str">
        <f>FO_Capture!A635</f>
        <v>TRD00634</v>
      </c>
      <c r="B635" t="str">
        <f>FO_Capture!B635</f>
        <v>INE008A0107</v>
      </c>
      <c r="C635" t="str">
        <f>IFERROR(VLOOKUP(FO_Capture!C635, Reference_Data!A:D, 2, FALSE), "UNKNOWN")</f>
        <v>Alpha Holdings 49</v>
      </c>
      <c r="D635" t="str">
        <f>IFERROR(VLOOKUP(FO_Capture!C635, Reference_Data!A:D, 3, FALSE), "XXX")</f>
        <v>JPY</v>
      </c>
      <c r="E635" t="str">
        <f>IFERROR(VLOOKUP(FO_Capture!C635, Reference_Data!A:D, 4, FALSE), "MISSING SSI")</f>
        <v>HDFC A/C 679335</v>
      </c>
      <c r="F635">
        <f>FO_Capture!D635</f>
        <v>130</v>
      </c>
      <c r="G635">
        <f>FO_Capture!E635</f>
        <v>163.60000610351563</v>
      </c>
      <c r="H635">
        <f t="shared" si="18"/>
        <v>21268.000793457031</v>
      </c>
      <c r="I635" t="str">
        <f t="shared" si="19"/>
        <v>Pass - Ready for Confirmation</v>
      </c>
    </row>
    <row r="636" spans="1:9" x14ac:dyDescent="0.3">
      <c r="A636" t="str">
        <f>FO_Capture!A636</f>
        <v>TRD00635</v>
      </c>
      <c r="B636" t="str">
        <f>FO_Capture!B636</f>
        <v>INE005A01080</v>
      </c>
      <c r="C636" t="str">
        <f>IFERROR(VLOOKUP(FO_Capture!C636, Reference_Data!A:D, 2, FALSE), "UNKNOWN")</f>
        <v>Alpha Asset Management 13</v>
      </c>
      <c r="D636" t="str">
        <f>IFERROR(VLOOKUP(FO_Capture!C636, Reference_Data!A:D, 3, FALSE), "XXX")</f>
        <v>INR</v>
      </c>
      <c r="E636" t="str">
        <f>IFERROR(VLOOKUP(FO_Capture!C636, Reference_Data!A:D, 4, FALSE), "MISSING SSI")</f>
        <v>HSBC A/C 972195</v>
      </c>
      <c r="F636">
        <f>FO_Capture!D636</f>
        <v>240</v>
      </c>
      <c r="G636">
        <f>FO_Capture!E636</f>
        <v>259.5</v>
      </c>
      <c r="H636">
        <f t="shared" si="18"/>
        <v>62280</v>
      </c>
      <c r="I636" t="str">
        <f t="shared" si="19"/>
        <v>Pass - Ready for Confirmation</v>
      </c>
    </row>
    <row r="637" spans="1:9" x14ac:dyDescent="0.3">
      <c r="A637" t="str">
        <f>FO_Capture!A637</f>
        <v>TRD00636</v>
      </c>
      <c r="B637" t="str">
        <f>FO_Capture!B637</f>
        <v>INE007A01064</v>
      </c>
      <c r="C637" t="str">
        <f>IFERROR(VLOOKUP(FO_Capture!C637, Reference_Data!A:D, 2, FALSE), "UNKNOWN")</f>
        <v>Alpha Global 46</v>
      </c>
      <c r="D637" t="str">
        <f>IFERROR(VLOOKUP(FO_Capture!C637, Reference_Data!A:D, 3, FALSE), "XXX")</f>
        <v>USD</v>
      </c>
      <c r="E637" t="str">
        <f>IFERROR(VLOOKUP(FO_Capture!C637, Reference_Data!A:D, 4, FALSE), "MISSING SSI")</f>
        <v>Citi A/C 700450</v>
      </c>
      <c r="F637">
        <f>FO_Capture!D637</f>
        <v>400</v>
      </c>
      <c r="G637">
        <f>FO_Capture!E637</f>
        <v>197.6199951171875</v>
      </c>
      <c r="H637">
        <f t="shared" si="18"/>
        <v>79047.998046875</v>
      </c>
      <c r="I637" t="str">
        <f t="shared" si="19"/>
        <v>Pass - Ready for Confirmation</v>
      </c>
    </row>
    <row r="638" spans="1:9" x14ac:dyDescent="0.3">
      <c r="A638" t="str">
        <f>FO_Capture!A638</f>
        <v>TRD00637</v>
      </c>
      <c r="B638" t="str">
        <f>FO_Capture!B638</f>
        <v>INE002A01080</v>
      </c>
      <c r="C638" t="str">
        <f>IFERROR(VLOOKUP(FO_Capture!C638, Reference_Data!A:D, 2, FALSE), "UNKNOWN")</f>
        <v>Alpha Partners 42</v>
      </c>
      <c r="D638" t="str">
        <f>IFERROR(VLOOKUP(FO_Capture!C638, Reference_Data!A:D, 3, FALSE), "XXX")</f>
        <v>USD</v>
      </c>
      <c r="E638" t="str">
        <f>IFERROR(VLOOKUP(FO_Capture!C638, Reference_Data!A:D, 4, FALSE), "MISSING SSI")</f>
        <v>Citi A/C 416082</v>
      </c>
      <c r="F638">
        <f>FO_Capture!D638</f>
        <v>400</v>
      </c>
      <c r="G638">
        <f>FO_Capture!E638</f>
        <v>330.760009765625</v>
      </c>
      <c r="H638">
        <f t="shared" si="18"/>
        <v>132304.00390625</v>
      </c>
      <c r="I638" t="str">
        <f t="shared" si="19"/>
        <v>Pass - Ready for Confirmation</v>
      </c>
    </row>
    <row r="639" spans="1:9" x14ac:dyDescent="0.3">
      <c r="A639" t="str">
        <f>FO_Capture!A639</f>
        <v>TRD00638</v>
      </c>
      <c r="B639" t="str">
        <f>FO_Capture!B639</f>
        <v>INE001A01063</v>
      </c>
      <c r="C639" t="str">
        <f>IFERROR(VLOOKUP(FO_Capture!C639, Reference_Data!A:D, 2, FALSE), "UNKNOWN")</f>
        <v>Alpha Asset Management 8</v>
      </c>
      <c r="D639" t="str">
        <f>IFERROR(VLOOKUP(FO_Capture!C639, Reference_Data!A:D, 3, FALSE), "XXX")</f>
        <v>GBP</v>
      </c>
      <c r="E639" t="str">
        <f>IFERROR(VLOOKUP(FO_Capture!C639, Reference_Data!A:D, 4, FALSE), "MISSING SSI")</f>
        <v>HDFC A/C 180445</v>
      </c>
      <c r="F639">
        <f>FO_Capture!D639</f>
        <v>460</v>
      </c>
      <c r="G639">
        <f>FO_Capture!E639</f>
        <v>269.510009765625</v>
      </c>
      <c r="H639">
        <f t="shared" si="18"/>
        <v>123974.6044921875</v>
      </c>
      <c r="I639" t="str">
        <f t="shared" si="19"/>
        <v>Pass - Ready for Confirmation</v>
      </c>
    </row>
    <row r="640" spans="1:9" x14ac:dyDescent="0.3">
      <c r="A640" t="str">
        <f>FO_Capture!A640</f>
        <v>TRD00639</v>
      </c>
      <c r="B640" t="str">
        <f>FO_Capture!B640</f>
        <v>INE003A01012</v>
      </c>
      <c r="C640" t="str">
        <f>IFERROR(VLOOKUP(FO_Capture!C640, Reference_Data!A:D, 2, FALSE), "UNKNOWN")</f>
        <v>Alpha Investments 40</v>
      </c>
      <c r="D640" t="str">
        <f>IFERROR(VLOOKUP(FO_Capture!C640, Reference_Data!A:D, 3, FALSE), "XXX")</f>
        <v>GBP</v>
      </c>
      <c r="E640" t="str">
        <f>IFERROR(VLOOKUP(FO_Capture!C640, Reference_Data!A:D, 4, FALSE), "MISSING SSI")</f>
        <v>HDFC A/C 897530</v>
      </c>
      <c r="F640">
        <f>FO_Capture!D640</f>
        <v>450</v>
      </c>
      <c r="G640">
        <f>FO_Capture!E640</f>
        <v>132.27999877929688</v>
      </c>
      <c r="H640">
        <f t="shared" si="18"/>
        <v>59525.999450683594</v>
      </c>
      <c r="I640" t="str">
        <f t="shared" si="19"/>
        <v>Pass - Ready for Confirmation</v>
      </c>
    </row>
    <row r="641" spans="1:9" x14ac:dyDescent="0.3">
      <c r="A641" t="str">
        <f>FO_Capture!A641</f>
        <v>TRD00640</v>
      </c>
      <c r="B641" t="str">
        <f>FO_Capture!B641</f>
        <v>INE005A01039</v>
      </c>
      <c r="C641" t="str">
        <f>IFERROR(VLOOKUP(FO_Capture!C641, Reference_Data!A:D, 2, FALSE), "UNKNOWN")</f>
        <v>Alpha Holdings 47</v>
      </c>
      <c r="D641" t="str">
        <f>IFERROR(VLOOKUP(FO_Capture!C641, Reference_Data!A:D, 3, FALSE), "XXX")</f>
        <v>GBP</v>
      </c>
      <c r="E641" t="str">
        <f>IFERROR(VLOOKUP(FO_Capture!C641, Reference_Data!A:D, 4, FALSE), "MISSING SSI")</f>
        <v>Citi A/C 703401</v>
      </c>
      <c r="F641">
        <f>FO_Capture!D641</f>
        <v>170</v>
      </c>
      <c r="G641">
        <f>FO_Capture!E641</f>
        <v>295.29000854492188</v>
      </c>
      <c r="H641">
        <f t="shared" si="18"/>
        <v>50199.301452636719</v>
      </c>
      <c r="I641" t="str">
        <f t="shared" si="19"/>
        <v>Pass - Ready for Confirmation</v>
      </c>
    </row>
    <row r="642" spans="1:9" x14ac:dyDescent="0.3">
      <c r="A642" t="str">
        <f>FO_Capture!A642</f>
        <v>TRD00641</v>
      </c>
      <c r="B642" t="str">
        <f>FO_Capture!B642</f>
        <v>INE002A01023</v>
      </c>
      <c r="C642" t="str">
        <f>IFERROR(VLOOKUP(FO_Capture!C642, Reference_Data!A:D, 2, FALSE), "UNKNOWN")</f>
        <v>Alpha Quant Fund 27</v>
      </c>
      <c r="D642" t="str">
        <f>IFERROR(VLOOKUP(FO_Capture!C642, Reference_Data!A:D, 3, FALSE), "XXX")</f>
        <v>EUR</v>
      </c>
      <c r="E642" t="str">
        <f>IFERROR(VLOOKUP(FO_Capture!C642, Reference_Data!A:D, 4, FALSE), "MISSING SSI")</f>
        <v>Standard Chartered A/C 331839</v>
      </c>
      <c r="F642">
        <f>FO_Capture!D642</f>
        <v>70</v>
      </c>
      <c r="G642">
        <f>FO_Capture!E642</f>
        <v>142.57000732421875</v>
      </c>
      <c r="H642">
        <f t="shared" si="18"/>
        <v>9979.9005126953125</v>
      </c>
      <c r="I642" t="str">
        <f t="shared" si="19"/>
        <v>Pass - Ready for Confirmation</v>
      </c>
    </row>
    <row r="643" spans="1:9" x14ac:dyDescent="0.3">
      <c r="A643" t="str">
        <f>FO_Capture!A643</f>
        <v>TRD00642</v>
      </c>
      <c r="B643" t="str">
        <f>FO_Capture!B643</f>
        <v>INE003A01053</v>
      </c>
      <c r="C643" t="str">
        <f>IFERROR(VLOOKUP(FO_Capture!C643, Reference_Data!A:D, 2, FALSE), "UNKNOWN")</f>
        <v>Alpha Investments 40</v>
      </c>
      <c r="D643" t="str">
        <f>IFERROR(VLOOKUP(FO_Capture!C643, Reference_Data!A:D, 3, FALSE), "XXX")</f>
        <v>GBP</v>
      </c>
      <c r="E643" t="str">
        <f>IFERROR(VLOOKUP(FO_Capture!C643, Reference_Data!A:D, 4, FALSE), "MISSING SSI")</f>
        <v>HDFC A/C 897530</v>
      </c>
      <c r="F643">
        <f>FO_Capture!D643</f>
        <v>20</v>
      </c>
      <c r="G643">
        <f>FO_Capture!E643</f>
        <v>315.97000122070313</v>
      </c>
      <c r="H643">
        <f t="shared" ref="H643:H706" si="20">F643 * G643</f>
        <v>6319.4000244140625</v>
      </c>
      <c r="I643" t="str">
        <f t="shared" ref="I643:I706" si="21">IF(C643="UNKNOWN", "Fail - Missing Ref Data", IF(OR(F643&lt;=0, G643&lt;=0), "Fail - Invalid Price/Qty", IF(H643&gt;1000000, "Exception - Limit Breach", "Pass - Ready for Confirmation")))</f>
        <v>Pass - Ready for Confirmation</v>
      </c>
    </row>
    <row r="644" spans="1:9" x14ac:dyDescent="0.3">
      <c r="A644" t="str">
        <f>FO_Capture!A644</f>
        <v>TRD00643</v>
      </c>
      <c r="B644" t="str">
        <f>FO_Capture!B644</f>
        <v>INE006A01086</v>
      </c>
      <c r="C644" t="str">
        <f>IFERROR(VLOOKUP(FO_Capture!C644, Reference_Data!A:D, 2, FALSE), "UNKNOWN")</f>
        <v>Alpha Capital 36</v>
      </c>
      <c r="D644" t="str">
        <f>IFERROR(VLOOKUP(FO_Capture!C644, Reference_Data!A:D, 3, FALSE), "XXX")</f>
        <v>JPY</v>
      </c>
      <c r="E644" t="str">
        <f>IFERROR(VLOOKUP(FO_Capture!C644, Reference_Data!A:D, 4, FALSE), "MISSING SSI")</f>
        <v>Citi A/C 359789</v>
      </c>
      <c r="F644">
        <f>FO_Capture!D644</f>
        <v>50</v>
      </c>
      <c r="G644">
        <f>FO_Capture!E644</f>
        <v>465.14999389648438</v>
      </c>
      <c r="H644">
        <f t="shared" si="20"/>
        <v>23257.499694824219</v>
      </c>
      <c r="I644" t="str">
        <f t="shared" si="21"/>
        <v>Pass - Ready for Confirmation</v>
      </c>
    </row>
    <row r="645" spans="1:9" x14ac:dyDescent="0.3">
      <c r="A645" t="str">
        <f>FO_Capture!A645</f>
        <v>TRD00644</v>
      </c>
      <c r="B645" t="str">
        <f>FO_Capture!B645</f>
        <v>INE007A01091</v>
      </c>
      <c r="C645" t="str">
        <f>IFERROR(VLOOKUP(FO_Capture!C645, Reference_Data!A:D, 2, FALSE), "UNKNOWN")</f>
        <v>Alpha Global 25</v>
      </c>
      <c r="D645" t="str">
        <f>IFERROR(VLOOKUP(FO_Capture!C645, Reference_Data!A:D, 3, FALSE), "XXX")</f>
        <v>EUR</v>
      </c>
      <c r="E645" t="str">
        <f>IFERROR(VLOOKUP(FO_Capture!C645, Reference_Data!A:D, 4, FALSE), "MISSING SSI")</f>
        <v>Standard Chartered A/C 438949</v>
      </c>
      <c r="F645">
        <f>FO_Capture!D645</f>
        <v>110</v>
      </c>
      <c r="G645">
        <f>FO_Capture!E645</f>
        <v>497.57000732421875</v>
      </c>
      <c r="H645">
        <f t="shared" si="20"/>
        <v>54732.700805664063</v>
      </c>
      <c r="I645" t="str">
        <f t="shared" si="21"/>
        <v>Pass - Ready for Confirmation</v>
      </c>
    </row>
    <row r="646" spans="1:9" x14ac:dyDescent="0.3">
      <c r="A646" t="str">
        <f>FO_Capture!A646</f>
        <v>TRD00645</v>
      </c>
      <c r="B646" t="str">
        <f>FO_Capture!B646</f>
        <v>INE007A0103</v>
      </c>
      <c r="C646" t="str">
        <f>IFERROR(VLOOKUP(FO_Capture!C646, Reference_Data!A:D, 2, FALSE), "UNKNOWN")</f>
        <v>Alpha Capital 10</v>
      </c>
      <c r="D646" t="str">
        <f>IFERROR(VLOOKUP(FO_Capture!C646, Reference_Data!A:D, 3, FALSE), "XXX")</f>
        <v>USD</v>
      </c>
      <c r="E646" t="str">
        <f>IFERROR(VLOOKUP(FO_Capture!C646, Reference_Data!A:D, 4, FALSE), "MISSING SSI")</f>
        <v>HDFC A/C 543407</v>
      </c>
      <c r="F646">
        <f>FO_Capture!D646</f>
        <v>320</v>
      </c>
      <c r="G646">
        <f>FO_Capture!E646</f>
        <v>328.52999877929688</v>
      </c>
      <c r="H646">
        <f t="shared" si="20"/>
        <v>105129.599609375</v>
      </c>
      <c r="I646" t="str">
        <f t="shared" si="21"/>
        <v>Pass - Ready for Confirmation</v>
      </c>
    </row>
    <row r="647" spans="1:9" x14ac:dyDescent="0.3">
      <c r="A647" t="str">
        <f>FO_Capture!A647</f>
        <v>TRD00646</v>
      </c>
      <c r="B647" t="str">
        <f>FO_Capture!B647</f>
        <v>INE006A01066</v>
      </c>
      <c r="C647" t="str">
        <f>IFERROR(VLOOKUP(FO_Capture!C647, Reference_Data!A:D, 2, FALSE), "UNKNOWN")</f>
        <v>Alpha Partners 3</v>
      </c>
      <c r="D647" t="str">
        <f>IFERROR(VLOOKUP(FO_Capture!C647, Reference_Data!A:D, 3, FALSE), "XXX")</f>
        <v>USD</v>
      </c>
      <c r="E647" t="str">
        <f>IFERROR(VLOOKUP(FO_Capture!C647, Reference_Data!A:D, 4, FALSE), "MISSING SSI")</f>
        <v>Citi A/C 508769</v>
      </c>
      <c r="F647">
        <f>FO_Capture!D647</f>
        <v>200</v>
      </c>
      <c r="G647">
        <f>FO_Capture!E647</f>
        <v>131.11000061035156</v>
      </c>
      <c r="H647">
        <f t="shared" si="20"/>
        <v>26222.000122070313</v>
      </c>
      <c r="I647" t="str">
        <f t="shared" si="21"/>
        <v>Pass - Ready for Confirmation</v>
      </c>
    </row>
    <row r="648" spans="1:9" x14ac:dyDescent="0.3">
      <c r="A648" t="str">
        <f>FO_Capture!A648</f>
        <v>TRD00647</v>
      </c>
      <c r="B648" t="str">
        <f>FO_Capture!B648</f>
        <v>INE007A01094</v>
      </c>
      <c r="C648" t="str">
        <f>IFERROR(VLOOKUP(FO_Capture!C648, Reference_Data!A:D, 2, FALSE), "UNKNOWN")</f>
        <v>Alpha Capital 7</v>
      </c>
      <c r="D648" t="str">
        <f>IFERROR(VLOOKUP(FO_Capture!C648, Reference_Data!A:D, 3, FALSE), "XXX")</f>
        <v>INR</v>
      </c>
      <c r="E648" t="str">
        <f>IFERROR(VLOOKUP(FO_Capture!C648, Reference_Data!A:D, 4, FALSE), "MISSING SSI")</f>
        <v>Standard Chartered A/C 682134</v>
      </c>
      <c r="F648">
        <f>FO_Capture!D648</f>
        <v>430</v>
      </c>
      <c r="G648">
        <f>FO_Capture!E648</f>
        <v>86.220001220703125</v>
      </c>
      <c r="H648">
        <f t="shared" si="20"/>
        <v>37074.600524902344</v>
      </c>
      <c r="I648" t="str">
        <f t="shared" si="21"/>
        <v>Pass - Ready for Confirmation</v>
      </c>
    </row>
    <row r="649" spans="1:9" x14ac:dyDescent="0.3">
      <c r="A649" t="str">
        <f>FO_Capture!A649</f>
        <v>TRD00648</v>
      </c>
      <c r="B649" t="str">
        <f>FO_Capture!B649</f>
        <v>INE005A01014</v>
      </c>
      <c r="C649" t="str">
        <f>IFERROR(VLOOKUP(FO_Capture!C649, Reference_Data!A:D, 2, FALSE), "UNKNOWN")</f>
        <v>Alpha Capital 38</v>
      </c>
      <c r="D649" t="str">
        <f>IFERROR(VLOOKUP(FO_Capture!C649, Reference_Data!A:D, 3, FALSE), "XXX")</f>
        <v>SGD</v>
      </c>
      <c r="E649" t="str">
        <f>IFERROR(VLOOKUP(FO_Capture!C649, Reference_Data!A:D, 4, FALSE), "MISSING SSI")</f>
        <v>Deutsche Bank A/C 153521</v>
      </c>
      <c r="F649">
        <f>FO_Capture!D649</f>
        <v>120</v>
      </c>
      <c r="G649">
        <f>FO_Capture!E649</f>
        <v>132.58999633789063</v>
      </c>
      <c r="H649">
        <f t="shared" si="20"/>
        <v>15910.799560546875</v>
      </c>
      <c r="I649" t="str">
        <f t="shared" si="21"/>
        <v>Pass - Ready for Confirmation</v>
      </c>
    </row>
    <row r="650" spans="1:9" x14ac:dyDescent="0.3">
      <c r="A650" t="str">
        <f>FO_Capture!A650</f>
        <v>TRD00649</v>
      </c>
      <c r="B650" t="str">
        <f>FO_Capture!B650</f>
        <v>INE009A01012</v>
      </c>
      <c r="C650" t="str">
        <f>IFERROR(VLOOKUP(FO_Capture!C650, Reference_Data!A:D, 2, FALSE), "UNKNOWN")</f>
        <v>Alpha Partners 48</v>
      </c>
      <c r="D650" t="str">
        <f>IFERROR(VLOOKUP(FO_Capture!C650, Reference_Data!A:D, 3, FALSE), "XXX")</f>
        <v>SGD</v>
      </c>
      <c r="E650" t="str">
        <f>IFERROR(VLOOKUP(FO_Capture!C650, Reference_Data!A:D, 4, FALSE), "MISSING SSI")</f>
        <v>JPMorgan A/C 391364</v>
      </c>
      <c r="F650">
        <f>FO_Capture!D650</f>
        <v>50</v>
      </c>
      <c r="G650">
        <f>FO_Capture!E650</f>
        <v>216.75</v>
      </c>
      <c r="H650">
        <f t="shared" si="20"/>
        <v>10837.5</v>
      </c>
      <c r="I650" t="str">
        <f t="shared" si="21"/>
        <v>Pass - Ready for Confirmation</v>
      </c>
    </row>
    <row r="651" spans="1:9" x14ac:dyDescent="0.3">
      <c r="A651" t="str">
        <f>FO_Capture!A651</f>
        <v>TRD00650</v>
      </c>
      <c r="B651" t="str">
        <f>FO_Capture!B651</f>
        <v>INE008A01093</v>
      </c>
      <c r="C651" t="str">
        <f>IFERROR(VLOOKUP(FO_Capture!C651, Reference_Data!A:D, 2, FALSE), "UNKNOWN")</f>
        <v>Alpha Asset Management 5</v>
      </c>
      <c r="D651" t="str">
        <f>IFERROR(VLOOKUP(FO_Capture!C651, Reference_Data!A:D, 3, FALSE), "XXX")</f>
        <v>INR</v>
      </c>
      <c r="E651" t="str">
        <f>IFERROR(VLOOKUP(FO_Capture!C651, Reference_Data!A:D, 4, FALSE), "MISSING SSI")</f>
        <v>JPMorgan A/C 860462</v>
      </c>
      <c r="F651">
        <f>FO_Capture!D651</f>
        <v>380</v>
      </c>
      <c r="G651">
        <f>FO_Capture!E651</f>
        <v>43.049999237060547</v>
      </c>
      <c r="H651">
        <f t="shared" si="20"/>
        <v>16358.999710083008</v>
      </c>
      <c r="I651" t="str">
        <f t="shared" si="21"/>
        <v>Pass - Ready for Confirmation</v>
      </c>
    </row>
    <row r="652" spans="1:9" x14ac:dyDescent="0.3">
      <c r="A652" t="str">
        <f>FO_Capture!A652</f>
        <v>TRD00651</v>
      </c>
      <c r="B652" t="str">
        <f>FO_Capture!B652</f>
        <v>INE004A01027</v>
      </c>
      <c r="C652" t="str">
        <f>IFERROR(VLOOKUP(FO_Capture!C652, Reference_Data!A:D, 2, FALSE), "UNKNOWN")</f>
        <v>Alpha Asset Management 13</v>
      </c>
      <c r="D652" t="str">
        <f>IFERROR(VLOOKUP(FO_Capture!C652, Reference_Data!A:D, 3, FALSE), "XXX")</f>
        <v>INR</v>
      </c>
      <c r="E652" t="str">
        <f>IFERROR(VLOOKUP(FO_Capture!C652, Reference_Data!A:D, 4, FALSE), "MISSING SSI")</f>
        <v>HSBC A/C 972195</v>
      </c>
      <c r="F652">
        <f>FO_Capture!D652</f>
        <v>470</v>
      </c>
      <c r="G652">
        <f>FO_Capture!E652</f>
        <v>323.6300048828125</v>
      </c>
      <c r="H652">
        <f t="shared" si="20"/>
        <v>152106.10229492188</v>
      </c>
      <c r="I652" t="str">
        <f t="shared" si="21"/>
        <v>Pass - Ready for Confirmation</v>
      </c>
    </row>
    <row r="653" spans="1:9" x14ac:dyDescent="0.3">
      <c r="A653" t="str">
        <f>FO_Capture!A653</f>
        <v>TRD00652</v>
      </c>
      <c r="B653" t="str">
        <f>FO_Capture!B653</f>
        <v>INE008A01094</v>
      </c>
      <c r="C653" t="str">
        <f>IFERROR(VLOOKUP(FO_Capture!C653, Reference_Data!A:D, 2, FALSE), "UNKNOWN")</f>
        <v>Alpha Partners 42</v>
      </c>
      <c r="D653" t="str">
        <f>IFERROR(VLOOKUP(FO_Capture!C653, Reference_Data!A:D, 3, FALSE), "XXX")</f>
        <v>USD</v>
      </c>
      <c r="E653" t="str">
        <f>IFERROR(VLOOKUP(FO_Capture!C653, Reference_Data!A:D, 4, FALSE), "MISSING SSI")</f>
        <v>Citi A/C 416082</v>
      </c>
      <c r="F653">
        <f>FO_Capture!D653</f>
        <v>80</v>
      </c>
      <c r="G653">
        <f>FO_Capture!E653</f>
        <v>28.479999542236328</v>
      </c>
      <c r="H653">
        <f t="shared" si="20"/>
        <v>2278.3999633789063</v>
      </c>
      <c r="I653" t="str">
        <f t="shared" si="21"/>
        <v>Pass - Ready for Confirmation</v>
      </c>
    </row>
    <row r="654" spans="1:9" x14ac:dyDescent="0.3">
      <c r="A654" t="str">
        <f>FO_Capture!A654</f>
        <v>TRD00653</v>
      </c>
      <c r="B654" t="str">
        <f>FO_Capture!B654</f>
        <v>INE009A01040</v>
      </c>
      <c r="C654" t="str">
        <f>IFERROR(VLOOKUP(FO_Capture!C654, Reference_Data!A:D, 2, FALSE), "UNKNOWN")</f>
        <v>Alpha Holdings 49</v>
      </c>
      <c r="D654" t="str">
        <f>IFERROR(VLOOKUP(FO_Capture!C654, Reference_Data!A:D, 3, FALSE), "XXX")</f>
        <v>JPY</v>
      </c>
      <c r="E654" t="str">
        <f>IFERROR(VLOOKUP(FO_Capture!C654, Reference_Data!A:D, 4, FALSE), "MISSING SSI")</f>
        <v>HDFC A/C 679335</v>
      </c>
      <c r="F654">
        <f>FO_Capture!D654</f>
        <v>-50</v>
      </c>
      <c r="G654">
        <f>FO_Capture!E654</f>
        <v>443.739990234375</v>
      </c>
      <c r="H654">
        <f t="shared" si="20"/>
        <v>-22186.99951171875</v>
      </c>
      <c r="I654" t="str">
        <f t="shared" si="21"/>
        <v>Fail - Invalid Price/Qty</v>
      </c>
    </row>
    <row r="655" spans="1:9" x14ac:dyDescent="0.3">
      <c r="A655" t="str">
        <f>FO_Capture!A655</f>
        <v>TRD00654</v>
      </c>
      <c r="B655" t="str">
        <f>FO_Capture!B655</f>
        <v>INE003A01024</v>
      </c>
      <c r="C655" t="str">
        <f>IFERROR(VLOOKUP(FO_Capture!C655, Reference_Data!A:D, 2, FALSE), "UNKNOWN")</f>
        <v>Alpha Global 14</v>
      </c>
      <c r="D655" t="str">
        <f>IFERROR(VLOOKUP(FO_Capture!C655, Reference_Data!A:D, 3, FALSE), "XXX")</f>
        <v>USD</v>
      </c>
      <c r="E655" t="str">
        <f>IFERROR(VLOOKUP(FO_Capture!C655, Reference_Data!A:D, 4, FALSE), "MISSING SSI")</f>
        <v>HSBC A/C 864249</v>
      </c>
      <c r="F655">
        <f>FO_Capture!D655</f>
        <v>490</v>
      </c>
      <c r="G655">
        <f>FO_Capture!E655</f>
        <v>445.67999267578125</v>
      </c>
      <c r="H655">
        <f t="shared" si="20"/>
        <v>218383.19641113281</v>
      </c>
      <c r="I655" t="str">
        <f t="shared" si="21"/>
        <v>Pass - Ready for Confirmation</v>
      </c>
    </row>
    <row r="656" spans="1:9" x14ac:dyDescent="0.3">
      <c r="A656" t="str">
        <f>FO_Capture!A656</f>
        <v>TRD00655</v>
      </c>
      <c r="B656" t="str">
        <f>FO_Capture!B656</f>
        <v>INE009A01073</v>
      </c>
      <c r="C656" t="str">
        <f>IFERROR(VLOOKUP(FO_Capture!C656, Reference_Data!A:D, 2, FALSE), "UNKNOWN")</f>
        <v>Alpha Capital 38</v>
      </c>
      <c r="D656" t="str">
        <f>IFERROR(VLOOKUP(FO_Capture!C656, Reference_Data!A:D, 3, FALSE), "XXX")</f>
        <v>SGD</v>
      </c>
      <c r="E656" t="str">
        <f>IFERROR(VLOOKUP(FO_Capture!C656, Reference_Data!A:D, 4, FALSE), "MISSING SSI")</f>
        <v>Deutsche Bank A/C 153521</v>
      </c>
      <c r="F656">
        <f>FO_Capture!D656</f>
        <v>10</v>
      </c>
      <c r="G656">
        <f>FO_Capture!E656</f>
        <v>272.95001220703125</v>
      </c>
      <c r="H656">
        <f t="shared" si="20"/>
        <v>2729.5001220703125</v>
      </c>
      <c r="I656" t="str">
        <f t="shared" si="21"/>
        <v>Pass - Ready for Confirmation</v>
      </c>
    </row>
    <row r="657" spans="1:9" x14ac:dyDescent="0.3">
      <c r="A657" t="str">
        <f>FO_Capture!A657</f>
        <v>TRD00656</v>
      </c>
      <c r="B657" t="str">
        <f>FO_Capture!B657</f>
        <v>INE002A01098</v>
      </c>
      <c r="C657" t="str">
        <f>IFERROR(VLOOKUP(FO_Capture!C657, Reference_Data!A:D, 2, FALSE), "UNKNOWN")</f>
        <v>Alpha Global 14</v>
      </c>
      <c r="D657" t="str">
        <f>IFERROR(VLOOKUP(FO_Capture!C657, Reference_Data!A:D, 3, FALSE), "XXX")</f>
        <v>USD</v>
      </c>
      <c r="E657" t="str">
        <f>IFERROR(VLOOKUP(FO_Capture!C657, Reference_Data!A:D, 4, FALSE), "MISSING SSI")</f>
        <v>HSBC A/C 864249</v>
      </c>
      <c r="F657">
        <f>FO_Capture!D657</f>
        <v>160</v>
      </c>
      <c r="G657">
        <f>FO_Capture!E657</f>
        <v>370.1199951171875</v>
      </c>
      <c r="H657">
        <f t="shared" si="20"/>
        <v>59219.19921875</v>
      </c>
      <c r="I657" t="str">
        <f t="shared" si="21"/>
        <v>Pass - Ready for Confirmation</v>
      </c>
    </row>
    <row r="658" spans="1:9" x14ac:dyDescent="0.3">
      <c r="A658" t="str">
        <f>FO_Capture!A658</f>
        <v>TRD00657</v>
      </c>
      <c r="B658" t="str">
        <f>FO_Capture!B658</f>
        <v>INE007A0100</v>
      </c>
      <c r="C658" t="str">
        <f>IFERROR(VLOOKUP(FO_Capture!C658, Reference_Data!A:D, 2, FALSE), "UNKNOWN")</f>
        <v>Alpha Holdings 41</v>
      </c>
      <c r="D658" t="str">
        <f>IFERROR(VLOOKUP(FO_Capture!C658, Reference_Data!A:D, 3, FALSE), "XXX")</f>
        <v>JPY</v>
      </c>
      <c r="E658" t="str">
        <f>IFERROR(VLOOKUP(FO_Capture!C658, Reference_Data!A:D, 4, FALSE), "MISSING SSI")</f>
        <v>HSBC A/C 468615</v>
      </c>
      <c r="F658">
        <f>FO_Capture!D658</f>
        <v>400</v>
      </c>
      <c r="G658">
        <f>FO_Capture!E658</f>
        <v>127.08999633789063</v>
      </c>
      <c r="H658">
        <f t="shared" si="20"/>
        <v>50835.99853515625</v>
      </c>
      <c r="I658" t="str">
        <f t="shared" si="21"/>
        <v>Pass - Ready for Confirmation</v>
      </c>
    </row>
    <row r="659" spans="1:9" x14ac:dyDescent="0.3">
      <c r="A659" t="str">
        <f>FO_Capture!A659</f>
        <v>TRD00658</v>
      </c>
      <c r="B659" t="str">
        <f>FO_Capture!B659</f>
        <v>INE009A01079</v>
      </c>
      <c r="C659" t="str">
        <f>IFERROR(VLOOKUP(FO_Capture!C659, Reference_Data!A:D, 2, FALSE), "UNKNOWN")</f>
        <v>Alpha Global 28</v>
      </c>
      <c r="D659" t="str">
        <f>IFERROR(VLOOKUP(FO_Capture!C659, Reference_Data!A:D, 3, FALSE), "XXX")</f>
        <v>USD</v>
      </c>
      <c r="E659" t="str">
        <f>IFERROR(VLOOKUP(FO_Capture!C659, Reference_Data!A:D, 4, FALSE), "MISSING SSI")</f>
        <v>HDFC A/C 638209</v>
      </c>
      <c r="F659">
        <f>FO_Capture!D659</f>
        <v>270</v>
      </c>
      <c r="G659">
        <f>FO_Capture!E659</f>
        <v>129.07000732421875</v>
      </c>
      <c r="H659">
        <f t="shared" si="20"/>
        <v>34848.901977539063</v>
      </c>
      <c r="I659" t="str">
        <f t="shared" si="21"/>
        <v>Pass - Ready for Confirmation</v>
      </c>
    </row>
    <row r="660" spans="1:9" x14ac:dyDescent="0.3">
      <c r="A660" t="str">
        <f>FO_Capture!A660</f>
        <v>TRD00659</v>
      </c>
      <c r="B660" t="str">
        <f>FO_Capture!B660</f>
        <v>INE007A01091</v>
      </c>
      <c r="C660" t="str">
        <f>IFERROR(VLOOKUP(FO_Capture!C660, Reference_Data!A:D, 2, FALSE), "UNKNOWN")</f>
        <v>Alpha Investments 15</v>
      </c>
      <c r="D660" t="str">
        <f>IFERROR(VLOOKUP(FO_Capture!C660, Reference_Data!A:D, 3, FALSE), "XXX")</f>
        <v>INR</v>
      </c>
      <c r="E660" t="str">
        <f>IFERROR(VLOOKUP(FO_Capture!C660, Reference_Data!A:D, 4, FALSE), "MISSING SSI")</f>
        <v>Deutsche Bank A/C 330518</v>
      </c>
      <c r="F660">
        <f>FO_Capture!D660</f>
        <v>190</v>
      </c>
      <c r="G660">
        <f>FO_Capture!E660</f>
        <v>406.55999755859375</v>
      </c>
      <c r="H660">
        <f t="shared" si="20"/>
        <v>77246.399536132813</v>
      </c>
      <c r="I660" t="str">
        <f t="shared" si="21"/>
        <v>Pass - Ready for Confirmation</v>
      </c>
    </row>
    <row r="661" spans="1:9" x14ac:dyDescent="0.3">
      <c r="A661" t="str">
        <f>FO_Capture!A661</f>
        <v>TRD00660</v>
      </c>
      <c r="B661" t="str">
        <f>FO_Capture!B661</f>
        <v>INE003A01089</v>
      </c>
      <c r="C661" t="str">
        <f>IFERROR(VLOOKUP(FO_Capture!C661, Reference_Data!A:D, 2, FALSE), "UNKNOWN")</f>
        <v>Alpha Holdings 49</v>
      </c>
      <c r="D661" t="str">
        <f>IFERROR(VLOOKUP(FO_Capture!C661, Reference_Data!A:D, 3, FALSE), "XXX")</f>
        <v>JPY</v>
      </c>
      <c r="E661" t="str">
        <f>IFERROR(VLOOKUP(FO_Capture!C661, Reference_Data!A:D, 4, FALSE), "MISSING SSI")</f>
        <v>HDFC A/C 679335</v>
      </c>
      <c r="F661">
        <f>FO_Capture!D661</f>
        <v>170</v>
      </c>
      <c r="G661">
        <f>FO_Capture!E661</f>
        <v>185.39999389648438</v>
      </c>
      <c r="H661">
        <f t="shared" si="20"/>
        <v>31517.998962402344</v>
      </c>
      <c r="I661" t="str">
        <f t="shared" si="21"/>
        <v>Pass - Ready for Confirmation</v>
      </c>
    </row>
    <row r="662" spans="1:9" x14ac:dyDescent="0.3">
      <c r="A662" t="str">
        <f>FO_Capture!A662</f>
        <v>TRD00661</v>
      </c>
      <c r="B662" t="str">
        <f>FO_Capture!B662</f>
        <v>INE008A01080</v>
      </c>
      <c r="C662" t="str">
        <f>IFERROR(VLOOKUP(FO_Capture!C662, Reference_Data!A:D, 2, FALSE), "UNKNOWN")</f>
        <v>Alpha Capital 10</v>
      </c>
      <c r="D662" t="str">
        <f>IFERROR(VLOOKUP(FO_Capture!C662, Reference_Data!A:D, 3, FALSE), "XXX")</f>
        <v>USD</v>
      </c>
      <c r="E662" t="str">
        <f>IFERROR(VLOOKUP(FO_Capture!C662, Reference_Data!A:D, 4, FALSE), "MISSING SSI")</f>
        <v>HDFC A/C 543407</v>
      </c>
      <c r="F662">
        <f>FO_Capture!D662</f>
        <v>60</v>
      </c>
      <c r="G662">
        <f>FO_Capture!E662</f>
        <v>136.74000549316406</v>
      </c>
      <c r="H662">
        <f t="shared" si="20"/>
        <v>8204.4003295898438</v>
      </c>
      <c r="I662" t="str">
        <f t="shared" si="21"/>
        <v>Pass - Ready for Confirmation</v>
      </c>
    </row>
    <row r="663" spans="1:9" x14ac:dyDescent="0.3">
      <c r="A663" t="str">
        <f>FO_Capture!A663</f>
        <v>TRD00662</v>
      </c>
      <c r="B663" t="str">
        <f>FO_Capture!B663</f>
        <v>INE009A01072</v>
      </c>
      <c r="C663" t="str">
        <f>IFERROR(VLOOKUP(FO_Capture!C663, Reference_Data!A:D, 2, FALSE), "UNKNOWN")</f>
        <v>Alpha Quant Fund 34</v>
      </c>
      <c r="D663" t="str">
        <f>IFERROR(VLOOKUP(FO_Capture!C663, Reference_Data!A:D, 3, FALSE), "XXX")</f>
        <v>JPY</v>
      </c>
      <c r="E663" t="str">
        <f>IFERROR(VLOOKUP(FO_Capture!C663, Reference_Data!A:D, 4, FALSE), "MISSING SSI")</f>
        <v>Citi A/C 837378</v>
      </c>
      <c r="F663">
        <f>FO_Capture!D663</f>
        <v>320</v>
      </c>
      <c r="G663">
        <f>FO_Capture!E663</f>
        <v>127.02999877929688</v>
      </c>
      <c r="H663">
        <f t="shared" si="20"/>
        <v>40649.599609375</v>
      </c>
      <c r="I663" t="str">
        <f t="shared" si="21"/>
        <v>Pass - Ready for Confirmation</v>
      </c>
    </row>
    <row r="664" spans="1:9" x14ac:dyDescent="0.3">
      <c r="A664" t="str">
        <f>FO_Capture!A664</f>
        <v>TRD00663</v>
      </c>
      <c r="B664" t="str">
        <f>FO_Capture!B664</f>
        <v>INE008A01025</v>
      </c>
      <c r="C664" t="str">
        <f>IFERROR(VLOOKUP(FO_Capture!C664, Reference_Data!A:D, 2, FALSE), "UNKNOWN")</f>
        <v>Alpha Global 39</v>
      </c>
      <c r="D664" t="str">
        <f>IFERROR(VLOOKUP(FO_Capture!C664, Reference_Data!A:D, 3, FALSE), "XXX")</f>
        <v>SGD</v>
      </c>
      <c r="E664" t="str">
        <f>IFERROR(VLOOKUP(FO_Capture!C664, Reference_Data!A:D, 4, FALSE), "MISSING SSI")</f>
        <v>Deutsche Bank A/C 917029</v>
      </c>
      <c r="F664">
        <f>FO_Capture!D664</f>
        <v>280</v>
      </c>
      <c r="G664">
        <f>FO_Capture!E664</f>
        <v>468.02999877929688</v>
      </c>
      <c r="H664">
        <f t="shared" si="20"/>
        <v>131048.39965820313</v>
      </c>
      <c r="I664" t="str">
        <f t="shared" si="21"/>
        <v>Pass - Ready for Confirmation</v>
      </c>
    </row>
    <row r="665" spans="1:9" x14ac:dyDescent="0.3">
      <c r="A665" t="str">
        <f>FO_Capture!A665</f>
        <v>TRD00664</v>
      </c>
      <c r="B665" t="str">
        <f>FO_Capture!B665</f>
        <v>INE001A0101</v>
      </c>
      <c r="C665" t="str">
        <f>IFERROR(VLOOKUP(FO_Capture!C665, Reference_Data!A:D, 2, FALSE), "UNKNOWN")</f>
        <v>Alpha Partners 1</v>
      </c>
      <c r="D665" t="str">
        <f>IFERROR(VLOOKUP(FO_Capture!C665, Reference_Data!A:D, 3, FALSE), "XXX")</f>
        <v>JPY</v>
      </c>
      <c r="E665" t="str">
        <f>IFERROR(VLOOKUP(FO_Capture!C665, Reference_Data!A:D, 4, FALSE), "MISSING SSI")</f>
        <v>Standard Chartered A/C 277005</v>
      </c>
      <c r="F665">
        <f>FO_Capture!D665</f>
        <v>330</v>
      </c>
      <c r="G665">
        <f>FO_Capture!E665</f>
        <v>166.82000732421875</v>
      </c>
      <c r="H665">
        <f t="shared" si="20"/>
        <v>55050.602416992188</v>
      </c>
      <c r="I665" t="str">
        <f t="shared" si="21"/>
        <v>Pass - Ready for Confirmation</v>
      </c>
    </row>
    <row r="666" spans="1:9" x14ac:dyDescent="0.3">
      <c r="A666" t="str">
        <f>FO_Capture!A666</f>
        <v>TRD00665</v>
      </c>
      <c r="B666" t="str">
        <f>FO_Capture!B666</f>
        <v>INE002A01010</v>
      </c>
      <c r="C666" t="str">
        <f>IFERROR(VLOOKUP(FO_Capture!C666, Reference_Data!A:D, 2, FALSE), "UNKNOWN")</f>
        <v>Alpha Partners 26</v>
      </c>
      <c r="D666" t="str">
        <f>IFERROR(VLOOKUP(FO_Capture!C666, Reference_Data!A:D, 3, FALSE), "XXX")</f>
        <v>USD</v>
      </c>
      <c r="E666" t="str">
        <f>IFERROR(VLOOKUP(FO_Capture!C666, Reference_Data!A:D, 4, FALSE), "MISSING SSI")</f>
        <v>HSBC A/C 867781</v>
      </c>
      <c r="F666">
        <f>FO_Capture!D666</f>
        <v>250</v>
      </c>
      <c r="G666">
        <f>FO_Capture!E666</f>
        <v>175.80999755859375</v>
      </c>
      <c r="H666">
        <f t="shared" si="20"/>
        <v>43952.499389648438</v>
      </c>
      <c r="I666" t="str">
        <f t="shared" si="21"/>
        <v>Pass - Ready for Confirmation</v>
      </c>
    </row>
    <row r="667" spans="1:9" x14ac:dyDescent="0.3">
      <c r="A667" t="str">
        <f>FO_Capture!A667</f>
        <v>TRD00666</v>
      </c>
      <c r="B667" t="str">
        <f>FO_Capture!B667</f>
        <v>INE009A01068</v>
      </c>
      <c r="C667" t="str">
        <f>IFERROR(VLOOKUP(FO_Capture!C667, Reference_Data!A:D, 2, FALSE), "UNKNOWN")</f>
        <v>UNKNOWN</v>
      </c>
      <c r="D667" t="str">
        <f>IFERROR(VLOOKUP(FO_Capture!C667, Reference_Data!A:D, 3, FALSE), "XXX")</f>
        <v>XXX</v>
      </c>
      <c r="E667" t="str">
        <f>IFERROR(VLOOKUP(FO_Capture!C667, Reference_Data!A:D, 4, FALSE), "MISSING SSI")</f>
        <v>MISSING SSI</v>
      </c>
      <c r="F667">
        <f>FO_Capture!D667</f>
        <v>500</v>
      </c>
      <c r="G667">
        <f>FO_Capture!E667</f>
        <v>415.3900146484375</v>
      </c>
      <c r="H667">
        <f t="shared" si="20"/>
        <v>207695.00732421875</v>
      </c>
      <c r="I667" t="str">
        <f t="shared" si="21"/>
        <v>Fail - Missing Ref Data</v>
      </c>
    </row>
    <row r="668" spans="1:9" x14ac:dyDescent="0.3">
      <c r="A668" t="str">
        <f>FO_Capture!A668</f>
        <v>TRD00667</v>
      </c>
      <c r="B668" t="str">
        <f>FO_Capture!B668</f>
        <v>INE003A0105</v>
      </c>
      <c r="C668" t="str">
        <f>IFERROR(VLOOKUP(FO_Capture!C668, Reference_Data!A:D, 2, FALSE), "UNKNOWN")</f>
        <v>Alpha Global 28</v>
      </c>
      <c r="D668" t="str">
        <f>IFERROR(VLOOKUP(FO_Capture!C668, Reference_Data!A:D, 3, FALSE), "XXX")</f>
        <v>USD</v>
      </c>
      <c r="E668" t="str">
        <f>IFERROR(VLOOKUP(FO_Capture!C668, Reference_Data!A:D, 4, FALSE), "MISSING SSI")</f>
        <v>HDFC A/C 638209</v>
      </c>
      <c r="F668">
        <f>FO_Capture!D668</f>
        <v>340</v>
      </c>
      <c r="G668">
        <f>FO_Capture!E668</f>
        <v>27.379999160766602</v>
      </c>
      <c r="H668">
        <f t="shared" si="20"/>
        <v>9309.1997146606445</v>
      </c>
      <c r="I668" t="str">
        <f t="shared" si="21"/>
        <v>Pass - Ready for Confirmation</v>
      </c>
    </row>
    <row r="669" spans="1:9" x14ac:dyDescent="0.3">
      <c r="A669" t="str">
        <f>FO_Capture!A669</f>
        <v>TRD00668</v>
      </c>
      <c r="B669" t="str">
        <f>FO_Capture!B669</f>
        <v>INE003A01032</v>
      </c>
      <c r="C669" t="str">
        <f>IFERROR(VLOOKUP(FO_Capture!C669, Reference_Data!A:D, 2, FALSE), "UNKNOWN")</f>
        <v>Alpha Investments 15</v>
      </c>
      <c r="D669" t="str">
        <f>IFERROR(VLOOKUP(FO_Capture!C669, Reference_Data!A:D, 3, FALSE), "XXX")</f>
        <v>INR</v>
      </c>
      <c r="E669" t="str">
        <f>IFERROR(VLOOKUP(FO_Capture!C669, Reference_Data!A:D, 4, FALSE), "MISSING SSI")</f>
        <v>Deutsche Bank A/C 330518</v>
      </c>
      <c r="F669">
        <f>FO_Capture!D669</f>
        <v>400</v>
      </c>
      <c r="G669">
        <f>FO_Capture!E669</f>
        <v>414.30999755859375</v>
      </c>
      <c r="H669">
        <f t="shared" si="20"/>
        <v>165723.9990234375</v>
      </c>
      <c r="I669" t="str">
        <f t="shared" si="21"/>
        <v>Pass - Ready for Confirmation</v>
      </c>
    </row>
    <row r="670" spans="1:9" x14ac:dyDescent="0.3">
      <c r="A670" t="str">
        <f>FO_Capture!A670</f>
        <v>TRD00669</v>
      </c>
      <c r="B670" t="str">
        <f>FO_Capture!B670</f>
        <v>INE001A01056</v>
      </c>
      <c r="C670" t="str">
        <f>IFERROR(VLOOKUP(FO_Capture!C670, Reference_Data!A:D, 2, FALSE), "UNKNOWN")</f>
        <v>Alpha Partners 6</v>
      </c>
      <c r="D670" t="str">
        <f>IFERROR(VLOOKUP(FO_Capture!C670, Reference_Data!A:D, 3, FALSE), "XXX")</f>
        <v>INR</v>
      </c>
      <c r="E670" t="str">
        <f>IFERROR(VLOOKUP(FO_Capture!C670, Reference_Data!A:D, 4, FALSE), "MISSING SSI")</f>
        <v>Standard Chartered A/C 441247</v>
      </c>
      <c r="F670">
        <f>FO_Capture!D670</f>
        <v>380</v>
      </c>
      <c r="G670">
        <f>FO_Capture!E670</f>
        <v>248.30000305175781</v>
      </c>
      <c r="H670">
        <f t="shared" si="20"/>
        <v>94354.001159667969</v>
      </c>
      <c r="I670" t="str">
        <f t="shared" si="21"/>
        <v>Pass - Ready for Confirmation</v>
      </c>
    </row>
    <row r="671" spans="1:9" x14ac:dyDescent="0.3">
      <c r="A671" t="str">
        <f>FO_Capture!A671</f>
        <v>TRD00670</v>
      </c>
      <c r="B671" t="str">
        <f>FO_Capture!B671</f>
        <v>INE008A01089</v>
      </c>
      <c r="C671" t="str">
        <f>IFERROR(VLOOKUP(FO_Capture!C671, Reference_Data!A:D, 2, FALSE), "UNKNOWN")</f>
        <v>Alpha Holdings 47</v>
      </c>
      <c r="D671" t="str">
        <f>IFERROR(VLOOKUP(FO_Capture!C671, Reference_Data!A:D, 3, FALSE), "XXX")</f>
        <v>GBP</v>
      </c>
      <c r="E671" t="str">
        <f>IFERROR(VLOOKUP(FO_Capture!C671, Reference_Data!A:D, 4, FALSE), "MISSING SSI")</f>
        <v>Citi A/C 703401</v>
      </c>
      <c r="F671">
        <f>FO_Capture!D671</f>
        <v>100</v>
      </c>
      <c r="G671">
        <f>FO_Capture!E671</f>
        <v>303.04000854492188</v>
      </c>
      <c r="H671">
        <f t="shared" si="20"/>
        <v>30304.000854492188</v>
      </c>
      <c r="I671" t="str">
        <f t="shared" si="21"/>
        <v>Pass - Ready for Confirmation</v>
      </c>
    </row>
    <row r="672" spans="1:9" x14ac:dyDescent="0.3">
      <c r="A672" t="str">
        <f>FO_Capture!A672</f>
        <v>TRD00671</v>
      </c>
      <c r="B672" t="str">
        <f>FO_Capture!B672</f>
        <v>INE007A01023</v>
      </c>
      <c r="C672" t="str">
        <f>IFERROR(VLOOKUP(FO_Capture!C672, Reference_Data!A:D, 2, FALSE), "UNKNOWN")</f>
        <v>Alpha Asset Management 4</v>
      </c>
      <c r="D672" t="str">
        <f>IFERROR(VLOOKUP(FO_Capture!C672, Reference_Data!A:D, 3, FALSE), "XXX")</f>
        <v>JPY</v>
      </c>
      <c r="E672" t="str">
        <f>IFERROR(VLOOKUP(FO_Capture!C672, Reference_Data!A:D, 4, FALSE), "MISSING SSI")</f>
        <v>Deutsche Bank A/C 126543</v>
      </c>
      <c r="F672">
        <f>FO_Capture!D672</f>
        <v>270</v>
      </c>
      <c r="G672">
        <f>FO_Capture!E672</f>
        <v>203.75</v>
      </c>
      <c r="H672">
        <f t="shared" si="20"/>
        <v>55012.5</v>
      </c>
      <c r="I672" t="str">
        <f t="shared" si="21"/>
        <v>Pass - Ready for Confirmation</v>
      </c>
    </row>
    <row r="673" spans="1:9" x14ac:dyDescent="0.3">
      <c r="A673" t="str">
        <f>FO_Capture!A673</f>
        <v>TRD00672</v>
      </c>
      <c r="B673" t="str">
        <f>FO_Capture!B673</f>
        <v>INE004A01082</v>
      </c>
      <c r="C673" t="str">
        <f>IFERROR(VLOOKUP(FO_Capture!C673, Reference_Data!A:D, 2, FALSE), "UNKNOWN")</f>
        <v>Alpha Partners 42</v>
      </c>
      <c r="D673" t="str">
        <f>IFERROR(VLOOKUP(FO_Capture!C673, Reference_Data!A:D, 3, FALSE), "XXX")</f>
        <v>USD</v>
      </c>
      <c r="E673" t="str">
        <f>IFERROR(VLOOKUP(FO_Capture!C673, Reference_Data!A:D, 4, FALSE), "MISSING SSI")</f>
        <v>Citi A/C 416082</v>
      </c>
      <c r="F673">
        <f>FO_Capture!D673</f>
        <v>230</v>
      </c>
      <c r="G673">
        <f>FO_Capture!E673</f>
        <v>177.25999450683594</v>
      </c>
      <c r="H673">
        <f t="shared" si="20"/>
        <v>40769.798736572266</v>
      </c>
      <c r="I673" t="str">
        <f t="shared" si="21"/>
        <v>Pass - Ready for Confirmation</v>
      </c>
    </row>
    <row r="674" spans="1:9" x14ac:dyDescent="0.3">
      <c r="A674" t="str">
        <f>FO_Capture!A674</f>
        <v>TRD00673</v>
      </c>
      <c r="B674" t="str">
        <f>FO_Capture!B674</f>
        <v>INE008A01075</v>
      </c>
      <c r="C674" t="str">
        <f>IFERROR(VLOOKUP(FO_Capture!C674, Reference_Data!A:D, 2, FALSE), "UNKNOWN")</f>
        <v>Alpha Partners 48</v>
      </c>
      <c r="D674" t="str">
        <f>IFERROR(VLOOKUP(FO_Capture!C674, Reference_Data!A:D, 3, FALSE), "XXX")</f>
        <v>SGD</v>
      </c>
      <c r="E674" t="str">
        <f>IFERROR(VLOOKUP(FO_Capture!C674, Reference_Data!A:D, 4, FALSE), "MISSING SSI")</f>
        <v>JPMorgan A/C 391364</v>
      </c>
      <c r="F674">
        <f>FO_Capture!D674</f>
        <v>210</v>
      </c>
      <c r="G674">
        <f>FO_Capture!E674</f>
        <v>301.92999267578125</v>
      </c>
      <c r="H674">
        <f t="shared" si="20"/>
        <v>63405.298461914063</v>
      </c>
      <c r="I674" t="str">
        <f t="shared" si="21"/>
        <v>Pass - Ready for Confirmation</v>
      </c>
    </row>
    <row r="675" spans="1:9" x14ac:dyDescent="0.3">
      <c r="A675" t="str">
        <f>FO_Capture!A675</f>
        <v>TRD00674</v>
      </c>
      <c r="B675" t="str">
        <f>FO_Capture!B675</f>
        <v>INE003A01044</v>
      </c>
      <c r="C675" t="str">
        <f>IFERROR(VLOOKUP(FO_Capture!C675, Reference_Data!A:D, 2, FALSE), "UNKNOWN")</f>
        <v>Alpha Partners 6</v>
      </c>
      <c r="D675" t="str">
        <f>IFERROR(VLOOKUP(FO_Capture!C675, Reference_Data!A:D, 3, FALSE), "XXX")</f>
        <v>INR</v>
      </c>
      <c r="E675" t="str">
        <f>IFERROR(VLOOKUP(FO_Capture!C675, Reference_Data!A:D, 4, FALSE), "MISSING SSI")</f>
        <v>Standard Chartered A/C 441247</v>
      </c>
      <c r="F675">
        <f>FO_Capture!D675</f>
        <v>60</v>
      </c>
      <c r="G675">
        <f>FO_Capture!E675</f>
        <v>257.70001220703125</v>
      </c>
      <c r="H675">
        <f t="shared" si="20"/>
        <v>15462.000732421875</v>
      </c>
      <c r="I675" t="str">
        <f t="shared" si="21"/>
        <v>Pass - Ready for Confirmation</v>
      </c>
    </row>
    <row r="676" spans="1:9" x14ac:dyDescent="0.3">
      <c r="A676" t="str">
        <f>FO_Capture!A676</f>
        <v>TRD00675</v>
      </c>
      <c r="B676" t="str">
        <f>FO_Capture!B676</f>
        <v>INE001A01012</v>
      </c>
      <c r="C676" t="str">
        <f>IFERROR(VLOOKUP(FO_Capture!C676, Reference_Data!A:D, 2, FALSE), "UNKNOWN")</f>
        <v>Alpha Holdings 23</v>
      </c>
      <c r="D676" t="str">
        <f>IFERROR(VLOOKUP(FO_Capture!C676, Reference_Data!A:D, 3, FALSE), "XXX")</f>
        <v>INR</v>
      </c>
      <c r="E676" t="str">
        <f>IFERROR(VLOOKUP(FO_Capture!C676, Reference_Data!A:D, 4, FALSE), "MISSING SSI")</f>
        <v>Deutsche Bank A/C 983712</v>
      </c>
      <c r="F676">
        <f>FO_Capture!D676</f>
        <v>20</v>
      </c>
      <c r="G676">
        <f>FO_Capture!E676</f>
        <v>76.050003051757813</v>
      </c>
      <c r="H676">
        <f t="shared" si="20"/>
        <v>1521.0000610351563</v>
      </c>
      <c r="I676" t="str">
        <f t="shared" si="21"/>
        <v>Pass - Ready for Confirmation</v>
      </c>
    </row>
    <row r="677" spans="1:9" x14ac:dyDescent="0.3">
      <c r="A677" t="str">
        <f>FO_Capture!A677</f>
        <v>TRD00676</v>
      </c>
      <c r="B677" t="str">
        <f>FO_Capture!B677</f>
        <v>INE005A01036</v>
      </c>
      <c r="C677" t="str">
        <f>IFERROR(VLOOKUP(FO_Capture!C677, Reference_Data!A:D, 2, FALSE), "UNKNOWN")</f>
        <v>Alpha Partners 6</v>
      </c>
      <c r="D677" t="str">
        <f>IFERROR(VLOOKUP(FO_Capture!C677, Reference_Data!A:D, 3, FALSE), "XXX")</f>
        <v>INR</v>
      </c>
      <c r="E677" t="str">
        <f>IFERROR(VLOOKUP(FO_Capture!C677, Reference_Data!A:D, 4, FALSE), "MISSING SSI")</f>
        <v>Standard Chartered A/C 441247</v>
      </c>
      <c r="F677">
        <f>FO_Capture!D677</f>
        <v>460</v>
      </c>
      <c r="G677">
        <f>FO_Capture!E677</f>
        <v>390.04000854492188</v>
      </c>
      <c r="H677">
        <f t="shared" si="20"/>
        <v>179418.40393066406</v>
      </c>
      <c r="I677" t="str">
        <f t="shared" si="21"/>
        <v>Pass - Ready for Confirmation</v>
      </c>
    </row>
    <row r="678" spans="1:9" x14ac:dyDescent="0.3">
      <c r="A678" t="str">
        <f>FO_Capture!A678</f>
        <v>TRD00677</v>
      </c>
      <c r="B678" t="str">
        <f>FO_Capture!B678</f>
        <v>INE003A01054</v>
      </c>
      <c r="C678" t="str">
        <f>IFERROR(VLOOKUP(FO_Capture!C678, Reference_Data!A:D, 2, FALSE), "UNKNOWN")</f>
        <v>Alpha Asset Management 32</v>
      </c>
      <c r="D678" t="str">
        <f>IFERROR(VLOOKUP(FO_Capture!C678, Reference_Data!A:D, 3, FALSE), "XXX")</f>
        <v>INR</v>
      </c>
      <c r="E678" t="str">
        <f>IFERROR(VLOOKUP(FO_Capture!C678, Reference_Data!A:D, 4, FALSE), "MISSING SSI")</f>
        <v>Barclays A/C 302646</v>
      </c>
      <c r="F678">
        <f>FO_Capture!D678</f>
        <v>140</v>
      </c>
      <c r="G678">
        <f>FO_Capture!E678</f>
        <v>184.30000305175781</v>
      </c>
      <c r="H678">
        <f t="shared" si="20"/>
        <v>25802.000427246094</v>
      </c>
      <c r="I678" t="str">
        <f t="shared" si="21"/>
        <v>Pass - Ready for Confirmation</v>
      </c>
    </row>
    <row r="679" spans="1:9" x14ac:dyDescent="0.3">
      <c r="A679" t="str">
        <f>FO_Capture!A679</f>
        <v>TRD00678</v>
      </c>
      <c r="B679" t="str">
        <f>FO_Capture!B679</f>
        <v>INE009A01041</v>
      </c>
      <c r="C679" t="str">
        <f>IFERROR(VLOOKUP(FO_Capture!C679, Reference_Data!A:D, 2, FALSE), "UNKNOWN")</f>
        <v>Alpha Partners 26</v>
      </c>
      <c r="D679" t="str">
        <f>IFERROR(VLOOKUP(FO_Capture!C679, Reference_Data!A:D, 3, FALSE), "XXX")</f>
        <v>USD</v>
      </c>
      <c r="E679" t="str">
        <f>IFERROR(VLOOKUP(FO_Capture!C679, Reference_Data!A:D, 4, FALSE), "MISSING SSI")</f>
        <v>HSBC A/C 867781</v>
      </c>
      <c r="F679">
        <f>FO_Capture!D679</f>
        <v>450</v>
      </c>
      <c r="G679">
        <f>FO_Capture!E679</f>
        <v>45</v>
      </c>
      <c r="H679">
        <f t="shared" si="20"/>
        <v>20250</v>
      </c>
      <c r="I679" t="str">
        <f t="shared" si="21"/>
        <v>Pass - Ready for Confirmation</v>
      </c>
    </row>
    <row r="680" spans="1:9" x14ac:dyDescent="0.3">
      <c r="A680" t="str">
        <f>FO_Capture!A680</f>
        <v>TRD00679</v>
      </c>
      <c r="B680" t="str">
        <f>FO_Capture!B680</f>
        <v>INE006A01050</v>
      </c>
      <c r="C680" t="str">
        <f>IFERROR(VLOOKUP(FO_Capture!C680, Reference_Data!A:D, 2, FALSE), "UNKNOWN")</f>
        <v>Alpha Partners 37</v>
      </c>
      <c r="D680" t="str">
        <f>IFERROR(VLOOKUP(FO_Capture!C680, Reference_Data!A:D, 3, FALSE), "XXX")</f>
        <v>JPY</v>
      </c>
      <c r="E680" t="str">
        <f>IFERROR(VLOOKUP(FO_Capture!C680, Reference_Data!A:D, 4, FALSE), "MISSING SSI")</f>
        <v>HSBC A/C 994063</v>
      </c>
      <c r="F680">
        <f>FO_Capture!D680</f>
        <v>150</v>
      </c>
      <c r="G680">
        <f>FO_Capture!E680</f>
        <v>409.8900146484375</v>
      </c>
      <c r="H680">
        <f t="shared" si="20"/>
        <v>61483.502197265625</v>
      </c>
      <c r="I680" t="str">
        <f t="shared" si="21"/>
        <v>Pass - Ready for Confirmation</v>
      </c>
    </row>
    <row r="681" spans="1:9" x14ac:dyDescent="0.3">
      <c r="A681" t="str">
        <f>FO_Capture!A681</f>
        <v>TRD00680</v>
      </c>
      <c r="B681" t="str">
        <f>FO_Capture!B681</f>
        <v>INE001A01069</v>
      </c>
      <c r="C681" t="str">
        <f>IFERROR(VLOOKUP(FO_Capture!C681, Reference_Data!A:D, 2, FALSE), "UNKNOWN")</f>
        <v>Alpha Capital 9</v>
      </c>
      <c r="D681" t="str">
        <f>IFERROR(VLOOKUP(FO_Capture!C681, Reference_Data!A:D, 3, FALSE), "XXX")</f>
        <v>JPY</v>
      </c>
      <c r="E681" t="str">
        <f>IFERROR(VLOOKUP(FO_Capture!C681, Reference_Data!A:D, 4, FALSE), "MISSING SSI")</f>
        <v>Citi A/C 744145</v>
      </c>
      <c r="F681">
        <f>FO_Capture!D681</f>
        <v>150</v>
      </c>
      <c r="G681">
        <f>FO_Capture!E681</f>
        <v>318.26998901367188</v>
      </c>
      <c r="H681">
        <f t="shared" si="20"/>
        <v>47740.498352050781</v>
      </c>
      <c r="I681" t="str">
        <f t="shared" si="21"/>
        <v>Pass - Ready for Confirmation</v>
      </c>
    </row>
    <row r="682" spans="1:9" x14ac:dyDescent="0.3">
      <c r="A682" t="str">
        <f>FO_Capture!A682</f>
        <v>TRD00681</v>
      </c>
      <c r="B682" t="str">
        <f>FO_Capture!B682</f>
        <v>INE006A01070</v>
      </c>
      <c r="C682" t="str">
        <f>IFERROR(VLOOKUP(FO_Capture!C682, Reference_Data!A:D, 2, FALSE), "UNKNOWN")</f>
        <v>Alpha Quant Fund 12</v>
      </c>
      <c r="D682" t="str">
        <f>IFERROR(VLOOKUP(FO_Capture!C682, Reference_Data!A:D, 3, FALSE), "XXX")</f>
        <v>EUR</v>
      </c>
      <c r="E682" t="str">
        <f>IFERROR(VLOOKUP(FO_Capture!C682, Reference_Data!A:D, 4, FALSE), "MISSING SSI")</f>
        <v>Deutsche Bank A/C 324710</v>
      </c>
      <c r="F682">
        <f>FO_Capture!D682</f>
        <v>250</v>
      </c>
      <c r="G682">
        <f>FO_Capture!E682</f>
        <v>161.02000427246094</v>
      </c>
      <c r="H682">
        <f t="shared" si="20"/>
        <v>40255.001068115234</v>
      </c>
      <c r="I682" t="str">
        <f t="shared" si="21"/>
        <v>Pass - Ready for Confirmation</v>
      </c>
    </row>
    <row r="683" spans="1:9" x14ac:dyDescent="0.3">
      <c r="A683" t="str">
        <f>FO_Capture!A683</f>
        <v>TRD00682</v>
      </c>
      <c r="B683" t="str">
        <f>FO_Capture!B683</f>
        <v>INE004A01057</v>
      </c>
      <c r="C683" t="str">
        <f>IFERROR(VLOOKUP(FO_Capture!C683, Reference_Data!A:D, 2, FALSE), "UNKNOWN")</f>
        <v>Alpha Quant Fund 12</v>
      </c>
      <c r="D683" t="str">
        <f>IFERROR(VLOOKUP(FO_Capture!C683, Reference_Data!A:D, 3, FALSE), "XXX")</f>
        <v>EUR</v>
      </c>
      <c r="E683" t="str">
        <f>IFERROR(VLOOKUP(FO_Capture!C683, Reference_Data!A:D, 4, FALSE), "MISSING SSI")</f>
        <v>Deutsche Bank A/C 324710</v>
      </c>
      <c r="F683">
        <f>FO_Capture!D683</f>
        <v>340</v>
      </c>
      <c r="G683">
        <f>FO_Capture!E683</f>
        <v>430.55999755859375</v>
      </c>
      <c r="H683">
        <f t="shared" si="20"/>
        <v>146390.39916992188</v>
      </c>
      <c r="I683" t="str">
        <f t="shared" si="21"/>
        <v>Pass - Ready for Confirmation</v>
      </c>
    </row>
    <row r="684" spans="1:9" x14ac:dyDescent="0.3">
      <c r="A684" t="str">
        <f>FO_Capture!A684</f>
        <v>TRD00683</v>
      </c>
      <c r="B684" t="str">
        <f>FO_Capture!B684</f>
        <v>INE008A01015</v>
      </c>
      <c r="C684" t="str">
        <f>IFERROR(VLOOKUP(FO_Capture!C684, Reference_Data!A:D, 2, FALSE), "UNKNOWN")</f>
        <v>Alpha Global 46</v>
      </c>
      <c r="D684" t="str">
        <f>IFERROR(VLOOKUP(FO_Capture!C684, Reference_Data!A:D, 3, FALSE), "XXX")</f>
        <v>USD</v>
      </c>
      <c r="E684" t="str">
        <f>IFERROR(VLOOKUP(FO_Capture!C684, Reference_Data!A:D, 4, FALSE), "MISSING SSI")</f>
        <v>Citi A/C 700450</v>
      </c>
      <c r="F684">
        <f>FO_Capture!D684</f>
        <v>250</v>
      </c>
      <c r="G684">
        <f>FO_Capture!E684</f>
        <v>470.89999389648438</v>
      </c>
      <c r="H684">
        <f t="shared" si="20"/>
        <v>117724.99847412109</v>
      </c>
      <c r="I684" t="str">
        <f t="shared" si="21"/>
        <v>Pass - Ready for Confirmation</v>
      </c>
    </row>
    <row r="685" spans="1:9" x14ac:dyDescent="0.3">
      <c r="A685" t="str">
        <f>FO_Capture!A685</f>
        <v>TRD00684</v>
      </c>
      <c r="B685" t="str">
        <f>FO_Capture!B685</f>
        <v>INE006A01062</v>
      </c>
      <c r="C685" t="str">
        <f>IFERROR(VLOOKUP(FO_Capture!C685, Reference_Data!A:D, 2, FALSE), "UNKNOWN")</f>
        <v>Alpha Global 2</v>
      </c>
      <c r="D685" t="str">
        <f>IFERROR(VLOOKUP(FO_Capture!C685, Reference_Data!A:D, 3, FALSE), "XXX")</f>
        <v>GBP</v>
      </c>
      <c r="E685" t="str">
        <f>IFERROR(VLOOKUP(FO_Capture!C685, Reference_Data!A:D, 4, FALSE), "MISSING SSI")</f>
        <v>JPMorgan A/C 582379</v>
      </c>
      <c r="F685">
        <f>FO_Capture!D685</f>
        <v>400</v>
      </c>
      <c r="G685">
        <f>FO_Capture!E685</f>
        <v>227.58000183105469</v>
      </c>
      <c r="H685">
        <f t="shared" si="20"/>
        <v>91032.000732421875</v>
      </c>
      <c r="I685" t="str">
        <f t="shared" si="21"/>
        <v>Pass - Ready for Confirmation</v>
      </c>
    </row>
    <row r="686" spans="1:9" x14ac:dyDescent="0.3">
      <c r="A686" t="str">
        <f>FO_Capture!A686</f>
        <v>TRD00685</v>
      </c>
      <c r="B686" t="str">
        <f>FO_Capture!B686</f>
        <v>INE003A0104</v>
      </c>
      <c r="C686" t="str">
        <f>IFERROR(VLOOKUP(FO_Capture!C686, Reference_Data!A:D, 2, FALSE), "UNKNOWN")</f>
        <v>Alpha Global 39</v>
      </c>
      <c r="D686" t="str">
        <f>IFERROR(VLOOKUP(FO_Capture!C686, Reference_Data!A:D, 3, FALSE), "XXX")</f>
        <v>SGD</v>
      </c>
      <c r="E686" t="str">
        <f>IFERROR(VLOOKUP(FO_Capture!C686, Reference_Data!A:D, 4, FALSE), "MISSING SSI")</f>
        <v>Deutsche Bank A/C 917029</v>
      </c>
      <c r="F686">
        <f>FO_Capture!D686</f>
        <v>110</v>
      </c>
      <c r="G686">
        <f>FO_Capture!E686</f>
        <v>497.73001098632813</v>
      </c>
      <c r="H686">
        <f t="shared" si="20"/>
        <v>54750.301208496094</v>
      </c>
      <c r="I686" t="str">
        <f t="shared" si="21"/>
        <v>Pass - Ready for Confirmation</v>
      </c>
    </row>
    <row r="687" spans="1:9" x14ac:dyDescent="0.3">
      <c r="A687" t="str">
        <f>FO_Capture!A687</f>
        <v>TRD00686</v>
      </c>
      <c r="B687" t="str">
        <f>FO_Capture!B687</f>
        <v>INE008A01071</v>
      </c>
      <c r="C687" t="str">
        <f>IFERROR(VLOOKUP(FO_Capture!C687, Reference_Data!A:D, 2, FALSE), "UNKNOWN")</f>
        <v>Alpha Asset Management 13</v>
      </c>
      <c r="D687" t="str">
        <f>IFERROR(VLOOKUP(FO_Capture!C687, Reference_Data!A:D, 3, FALSE), "XXX")</f>
        <v>INR</v>
      </c>
      <c r="E687" t="str">
        <f>IFERROR(VLOOKUP(FO_Capture!C687, Reference_Data!A:D, 4, FALSE), "MISSING SSI")</f>
        <v>HSBC A/C 972195</v>
      </c>
      <c r="F687">
        <f>FO_Capture!D687</f>
        <v>330</v>
      </c>
      <c r="G687">
        <f>FO_Capture!E687</f>
        <v>180.02000427246094</v>
      </c>
      <c r="H687">
        <f t="shared" si="20"/>
        <v>59406.601409912109</v>
      </c>
      <c r="I687" t="str">
        <f t="shared" si="21"/>
        <v>Pass - Ready for Confirmation</v>
      </c>
    </row>
    <row r="688" spans="1:9" x14ac:dyDescent="0.3">
      <c r="A688" t="str">
        <f>FO_Capture!A688</f>
        <v>TRD00687</v>
      </c>
      <c r="B688" t="str">
        <f>FO_Capture!B688</f>
        <v>INE002A01084</v>
      </c>
      <c r="C688" t="str">
        <f>IFERROR(VLOOKUP(FO_Capture!C688, Reference_Data!A:D, 2, FALSE), "UNKNOWN")</f>
        <v>Alpha Partners 3</v>
      </c>
      <c r="D688" t="str">
        <f>IFERROR(VLOOKUP(FO_Capture!C688, Reference_Data!A:D, 3, FALSE), "XXX")</f>
        <v>USD</v>
      </c>
      <c r="E688" t="str">
        <f>IFERROR(VLOOKUP(FO_Capture!C688, Reference_Data!A:D, 4, FALSE), "MISSING SSI")</f>
        <v>Citi A/C 508769</v>
      </c>
      <c r="F688">
        <f>FO_Capture!D688</f>
        <v>390</v>
      </c>
      <c r="G688">
        <f>FO_Capture!E688</f>
        <v>24.709999084472656</v>
      </c>
      <c r="H688">
        <f t="shared" si="20"/>
        <v>9636.8996429443359</v>
      </c>
      <c r="I688" t="str">
        <f t="shared" si="21"/>
        <v>Pass - Ready for Confirmation</v>
      </c>
    </row>
    <row r="689" spans="1:9" x14ac:dyDescent="0.3">
      <c r="A689" t="str">
        <f>FO_Capture!A689</f>
        <v>TRD00688</v>
      </c>
      <c r="B689" t="str">
        <f>FO_Capture!B689</f>
        <v>INE004A01092</v>
      </c>
      <c r="C689" t="str">
        <f>IFERROR(VLOOKUP(FO_Capture!C689, Reference_Data!A:D, 2, FALSE), "UNKNOWN")</f>
        <v>Alpha Partners 37</v>
      </c>
      <c r="D689" t="str">
        <f>IFERROR(VLOOKUP(FO_Capture!C689, Reference_Data!A:D, 3, FALSE), "XXX")</f>
        <v>JPY</v>
      </c>
      <c r="E689" t="str">
        <f>IFERROR(VLOOKUP(FO_Capture!C689, Reference_Data!A:D, 4, FALSE), "MISSING SSI")</f>
        <v>HSBC A/C 994063</v>
      </c>
      <c r="F689">
        <f>FO_Capture!D689</f>
        <v>270</v>
      </c>
      <c r="G689">
        <f>FO_Capture!E689</f>
        <v>383.60000610351563</v>
      </c>
      <c r="H689">
        <f t="shared" si="20"/>
        <v>103572.00164794922</v>
      </c>
      <c r="I689" t="str">
        <f t="shared" si="21"/>
        <v>Pass - Ready for Confirmation</v>
      </c>
    </row>
    <row r="690" spans="1:9" x14ac:dyDescent="0.3">
      <c r="A690" t="str">
        <f>FO_Capture!A690</f>
        <v>TRD00689</v>
      </c>
      <c r="B690" t="str">
        <f>FO_Capture!B690</f>
        <v>INE008A01030</v>
      </c>
      <c r="C690" t="str">
        <f>IFERROR(VLOOKUP(FO_Capture!C690, Reference_Data!A:D, 2, FALSE), "UNKNOWN")</f>
        <v>Alpha Global 14</v>
      </c>
      <c r="D690" t="str">
        <f>IFERROR(VLOOKUP(FO_Capture!C690, Reference_Data!A:D, 3, FALSE), "XXX")</f>
        <v>USD</v>
      </c>
      <c r="E690" t="str">
        <f>IFERROR(VLOOKUP(FO_Capture!C690, Reference_Data!A:D, 4, FALSE), "MISSING SSI")</f>
        <v>HSBC A/C 864249</v>
      </c>
      <c r="F690">
        <f>FO_Capture!D690</f>
        <v>300</v>
      </c>
      <c r="G690">
        <f>FO_Capture!E690</f>
        <v>460.04998779296875</v>
      </c>
      <c r="H690">
        <f t="shared" si="20"/>
        <v>138014.99633789063</v>
      </c>
      <c r="I690" t="str">
        <f t="shared" si="21"/>
        <v>Pass - Ready for Confirmation</v>
      </c>
    </row>
    <row r="691" spans="1:9" x14ac:dyDescent="0.3">
      <c r="A691" t="str">
        <f>FO_Capture!A691</f>
        <v>TRD00690</v>
      </c>
      <c r="B691" t="str">
        <f>FO_Capture!B691</f>
        <v>INE008A01061</v>
      </c>
      <c r="C691" t="str">
        <f>IFERROR(VLOOKUP(FO_Capture!C691, Reference_Data!A:D, 2, FALSE), "UNKNOWN")</f>
        <v>Alpha Asset Management 32</v>
      </c>
      <c r="D691" t="str">
        <f>IFERROR(VLOOKUP(FO_Capture!C691, Reference_Data!A:D, 3, FALSE), "XXX")</f>
        <v>INR</v>
      </c>
      <c r="E691" t="str">
        <f>IFERROR(VLOOKUP(FO_Capture!C691, Reference_Data!A:D, 4, FALSE), "MISSING SSI")</f>
        <v>Barclays A/C 302646</v>
      </c>
      <c r="F691">
        <f>FO_Capture!D691</f>
        <v>480</v>
      </c>
      <c r="G691">
        <f>FO_Capture!E691</f>
        <v>59</v>
      </c>
      <c r="H691">
        <f t="shared" si="20"/>
        <v>28320</v>
      </c>
      <c r="I691" t="str">
        <f t="shared" si="21"/>
        <v>Pass - Ready for Confirmation</v>
      </c>
    </row>
    <row r="692" spans="1:9" x14ac:dyDescent="0.3">
      <c r="A692" t="str">
        <f>FO_Capture!A692</f>
        <v>TRD00691</v>
      </c>
      <c r="B692" t="str">
        <f>FO_Capture!B692</f>
        <v>INE009A01037</v>
      </c>
      <c r="C692" t="str">
        <f>IFERROR(VLOOKUP(FO_Capture!C692, Reference_Data!A:D, 2, FALSE), "UNKNOWN")</f>
        <v>Alpha Capital 9</v>
      </c>
      <c r="D692" t="str">
        <f>IFERROR(VLOOKUP(FO_Capture!C692, Reference_Data!A:D, 3, FALSE), "XXX")</f>
        <v>JPY</v>
      </c>
      <c r="E692" t="str">
        <f>IFERROR(VLOOKUP(FO_Capture!C692, Reference_Data!A:D, 4, FALSE), "MISSING SSI")</f>
        <v>Citi A/C 744145</v>
      </c>
      <c r="F692">
        <f>FO_Capture!D692</f>
        <v>160</v>
      </c>
      <c r="G692">
        <f>FO_Capture!E692</f>
        <v>336.94000244140625</v>
      </c>
      <c r="H692">
        <f t="shared" si="20"/>
        <v>53910.400390625</v>
      </c>
      <c r="I692" t="str">
        <f t="shared" si="21"/>
        <v>Pass - Ready for Confirmation</v>
      </c>
    </row>
    <row r="693" spans="1:9" x14ac:dyDescent="0.3">
      <c r="A693" t="str">
        <f>FO_Capture!A693</f>
        <v>TRD00692</v>
      </c>
      <c r="B693" t="str">
        <f>FO_Capture!B693</f>
        <v>INE008A01038</v>
      </c>
      <c r="C693" t="str">
        <f>IFERROR(VLOOKUP(FO_Capture!C693, Reference_Data!A:D, 2, FALSE), "UNKNOWN")</f>
        <v>Alpha Investments 15</v>
      </c>
      <c r="D693" t="str">
        <f>IFERROR(VLOOKUP(FO_Capture!C693, Reference_Data!A:D, 3, FALSE), "XXX")</f>
        <v>INR</v>
      </c>
      <c r="E693" t="str">
        <f>IFERROR(VLOOKUP(FO_Capture!C693, Reference_Data!A:D, 4, FALSE), "MISSING SSI")</f>
        <v>Deutsche Bank A/C 330518</v>
      </c>
      <c r="F693">
        <f>FO_Capture!D693</f>
        <v>340</v>
      </c>
      <c r="G693">
        <f>FO_Capture!E693</f>
        <v>51.939998626708984</v>
      </c>
      <c r="H693">
        <f t="shared" si="20"/>
        <v>17659.599533081055</v>
      </c>
      <c r="I693" t="str">
        <f t="shared" si="21"/>
        <v>Pass - Ready for Confirmation</v>
      </c>
    </row>
    <row r="694" spans="1:9" x14ac:dyDescent="0.3">
      <c r="A694" t="str">
        <f>FO_Capture!A694</f>
        <v>TRD00693</v>
      </c>
      <c r="B694" t="str">
        <f>FO_Capture!B694</f>
        <v>INE005A01029</v>
      </c>
      <c r="C694" t="str">
        <f>IFERROR(VLOOKUP(FO_Capture!C694, Reference_Data!A:D, 2, FALSE), "UNKNOWN")</f>
        <v>Alpha Global 39</v>
      </c>
      <c r="D694" t="str">
        <f>IFERROR(VLOOKUP(FO_Capture!C694, Reference_Data!A:D, 3, FALSE), "XXX")</f>
        <v>SGD</v>
      </c>
      <c r="E694" t="str">
        <f>IFERROR(VLOOKUP(FO_Capture!C694, Reference_Data!A:D, 4, FALSE), "MISSING SSI")</f>
        <v>Deutsche Bank A/C 917029</v>
      </c>
      <c r="F694">
        <f>FO_Capture!D694</f>
        <v>410</v>
      </c>
      <c r="G694">
        <f>FO_Capture!E694</f>
        <v>313.60000610351563</v>
      </c>
      <c r="H694">
        <f t="shared" si="20"/>
        <v>128576.00250244141</v>
      </c>
      <c r="I694" t="str">
        <f t="shared" si="21"/>
        <v>Pass - Ready for Confirmation</v>
      </c>
    </row>
    <row r="695" spans="1:9" x14ac:dyDescent="0.3">
      <c r="A695" t="str">
        <f>FO_Capture!A695</f>
        <v>TRD00694</v>
      </c>
      <c r="B695" t="str">
        <f>FO_Capture!B695</f>
        <v>INE006A0107</v>
      </c>
      <c r="C695" t="str">
        <f>IFERROR(VLOOKUP(FO_Capture!C695, Reference_Data!A:D, 2, FALSE), "UNKNOWN")</f>
        <v>Alpha Partners 19</v>
      </c>
      <c r="D695" t="str">
        <f>IFERROR(VLOOKUP(FO_Capture!C695, Reference_Data!A:D, 3, FALSE), "XXX")</f>
        <v>INR</v>
      </c>
      <c r="E695" t="str">
        <f>IFERROR(VLOOKUP(FO_Capture!C695, Reference_Data!A:D, 4, FALSE), "MISSING SSI")</f>
        <v>Citi A/C 543819</v>
      </c>
      <c r="F695">
        <f>FO_Capture!D695</f>
        <v>370</v>
      </c>
      <c r="G695">
        <f>FO_Capture!E695</f>
        <v>333.1199951171875</v>
      </c>
      <c r="H695">
        <f t="shared" si="20"/>
        <v>123254.39819335938</v>
      </c>
      <c r="I695" t="str">
        <f t="shared" si="21"/>
        <v>Pass - Ready for Confirmation</v>
      </c>
    </row>
    <row r="696" spans="1:9" x14ac:dyDescent="0.3">
      <c r="A696" t="str">
        <f>FO_Capture!A696</f>
        <v>TRD00695</v>
      </c>
      <c r="B696" t="str">
        <f>FO_Capture!B696</f>
        <v>INE006A01051</v>
      </c>
      <c r="C696" t="str">
        <f>IFERROR(VLOOKUP(FO_Capture!C696, Reference_Data!A:D, 2, FALSE), "UNKNOWN")</f>
        <v>Alpha Holdings 16</v>
      </c>
      <c r="D696" t="str">
        <f>IFERROR(VLOOKUP(FO_Capture!C696, Reference_Data!A:D, 3, FALSE), "XXX")</f>
        <v>USD</v>
      </c>
      <c r="E696" t="str">
        <f>IFERROR(VLOOKUP(FO_Capture!C696, Reference_Data!A:D, 4, FALSE), "MISSING SSI")</f>
        <v>Barclays A/C 197229</v>
      </c>
      <c r="F696">
        <f>FO_Capture!D696</f>
        <v>120</v>
      </c>
      <c r="G696">
        <f>FO_Capture!E696</f>
        <v>173.22999572753906</v>
      </c>
      <c r="H696">
        <f t="shared" si="20"/>
        <v>20787.599487304688</v>
      </c>
      <c r="I696" t="str">
        <f t="shared" si="21"/>
        <v>Pass - Ready for Confirmation</v>
      </c>
    </row>
    <row r="697" spans="1:9" x14ac:dyDescent="0.3">
      <c r="A697" t="str">
        <f>FO_Capture!A697</f>
        <v>TRD00696</v>
      </c>
      <c r="B697" t="str">
        <f>FO_Capture!B697</f>
        <v>INE005A01076</v>
      </c>
      <c r="C697" t="str">
        <f>IFERROR(VLOOKUP(FO_Capture!C697, Reference_Data!A:D, 2, FALSE), "UNKNOWN")</f>
        <v>Alpha Capital 38</v>
      </c>
      <c r="D697" t="str">
        <f>IFERROR(VLOOKUP(FO_Capture!C697, Reference_Data!A:D, 3, FALSE), "XXX")</f>
        <v>SGD</v>
      </c>
      <c r="E697" t="str">
        <f>IFERROR(VLOOKUP(FO_Capture!C697, Reference_Data!A:D, 4, FALSE), "MISSING SSI")</f>
        <v>Deutsche Bank A/C 153521</v>
      </c>
      <c r="F697">
        <f>FO_Capture!D697</f>
        <v>190</v>
      </c>
      <c r="G697">
        <f>FO_Capture!E697</f>
        <v>498.239990234375</v>
      </c>
      <c r="H697">
        <f t="shared" si="20"/>
        <v>94665.59814453125</v>
      </c>
      <c r="I697" t="str">
        <f t="shared" si="21"/>
        <v>Pass - Ready for Confirmation</v>
      </c>
    </row>
    <row r="698" spans="1:9" x14ac:dyDescent="0.3">
      <c r="A698" t="str">
        <f>FO_Capture!A698</f>
        <v>TRD00697</v>
      </c>
      <c r="B698" t="str">
        <f>FO_Capture!B698</f>
        <v>INE007A01077</v>
      </c>
      <c r="C698" t="str">
        <f>IFERROR(VLOOKUP(FO_Capture!C698, Reference_Data!A:D, 2, FALSE), "UNKNOWN")</f>
        <v>Alpha Investments 15</v>
      </c>
      <c r="D698" t="str">
        <f>IFERROR(VLOOKUP(FO_Capture!C698, Reference_Data!A:D, 3, FALSE), "XXX")</f>
        <v>INR</v>
      </c>
      <c r="E698" t="str">
        <f>IFERROR(VLOOKUP(FO_Capture!C698, Reference_Data!A:D, 4, FALSE), "MISSING SSI")</f>
        <v>Deutsche Bank A/C 330518</v>
      </c>
      <c r="F698">
        <f>FO_Capture!D698</f>
        <v>500</v>
      </c>
      <c r="G698">
        <f>FO_Capture!E698</f>
        <v>324.01998901367188</v>
      </c>
      <c r="H698">
        <f t="shared" si="20"/>
        <v>162009.99450683594</v>
      </c>
      <c r="I698" t="str">
        <f t="shared" si="21"/>
        <v>Pass - Ready for Confirmation</v>
      </c>
    </row>
    <row r="699" spans="1:9" x14ac:dyDescent="0.3">
      <c r="A699" t="str">
        <f>FO_Capture!A699</f>
        <v>TRD00698</v>
      </c>
      <c r="B699" t="str">
        <f>FO_Capture!B699</f>
        <v>INE008A01083</v>
      </c>
      <c r="C699" t="str">
        <f>IFERROR(VLOOKUP(FO_Capture!C699, Reference_Data!A:D, 2, FALSE), "UNKNOWN")</f>
        <v>Alpha Quant Fund 27</v>
      </c>
      <c r="D699" t="str">
        <f>IFERROR(VLOOKUP(FO_Capture!C699, Reference_Data!A:D, 3, FALSE), "XXX")</f>
        <v>EUR</v>
      </c>
      <c r="E699" t="str">
        <f>IFERROR(VLOOKUP(FO_Capture!C699, Reference_Data!A:D, 4, FALSE), "MISSING SSI")</f>
        <v>Standard Chartered A/C 331839</v>
      </c>
      <c r="F699">
        <f>FO_Capture!D699</f>
        <v>80</v>
      </c>
      <c r="G699">
        <f>FO_Capture!E699</f>
        <v>268</v>
      </c>
      <c r="H699">
        <f t="shared" si="20"/>
        <v>21440</v>
      </c>
      <c r="I699" t="str">
        <f t="shared" si="21"/>
        <v>Pass - Ready for Confirmation</v>
      </c>
    </row>
    <row r="700" spans="1:9" x14ac:dyDescent="0.3">
      <c r="A700" t="str">
        <f>FO_Capture!A700</f>
        <v>TRD00699</v>
      </c>
      <c r="B700" t="str">
        <f>FO_Capture!B700</f>
        <v>INE005A0105</v>
      </c>
      <c r="C700" t="str">
        <f>IFERROR(VLOOKUP(FO_Capture!C700, Reference_Data!A:D, 2, FALSE), "UNKNOWN")</f>
        <v>Alpha Global 25</v>
      </c>
      <c r="D700" t="str">
        <f>IFERROR(VLOOKUP(FO_Capture!C700, Reference_Data!A:D, 3, FALSE), "XXX")</f>
        <v>EUR</v>
      </c>
      <c r="E700" t="str">
        <f>IFERROR(VLOOKUP(FO_Capture!C700, Reference_Data!A:D, 4, FALSE), "MISSING SSI")</f>
        <v>Standard Chartered A/C 438949</v>
      </c>
      <c r="F700">
        <f>FO_Capture!D700</f>
        <v>25000</v>
      </c>
      <c r="G700">
        <f>FO_Capture!E700</f>
        <v>369.67001342773438</v>
      </c>
      <c r="H700">
        <f t="shared" si="20"/>
        <v>9241750.3356933594</v>
      </c>
      <c r="I700" t="str">
        <f t="shared" si="21"/>
        <v>Exception - Limit Breach</v>
      </c>
    </row>
    <row r="701" spans="1:9" x14ac:dyDescent="0.3">
      <c r="A701" t="str">
        <f>FO_Capture!A701</f>
        <v>TRD00700</v>
      </c>
      <c r="B701" t="str">
        <f>FO_Capture!B701</f>
        <v>INE006A01055</v>
      </c>
      <c r="C701" t="str">
        <f>IFERROR(VLOOKUP(FO_Capture!C701, Reference_Data!A:D, 2, FALSE), "UNKNOWN")</f>
        <v>Alpha Partners 18</v>
      </c>
      <c r="D701" t="str">
        <f>IFERROR(VLOOKUP(FO_Capture!C701, Reference_Data!A:D, 3, FALSE), "XXX")</f>
        <v>INR</v>
      </c>
      <c r="E701" t="str">
        <f>IFERROR(VLOOKUP(FO_Capture!C701, Reference_Data!A:D, 4, FALSE), "MISSING SSI")</f>
        <v>JPMorgan A/C 704166</v>
      </c>
      <c r="F701">
        <f>FO_Capture!D701</f>
        <v>200</v>
      </c>
      <c r="G701">
        <f>FO_Capture!E701</f>
        <v>415.82000732421875</v>
      </c>
      <c r="H701">
        <f t="shared" si="20"/>
        <v>83164.00146484375</v>
      </c>
      <c r="I701" t="str">
        <f t="shared" si="21"/>
        <v>Pass - Ready for Confirmation</v>
      </c>
    </row>
    <row r="702" spans="1:9" x14ac:dyDescent="0.3">
      <c r="A702" t="str">
        <f>FO_Capture!A702</f>
        <v>TRD00701</v>
      </c>
      <c r="B702" t="str">
        <f>FO_Capture!B702</f>
        <v>INE009A01095</v>
      </c>
      <c r="C702" t="str">
        <f>IFERROR(VLOOKUP(FO_Capture!C702, Reference_Data!A:D, 2, FALSE), "UNKNOWN")</f>
        <v>Alpha Partners 6</v>
      </c>
      <c r="D702" t="str">
        <f>IFERROR(VLOOKUP(FO_Capture!C702, Reference_Data!A:D, 3, FALSE), "XXX")</f>
        <v>INR</v>
      </c>
      <c r="E702" t="str">
        <f>IFERROR(VLOOKUP(FO_Capture!C702, Reference_Data!A:D, 4, FALSE), "MISSING SSI")</f>
        <v>Standard Chartered A/C 441247</v>
      </c>
      <c r="F702">
        <f>FO_Capture!D702</f>
        <v>200</v>
      </c>
      <c r="G702">
        <f>FO_Capture!E702</f>
        <v>167.1199951171875</v>
      </c>
      <c r="H702">
        <f t="shared" si="20"/>
        <v>33423.9990234375</v>
      </c>
      <c r="I702" t="str">
        <f t="shared" si="21"/>
        <v>Pass - Ready for Confirmation</v>
      </c>
    </row>
    <row r="703" spans="1:9" x14ac:dyDescent="0.3">
      <c r="A703" t="str">
        <f>FO_Capture!A703</f>
        <v>TRD00702</v>
      </c>
      <c r="B703" t="str">
        <f>FO_Capture!B703</f>
        <v>INE005A01070</v>
      </c>
      <c r="C703" t="str">
        <f>IFERROR(VLOOKUP(FO_Capture!C703, Reference_Data!A:D, 2, FALSE), "UNKNOWN")</f>
        <v>Alpha Global 46</v>
      </c>
      <c r="D703" t="str">
        <f>IFERROR(VLOOKUP(FO_Capture!C703, Reference_Data!A:D, 3, FALSE), "XXX")</f>
        <v>USD</v>
      </c>
      <c r="E703" t="str">
        <f>IFERROR(VLOOKUP(FO_Capture!C703, Reference_Data!A:D, 4, FALSE), "MISSING SSI")</f>
        <v>Citi A/C 700450</v>
      </c>
      <c r="F703">
        <f>FO_Capture!D703</f>
        <v>220</v>
      </c>
      <c r="G703">
        <f>FO_Capture!E703</f>
        <v>199.00999450683594</v>
      </c>
      <c r="H703">
        <f t="shared" si="20"/>
        <v>43782.198791503906</v>
      </c>
      <c r="I703" t="str">
        <f t="shared" si="21"/>
        <v>Pass - Ready for Confirmation</v>
      </c>
    </row>
    <row r="704" spans="1:9" x14ac:dyDescent="0.3">
      <c r="A704" t="str">
        <f>FO_Capture!A704</f>
        <v>TRD00703</v>
      </c>
      <c r="B704" t="str">
        <f>FO_Capture!B704</f>
        <v>INE003A01016</v>
      </c>
      <c r="C704" t="str">
        <f>IFERROR(VLOOKUP(FO_Capture!C704, Reference_Data!A:D, 2, FALSE), "UNKNOWN")</f>
        <v>Alpha Quant Fund 50</v>
      </c>
      <c r="D704" t="str">
        <f>IFERROR(VLOOKUP(FO_Capture!C704, Reference_Data!A:D, 3, FALSE), "XXX")</f>
        <v>SGD</v>
      </c>
      <c r="E704" t="str">
        <f>IFERROR(VLOOKUP(FO_Capture!C704, Reference_Data!A:D, 4, FALSE), "MISSING SSI")</f>
        <v>Standard Chartered A/C 307017</v>
      </c>
      <c r="F704">
        <f>FO_Capture!D704</f>
        <v>20</v>
      </c>
      <c r="G704">
        <f>FO_Capture!E704</f>
        <v>469.73001098632813</v>
      </c>
      <c r="H704">
        <f t="shared" si="20"/>
        <v>9394.6002197265625</v>
      </c>
      <c r="I704" t="str">
        <f t="shared" si="21"/>
        <v>Pass - Ready for Confirmation</v>
      </c>
    </row>
    <row r="705" spans="1:9" x14ac:dyDescent="0.3">
      <c r="A705" t="str">
        <f>FO_Capture!A705</f>
        <v>TRD00704</v>
      </c>
      <c r="B705" t="str">
        <f>FO_Capture!B705</f>
        <v>INE009A01057</v>
      </c>
      <c r="C705" t="str">
        <f>IFERROR(VLOOKUP(FO_Capture!C705, Reference_Data!A:D, 2, FALSE), "UNKNOWN")</f>
        <v>Alpha Investments 29</v>
      </c>
      <c r="D705" t="str">
        <f>IFERROR(VLOOKUP(FO_Capture!C705, Reference_Data!A:D, 3, FALSE), "XXX")</f>
        <v>INR</v>
      </c>
      <c r="E705" t="str">
        <f>IFERROR(VLOOKUP(FO_Capture!C705, Reference_Data!A:D, 4, FALSE), "MISSING SSI")</f>
        <v>HSBC A/C 785870</v>
      </c>
      <c r="F705">
        <f>FO_Capture!D705</f>
        <v>170</v>
      </c>
      <c r="G705">
        <f>FO_Capture!E705</f>
        <v>70.360000610351563</v>
      </c>
      <c r="H705">
        <f t="shared" si="20"/>
        <v>11961.200103759766</v>
      </c>
      <c r="I705" t="str">
        <f t="shared" si="21"/>
        <v>Pass - Ready for Confirmation</v>
      </c>
    </row>
    <row r="706" spans="1:9" x14ac:dyDescent="0.3">
      <c r="A706" t="str">
        <f>FO_Capture!A706</f>
        <v>TRD00705</v>
      </c>
      <c r="B706" t="str">
        <f>FO_Capture!B706</f>
        <v>INE005A01058</v>
      </c>
      <c r="C706" t="str">
        <f>IFERROR(VLOOKUP(FO_Capture!C706, Reference_Data!A:D, 2, FALSE), "UNKNOWN")</f>
        <v>Alpha Holdings 21</v>
      </c>
      <c r="D706" t="str">
        <f>IFERROR(VLOOKUP(FO_Capture!C706, Reference_Data!A:D, 3, FALSE), "XXX")</f>
        <v>SGD</v>
      </c>
      <c r="E706" t="str">
        <f>IFERROR(VLOOKUP(FO_Capture!C706, Reference_Data!A:D, 4, FALSE), "MISSING SSI")</f>
        <v>HSBC A/C 562956</v>
      </c>
      <c r="F706">
        <f>FO_Capture!D706</f>
        <v>260</v>
      </c>
      <c r="G706">
        <f>FO_Capture!E706</f>
        <v>474.76998901367188</v>
      </c>
      <c r="H706">
        <f t="shared" si="20"/>
        <v>123440.19714355469</v>
      </c>
      <c r="I706" t="str">
        <f t="shared" si="21"/>
        <v>Pass - Ready for Confirmation</v>
      </c>
    </row>
    <row r="707" spans="1:9" x14ac:dyDescent="0.3">
      <c r="A707" t="str">
        <f>FO_Capture!A707</f>
        <v>TRD00706</v>
      </c>
      <c r="B707" t="str">
        <f>FO_Capture!B707</f>
        <v>INE007A01071</v>
      </c>
      <c r="C707" t="str">
        <f>IFERROR(VLOOKUP(FO_Capture!C707, Reference_Data!A:D, 2, FALSE), "UNKNOWN")</f>
        <v>Alpha Global 14</v>
      </c>
      <c r="D707" t="str">
        <f>IFERROR(VLOOKUP(FO_Capture!C707, Reference_Data!A:D, 3, FALSE), "XXX")</f>
        <v>USD</v>
      </c>
      <c r="E707" t="str">
        <f>IFERROR(VLOOKUP(FO_Capture!C707, Reference_Data!A:D, 4, FALSE), "MISSING SSI")</f>
        <v>HSBC A/C 864249</v>
      </c>
      <c r="F707">
        <f>FO_Capture!D707</f>
        <v>150</v>
      </c>
      <c r="G707">
        <f>FO_Capture!E707</f>
        <v>289.6400146484375</v>
      </c>
      <c r="H707">
        <f t="shared" ref="H707:H770" si="22">F707 * G707</f>
        <v>43446.002197265625</v>
      </c>
      <c r="I707" t="str">
        <f t="shared" ref="I707:I770" si="23">IF(C707="UNKNOWN", "Fail - Missing Ref Data", IF(OR(F707&lt;=0, G707&lt;=0), "Fail - Invalid Price/Qty", IF(H707&gt;1000000, "Exception - Limit Breach", "Pass - Ready for Confirmation")))</f>
        <v>Pass - Ready for Confirmation</v>
      </c>
    </row>
    <row r="708" spans="1:9" x14ac:dyDescent="0.3">
      <c r="A708" t="str">
        <f>FO_Capture!A708</f>
        <v>TRD00707</v>
      </c>
      <c r="B708" t="str">
        <f>FO_Capture!B708</f>
        <v>INE004A01089</v>
      </c>
      <c r="C708" t="str">
        <f>IFERROR(VLOOKUP(FO_Capture!C708, Reference_Data!A:D, 2, FALSE), "UNKNOWN")</f>
        <v>Alpha Partners 22</v>
      </c>
      <c r="D708" t="str">
        <f>IFERROR(VLOOKUP(FO_Capture!C708, Reference_Data!A:D, 3, FALSE), "XXX")</f>
        <v>GBP</v>
      </c>
      <c r="E708" t="str">
        <f>IFERROR(VLOOKUP(FO_Capture!C708, Reference_Data!A:D, 4, FALSE), "MISSING SSI")</f>
        <v>JPMorgan A/C 488546</v>
      </c>
      <c r="F708">
        <f>FO_Capture!D708</f>
        <v>280</v>
      </c>
      <c r="G708">
        <f>FO_Capture!E708</f>
        <v>504.489990234375</v>
      </c>
      <c r="H708">
        <f t="shared" si="22"/>
        <v>141257.197265625</v>
      </c>
      <c r="I708" t="str">
        <f t="shared" si="23"/>
        <v>Pass - Ready for Confirmation</v>
      </c>
    </row>
    <row r="709" spans="1:9" x14ac:dyDescent="0.3">
      <c r="A709" t="str">
        <f>FO_Capture!A709</f>
        <v>TRD00708</v>
      </c>
      <c r="B709" t="str">
        <f>FO_Capture!B709</f>
        <v>INE009A01092</v>
      </c>
      <c r="C709" t="str">
        <f>IFERROR(VLOOKUP(FO_Capture!C709, Reference_Data!A:D, 2, FALSE), "UNKNOWN")</f>
        <v>Alpha Capital 11</v>
      </c>
      <c r="D709" t="str">
        <f>IFERROR(VLOOKUP(FO_Capture!C709, Reference_Data!A:D, 3, FALSE), "XXX")</f>
        <v>USD</v>
      </c>
      <c r="E709" t="str">
        <f>IFERROR(VLOOKUP(FO_Capture!C709, Reference_Data!A:D, 4, FALSE), "MISSING SSI")</f>
        <v>JPMorgan A/C 987170</v>
      </c>
      <c r="F709">
        <f>FO_Capture!D709</f>
        <v>350</v>
      </c>
      <c r="G709">
        <f>FO_Capture!E709</f>
        <v>241.6199951171875</v>
      </c>
      <c r="H709">
        <f t="shared" si="22"/>
        <v>84566.998291015625</v>
      </c>
      <c r="I709" t="str">
        <f t="shared" si="23"/>
        <v>Pass - Ready for Confirmation</v>
      </c>
    </row>
    <row r="710" spans="1:9" x14ac:dyDescent="0.3">
      <c r="A710" t="str">
        <f>FO_Capture!A710</f>
        <v>TRD00709</v>
      </c>
      <c r="B710" t="str">
        <f>FO_Capture!B710</f>
        <v>INE003A0102</v>
      </c>
      <c r="C710" t="str">
        <f>IFERROR(VLOOKUP(FO_Capture!C710, Reference_Data!A:D, 2, FALSE), "UNKNOWN")</f>
        <v>Alpha Holdings 21</v>
      </c>
      <c r="D710" t="str">
        <f>IFERROR(VLOOKUP(FO_Capture!C710, Reference_Data!A:D, 3, FALSE), "XXX")</f>
        <v>SGD</v>
      </c>
      <c r="E710" t="str">
        <f>IFERROR(VLOOKUP(FO_Capture!C710, Reference_Data!A:D, 4, FALSE), "MISSING SSI")</f>
        <v>HSBC A/C 562956</v>
      </c>
      <c r="F710">
        <f>FO_Capture!D710</f>
        <v>110</v>
      </c>
      <c r="G710">
        <f>FO_Capture!E710</f>
        <v>506.17001342773438</v>
      </c>
      <c r="H710">
        <f t="shared" si="22"/>
        <v>55678.701477050781</v>
      </c>
      <c r="I710" t="str">
        <f t="shared" si="23"/>
        <v>Pass - Ready for Confirmation</v>
      </c>
    </row>
    <row r="711" spans="1:9" x14ac:dyDescent="0.3">
      <c r="A711" t="str">
        <f>FO_Capture!A711</f>
        <v>TRD00710</v>
      </c>
      <c r="B711" t="str">
        <f>FO_Capture!B711</f>
        <v>INE008A01025</v>
      </c>
      <c r="C711" t="str">
        <f>IFERROR(VLOOKUP(FO_Capture!C711, Reference_Data!A:D, 2, FALSE), "UNKNOWN")</f>
        <v>Alpha Investments 43</v>
      </c>
      <c r="D711" t="str">
        <f>IFERROR(VLOOKUP(FO_Capture!C711, Reference_Data!A:D, 3, FALSE), "XXX")</f>
        <v>EUR</v>
      </c>
      <c r="E711" t="str">
        <f>IFERROR(VLOOKUP(FO_Capture!C711, Reference_Data!A:D, 4, FALSE), "MISSING SSI")</f>
        <v>Citi A/C 714496</v>
      </c>
      <c r="F711">
        <f>FO_Capture!D711</f>
        <v>110</v>
      </c>
      <c r="G711">
        <f>FO_Capture!E711</f>
        <v>436.05999755859375</v>
      </c>
      <c r="H711">
        <f t="shared" si="22"/>
        <v>47966.599731445313</v>
      </c>
      <c r="I711" t="str">
        <f t="shared" si="23"/>
        <v>Pass - Ready for Confirmation</v>
      </c>
    </row>
    <row r="712" spans="1:9" x14ac:dyDescent="0.3">
      <c r="A712" t="str">
        <f>FO_Capture!A712</f>
        <v>TRD00711</v>
      </c>
      <c r="B712" t="str">
        <f>FO_Capture!B712</f>
        <v>INE004A01013</v>
      </c>
      <c r="C712" t="str">
        <f>IFERROR(VLOOKUP(FO_Capture!C712, Reference_Data!A:D, 2, FALSE), "UNKNOWN")</f>
        <v>Alpha Global 46</v>
      </c>
      <c r="D712" t="str">
        <f>IFERROR(VLOOKUP(FO_Capture!C712, Reference_Data!A:D, 3, FALSE), "XXX")</f>
        <v>USD</v>
      </c>
      <c r="E712" t="str">
        <f>IFERROR(VLOOKUP(FO_Capture!C712, Reference_Data!A:D, 4, FALSE), "MISSING SSI")</f>
        <v>Citi A/C 700450</v>
      </c>
      <c r="F712">
        <f>FO_Capture!D712</f>
        <v>400</v>
      </c>
      <c r="G712">
        <f>FO_Capture!E712</f>
        <v>52.060001373291016</v>
      </c>
      <c r="H712">
        <f t="shared" si="22"/>
        <v>20824.000549316406</v>
      </c>
      <c r="I712" t="str">
        <f t="shared" si="23"/>
        <v>Pass - Ready for Confirmation</v>
      </c>
    </row>
    <row r="713" spans="1:9" x14ac:dyDescent="0.3">
      <c r="A713" t="str">
        <f>FO_Capture!A713</f>
        <v>TRD00712</v>
      </c>
      <c r="B713" t="str">
        <f>FO_Capture!B713</f>
        <v>INE002A0101</v>
      </c>
      <c r="C713" t="str">
        <f>IFERROR(VLOOKUP(FO_Capture!C713, Reference_Data!A:D, 2, FALSE), "UNKNOWN")</f>
        <v>Alpha Global 46</v>
      </c>
      <c r="D713" t="str">
        <f>IFERROR(VLOOKUP(FO_Capture!C713, Reference_Data!A:D, 3, FALSE), "XXX")</f>
        <v>USD</v>
      </c>
      <c r="E713" t="str">
        <f>IFERROR(VLOOKUP(FO_Capture!C713, Reference_Data!A:D, 4, FALSE), "MISSING SSI")</f>
        <v>Citi A/C 700450</v>
      </c>
      <c r="F713">
        <f>FO_Capture!D713</f>
        <v>370</v>
      </c>
      <c r="G713">
        <f>FO_Capture!E713</f>
        <v>507.73001098632813</v>
      </c>
      <c r="H713">
        <f t="shared" si="22"/>
        <v>187860.10406494141</v>
      </c>
      <c r="I713" t="str">
        <f t="shared" si="23"/>
        <v>Pass - Ready for Confirmation</v>
      </c>
    </row>
    <row r="714" spans="1:9" x14ac:dyDescent="0.3">
      <c r="A714" t="str">
        <f>FO_Capture!A714</f>
        <v>TRD00713</v>
      </c>
      <c r="B714" t="str">
        <f>FO_Capture!B714</f>
        <v>INE007A01065</v>
      </c>
      <c r="C714" t="str">
        <f>IFERROR(VLOOKUP(FO_Capture!C714, Reference_Data!A:D, 2, FALSE), "UNKNOWN")</f>
        <v>Alpha Global 39</v>
      </c>
      <c r="D714" t="str">
        <f>IFERROR(VLOOKUP(FO_Capture!C714, Reference_Data!A:D, 3, FALSE), "XXX")</f>
        <v>SGD</v>
      </c>
      <c r="E714" t="str">
        <f>IFERROR(VLOOKUP(FO_Capture!C714, Reference_Data!A:D, 4, FALSE), "MISSING SSI")</f>
        <v>Deutsche Bank A/C 917029</v>
      </c>
      <c r="F714">
        <f>FO_Capture!D714</f>
        <v>420</v>
      </c>
      <c r="G714">
        <f>FO_Capture!E714</f>
        <v>339.45001220703125</v>
      </c>
      <c r="H714">
        <f t="shared" si="22"/>
        <v>142569.00512695313</v>
      </c>
      <c r="I714" t="str">
        <f t="shared" si="23"/>
        <v>Pass - Ready for Confirmation</v>
      </c>
    </row>
    <row r="715" spans="1:9" x14ac:dyDescent="0.3">
      <c r="A715" t="str">
        <f>FO_Capture!A715</f>
        <v>TRD00714</v>
      </c>
      <c r="B715" t="str">
        <f>FO_Capture!B715</f>
        <v>INE005A01072</v>
      </c>
      <c r="C715" t="str">
        <f>IFERROR(VLOOKUP(FO_Capture!C715, Reference_Data!A:D, 2, FALSE), "UNKNOWN")</f>
        <v>Alpha Partners 18</v>
      </c>
      <c r="D715" t="str">
        <f>IFERROR(VLOOKUP(FO_Capture!C715, Reference_Data!A:D, 3, FALSE), "XXX")</f>
        <v>INR</v>
      </c>
      <c r="E715" t="str">
        <f>IFERROR(VLOOKUP(FO_Capture!C715, Reference_Data!A:D, 4, FALSE), "MISSING SSI")</f>
        <v>JPMorgan A/C 704166</v>
      </c>
      <c r="F715">
        <f>FO_Capture!D715</f>
        <v>230</v>
      </c>
      <c r="G715">
        <f>FO_Capture!E715</f>
        <v>216.38999938964844</v>
      </c>
      <c r="H715">
        <f t="shared" si="22"/>
        <v>49769.699859619141</v>
      </c>
      <c r="I715" t="str">
        <f t="shared" si="23"/>
        <v>Pass - Ready for Confirmation</v>
      </c>
    </row>
    <row r="716" spans="1:9" x14ac:dyDescent="0.3">
      <c r="A716" t="str">
        <f>FO_Capture!A716</f>
        <v>TRD00715</v>
      </c>
      <c r="B716" t="str">
        <f>FO_Capture!B716</f>
        <v>INE008A01027</v>
      </c>
      <c r="C716" t="str">
        <f>IFERROR(VLOOKUP(FO_Capture!C716, Reference_Data!A:D, 2, FALSE), "UNKNOWN")</f>
        <v>Alpha Asset Management 4</v>
      </c>
      <c r="D716" t="str">
        <f>IFERROR(VLOOKUP(FO_Capture!C716, Reference_Data!A:D, 3, FALSE), "XXX")</f>
        <v>JPY</v>
      </c>
      <c r="E716" t="str">
        <f>IFERROR(VLOOKUP(FO_Capture!C716, Reference_Data!A:D, 4, FALSE), "MISSING SSI")</f>
        <v>Deutsche Bank A/C 126543</v>
      </c>
      <c r="F716">
        <f>FO_Capture!D716</f>
        <v>40</v>
      </c>
      <c r="G716">
        <f>FO_Capture!E716</f>
        <v>190.58000183105469</v>
      </c>
      <c r="H716">
        <f t="shared" si="22"/>
        <v>7623.2000732421875</v>
      </c>
      <c r="I716" t="str">
        <f t="shared" si="23"/>
        <v>Pass - Ready for Confirmation</v>
      </c>
    </row>
    <row r="717" spans="1:9" x14ac:dyDescent="0.3">
      <c r="A717" t="str">
        <f>FO_Capture!A717</f>
        <v>TRD00716</v>
      </c>
      <c r="B717" t="str">
        <f>FO_Capture!B717</f>
        <v>INE001A01022</v>
      </c>
      <c r="C717" t="str">
        <f>IFERROR(VLOOKUP(FO_Capture!C717, Reference_Data!A:D, 2, FALSE), "UNKNOWN")</f>
        <v>Alpha Partners 19</v>
      </c>
      <c r="D717" t="str">
        <f>IFERROR(VLOOKUP(FO_Capture!C717, Reference_Data!A:D, 3, FALSE), "XXX")</f>
        <v>INR</v>
      </c>
      <c r="E717" t="str">
        <f>IFERROR(VLOOKUP(FO_Capture!C717, Reference_Data!A:D, 4, FALSE), "MISSING SSI")</f>
        <v>Citi A/C 543819</v>
      </c>
      <c r="F717">
        <f>FO_Capture!D717</f>
        <v>380</v>
      </c>
      <c r="G717">
        <f>FO_Capture!E717</f>
        <v>446.82000732421875</v>
      </c>
      <c r="H717">
        <f t="shared" si="22"/>
        <v>169791.60278320313</v>
      </c>
      <c r="I717" t="str">
        <f t="shared" si="23"/>
        <v>Pass - Ready for Confirmation</v>
      </c>
    </row>
    <row r="718" spans="1:9" x14ac:dyDescent="0.3">
      <c r="A718" t="str">
        <f>FO_Capture!A718</f>
        <v>TRD00717</v>
      </c>
      <c r="B718" t="str">
        <f>FO_Capture!B718</f>
        <v>INE004A01090</v>
      </c>
      <c r="C718" t="str">
        <f>IFERROR(VLOOKUP(FO_Capture!C718, Reference_Data!A:D, 2, FALSE), "UNKNOWN")</f>
        <v>Alpha Capital 9</v>
      </c>
      <c r="D718" t="str">
        <f>IFERROR(VLOOKUP(FO_Capture!C718, Reference_Data!A:D, 3, FALSE), "XXX")</f>
        <v>JPY</v>
      </c>
      <c r="E718" t="str">
        <f>IFERROR(VLOOKUP(FO_Capture!C718, Reference_Data!A:D, 4, FALSE), "MISSING SSI")</f>
        <v>Citi A/C 744145</v>
      </c>
      <c r="F718">
        <f>FO_Capture!D718</f>
        <v>300</v>
      </c>
      <c r="G718">
        <f>FO_Capture!E718</f>
        <v>52.729999542236328</v>
      </c>
      <c r="H718">
        <f t="shared" si="22"/>
        <v>15818.999862670898</v>
      </c>
      <c r="I718" t="str">
        <f t="shared" si="23"/>
        <v>Pass - Ready for Confirmation</v>
      </c>
    </row>
    <row r="719" spans="1:9" x14ac:dyDescent="0.3">
      <c r="A719" t="str">
        <f>FO_Capture!A719</f>
        <v>TRD00718</v>
      </c>
      <c r="B719" t="str">
        <f>FO_Capture!B719</f>
        <v>INE001A01053</v>
      </c>
      <c r="C719" t="str">
        <f>IFERROR(VLOOKUP(FO_Capture!C719, Reference_Data!A:D, 2, FALSE), "UNKNOWN")</f>
        <v>Alpha Holdings 21</v>
      </c>
      <c r="D719" t="str">
        <f>IFERROR(VLOOKUP(FO_Capture!C719, Reference_Data!A:D, 3, FALSE), "XXX")</f>
        <v>SGD</v>
      </c>
      <c r="E719" t="str">
        <f>IFERROR(VLOOKUP(FO_Capture!C719, Reference_Data!A:D, 4, FALSE), "MISSING SSI")</f>
        <v>HSBC A/C 562956</v>
      </c>
      <c r="F719">
        <f>FO_Capture!D719</f>
        <v>150</v>
      </c>
      <c r="G719">
        <f>FO_Capture!E719</f>
        <v>208.75999450683594</v>
      </c>
      <c r="H719">
        <f t="shared" si="22"/>
        <v>31313.999176025391</v>
      </c>
      <c r="I719" t="str">
        <f t="shared" si="23"/>
        <v>Pass - Ready for Confirmation</v>
      </c>
    </row>
    <row r="720" spans="1:9" x14ac:dyDescent="0.3">
      <c r="A720" t="str">
        <f>FO_Capture!A720</f>
        <v>TRD00719</v>
      </c>
      <c r="B720" t="str">
        <f>FO_Capture!B720</f>
        <v>INE003A01073</v>
      </c>
      <c r="C720" t="str">
        <f>IFERROR(VLOOKUP(FO_Capture!C720, Reference_Data!A:D, 2, FALSE), "UNKNOWN")</f>
        <v>Alpha Global 30</v>
      </c>
      <c r="D720" t="str">
        <f>IFERROR(VLOOKUP(FO_Capture!C720, Reference_Data!A:D, 3, FALSE), "XXX")</f>
        <v>JPY</v>
      </c>
      <c r="E720" t="str">
        <f>IFERROR(VLOOKUP(FO_Capture!C720, Reference_Data!A:D, 4, FALSE), "MISSING SSI")</f>
        <v>Deutsche Bank A/C 917262</v>
      </c>
      <c r="F720">
        <f>FO_Capture!D720</f>
        <v>330</v>
      </c>
      <c r="G720">
        <f>FO_Capture!E720</f>
        <v>498.16000366210938</v>
      </c>
      <c r="H720">
        <f t="shared" si="22"/>
        <v>164392.80120849609</v>
      </c>
      <c r="I720" t="str">
        <f t="shared" si="23"/>
        <v>Pass - Ready for Confirmation</v>
      </c>
    </row>
    <row r="721" spans="1:9" x14ac:dyDescent="0.3">
      <c r="A721" t="str">
        <f>FO_Capture!A721</f>
        <v>TRD00720</v>
      </c>
      <c r="B721" t="str">
        <f>FO_Capture!B721</f>
        <v>INE002A01097</v>
      </c>
      <c r="C721" t="str">
        <f>IFERROR(VLOOKUP(FO_Capture!C721, Reference_Data!A:D, 2, FALSE), "UNKNOWN")</f>
        <v>Alpha Capital 11</v>
      </c>
      <c r="D721" t="str">
        <f>IFERROR(VLOOKUP(FO_Capture!C721, Reference_Data!A:D, 3, FALSE), "XXX")</f>
        <v>USD</v>
      </c>
      <c r="E721" t="str">
        <f>IFERROR(VLOOKUP(FO_Capture!C721, Reference_Data!A:D, 4, FALSE), "MISSING SSI")</f>
        <v>JPMorgan A/C 987170</v>
      </c>
      <c r="F721">
        <f>FO_Capture!D721</f>
        <v>10</v>
      </c>
      <c r="G721">
        <f>FO_Capture!E721</f>
        <v>137</v>
      </c>
      <c r="H721">
        <f t="shared" si="22"/>
        <v>1370</v>
      </c>
      <c r="I721" t="str">
        <f t="shared" si="23"/>
        <v>Pass - Ready for Confirmation</v>
      </c>
    </row>
    <row r="722" spans="1:9" x14ac:dyDescent="0.3">
      <c r="A722" t="str">
        <f>FO_Capture!A722</f>
        <v>TRD00721</v>
      </c>
      <c r="B722" t="str">
        <f>FO_Capture!B722</f>
        <v>INE007A01018</v>
      </c>
      <c r="C722" t="str">
        <f>IFERROR(VLOOKUP(FO_Capture!C722, Reference_Data!A:D, 2, FALSE), "UNKNOWN")</f>
        <v>Alpha Quant Fund 12</v>
      </c>
      <c r="D722" t="str">
        <f>IFERROR(VLOOKUP(FO_Capture!C722, Reference_Data!A:D, 3, FALSE), "XXX")</f>
        <v>EUR</v>
      </c>
      <c r="E722" t="str">
        <f>IFERROR(VLOOKUP(FO_Capture!C722, Reference_Data!A:D, 4, FALSE), "MISSING SSI")</f>
        <v>Deutsche Bank A/C 324710</v>
      </c>
      <c r="F722">
        <f>FO_Capture!D722</f>
        <v>400</v>
      </c>
      <c r="G722">
        <f>FO_Capture!E722</f>
        <v>224.13999938964844</v>
      </c>
      <c r="H722">
        <f t="shared" si="22"/>
        <v>89655.999755859375</v>
      </c>
      <c r="I722" t="str">
        <f t="shared" si="23"/>
        <v>Pass - Ready for Confirmation</v>
      </c>
    </row>
    <row r="723" spans="1:9" x14ac:dyDescent="0.3">
      <c r="A723" t="str">
        <f>FO_Capture!A723</f>
        <v>TRD00722</v>
      </c>
      <c r="B723" t="str">
        <f>FO_Capture!B723</f>
        <v>INE001A01010</v>
      </c>
      <c r="C723" t="str">
        <f>IFERROR(VLOOKUP(FO_Capture!C723, Reference_Data!A:D, 2, FALSE), "UNKNOWN")</f>
        <v>Alpha Asset Management 35</v>
      </c>
      <c r="D723" t="str">
        <f>IFERROR(VLOOKUP(FO_Capture!C723, Reference_Data!A:D, 3, FALSE), "XXX")</f>
        <v>JPY</v>
      </c>
      <c r="E723" t="str">
        <f>IFERROR(VLOOKUP(FO_Capture!C723, Reference_Data!A:D, 4, FALSE), "MISSING SSI")</f>
        <v>HSBC A/C 604357</v>
      </c>
      <c r="F723">
        <f>FO_Capture!D723</f>
        <v>20</v>
      </c>
      <c r="G723">
        <f>FO_Capture!E723</f>
        <v>491.29000854492188</v>
      </c>
      <c r="H723">
        <f t="shared" si="22"/>
        <v>9825.8001708984375</v>
      </c>
      <c r="I723" t="str">
        <f t="shared" si="23"/>
        <v>Pass - Ready for Confirmation</v>
      </c>
    </row>
    <row r="724" spans="1:9" x14ac:dyDescent="0.3">
      <c r="A724" t="str">
        <f>FO_Capture!A724</f>
        <v>TRD00723</v>
      </c>
      <c r="B724" t="str">
        <f>FO_Capture!B724</f>
        <v>INE003A01091</v>
      </c>
      <c r="C724" t="str">
        <f>IFERROR(VLOOKUP(FO_Capture!C724, Reference_Data!A:D, 2, FALSE), "UNKNOWN")</f>
        <v>Alpha Capital 7</v>
      </c>
      <c r="D724" t="str">
        <f>IFERROR(VLOOKUP(FO_Capture!C724, Reference_Data!A:D, 3, FALSE), "XXX")</f>
        <v>INR</v>
      </c>
      <c r="E724" t="str">
        <f>IFERROR(VLOOKUP(FO_Capture!C724, Reference_Data!A:D, 4, FALSE), "MISSING SSI")</f>
        <v>Standard Chartered A/C 682134</v>
      </c>
      <c r="F724">
        <f>FO_Capture!D724</f>
        <v>410</v>
      </c>
      <c r="G724">
        <f>FO_Capture!E724</f>
        <v>52.939998626708984</v>
      </c>
      <c r="H724">
        <f t="shared" si="22"/>
        <v>21705.399436950684</v>
      </c>
      <c r="I724" t="str">
        <f t="shared" si="23"/>
        <v>Pass - Ready for Confirmation</v>
      </c>
    </row>
    <row r="725" spans="1:9" x14ac:dyDescent="0.3">
      <c r="A725" t="str">
        <f>FO_Capture!A725</f>
        <v>TRD00724</v>
      </c>
      <c r="B725" t="str">
        <f>FO_Capture!B725</f>
        <v>INE001A01068</v>
      </c>
      <c r="C725" t="str">
        <f>IFERROR(VLOOKUP(FO_Capture!C725, Reference_Data!A:D, 2, FALSE), "UNKNOWN")</f>
        <v>Alpha Asset Management 5</v>
      </c>
      <c r="D725" t="str">
        <f>IFERROR(VLOOKUP(FO_Capture!C725, Reference_Data!A:D, 3, FALSE), "XXX")</f>
        <v>INR</v>
      </c>
      <c r="E725" t="str">
        <f>IFERROR(VLOOKUP(FO_Capture!C725, Reference_Data!A:D, 4, FALSE), "MISSING SSI")</f>
        <v>JPMorgan A/C 860462</v>
      </c>
      <c r="F725">
        <f>FO_Capture!D725</f>
        <v>400</v>
      </c>
      <c r="G725">
        <f>FO_Capture!E725</f>
        <v>156.39999389648438</v>
      </c>
      <c r="H725">
        <f t="shared" si="22"/>
        <v>62559.99755859375</v>
      </c>
      <c r="I725" t="str">
        <f t="shared" si="23"/>
        <v>Pass - Ready for Confirmation</v>
      </c>
    </row>
    <row r="726" spans="1:9" x14ac:dyDescent="0.3">
      <c r="A726" t="str">
        <f>FO_Capture!A726</f>
        <v>TRD00725</v>
      </c>
      <c r="B726" t="str">
        <f>FO_Capture!B726</f>
        <v>INE004A01087</v>
      </c>
      <c r="C726" t="str">
        <f>IFERROR(VLOOKUP(FO_Capture!C726, Reference_Data!A:D, 2, FALSE), "UNKNOWN")</f>
        <v>Alpha Asset Management 32</v>
      </c>
      <c r="D726" t="str">
        <f>IFERROR(VLOOKUP(FO_Capture!C726, Reference_Data!A:D, 3, FALSE), "XXX")</f>
        <v>INR</v>
      </c>
      <c r="E726" t="str">
        <f>IFERROR(VLOOKUP(FO_Capture!C726, Reference_Data!A:D, 4, FALSE), "MISSING SSI")</f>
        <v>Barclays A/C 302646</v>
      </c>
      <c r="F726">
        <f>FO_Capture!D726</f>
        <v>370</v>
      </c>
      <c r="G726">
        <f>FO_Capture!E726</f>
        <v>431.80999755859375</v>
      </c>
      <c r="H726">
        <f t="shared" si="22"/>
        <v>159769.69909667969</v>
      </c>
      <c r="I726" t="str">
        <f t="shared" si="23"/>
        <v>Pass - Ready for Confirmation</v>
      </c>
    </row>
    <row r="727" spans="1:9" x14ac:dyDescent="0.3">
      <c r="A727" t="str">
        <f>FO_Capture!A727</f>
        <v>TRD00726</v>
      </c>
      <c r="B727" t="str">
        <f>FO_Capture!B727</f>
        <v>INE002A01080</v>
      </c>
      <c r="C727" t="str">
        <f>IFERROR(VLOOKUP(FO_Capture!C727, Reference_Data!A:D, 2, FALSE), "UNKNOWN")</f>
        <v>Alpha Investments 43</v>
      </c>
      <c r="D727" t="str">
        <f>IFERROR(VLOOKUP(FO_Capture!C727, Reference_Data!A:D, 3, FALSE), "XXX")</f>
        <v>EUR</v>
      </c>
      <c r="E727" t="str">
        <f>IFERROR(VLOOKUP(FO_Capture!C727, Reference_Data!A:D, 4, FALSE), "MISSING SSI")</f>
        <v>Citi A/C 714496</v>
      </c>
      <c r="F727">
        <f>FO_Capture!D727</f>
        <v>480</v>
      </c>
      <c r="G727">
        <f>FO_Capture!E727</f>
        <v>142.11000061035156</v>
      </c>
      <c r="H727">
        <f t="shared" si="22"/>
        <v>68212.80029296875</v>
      </c>
      <c r="I727" t="str">
        <f t="shared" si="23"/>
        <v>Pass - Ready for Confirmation</v>
      </c>
    </row>
    <row r="728" spans="1:9" x14ac:dyDescent="0.3">
      <c r="A728" t="str">
        <f>FO_Capture!A728</f>
        <v>TRD00727</v>
      </c>
      <c r="B728" t="str">
        <f>FO_Capture!B728</f>
        <v>INE003A01023</v>
      </c>
      <c r="C728" t="str">
        <f>IFERROR(VLOOKUP(FO_Capture!C728, Reference_Data!A:D, 2, FALSE), "UNKNOWN")</f>
        <v>Alpha Holdings 16</v>
      </c>
      <c r="D728" t="str">
        <f>IFERROR(VLOOKUP(FO_Capture!C728, Reference_Data!A:D, 3, FALSE), "XXX")</f>
        <v>USD</v>
      </c>
      <c r="E728" t="str">
        <f>IFERROR(VLOOKUP(FO_Capture!C728, Reference_Data!A:D, 4, FALSE), "MISSING SSI")</f>
        <v>Barclays A/C 197229</v>
      </c>
      <c r="F728">
        <f>FO_Capture!D728</f>
        <v>420</v>
      </c>
      <c r="G728">
        <f>FO_Capture!E728</f>
        <v>433.02999877929688</v>
      </c>
      <c r="H728">
        <f t="shared" si="22"/>
        <v>181872.59948730469</v>
      </c>
      <c r="I728" t="str">
        <f t="shared" si="23"/>
        <v>Pass - Ready for Confirmation</v>
      </c>
    </row>
    <row r="729" spans="1:9" x14ac:dyDescent="0.3">
      <c r="A729" t="str">
        <f>FO_Capture!A729</f>
        <v>TRD00728</v>
      </c>
      <c r="B729" t="str">
        <f>FO_Capture!B729</f>
        <v>INE002A01075</v>
      </c>
      <c r="C729" t="str">
        <f>IFERROR(VLOOKUP(FO_Capture!C729, Reference_Data!A:D, 2, FALSE), "UNKNOWN")</f>
        <v>Alpha Quant Fund 34</v>
      </c>
      <c r="D729" t="str">
        <f>IFERROR(VLOOKUP(FO_Capture!C729, Reference_Data!A:D, 3, FALSE), "XXX")</f>
        <v>JPY</v>
      </c>
      <c r="E729" t="str">
        <f>IFERROR(VLOOKUP(FO_Capture!C729, Reference_Data!A:D, 4, FALSE), "MISSING SSI")</f>
        <v>Citi A/C 837378</v>
      </c>
      <c r="F729">
        <f>FO_Capture!D729</f>
        <v>200</v>
      </c>
      <c r="G729">
        <f>FO_Capture!E729</f>
        <v>83.160003662109375</v>
      </c>
      <c r="H729">
        <f t="shared" si="22"/>
        <v>16632.000732421875</v>
      </c>
      <c r="I729" t="str">
        <f t="shared" si="23"/>
        <v>Pass - Ready for Confirmation</v>
      </c>
    </row>
    <row r="730" spans="1:9" x14ac:dyDescent="0.3">
      <c r="A730" t="str">
        <f>FO_Capture!A730</f>
        <v>TRD00729</v>
      </c>
      <c r="B730" t="str">
        <f>FO_Capture!B730</f>
        <v>INE008A01040</v>
      </c>
      <c r="C730" t="str">
        <f>IFERROR(VLOOKUP(FO_Capture!C730, Reference_Data!A:D, 2, FALSE), "UNKNOWN")</f>
        <v>Alpha Global 2</v>
      </c>
      <c r="D730" t="str">
        <f>IFERROR(VLOOKUP(FO_Capture!C730, Reference_Data!A:D, 3, FALSE), "XXX")</f>
        <v>GBP</v>
      </c>
      <c r="E730" t="str">
        <f>IFERROR(VLOOKUP(FO_Capture!C730, Reference_Data!A:D, 4, FALSE), "MISSING SSI")</f>
        <v>JPMorgan A/C 582379</v>
      </c>
      <c r="F730">
        <f>FO_Capture!D730</f>
        <v>340</v>
      </c>
      <c r="G730">
        <f>FO_Capture!E730</f>
        <v>253.86000061035156</v>
      </c>
      <c r="H730">
        <f t="shared" si="22"/>
        <v>86312.400207519531</v>
      </c>
      <c r="I730" t="str">
        <f t="shared" si="23"/>
        <v>Pass - Ready for Confirmation</v>
      </c>
    </row>
    <row r="731" spans="1:9" x14ac:dyDescent="0.3">
      <c r="A731" t="str">
        <f>FO_Capture!A731</f>
        <v>TRD00730</v>
      </c>
      <c r="B731" t="str">
        <f>FO_Capture!B731</f>
        <v>INE008A0108</v>
      </c>
      <c r="C731" t="str">
        <f>IFERROR(VLOOKUP(FO_Capture!C731, Reference_Data!A:D, 2, FALSE), "UNKNOWN")</f>
        <v>Alpha Quant Fund 27</v>
      </c>
      <c r="D731" t="str">
        <f>IFERROR(VLOOKUP(FO_Capture!C731, Reference_Data!A:D, 3, FALSE), "XXX")</f>
        <v>EUR</v>
      </c>
      <c r="E731" t="str">
        <f>IFERROR(VLOOKUP(FO_Capture!C731, Reference_Data!A:D, 4, FALSE), "MISSING SSI")</f>
        <v>Standard Chartered A/C 331839</v>
      </c>
      <c r="F731">
        <f>FO_Capture!D731</f>
        <v>160</v>
      </c>
      <c r="G731">
        <f>FO_Capture!E731</f>
        <v>239.33000183105469</v>
      </c>
      <c r="H731">
        <f t="shared" si="22"/>
        <v>38292.80029296875</v>
      </c>
      <c r="I731" t="str">
        <f t="shared" si="23"/>
        <v>Pass - Ready for Confirmation</v>
      </c>
    </row>
    <row r="732" spans="1:9" x14ac:dyDescent="0.3">
      <c r="A732" t="str">
        <f>FO_Capture!A732</f>
        <v>TRD00731</v>
      </c>
      <c r="B732" t="str">
        <f>FO_Capture!B732</f>
        <v>INE008A0108</v>
      </c>
      <c r="C732" t="str">
        <f>IFERROR(VLOOKUP(FO_Capture!C732, Reference_Data!A:D, 2, FALSE), "UNKNOWN")</f>
        <v>Alpha Partners 42</v>
      </c>
      <c r="D732" t="str">
        <f>IFERROR(VLOOKUP(FO_Capture!C732, Reference_Data!A:D, 3, FALSE), "XXX")</f>
        <v>USD</v>
      </c>
      <c r="E732" t="str">
        <f>IFERROR(VLOOKUP(FO_Capture!C732, Reference_Data!A:D, 4, FALSE), "MISSING SSI")</f>
        <v>Citi A/C 416082</v>
      </c>
      <c r="F732">
        <f>FO_Capture!D732</f>
        <v>10</v>
      </c>
      <c r="G732">
        <f>FO_Capture!E732</f>
        <v>216.57000732421875</v>
      </c>
      <c r="H732">
        <f t="shared" si="22"/>
        <v>2165.7000732421875</v>
      </c>
      <c r="I732" t="str">
        <f t="shared" si="23"/>
        <v>Pass - Ready for Confirmation</v>
      </c>
    </row>
    <row r="733" spans="1:9" x14ac:dyDescent="0.3">
      <c r="A733" t="str">
        <f>FO_Capture!A733</f>
        <v>TRD00732</v>
      </c>
      <c r="B733" t="str">
        <f>FO_Capture!B733</f>
        <v>INE002A01058</v>
      </c>
      <c r="C733" t="str">
        <f>IFERROR(VLOOKUP(FO_Capture!C733, Reference_Data!A:D, 2, FALSE), "UNKNOWN")</f>
        <v>Alpha Asset Management 31</v>
      </c>
      <c r="D733" t="str">
        <f>IFERROR(VLOOKUP(FO_Capture!C733, Reference_Data!A:D, 3, FALSE), "XXX")</f>
        <v>USD</v>
      </c>
      <c r="E733" t="str">
        <f>IFERROR(VLOOKUP(FO_Capture!C733, Reference_Data!A:D, 4, FALSE), "MISSING SSI")</f>
        <v>Citi A/C 194841</v>
      </c>
      <c r="F733">
        <f>FO_Capture!D733</f>
        <v>50</v>
      </c>
      <c r="G733">
        <f>FO_Capture!E733</f>
        <v>495.3900146484375</v>
      </c>
      <c r="H733">
        <f t="shared" si="22"/>
        <v>24769.500732421875</v>
      </c>
      <c r="I733" t="str">
        <f t="shared" si="23"/>
        <v>Pass - Ready for Confirmation</v>
      </c>
    </row>
    <row r="734" spans="1:9" x14ac:dyDescent="0.3">
      <c r="A734" t="str">
        <f>FO_Capture!A734</f>
        <v>TRD00733</v>
      </c>
      <c r="B734" t="str">
        <f>FO_Capture!B734</f>
        <v>INE007A01017</v>
      </c>
      <c r="C734" t="str">
        <f>IFERROR(VLOOKUP(FO_Capture!C734, Reference_Data!A:D, 2, FALSE), "UNKNOWN")</f>
        <v>Alpha Asset Management 4</v>
      </c>
      <c r="D734" t="str">
        <f>IFERROR(VLOOKUP(FO_Capture!C734, Reference_Data!A:D, 3, FALSE), "XXX")</f>
        <v>JPY</v>
      </c>
      <c r="E734" t="str">
        <f>IFERROR(VLOOKUP(FO_Capture!C734, Reference_Data!A:D, 4, FALSE), "MISSING SSI")</f>
        <v>Deutsche Bank A/C 126543</v>
      </c>
      <c r="F734">
        <f>FO_Capture!D734</f>
        <v>460</v>
      </c>
      <c r="G734">
        <f>FO_Capture!E734</f>
        <v>268.42001342773438</v>
      </c>
      <c r="H734">
        <f t="shared" si="22"/>
        <v>123473.20617675781</v>
      </c>
      <c r="I734" t="str">
        <f t="shared" si="23"/>
        <v>Pass - Ready for Confirmation</v>
      </c>
    </row>
    <row r="735" spans="1:9" x14ac:dyDescent="0.3">
      <c r="A735" t="str">
        <f>FO_Capture!A735</f>
        <v>TRD00734</v>
      </c>
      <c r="B735" t="str">
        <f>FO_Capture!B735</f>
        <v>INE006A01031</v>
      </c>
      <c r="C735" t="str">
        <f>IFERROR(VLOOKUP(FO_Capture!C735, Reference_Data!A:D, 2, FALSE), "UNKNOWN")</f>
        <v>Alpha Global 20</v>
      </c>
      <c r="D735" t="str">
        <f>IFERROR(VLOOKUP(FO_Capture!C735, Reference_Data!A:D, 3, FALSE), "XXX")</f>
        <v>JPY</v>
      </c>
      <c r="E735" t="str">
        <f>IFERROR(VLOOKUP(FO_Capture!C735, Reference_Data!A:D, 4, FALSE), "MISSING SSI")</f>
        <v>Barclays A/C 560891</v>
      </c>
      <c r="F735">
        <f>FO_Capture!D735</f>
        <v>210</v>
      </c>
      <c r="G735">
        <f>FO_Capture!E735</f>
        <v>361.08999633789063</v>
      </c>
      <c r="H735">
        <f t="shared" si="22"/>
        <v>75828.899230957031</v>
      </c>
      <c r="I735" t="str">
        <f t="shared" si="23"/>
        <v>Pass - Ready for Confirmation</v>
      </c>
    </row>
    <row r="736" spans="1:9" x14ac:dyDescent="0.3">
      <c r="A736" t="str">
        <f>FO_Capture!A736</f>
        <v>TRD00735</v>
      </c>
      <c r="B736" t="str">
        <f>FO_Capture!B736</f>
        <v>INE005A01086</v>
      </c>
      <c r="C736" t="str">
        <f>IFERROR(VLOOKUP(FO_Capture!C736, Reference_Data!A:D, 2, FALSE), "UNKNOWN")</f>
        <v>Alpha Holdings 16</v>
      </c>
      <c r="D736" t="str">
        <f>IFERROR(VLOOKUP(FO_Capture!C736, Reference_Data!A:D, 3, FALSE), "XXX")</f>
        <v>USD</v>
      </c>
      <c r="E736" t="str">
        <f>IFERROR(VLOOKUP(FO_Capture!C736, Reference_Data!A:D, 4, FALSE), "MISSING SSI")</f>
        <v>Barclays A/C 197229</v>
      </c>
      <c r="F736">
        <f>FO_Capture!D736</f>
        <v>320</v>
      </c>
      <c r="G736">
        <f>FO_Capture!E736</f>
        <v>481.67001342773438</v>
      </c>
      <c r="H736">
        <f t="shared" si="22"/>
        <v>154134.404296875</v>
      </c>
      <c r="I736" t="str">
        <f t="shared" si="23"/>
        <v>Pass - Ready for Confirmation</v>
      </c>
    </row>
    <row r="737" spans="1:9" x14ac:dyDescent="0.3">
      <c r="A737" t="str">
        <f>FO_Capture!A737</f>
        <v>TRD00736</v>
      </c>
      <c r="B737" t="str">
        <f>FO_Capture!B737</f>
        <v>INE006A01057</v>
      </c>
      <c r="C737" t="str">
        <f>IFERROR(VLOOKUP(FO_Capture!C737, Reference_Data!A:D, 2, FALSE), "UNKNOWN")</f>
        <v>Alpha Investments 29</v>
      </c>
      <c r="D737" t="str">
        <f>IFERROR(VLOOKUP(FO_Capture!C737, Reference_Data!A:D, 3, FALSE), "XXX")</f>
        <v>INR</v>
      </c>
      <c r="E737" t="str">
        <f>IFERROR(VLOOKUP(FO_Capture!C737, Reference_Data!A:D, 4, FALSE), "MISSING SSI")</f>
        <v>HSBC A/C 785870</v>
      </c>
      <c r="F737">
        <f>FO_Capture!D737</f>
        <v>80</v>
      </c>
      <c r="G737">
        <f>FO_Capture!E737</f>
        <v>471.22000122070313</v>
      </c>
      <c r="H737">
        <f t="shared" si="22"/>
        <v>37697.60009765625</v>
      </c>
      <c r="I737" t="str">
        <f t="shared" si="23"/>
        <v>Pass - Ready for Confirmation</v>
      </c>
    </row>
    <row r="738" spans="1:9" x14ac:dyDescent="0.3">
      <c r="A738" t="str">
        <f>FO_Capture!A738</f>
        <v>TRD00737</v>
      </c>
      <c r="B738" t="str">
        <f>FO_Capture!B738</f>
        <v>INE004A01058</v>
      </c>
      <c r="C738" t="str">
        <f>IFERROR(VLOOKUP(FO_Capture!C738, Reference_Data!A:D, 2, FALSE), "UNKNOWN")</f>
        <v>Alpha Holdings 21</v>
      </c>
      <c r="D738" t="str">
        <f>IFERROR(VLOOKUP(FO_Capture!C738, Reference_Data!A:D, 3, FALSE), "XXX")</f>
        <v>SGD</v>
      </c>
      <c r="E738" t="str">
        <f>IFERROR(VLOOKUP(FO_Capture!C738, Reference_Data!A:D, 4, FALSE), "MISSING SSI")</f>
        <v>HSBC A/C 562956</v>
      </c>
      <c r="F738">
        <f>FO_Capture!D738</f>
        <v>360</v>
      </c>
      <c r="G738">
        <f>FO_Capture!E738</f>
        <v>53.599998474121094</v>
      </c>
      <c r="H738">
        <f t="shared" si="22"/>
        <v>19295.999450683594</v>
      </c>
      <c r="I738" t="str">
        <f t="shared" si="23"/>
        <v>Pass - Ready for Confirmation</v>
      </c>
    </row>
    <row r="739" spans="1:9" x14ac:dyDescent="0.3">
      <c r="A739" t="str">
        <f>FO_Capture!A739</f>
        <v>TRD00738</v>
      </c>
      <c r="B739" t="str">
        <f>FO_Capture!B739</f>
        <v>INE009A01091</v>
      </c>
      <c r="C739" t="str">
        <f>IFERROR(VLOOKUP(FO_Capture!C739, Reference_Data!A:D, 2, FALSE), "UNKNOWN")</f>
        <v>Alpha Asset Management 5</v>
      </c>
      <c r="D739" t="str">
        <f>IFERROR(VLOOKUP(FO_Capture!C739, Reference_Data!A:D, 3, FALSE), "XXX")</f>
        <v>INR</v>
      </c>
      <c r="E739" t="str">
        <f>IFERROR(VLOOKUP(FO_Capture!C739, Reference_Data!A:D, 4, FALSE), "MISSING SSI")</f>
        <v>JPMorgan A/C 860462</v>
      </c>
      <c r="F739">
        <f>FO_Capture!D739</f>
        <v>260</v>
      </c>
      <c r="G739">
        <f>FO_Capture!E739</f>
        <v>85.519996643066406</v>
      </c>
      <c r="H739">
        <f t="shared" si="22"/>
        <v>22235.199127197266</v>
      </c>
      <c r="I739" t="str">
        <f t="shared" si="23"/>
        <v>Pass - Ready for Confirmation</v>
      </c>
    </row>
    <row r="740" spans="1:9" x14ac:dyDescent="0.3">
      <c r="A740" t="str">
        <f>FO_Capture!A740</f>
        <v>TRD00739</v>
      </c>
      <c r="B740" t="str">
        <f>FO_Capture!B740</f>
        <v>INE007A0100</v>
      </c>
      <c r="C740" t="str">
        <f>IFERROR(VLOOKUP(FO_Capture!C740, Reference_Data!A:D, 2, FALSE), "UNKNOWN")</f>
        <v>Alpha Partners 22</v>
      </c>
      <c r="D740" t="str">
        <f>IFERROR(VLOOKUP(FO_Capture!C740, Reference_Data!A:D, 3, FALSE), "XXX")</f>
        <v>GBP</v>
      </c>
      <c r="E740" t="str">
        <f>IFERROR(VLOOKUP(FO_Capture!C740, Reference_Data!A:D, 4, FALSE), "MISSING SSI")</f>
        <v>JPMorgan A/C 488546</v>
      </c>
      <c r="F740">
        <f>FO_Capture!D740</f>
        <v>470</v>
      </c>
      <c r="G740">
        <f>FO_Capture!E740</f>
        <v>306.47000122070313</v>
      </c>
      <c r="H740">
        <f t="shared" si="22"/>
        <v>144040.90057373047</v>
      </c>
      <c r="I740" t="str">
        <f t="shared" si="23"/>
        <v>Pass - Ready for Confirmation</v>
      </c>
    </row>
    <row r="741" spans="1:9" x14ac:dyDescent="0.3">
      <c r="A741" t="str">
        <f>FO_Capture!A741</f>
        <v>TRD00740</v>
      </c>
      <c r="B741" t="str">
        <f>FO_Capture!B741</f>
        <v>INE008A01014</v>
      </c>
      <c r="C741" t="str">
        <f>IFERROR(VLOOKUP(FO_Capture!C741, Reference_Data!A:D, 2, FALSE), "UNKNOWN")</f>
        <v>Alpha Capital 10</v>
      </c>
      <c r="D741" t="str">
        <f>IFERROR(VLOOKUP(FO_Capture!C741, Reference_Data!A:D, 3, FALSE), "XXX")</f>
        <v>USD</v>
      </c>
      <c r="E741" t="str">
        <f>IFERROR(VLOOKUP(FO_Capture!C741, Reference_Data!A:D, 4, FALSE), "MISSING SSI")</f>
        <v>HDFC A/C 543407</v>
      </c>
      <c r="F741">
        <f>FO_Capture!D741</f>
        <v>450</v>
      </c>
      <c r="G741">
        <f>FO_Capture!E741</f>
        <v>88.769996643066406</v>
      </c>
      <c r="H741">
        <f t="shared" si="22"/>
        <v>39946.498489379883</v>
      </c>
      <c r="I741" t="str">
        <f t="shared" si="23"/>
        <v>Pass - Ready for Confirmation</v>
      </c>
    </row>
    <row r="742" spans="1:9" x14ac:dyDescent="0.3">
      <c r="A742" t="str">
        <f>FO_Capture!A742</f>
        <v>TRD00741</v>
      </c>
      <c r="B742" t="str">
        <f>FO_Capture!B742</f>
        <v>INE004A0105</v>
      </c>
      <c r="C742" t="str">
        <f>IFERROR(VLOOKUP(FO_Capture!C742, Reference_Data!A:D, 2, FALSE), "UNKNOWN")</f>
        <v>Alpha Capital 36</v>
      </c>
      <c r="D742" t="str">
        <f>IFERROR(VLOOKUP(FO_Capture!C742, Reference_Data!A:D, 3, FALSE), "XXX")</f>
        <v>JPY</v>
      </c>
      <c r="E742" t="str">
        <f>IFERROR(VLOOKUP(FO_Capture!C742, Reference_Data!A:D, 4, FALSE), "MISSING SSI")</f>
        <v>Citi A/C 359789</v>
      </c>
      <c r="F742">
        <f>FO_Capture!D742</f>
        <v>180</v>
      </c>
      <c r="G742">
        <f>FO_Capture!E742</f>
        <v>187.53999328613281</v>
      </c>
      <c r="H742">
        <f t="shared" si="22"/>
        <v>33757.198791503906</v>
      </c>
      <c r="I742" t="str">
        <f t="shared" si="23"/>
        <v>Pass - Ready for Confirmation</v>
      </c>
    </row>
    <row r="743" spans="1:9" x14ac:dyDescent="0.3">
      <c r="A743" t="str">
        <f>FO_Capture!A743</f>
        <v>TRD00742</v>
      </c>
      <c r="B743" t="str">
        <f>FO_Capture!B743</f>
        <v>INE005A01030</v>
      </c>
      <c r="C743" t="str">
        <f>IFERROR(VLOOKUP(FO_Capture!C743, Reference_Data!A:D, 2, FALSE), "UNKNOWN")</f>
        <v>Alpha Holdings 16</v>
      </c>
      <c r="D743" t="str">
        <f>IFERROR(VLOOKUP(FO_Capture!C743, Reference_Data!A:D, 3, FALSE), "XXX")</f>
        <v>USD</v>
      </c>
      <c r="E743" t="str">
        <f>IFERROR(VLOOKUP(FO_Capture!C743, Reference_Data!A:D, 4, FALSE), "MISSING SSI")</f>
        <v>Barclays A/C 197229</v>
      </c>
      <c r="F743">
        <f>FO_Capture!D743</f>
        <v>470</v>
      </c>
      <c r="G743">
        <f>FO_Capture!E743</f>
        <v>490.73001098632813</v>
      </c>
      <c r="H743">
        <f t="shared" si="22"/>
        <v>230643.10516357422</v>
      </c>
      <c r="I743" t="str">
        <f t="shared" si="23"/>
        <v>Pass - Ready for Confirmation</v>
      </c>
    </row>
    <row r="744" spans="1:9" x14ac:dyDescent="0.3">
      <c r="A744" t="str">
        <f>FO_Capture!A744</f>
        <v>TRD00743</v>
      </c>
      <c r="B744" t="str">
        <f>FO_Capture!B744</f>
        <v>INE003A01089</v>
      </c>
      <c r="C744" t="str">
        <f>IFERROR(VLOOKUP(FO_Capture!C744, Reference_Data!A:D, 2, FALSE), "UNKNOWN")</f>
        <v>Alpha Partners 42</v>
      </c>
      <c r="D744" t="str">
        <f>IFERROR(VLOOKUP(FO_Capture!C744, Reference_Data!A:D, 3, FALSE), "XXX")</f>
        <v>USD</v>
      </c>
      <c r="E744" t="str">
        <f>IFERROR(VLOOKUP(FO_Capture!C744, Reference_Data!A:D, 4, FALSE), "MISSING SSI")</f>
        <v>Citi A/C 416082</v>
      </c>
      <c r="F744">
        <f>FO_Capture!D744</f>
        <v>130</v>
      </c>
      <c r="G744">
        <f>FO_Capture!E744</f>
        <v>269.07998657226563</v>
      </c>
      <c r="H744">
        <f t="shared" si="22"/>
        <v>34980.398254394531</v>
      </c>
      <c r="I744" t="str">
        <f t="shared" si="23"/>
        <v>Pass - Ready for Confirmation</v>
      </c>
    </row>
    <row r="745" spans="1:9" x14ac:dyDescent="0.3">
      <c r="A745" t="str">
        <f>FO_Capture!A745</f>
        <v>TRD00744</v>
      </c>
      <c r="B745" t="str">
        <f>FO_Capture!B745</f>
        <v>INE005A01069</v>
      </c>
      <c r="C745" t="str">
        <f>IFERROR(VLOOKUP(FO_Capture!C745, Reference_Data!A:D, 2, FALSE), "UNKNOWN")</f>
        <v>Alpha Capital 7</v>
      </c>
      <c r="D745" t="str">
        <f>IFERROR(VLOOKUP(FO_Capture!C745, Reference_Data!A:D, 3, FALSE), "XXX")</f>
        <v>INR</v>
      </c>
      <c r="E745" t="str">
        <f>IFERROR(VLOOKUP(FO_Capture!C745, Reference_Data!A:D, 4, FALSE), "MISSING SSI")</f>
        <v>Standard Chartered A/C 682134</v>
      </c>
      <c r="F745">
        <f>FO_Capture!D745</f>
        <v>280</v>
      </c>
      <c r="G745">
        <f>FO_Capture!E745</f>
        <v>426.17001342773438</v>
      </c>
      <c r="H745">
        <f t="shared" si="22"/>
        <v>119327.60375976563</v>
      </c>
      <c r="I745" t="str">
        <f t="shared" si="23"/>
        <v>Pass - Ready for Confirmation</v>
      </c>
    </row>
    <row r="746" spans="1:9" x14ac:dyDescent="0.3">
      <c r="A746" t="str">
        <f>FO_Capture!A746</f>
        <v>TRD00745</v>
      </c>
      <c r="B746" t="str">
        <f>FO_Capture!B746</f>
        <v>INE004A01096</v>
      </c>
      <c r="C746" t="str">
        <f>IFERROR(VLOOKUP(FO_Capture!C746, Reference_Data!A:D, 2, FALSE), "UNKNOWN")</f>
        <v>Alpha Asset Management 31</v>
      </c>
      <c r="D746" t="str">
        <f>IFERROR(VLOOKUP(FO_Capture!C746, Reference_Data!A:D, 3, FALSE), "XXX")</f>
        <v>USD</v>
      </c>
      <c r="E746" t="str">
        <f>IFERROR(VLOOKUP(FO_Capture!C746, Reference_Data!A:D, 4, FALSE), "MISSING SSI")</f>
        <v>Citi A/C 194841</v>
      </c>
      <c r="F746">
        <f>FO_Capture!D746</f>
        <v>70</v>
      </c>
      <c r="G746">
        <f>FO_Capture!E746</f>
        <v>248.36000061035156</v>
      </c>
      <c r="H746">
        <f t="shared" si="22"/>
        <v>17385.200042724609</v>
      </c>
      <c r="I746" t="str">
        <f t="shared" si="23"/>
        <v>Pass - Ready for Confirmation</v>
      </c>
    </row>
    <row r="747" spans="1:9" x14ac:dyDescent="0.3">
      <c r="A747" t="str">
        <f>FO_Capture!A747</f>
        <v>TRD00746</v>
      </c>
      <c r="B747" t="str">
        <f>FO_Capture!B747</f>
        <v>INE007A01086</v>
      </c>
      <c r="C747" t="str">
        <f>IFERROR(VLOOKUP(FO_Capture!C747, Reference_Data!A:D, 2, FALSE), "UNKNOWN")</f>
        <v>Alpha Quant Fund 34</v>
      </c>
      <c r="D747" t="str">
        <f>IFERROR(VLOOKUP(FO_Capture!C747, Reference_Data!A:D, 3, FALSE), "XXX")</f>
        <v>JPY</v>
      </c>
      <c r="E747" t="str">
        <f>IFERROR(VLOOKUP(FO_Capture!C747, Reference_Data!A:D, 4, FALSE), "MISSING SSI")</f>
        <v>Citi A/C 837378</v>
      </c>
      <c r="F747">
        <f>FO_Capture!D747</f>
        <v>460</v>
      </c>
      <c r="G747">
        <f>FO_Capture!E747</f>
        <v>154.85000610351563</v>
      </c>
      <c r="H747">
        <f t="shared" si="22"/>
        <v>71231.002807617188</v>
      </c>
      <c r="I747" t="str">
        <f t="shared" si="23"/>
        <v>Pass - Ready for Confirmation</v>
      </c>
    </row>
    <row r="748" spans="1:9" x14ac:dyDescent="0.3">
      <c r="A748" t="str">
        <f>FO_Capture!A748</f>
        <v>TRD00747</v>
      </c>
      <c r="B748" t="str">
        <f>FO_Capture!B748</f>
        <v>INE004A01094</v>
      </c>
      <c r="C748" t="str">
        <f>IFERROR(VLOOKUP(FO_Capture!C748, Reference_Data!A:D, 2, FALSE), "UNKNOWN")</f>
        <v>Alpha Capital 9</v>
      </c>
      <c r="D748" t="str">
        <f>IFERROR(VLOOKUP(FO_Capture!C748, Reference_Data!A:D, 3, FALSE), "XXX")</f>
        <v>JPY</v>
      </c>
      <c r="E748" t="str">
        <f>IFERROR(VLOOKUP(FO_Capture!C748, Reference_Data!A:D, 4, FALSE), "MISSING SSI")</f>
        <v>Citi A/C 744145</v>
      </c>
      <c r="F748">
        <f>FO_Capture!D748</f>
        <v>420</v>
      </c>
      <c r="G748">
        <f>FO_Capture!E748</f>
        <v>447.6400146484375</v>
      </c>
      <c r="H748">
        <f t="shared" si="22"/>
        <v>188008.80615234375</v>
      </c>
      <c r="I748" t="str">
        <f t="shared" si="23"/>
        <v>Pass - Ready for Confirmation</v>
      </c>
    </row>
    <row r="749" spans="1:9" x14ac:dyDescent="0.3">
      <c r="A749" t="str">
        <f>FO_Capture!A749</f>
        <v>TRD00748</v>
      </c>
      <c r="B749" t="str">
        <f>FO_Capture!B749</f>
        <v>INE002A01062</v>
      </c>
      <c r="C749" t="str">
        <f>IFERROR(VLOOKUP(FO_Capture!C749, Reference_Data!A:D, 2, FALSE), "UNKNOWN")</f>
        <v>Alpha Asset Management 4</v>
      </c>
      <c r="D749" t="str">
        <f>IFERROR(VLOOKUP(FO_Capture!C749, Reference_Data!A:D, 3, FALSE), "XXX")</f>
        <v>JPY</v>
      </c>
      <c r="E749" t="str">
        <f>IFERROR(VLOOKUP(FO_Capture!C749, Reference_Data!A:D, 4, FALSE), "MISSING SSI")</f>
        <v>Deutsche Bank A/C 126543</v>
      </c>
      <c r="F749">
        <f>FO_Capture!D749</f>
        <v>220</v>
      </c>
      <c r="G749">
        <f>FO_Capture!E749</f>
        <v>61.540000915527344</v>
      </c>
      <c r="H749">
        <f t="shared" si="22"/>
        <v>13538.800201416016</v>
      </c>
      <c r="I749" t="str">
        <f t="shared" si="23"/>
        <v>Pass - Ready for Confirmation</v>
      </c>
    </row>
    <row r="750" spans="1:9" x14ac:dyDescent="0.3">
      <c r="A750" t="str">
        <f>FO_Capture!A750</f>
        <v>TRD00749</v>
      </c>
      <c r="B750" t="str">
        <f>FO_Capture!B750</f>
        <v>INE008A01075</v>
      </c>
      <c r="C750" t="str">
        <f>IFERROR(VLOOKUP(FO_Capture!C750, Reference_Data!A:D, 2, FALSE), "UNKNOWN")</f>
        <v>Alpha Holdings 41</v>
      </c>
      <c r="D750" t="str">
        <f>IFERROR(VLOOKUP(FO_Capture!C750, Reference_Data!A:D, 3, FALSE), "XXX")</f>
        <v>JPY</v>
      </c>
      <c r="E750" t="str">
        <f>IFERROR(VLOOKUP(FO_Capture!C750, Reference_Data!A:D, 4, FALSE), "MISSING SSI")</f>
        <v>HSBC A/C 468615</v>
      </c>
      <c r="F750">
        <f>FO_Capture!D750</f>
        <v>170</v>
      </c>
      <c r="G750">
        <f>FO_Capture!E750</f>
        <v>314.17999267578125</v>
      </c>
      <c r="H750">
        <f t="shared" si="22"/>
        <v>53410.598754882813</v>
      </c>
      <c r="I750" t="str">
        <f t="shared" si="23"/>
        <v>Pass - Ready for Confirmation</v>
      </c>
    </row>
    <row r="751" spans="1:9" x14ac:dyDescent="0.3">
      <c r="A751" t="str">
        <f>FO_Capture!A751</f>
        <v>TRD00750</v>
      </c>
      <c r="B751" t="str">
        <f>FO_Capture!B751</f>
        <v>INE002A0103</v>
      </c>
      <c r="C751" t="str">
        <f>IFERROR(VLOOKUP(FO_Capture!C751, Reference_Data!A:D, 2, FALSE), "UNKNOWN")</f>
        <v>Alpha Partners 42</v>
      </c>
      <c r="D751" t="str">
        <f>IFERROR(VLOOKUP(FO_Capture!C751, Reference_Data!A:D, 3, FALSE), "XXX")</f>
        <v>USD</v>
      </c>
      <c r="E751" t="str">
        <f>IFERROR(VLOOKUP(FO_Capture!C751, Reference_Data!A:D, 4, FALSE), "MISSING SSI")</f>
        <v>Citi A/C 416082</v>
      </c>
      <c r="F751">
        <f>FO_Capture!D751</f>
        <v>380</v>
      </c>
      <c r="G751">
        <f>FO_Capture!E751</f>
        <v>156</v>
      </c>
      <c r="H751">
        <f t="shared" si="22"/>
        <v>59280</v>
      </c>
      <c r="I751" t="str">
        <f t="shared" si="23"/>
        <v>Pass - Ready for Confirmation</v>
      </c>
    </row>
    <row r="752" spans="1:9" x14ac:dyDescent="0.3">
      <c r="A752" t="str">
        <f>FO_Capture!A752</f>
        <v>TRD00751</v>
      </c>
      <c r="B752" t="str">
        <f>FO_Capture!B752</f>
        <v>INE008A01056</v>
      </c>
      <c r="C752" t="str">
        <f>IFERROR(VLOOKUP(FO_Capture!C752, Reference_Data!A:D, 2, FALSE), "UNKNOWN")</f>
        <v>Alpha Partners 6</v>
      </c>
      <c r="D752" t="str">
        <f>IFERROR(VLOOKUP(FO_Capture!C752, Reference_Data!A:D, 3, FALSE), "XXX")</f>
        <v>INR</v>
      </c>
      <c r="E752" t="str">
        <f>IFERROR(VLOOKUP(FO_Capture!C752, Reference_Data!A:D, 4, FALSE), "MISSING SSI")</f>
        <v>Standard Chartered A/C 441247</v>
      </c>
      <c r="F752">
        <f>FO_Capture!D752</f>
        <v>25000</v>
      </c>
      <c r="G752">
        <f>FO_Capture!E752</f>
        <v>487.8900146484375</v>
      </c>
      <c r="H752">
        <f t="shared" si="22"/>
        <v>12197250.366210938</v>
      </c>
      <c r="I752" t="str">
        <f t="shared" si="23"/>
        <v>Exception - Limit Breach</v>
      </c>
    </row>
    <row r="753" spans="1:9" x14ac:dyDescent="0.3">
      <c r="A753" t="str">
        <f>FO_Capture!A753</f>
        <v>TRD00752</v>
      </c>
      <c r="B753" t="str">
        <f>FO_Capture!B753</f>
        <v>INE008A01028</v>
      </c>
      <c r="C753" t="str">
        <f>IFERROR(VLOOKUP(FO_Capture!C753, Reference_Data!A:D, 2, FALSE), "UNKNOWN")</f>
        <v>Alpha Asset Management 31</v>
      </c>
      <c r="D753" t="str">
        <f>IFERROR(VLOOKUP(FO_Capture!C753, Reference_Data!A:D, 3, FALSE), "XXX")</f>
        <v>USD</v>
      </c>
      <c r="E753" t="str">
        <f>IFERROR(VLOOKUP(FO_Capture!C753, Reference_Data!A:D, 4, FALSE), "MISSING SSI")</f>
        <v>Citi A/C 194841</v>
      </c>
      <c r="F753">
        <f>FO_Capture!D753</f>
        <v>500</v>
      </c>
      <c r="G753">
        <f>FO_Capture!E753</f>
        <v>411.010009765625</v>
      </c>
      <c r="H753">
        <f t="shared" si="22"/>
        <v>205505.0048828125</v>
      </c>
      <c r="I753" t="str">
        <f t="shared" si="23"/>
        <v>Pass - Ready for Confirmation</v>
      </c>
    </row>
    <row r="754" spans="1:9" x14ac:dyDescent="0.3">
      <c r="A754" t="str">
        <f>FO_Capture!A754</f>
        <v>TRD00753</v>
      </c>
      <c r="B754" t="str">
        <f>FO_Capture!B754</f>
        <v>INE002A01033</v>
      </c>
      <c r="C754" t="str">
        <f>IFERROR(VLOOKUP(FO_Capture!C754, Reference_Data!A:D, 2, FALSE), "UNKNOWN")</f>
        <v>Alpha Quant Fund 50</v>
      </c>
      <c r="D754" t="str">
        <f>IFERROR(VLOOKUP(FO_Capture!C754, Reference_Data!A:D, 3, FALSE), "XXX")</f>
        <v>SGD</v>
      </c>
      <c r="E754" t="str">
        <f>IFERROR(VLOOKUP(FO_Capture!C754, Reference_Data!A:D, 4, FALSE), "MISSING SSI")</f>
        <v>Standard Chartered A/C 307017</v>
      </c>
      <c r="F754">
        <f>FO_Capture!D754</f>
        <v>460</v>
      </c>
      <c r="G754">
        <f>FO_Capture!E754</f>
        <v>122.19999694824219</v>
      </c>
      <c r="H754">
        <f t="shared" si="22"/>
        <v>56211.998596191406</v>
      </c>
      <c r="I754" t="str">
        <f t="shared" si="23"/>
        <v>Pass - Ready for Confirmation</v>
      </c>
    </row>
    <row r="755" spans="1:9" x14ac:dyDescent="0.3">
      <c r="A755" t="str">
        <f>FO_Capture!A755</f>
        <v>TRD00754</v>
      </c>
      <c r="B755" t="str">
        <f>FO_Capture!B755</f>
        <v>INE009A01035</v>
      </c>
      <c r="C755" t="str">
        <f>IFERROR(VLOOKUP(FO_Capture!C755, Reference_Data!A:D, 2, FALSE), "UNKNOWN")</f>
        <v>Alpha Asset Management 5</v>
      </c>
      <c r="D755" t="str">
        <f>IFERROR(VLOOKUP(FO_Capture!C755, Reference_Data!A:D, 3, FALSE), "XXX")</f>
        <v>INR</v>
      </c>
      <c r="E755" t="str">
        <f>IFERROR(VLOOKUP(FO_Capture!C755, Reference_Data!A:D, 4, FALSE), "MISSING SSI")</f>
        <v>JPMorgan A/C 860462</v>
      </c>
      <c r="F755">
        <f>FO_Capture!D755</f>
        <v>190</v>
      </c>
      <c r="G755">
        <f>FO_Capture!E755</f>
        <v>377.54998779296875</v>
      </c>
      <c r="H755">
        <f t="shared" si="22"/>
        <v>71734.497680664063</v>
      </c>
      <c r="I755" t="str">
        <f t="shared" si="23"/>
        <v>Pass - Ready for Confirmation</v>
      </c>
    </row>
    <row r="756" spans="1:9" x14ac:dyDescent="0.3">
      <c r="A756" t="str">
        <f>FO_Capture!A756</f>
        <v>TRD00755</v>
      </c>
      <c r="B756" t="str">
        <f>FO_Capture!B756</f>
        <v>INE002A01094</v>
      </c>
      <c r="C756" t="str">
        <f>IFERROR(VLOOKUP(FO_Capture!C756, Reference_Data!A:D, 2, FALSE), "UNKNOWN")</f>
        <v>Alpha Global 20</v>
      </c>
      <c r="D756" t="str">
        <f>IFERROR(VLOOKUP(FO_Capture!C756, Reference_Data!A:D, 3, FALSE), "XXX")</f>
        <v>JPY</v>
      </c>
      <c r="E756" t="str">
        <f>IFERROR(VLOOKUP(FO_Capture!C756, Reference_Data!A:D, 4, FALSE), "MISSING SSI")</f>
        <v>Barclays A/C 560891</v>
      </c>
      <c r="F756">
        <f>FO_Capture!D756</f>
        <v>360</v>
      </c>
      <c r="G756">
        <f>FO_Capture!E756</f>
        <v>472.23001098632813</v>
      </c>
      <c r="H756">
        <f t="shared" si="22"/>
        <v>170002.80395507813</v>
      </c>
      <c r="I756" t="str">
        <f t="shared" si="23"/>
        <v>Pass - Ready for Confirmation</v>
      </c>
    </row>
    <row r="757" spans="1:9" x14ac:dyDescent="0.3">
      <c r="A757" t="str">
        <f>FO_Capture!A757</f>
        <v>TRD00756</v>
      </c>
      <c r="B757" t="str">
        <f>FO_Capture!B757</f>
        <v>INE005A01043</v>
      </c>
      <c r="C757" t="str">
        <f>IFERROR(VLOOKUP(FO_Capture!C757, Reference_Data!A:D, 2, FALSE), "UNKNOWN")</f>
        <v>Alpha Capital 38</v>
      </c>
      <c r="D757" t="str">
        <f>IFERROR(VLOOKUP(FO_Capture!C757, Reference_Data!A:D, 3, FALSE), "XXX")</f>
        <v>SGD</v>
      </c>
      <c r="E757" t="str">
        <f>IFERROR(VLOOKUP(FO_Capture!C757, Reference_Data!A:D, 4, FALSE), "MISSING SSI")</f>
        <v>Deutsche Bank A/C 153521</v>
      </c>
      <c r="F757">
        <f>FO_Capture!D757</f>
        <v>170</v>
      </c>
      <c r="G757">
        <f>FO_Capture!E757</f>
        <v>490.48001098632813</v>
      </c>
      <c r="H757">
        <f t="shared" si="22"/>
        <v>83381.601867675781</v>
      </c>
      <c r="I757" t="str">
        <f t="shared" si="23"/>
        <v>Pass - Ready for Confirmation</v>
      </c>
    </row>
    <row r="758" spans="1:9" x14ac:dyDescent="0.3">
      <c r="A758" t="str">
        <f>FO_Capture!A758</f>
        <v>TRD00757</v>
      </c>
      <c r="B758" t="str">
        <f>FO_Capture!B758</f>
        <v>INE001A01032</v>
      </c>
      <c r="C758" t="str">
        <f>IFERROR(VLOOKUP(FO_Capture!C758, Reference_Data!A:D, 2, FALSE), "UNKNOWN")</f>
        <v>Alpha Global 39</v>
      </c>
      <c r="D758" t="str">
        <f>IFERROR(VLOOKUP(FO_Capture!C758, Reference_Data!A:D, 3, FALSE), "XXX")</f>
        <v>SGD</v>
      </c>
      <c r="E758" t="str">
        <f>IFERROR(VLOOKUP(FO_Capture!C758, Reference_Data!A:D, 4, FALSE), "MISSING SSI")</f>
        <v>Deutsche Bank A/C 917029</v>
      </c>
      <c r="F758">
        <f>FO_Capture!D758</f>
        <v>190</v>
      </c>
      <c r="G758">
        <f>FO_Capture!E758</f>
        <v>55.580001831054688</v>
      </c>
      <c r="H758">
        <f t="shared" si="22"/>
        <v>10560.200347900391</v>
      </c>
      <c r="I758" t="str">
        <f t="shared" si="23"/>
        <v>Pass - Ready for Confirmation</v>
      </c>
    </row>
    <row r="759" spans="1:9" x14ac:dyDescent="0.3">
      <c r="A759" t="str">
        <f>FO_Capture!A759</f>
        <v>TRD00758</v>
      </c>
      <c r="B759" t="str">
        <f>FO_Capture!B759</f>
        <v>INE005A01082</v>
      </c>
      <c r="C759" t="str">
        <f>IFERROR(VLOOKUP(FO_Capture!C759, Reference_Data!A:D, 2, FALSE), "UNKNOWN")</f>
        <v>Alpha Holdings 23</v>
      </c>
      <c r="D759" t="str">
        <f>IFERROR(VLOOKUP(FO_Capture!C759, Reference_Data!A:D, 3, FALSE), "XXX")</f>
        <v>INR</v>
      </c>
      <c r="E759" t="str">
        <f>IFERROR(VLOOKUP(FO_Capture!C759, Reference_Data!A:D, 4, FALSE), "MISSING SSI")</f>
        <v>Deutsche Bank A/C 983712</v>
      </c>
      <c r="F759">
        <f>FO_Capture!D759</f>
        <v>10</v>
      </c>
      <c r="G759">
        <f>FO_Capture!E759</f>
        <v>79.879997253417969</v>
      </c>
      <c r="H759">
        <f t="shared" si="22"/>
        <v>798.79997253417969</v>
      </c>
      <c r="I759" t="str">
        <f t="shared" si="23"/>
        <v>Pass - Ready for Confirmation</v>
      </c>
    </row>
    <row r="760" spans="1:9" x14ac:dyDescent="0.3">
      <c r="A760" t="str">
        <f>FO_Capture!A760</f>
        <v>TRD00759</v>
      </c>
      <c r="B760" t="str">
        <f>FO_Capture!B760</f>
        <v>INE009A01039</v>
      </c>
      <c r="C760" t="str">
        <f>IFERROR(VLOOKUP(FO_Capture!C760, Reference_Data!A:D, 2, FALSE), "UNKNOWN")</f>
        <v>Alpha Global 30</v>
      </c>
      <c r="D760" t="str">
        <f>IFERROR(VLOOKUP(FO_Capture!C760, Reference_Data!A:D, 3, FALSE), "XXX")</f>
        <v>JPY</v>
      </c>
      <c r="E760" t="str">
        <f>IFERROR(VLOOKUP(FO_Capture!C760, Reference_Data!A:D, 4, FALSE), "MISSING SSI")</f>
        <v>Deutsche Bank A/C 917262</v>
      </c>
      <c r="F760">
        <f>FO_Capture!D760</f>
        <v>70</v>
      </c>
      <c r="G760">
        <f>FO_Capture!E760</f>
        <v>14.810000419616699</v>
      </c>
      <c r="H760">
        <f t="shared" si="22"/>
        <v>1036.7000293731689</v>
      </c>
      <c r="I760" t="str">
        <f t="shared" si="23"/>
        <v>Pass - Ready for Confirmation</v>
      </c>
    </row>
    <row r="761" spans="1:9" x14ac:dyDescent="0.3">
      <c r="A761" t="str">
        <f>FO_Capture!A761</f>
        <v>TRD00760</v>
      </c>
      <c r="B761" t="str">
        <f>FO_Capture!B761</f>
        <v>INE001A01012</v>
      </c>
      <c r="C761" t="str">
        <f>IFERROR(VLOOKUP(FO_Capture!C761, Reference_Data!A:D, 2, FALSE), "UNKNOWN")</f>
        <v>Alpha Holdings 16</v>
      </c>
      <c r="D761" t="str">
        <f>IFERROR(VLOOKUP(FO_Capture!C761, Reference_Data!A:D, 3, FALSE), "XXX")</f>
        <v>USD</v>
      </c>
      <c r="E761" t="str">
        <f>IFERROR(VLOOKUP(FO_Capture!C761, Reference_Data!A:D, 4, FALSE), "MISSING SSI")</f>
        <v>Barclays A/C 197229</v>
      </c>
      <c r="F761">
        <f>FO_Capture!D761</f>
        <v>380</v>
      </c>
      <c r="G761">
        <f>FO_Capture!E761</f>
        <v>100.83000183105469</v>
      </c>
      <c r="H761">
        <f t="shared" si="22"/>
        <v>38315.400695800781</v>
      </c>
      <c r="I761" t="str">
        <f t="shared" si="23"/>
        <v>Pass - Ready for Confirmation</v>
      </c>
    </row>
    <row r="762" spans="1:9" x14ac:dyDescent="0.3">
      <c r="A762" t="str">
        <f>FO_Capture!A762</f>
        <v>TRD00761</v>
      </c>
      <c r="B762" t="str">
        <f>FO_Capture!B762</f>
        <v>INE001A01035</v>
      </c>
      <c r="C762" t="str">
        <f>IFERROR(VLOOKUP(FO_Capture!C762, Reference_Data!A:D, 2, FALSE), "UNKNOWN")</f>
        <v>Alpha Investments 29</v>
      </c>
      <c r="D762" t="str">
        <f>IFERROR(VLOOKUP(FO_Capture!C762, Reference_Data!A:D, 3, FALSE), "XXX")</f>
        <v>INR</v>
      </c>
      <c r="E762" t="str">
        <f>IFERROR(VLOOKUP(FO_Capture!C762, Reference_Data!A:D, 4, FALSE), "MISSING SSI")</f>
        <v>HSBC A/C 785870</v>
      </c>
      <c r="F762">
        <f>FO_Capture!D762</f>
        <v>250</v>
      </c>
      <c r="G762">
        <f>FO_Capture!E762</f>
        <v>117.5</v>
      </c>
      <c r="H762">
        <f t="shared" si="22"/>
        <v>29375</v>
      </c>
      <c r="I762" t="str">
        <f t="shared" si="23"/>
        <v>Pass - Ready for Confirmation</v>
      </c>
    </row>
    <row r="763" spans="1:9" x14ac:dyDescent="0.3">
      <c r="A763" t="str">
        <f>FO_Capture!A763</f>
        <v>TRD00762</v>
      </c>
      <c r="B763" t="str">
        <f>FO_Capture!B763</f>
        <v>INE006A01012</v>
      </c>
      <c r="C763" t="str">
        <f>IFERROR(VLOOKUP(FO_Capture!C763, Reference_Data!A:D, 2, FALSE), "UNKNOWN")</f>
        <v>Alpha Capital 33</v>
      </c>
      <c r="D763" t="str">
        <f>IFERROR(VLOOKUP(FO_Capture!C763, Reference_Data!A:D, 3, FALSE), "XXX")</f>
        <v>JPY</v>
      </c>
      <c r="E763" t="str">
        <f>IFERROR(VLOOKUP(FO_Capture!C763, Reference_Data!A:D, 4, FALSE), "MISSING SSI")</f>
        <v>HSBC A/C 172861</v>
      </c>
      <c r="F763">
        <f>FO_Capture!D763</f>
        <v>90</v>
      </c>
      <c r="G763">
        <f>FO_Capture!E763</f>
        <v>133.41000366210938</v>
      </c>
      <c r="H763">
        <f t="shared" si="22"/>
        <v>12006.900329589844</v>
      </c>
      <c r="I763" t="str">
        <f t="shared" si="23"/>
        <v>Pass - Ready for Confirmation</v>
      </c>
    </row>
    <row r="764" spans="1:9" x14ac:dyDescent="0.3">
      <c r="A764" t="str">
        <f>FO_Capture!A764</f>
        <v>TRD00763</v>
      </c>
      <c r="B764" t="str">
        <f>FO_Capture!B764</f>
        <v>INE009A01065</v>
      </c>
      <c r="C764" t="str">
        <f>IFERROR(VLOOKUP(FO_Capture!C764, Reference_Data!A:D, 2, FALSE), "UNKNOWN")</f>
        <v>Alpha Quant Fund 34</v>
      </c>
      <c r="D764" t="str">
        <f>IFERROR(VLOOKUP(FO_Capture!C764, Reference_Data!A:D, 3, FALSE), "XXX")</f>
        <v>JPY</v>
      </c>
      <c r="E764" t="str">
        <f>IFERROR(VLOOKUP(FO_Capture!C764, Reference_Data!A:D, 4, FALSE), "MISSING SSI")</f>
        <v>Citi A/C 837378</v>
      </c>
      <c r="F764">
        <f>FO_Capture!D764</f>
        <v>100</v>
      </c>
      <c r="G764">
        <f>FO_Capture!E764</f>
        <v>256.23001098632813</v>
      </c>
      <c r="H764">
        <f t="shared" si="22"/>
        <v>25623.001098632813</v>
      </c>
      <c r="I764" t="str">
        <f t="shared" si="23"/>
        <v>Pass - Ready for Confirmation</v>
      </c>
    </row>
    <row r="765" spans="1:9" x14ac:dyDescent="0.3">
      <c r="A765" t="str">
        <f>FO_Capture!A765</f>
        <v>TRD00764</v>
      </c>
      <c r="B765" t="str">
        <f>FO_Capture!B765</f>
        <v>INE007A01089</v>
      </c>
      <c r="C765" t="str">
        <f>IFERROR(VLOOKUP(FO_Capture!C765, Reference_Data!A:D, 2, FALSE), "UNKNOWN")</f>
        <v>Alpha Asset Management 4</v>
      </c>
      <c r="D765" t="str">
        <f>IFERROR(VLOOKUP(FO_Capture!C765, Reference_Data!A:D, 3, FALSE), "XXX")</f>
        <v>JPY</v>
      </c>
      <c r="E765" t="str">
        <f>IFERROR(VLOOKUP(FO_Capture!C765, Reference_Data!A:D, 4, FALSE), "MISSING SSI")</f>
        <v>Deutsche Bank A/C 126543</v>
      </c>
      <c r="F765">
        <f>FO_Capture!D765</f>
        <v>70</v>
      </c>
      <c r="G765">
        <f>FO_Capture!E765</f>
        <v>382.69000244140625</v>
      </c>
      <c r="H765">
        <f t="shared" si="22"/>
        <v>26788.300170898438</v>
      </c>
      <c r="I765" t="str">
        <f t="shared" si="23"/>
        <v>Pass - Ready for Confirmation</v>
      </c>
    </row>
    <row r="766" spans="1:9" x14ac:dyDescent="0.3">
      <c r="A766" t="str">
        <f>FO_Capture!A766</f>
        <v>TRD00765</v>
      </c>
      <c r="B766" t="str">
        <f>FO_Capture!B766</f>
        <v>INE003A01097</v>
      </c>
      <c r="C766" t="str">
        <f>IFERROR(VLOOKUP(FO_Capture!C766, Reference_Data!A:D, 2, FALSE), "UNKNOWN")</f>
        <v>Alpha Capital 7</v>
      </c>
      <c r="D766" t="str">
        <f>IFERROR(VLOOKUP(FO_Capture!C766, Reference_Data!A:D, 3, FALSE), "XXX")</f>
        <v>INR</v>
      </c>
      <c r="E766" t="str">
        <f>IFERROR(VLOOKUP(FO_Capture!C766, Reference_Data!A:D, 4, FALSE), "MISSING SSI")</f>
        <v>Standard Chartered A/C 682134</v>
      </c>
      <c r="F766">
        <f>FO_Capture!D766</f>
        <v>100</v>
      </c>
      <c r="G766">
        <f>FO_Capture!E766</f>
        <v>448.57998657226563</v>
      </c>
      <c r="H766">
        <f t="shared" si="22"/>
        <v>44857.998657226563</v>
      </c>
      <c r="I766" t="str">
        <f t="shared" si="23"/>
        <v>Pass - Ready for Confirmation</v>
      </c>
    </row>
    <row r="767" spans="1:9" x14ac:dyDescent="0.3">
      <c r="A767" t="str">
        <f>FO_Capture!A767</f>
        <v>TRD00766</v>
      </c>
      <c r="B767" t="str">
        <f>FO_Capture!B767</f>
        <v>INE004A01075</v>
      </c>
      <c r="C767" t="str">
        <f>IFERROR(VLOOKUP(FO_Capture!C767, Reference_Data!A:D, 2, FALSE), "UNKNOWN")</f>
        <v>Alpha Holdings 23</v>
      </c>
      <c r="D767" t="str">
        <f>IFERROR(VLOOKUP(FO_Capture!C767, Reference_Data!A:D, 3, FALSE), "XXX")</f>
        <v>INR</v>
      </c>
      <c r="E767" t="str">
        <f>IFERROR(VLOOKUP(FO_Capture!C767, Reference_Data!A:D, 4, FALSE), "MISSING SSI")</f>
        <v>Deutsche Bank A/C 983712</v>
      </c>
      <c r="F767">
        <f>FO_Capture!D767</f>
        <v>380</v>
      </c>
      <c r="G767">
        <f>FO_Capture!E767</f>
        <v>178.75999450683594</v>
      </c>
      <c r="H767">
        <f t="shared" si="22"/>
        <v>67928.797912597656</v>
      </c>
      <c r="I767" t="str">
        <f t="shared" si="23"/>
        <v>Pass - Ready for Confirmation</v>
      </c>
    </row>
    <row r="768" spans="1:9" x14ac:dyDescent="0.3">
      <c r="A768" t="str">
        <f>FO_Capture!A768</f>
        <v>TRD00767</v>
      </c>
      <c r="B768" t="str">
        <f>FO_Capture!B768</f>
        <v>INE002A01027</v>
      </c>
      <c r="C768" t="str">
        <f>IFERROR(VLOOKUP(FO_Capture!C768, Reference_Data!A:D, 2, FALSE), "UNKNOWN")</f>
        <v>Alpha Partners 22</v>
      </c>
      <c r="D768" t="str">
        <f>IFERROR(VLOOKUP(FO_Capture!C768, Reference_Data!A:D, 3, FALSE), "XXX")</f>
        <v>GBP</v>
      </c>
      <c r="E768" t="str">
        <f>IFERROR(VLOOKUP(FO_Capture!C768, Reference_Data!A:D, 4, FALSE), "MISSING SSI")</f>
        <v>JPMorgan A/C 488546</v>
      </c>
      <c r="F768">
        <f>FO_Capture!D768</f>
        <v>390</v>
      </c>
      <c r="G768">
        <f>FO_Capture!E768</f>
        <v>337.1400146484375</v>
      </c>
      <c r="H768">
        <f t="shared" si="22"/>
        <v>131484.60571289063</v>
      </c>
      <c r="I768" t="str">
        <f t="shared" si="23"/>
        <v>Pass - Ready for Confirmation</v>
      </c>
    </row>
    <row r="769" spans="1:9" x14ac:dyDescent="0.3">
      <c r="A769" t="str">
        <f>FO_Capture!A769</f>
        <v>TRD00768</v>
      </c>
      <c r="B769" t="str">
        <f>FO_Capture!B769</f>
        <v>INE006A01027</v>
      </c>
      <c r="C769" t="str">
        <f>IFERROR(VLOOKUP(FO_Capture!C769, Reference_Data!A:D, 2, FALSE), "UNKNOWN")</f>
        <v>Alpha Investments 43</v>
      </c>
      <c r="D769" t="str">
        <f>IFERROR(VLOOKUP(FO_Capture!C769, Reference_Data!A:D, 3, FALSE), "XXX")</f>
        <v>EUR</v>
      </c>
      <c r="E769" t="str">
        <f>IFERROR(VLOOKUP(FO_Capture!C769, Reference_Data!A:D, 4, FALSE), "MISSING SSI")</f>
        <v>Citi A/C 714496</v>
      </c>
      <c r="F769">
        <f>FO_Capture!D769</f>
        <v>190</v>
      </c>
      <c r="G769">
        <f>FO_Capture!E769</f>
        <v>476.69000244140625</v>
      </c>
      <c r="H769">
        <f t="shared" si="22"/>
        <v>90571.100463867188</v>
      </c>
      <c r="I769" t="str">
        <f t="shared" si="23"/>
        <v>Pass - Ready for Confirmation</v>
      </c>
    </row>
    <row r="770" spans="1:9" x14ac:dyDescent="0.3">
      <c r="A770" t="str">
        <f>FO_Capture!A770</f>
        <v>TRD00769</v>
      </c>
      <c r="B770" t="str">
        <f>FO_Capture!B770</f>
        <v>INE008A01072</v>
      </c>
      <c r="C770" t="str">
        <f>IFERROR(VLOOKUP(FO_Capture!C770, Reference_Data!A:D, 2, FALSE), "UNKNOWN")</f>
        <v>Alpha Global 14</v>
      </c>
      <c r="D770" t="str">
        <f>IFERROR(VLOOKUP(FO_Capture!C770, Reference_Data!A:D, 3, FALSE), "XXX")</f>
        <v>USD</v>
      </c>
      <c r="E770" t="str">
        <f>IFERROR(VLOOKUP(FO_Capture!C770, Reference_Data!A:D, 4, FALSE), "MISSING SSI")</f>
        <v>HSBC A/C 864249</v>
      </c>
      <c r="F770">
        <f>FO_Capture!D770</f>
        <v>190</v>
      </c>
      <c r="G770">
        <f>FO_Capture!E770</f>
        <v>189.46000671386719</v>
      </c>
      <c r="H770">
        <f t="shared" si="22"/>
        <v>35997.401275634766</v>
      </c>
      <c r="I770" t="str">
        <f t="shared" si="23"/>
        <v>Pass - Ready for Confirmation</v>
      </c>
    </row>
    <row r="771" spans="1:9" x14ac:dyDescent="0.3">
      <c r="A771" t="str">
        <f>FO_Capture!A771</f>
        <v>TRD00770</v>
      </c>
      <c r="B771" t="str">
        <f>FO_Capture!B771</f>
        <v>INE008A01027</v>
      </c>
      <c r="C771" t="str">
        <f>IFERROR(VLOOKUP(FO_Capture!C771, Reference_Data!A:D, 2, FALSE), "UNKNOWN")</f>
        <v>Alpha Asset Management 32</v>
      </c>
      <c r="D771" t="str">
        <f>IFERROR(VLOOKUP(FO_Capture!C771, Reference_Data!A:D, 3, FALSE), "XXX")</f>
        <v>INR</v>
      </c>
      <c r="E771" t="str">
        <f>IFERROR(VLOOKUP(FO_Capture!C771, Reference_Data!A:D, 4, FALSE), "MISSING SSI")</f>
        <v>Barclays A/C 302646</v>
      </c>
      <c r="F771">
        <f>FO_Capture!D771</f>
        <v>330</v>
      </c>
      <c r="G771">
        <f>FO_Capture!E771</f>
        <v>356.55999755859375</v>
      </c>
      <c r="H771">
        <f t="shared" ref="H771:H834" si="24">F771 * G771</f>
        <v>117664.79919433594</v>
      </c>
      <c r="I771" t="str">
        <f t="shared" ref="I771:I834" si="25">IF(C771="UNKNOWN", "Fail - Missing Ref Data", IF(OR(F771&lt;=0, G771&lt;=0), "Fail - Invalid Price/Qty", IF(H771&gt;1000000, "Exception - Limit Breach", "Pass - Ready for Confirmation")))</f>
        <v>Pass - Ready for Confirmation</v>
      </c>
    </row>
    <row r="772" spans="1:9" x14ac:dyDescent="0.3">
      <c r="A772" t="str">
        <f>FO_Capture!A772</f>
        <v>TRD00771</v>
      </c>
      <c r="B772" t="str">
        <f>FO_Capture!B772</f>
        <v>INE008A01077</v>
      </c>
      <c r="C772" t="str">
        <f>IFERROR(VLOOKUP(FO_Capture!C772, Reference_Data!A:D, 2, FALSE), "UNKNOWN")</f>
        <v>Alpha Capital 33</v>
      </c>
      <c r="D772" t="str">
        <f>IFERROR(VLOOKUP(FO_Capture!C772, Reference_Data!A:D, 3, FALSE), "XXX")</f>
        <v>JPY</v>
      </c>
      <c r="E772" t="str">
        <f>IFERROR(VLOOKUP(FO_Capture!C772, Reference_Data!A:D, 4, FALSE), "MISSING SSI")</f>
        <v>HSBC A/C 172861</v>
      </c>
      <c r="F772">
        <f>FO_Capture!D772</f>
        <v>390</v>
      </c>
      <c r="G772">
        <f>FO_Capture!E772</f>
        <v>398.1400146484375</v>
      </c>
      <c r="H772">
        <f t="shared" si="24"/>
        <v>155274.60571289063</v>
      </c>
      <c r="I772" t="str">
        <f t="shared" si="25"/>
        <v>Pass - Ready for Confirmation</v>
      </c>
    </row>
    <row r="773" spans="1:9" x14ac:dyDescent="0.3">
      <c r="A773" t="str">
        <f>FO_Capture!A773</f>
        <v>TRD00772</v>
      </c>
      <c r="B773" t="str">
        <f>FO_Capture!B773</f>
        <v>INE008A01079</v>
      </c>
      <c r="C773" t="str">
        <f>IFERROR(VLOOKUP(FO_Capture!C773, Reference_Data!A:D, 2, FALSE), "UNKNOWN")</f>
        <v>Alpha Global 20</v>
      </c>
      <c r="D773" t="str">
        <f>IFERROR(VLOOKUP(FO_Capture!C773, Reference_Data!A:D, 3, FALSE), "XXX")</f>
        <v>JPY</v>
      </c>
      <c r="E773" t="str">
        <f>IFERROR(VLOOKUP(FO_Capture!C773, Reference_Data!A:D, 4, FALSE), "MISSING SSI")</f>
        <v>Barclays A/C 560891</v>
      </c>
      <c r="F773">
        <f>FO_Capture!D773</f>
        <v>210</v>
      </c>
      <c r="G773">
        <f>FO_Capture!E773</f>
        <v>23.440000534057617</v>
      </c>
      <c r="H773">
        <f t="shared" si="24"/>
        <v>4922.4001121520996</v>
      </c>
      <c r="I773" t="str">
        <f t="shared" si="25"/>
        <v>Pass - Ready for Confirmation</v>
      </c>
    </row>
    <row r="774" spans="1:9" x14ac:dyDescent="0.3">
      <c r="A774" t="str">
        <f>FO_Capture!A774</f>
        <v>TRD00773</v>
      </c>
      <c r="B774" t="str">
        <f>FO_Capture!B774</f>
        <v>INE009A01011</v>
      </c>
      <c r="C774" t="str">
        <f>IFERROR(VLOOKUP(FO_Capture!C774, Reference_Data!A:D, 2, FALSE), "UNKNOWN")</f>
        <v>Alpha Global 39</v>
      </c>
      <c r="D774" t="str">
        <f>IFERROR(VLOOKUP(FO_Capture!C774, Reference_Data!A:D, 3, FALSE), "XXX")</f>
        <v>SGD</v>
      </c>
      <c r="E774" t="str">
        <f>IFERROR(VLOOKUP(FO_Capture!C774, Reference_Data!A:D, 4, FALSE), "MISSING SSI")</f>
        <v>Deutsche Bank A/C 917029</v>
      </c>
      <c r="F774">
        <f>FO_Capture!D774</f>
        <v>470</v>
      </c>
      <c r="G774">
        <f>FO_Capture!E774</f>
        <v>480.75</v>
      </c>
      <c r="H774">
        <f t="shared" si="24"/>
        <v>225952.5</v>
      </c>
      <c r="I774" t="str">
        <f t="shared" si="25"/>
        <v>Pass - Ready for Confirmation</v>
      </c>
    </row>
    <row r="775" spans="1:9" x14ac:dyDescent="0.3">
      <c r="A775" t="str">
        <f>FO_Capture!A775</f>
        <v>TRD00774</v>
      </c>
      <c r="B775" t="str">
        <f>FO_Capture!B775</f>
        <v>INE004A01019</v>
      </c>
      <c r="C775" t="str">
        <f>IFERROR(VLOOKUP(FO_Capture!C775, Reference_Data!A:D, 2, FALSE), "UNKNOWN")</f>
        <v>Alpha Quant Fund 50</v>
      </c>
      <c r="D775" t="str">
        <f>IFERROR(VLOOKUP(FO_Capture!C775, Reference_Data!A:D, 3, FALSE), "XXX")</f>
        <v>SGD</v>
      </c>
      <c r="E775" t="str">
        <f>IFERROR(VLOOKUP(FO_Capture!C775, Reference_Data!A:D, 4, FALSE), "MISSING SSI")</f>
        <v>Standard Chartered A/C 307017</v>
      </c>
      <c r="F775">
        <f>FO_Capture!D775</f>
        <v>400</v>
      </c>
      <c r="G775">
        <f>FO_Capture!E775</f>
        <v>307.42001342773438</v>
      </c>
      <c r="H775">
        <f t="shared" si="24"/>
        <v>122968.00537109375</v>
      </c>
      <c r="I775" t="str">
        <f t="shared" si="25"/>
        <v>Pass - Ready for Confirmation</v>
      </c>
    </row>
    <row r="776" spans="1:9" x14ac:dyDescent="0.3">
      <c r="A776" t="str">
        <f>FO_Capture!A776</f>
        <v>TRD00775</v>
      </c>
      <c r="B776" t="str">
        <f>FO_Capture!B776</f>
        <v>INE002A01068</v>
      </c>
      <c r="C776" t="str">
        <f>IFERROR(VLOOKUP(FO_Capture!C776, Reference_Data!A:D, 2, FALSE), "UNKNOWN")</f>
        <v>Alpha Partners 6</v>
      </c>
      <c r="D776" t="str">
        <f>IFERROR(VLOOKUP(FO_Capture!C776, Reference_Data!A:D, 3, FALSE), "XXX")</f>
        <v>INR</v>
      </c>
      <c r="E776" t="str">
        <f>IFERROR(VLOOKUP(FO_Capture!C776, Reference_Data!A:D, 4, FALSE), "MISSING SSI")</f>
        <v>Standard Chartered A/C 441247</v>
      </c>
      <c r="F776">
        <f>FO_Capture!D776</f>
        <v>60</v>
      </c>
      <c r="G776">
        <f>FO_Capture!E776</f>
        <v>79.870002746582031</v>
      </c>
      <c r="H776">
        <f t="shared" si="24"/>
        <v>4792.2001647949219</v>
      </c>
      <c r="I776" t="str">
        <f t="shared" si="25"/>
        <v>Pass - Ready for Confirmation</v>
      </c>
    </row>
    <row r="777" spans="1:9" x14ac:dyDescent="0.3">
      <c r="A777" t="str">
        <f>FO_Capture!A777</f>
        <v>TRD00776</v>
      </c>
      <c r="B777" t="str">
        <f>FO_Capture!B777</f>
        <v>INE006A0100</v>
      </c>
      <c r="C777" t="str">
        <f>IFERROR(VLOOKUP(FO_Capture!C777, Reference_Data!A:D, 2, FALSE), "UNKNOWN")</f>
        <v>Alpha Partners 26</v>
      </c>
      <c r="D777" t="str">
        <f>IFERROR(VLOOKUP(FO_Capture!C777, Reference_Data!A:D, 3, FALSE), "XXX")</f>
        <v>USD</v>
      </c>
      <c r="E777" t="str">
        <f>IFERROR(VLOOKUP(FO_Capture!C777, Reference_Data!A:D, 4, FALSE), "MISSING SSI")</f>
        <v>HSBC A/C 867781</v>
      </c>
      <c r="F777">
        <f>FO_Capture!D777</f>
        <v>70</v>
      </c>
      <c r="G777">
        <f>FO_Capture!E777</f>
        <v>163.58000183105469</v>
      </c>
      <c r="H777">
        <f t="shared" si="24"/>
        <v>11450.600128173828</v>
      </c>
      <c r="I777" t="str">
        <f t="shared" si="25"/>
        <v>Pass - Ready for Confirmation</v>
      </c>
    </row>
    <row r="778" spans="1:9" x14ac:dyDescent="0.3">
      <c r="A778" t="str">
        <f>FO_Capture!A778</f>
        <v>TRD00777</v>
      </c>
      <c r="B778" t="str">
        <f>FO_Capture!B778</f>
        <v>INE008A01068</v>
      </c>
      <c r="C778" t="str">
        <f>IFERROR(VLOOKUP(FO_Capture!C778, Reference_Data!A:D, 2, FALSE), "UNKNOWN")</f>
        <v>Alpha Global 20</v>
      </c>
      <c r="D778" t="str">
        <f>IFERROR(VLOOKUP(FO_Capture!C778, Reference_Data!A:D, 3, FALSE), "XXX")</f>
        <v>JPY</v>
      </c>
      <c r="E778" t="str">
        <f>IFERROR(VLOOKUP(FO_Capture!C778, Reference_Data!A:D, 4, FALSE), "MISSING SSI")</f>
        <v>Barclays A/C 560891</v>
      </c>
      <c r="F778">
        <f>FO_Capture!D778</f>
        <v>390</v>
      </c>
      <c r="G778">
        <f>FO_Capture!E778</f>
        <v>463.07998657226563</v>
      </c>
      <c r="H778">
        <f t="shared" si="24"/>
        <v>180601.19476318359</v>
      </c>
      <c r="I778" t="str">
        <f t="shared" si="25"/>
        <v>Pass - Ready for Confirmation</v>
      </c>
    </row>
    <row r="779" spans="1:9" x14ac:dyDescent="0.3">
      <c r="A779" t="str">
        <f>FO_Capture!A779</f>
        <v>TRD00778</v>
      </c>
      <c r="B779" t="str">
        <f>FO_Capture!B779</f>
        <v>INE009A0105</v>
      </c>
      <c r="C779" t="str">
        <f>IFERROR(VLOOKUP(FO_Capture!C779, Reference_Data!A:D, 2, FALSE), "UNKNOWN")</f>
        <v>Alpha Investments 15</v>
      </c>
      <c r="D779" t="str">
        <f>IFERROR(VLOOKUP(FO_Capture!C779, Reference_Data!A:D, 3, FALSE), "XXX")</f>
        <v>INR</v>
      </c>
      <c r="E779" t="str">
        <f>IFERROR(VLOOKUP(FO_Capture!C779, Reference_Data!A:D, 4, FALSE), "MISSING SSI")</f>
        <v>Deutsche Bank A/C 330518</v>
      </c>
      <c r="F779">
        <f>FO_Capture!D779</f>
        <v>40</v>
      </c>
      <c r="G779">
        <f>FO_Capture!E779</f>
        <v>171.99000549316406</v>
      </c>
      <c r="H779">
        <f t="shared" si="24"/>
        <v>6879.6002197265625</v>
      </c>
      <c r="I779" t="str">
        <f t="shared" si="25"/>
        <v>Pass - Ready for Confirmation</v>
      </c>
    </row>
    <row r="780" spans="1:9" x14ac:dyDescent="0.3">
      <c r="A780" t="str">
        <f>FO_Capture!A780</f>
        <v>TRD00779</v>
      </c>
      <c r="B780" t="str">
        <f>FO_Capture!B780</f>
        <v>INE003A01055</v>
      </c>
      <c r="C780" t="str">
        <f>IFERROR(VLOOKUP(FO_Capture!C780, Reference_Data!A:D, 2, FALSE), "UNKNOWN")</f>
        <v>Alpha Investments 29</v>
      </c>
      <c r="D780" t="str">
        <f>IFERROR(VLOOKUP(FO_Capture!C780, Reference_Data!A:D, 3, FALSE), "XXX")</f>
        <v>INR</v>
      </c>
      <c r="E780" t="str">
        <f>IFERROR(VLOOKUP(FO_Capture!C780, Reference_Data!A:D, 4, FALSE), "MISSING SSI")</f>
        <v>HSBC A/C 785870</v>
      </c>
      <c r="F780">
        <f>FO_Capture!D780</f>
        <v>350</v>
      </c>
      <c r="G780">
        <f>FO_Capture!E780</f>
        <v>22.959999084472656</v>
      </c>
      <c r="H780">
        <f t="shared" si="24"/>
        <v>8035.9996795654297</v>
      </c>
      <c r="I780" t="str">
        <f t="shared" si="25"/>
        <v>Pass - Ready for Confirmation</v>
      </c>
    </row>
    <row r="781" spans="1:9" x14ac:dyDescent="0.3">
      <c r="A781" t="str">
        <f>FO_Capture!A781</f>
        <v>TRD00780</v>
      </c>
      <c r="B781" t="str">
        <f>FO_Capture!B781</f>
        <v>INE001A01040</v>
      </c>
      <c r="C781" t="str">
        <f>IFERROR(VLOOKUP(FO_Capture!C781, Reference_Data!A:D, 2, FALSE), "UNKNOWN")</f>
        <v>Alpha Partners 48</v>
      </c>
      <c r="D781" t="str">
        <f>IFERROR(VLOOKUP(FO_Capture!C781, Reference_Data!A:D, 3, FALSE), "XXX")</f>
        <v>SGD</v>
      </c>
      <c r="E781" t="str">
        <f>IFERROR(VLOOKUP(FO_Capture!C781, Reference_Data!A:D, 4, FALSE), "MISSING SSI")</f>
        <v>JPMorgan A/C 391364</v>
      </c>
      <c r="F781">
        <f>FO_Capture!D781</f>
        <v>230</v>
      </c>
      <c r="G781">
        <f>FO_Capture!E781</f>
        <v>37.729999542236328</v>
      </c>
      <c r="H781">
        <f t="shared" si="24"/>
        <v>8677.8998947143555</v>
      </c>
      <c r="I781" t="str">
        <f t="shared" si="25"/>
        <v>Pass - Ready for Confirmation</v>
      </c>
    </row>
    <row r="782" spans="1:9" x14ac:dyDescent="0.3">
      <c r="A782" t="str">
        <f>FO_Capture!A782</f>
        <v>TRD00781</v>
      </c>
      <c r="B782" t="str">
        <f>FO_Capture!B782</f>
        <v>INE005A01096</v>
      </c>
      <c r="C782" t="str">
        <f>IFERROR(VLOOKUP(FO_Capture!C782, Reference_Data!A:D, 2, FALSE), "UNKNOWN")</f>
        <v>Alpha Global 46</v>
      </c>
      <c r="D782" t="str">
        <f>IFERROR(VLOOKUP(FO_Capture!C782, Reference_Data!A:D, 3, FALSE), "XXX")</f>
        <v>USD</v>
      </c>
      <c r="E782" t="str">
        <f>IFERROR(VLOOKUP(FO_Capture!C782, Reference_Data!A:D, 4, FALSE), "MISSING SSI")</f>
        <v>Citi A/C 700450</v>
      </c>
      <c r="F782">
        <f>FO_Capture!D782</f>
        <v>420</v>
      </c>
      <c r="G782">
        <f>FO_Capture!E782</f>
        <v>277.07998657226563</v>
      </c>
      <c r="H782">
        <f t="shared" si="24"/>
        <v>116373.59436035156</v>
      </c>
      <c r="I782" t="str">
        <f t="shared" si="25"/>
        <v>Pass - Ready for Confirmation</v>
      </c>
    </row>
    <row r="783" spans="1:9" x14ac:dyDescent="0.3">
      <c r="A783" t="str">
        <f>FO_Capture!A783</f>
        <v>TRD00782</v>
      </c>
      <c r="B783" t="str">
        <f>FO_Capture!B783</f>
        <v>INE007A01037</v>
      </c>
      <c r="C783" t="str">
        <f>IFERROR(VLOOKUP(FO_Capture!C783, Reference_Data!A:D, 2, FALSE), "UNKNOWN")</f>
        <v>Alpha Holdings 16</v>
      </c>
      <c r="D783" t="str">
        <f>IFERROR(VLOOKUP(FO_Capture!C783, Reference_Data!A:D, 3, FALSE), "XXX")</f>
        <v>USD</v>
      </c>
      <c r="E783" t="str">
        <f>IFERROR(VLOOKUP(FO_Capture!C783, Reference_Data!A:D, 4, FALSE), "MISSING SSI")</f>
        <v>Barclays A/C 197229</v>
      </c>
      <c r="F783">
        <f>FO_Capture!D783</f>
        <v>200</v>
      </c>
      <c r="G783">
        <f>FO_Capture!E783</f>
        <v>90.870002746582031</v>
      </c>
      <c r="H783">
        <f t="shared" si="24"/>
        <v>18174.000549316406</v>
      </c>
      <c r="I783" t="str">
        <f t="shared" si="25"/>
        <v>Pass - Ready for Confirmation</v>
      </c>
    </row>
    <row r="784" spans="1:9" x14ac:dyDescent="0.3">
      <c r="A784" t="str">
        <f>FO_Capture!A784</f>
        <v>TRD00783</v>
      </c>
      <c r="B784" t="str">
        <f>FO_Capture!B784</f>
        <v>INE003A01089</v>
      </c>
      <c r="C784" t="str">
        <f>IFERROR(VLOOKUP(FO_Capture!C784, Reference_Data!A:D, 2, FALSE), "UNKNOWN")</f>
        <v>Alpha Investments 43</v>
      </c>
      <c r="D784" t="str">
        <f>IFERROR(VLOOKUP(FO_Capture!C784, Reference_Data!A:D, 3, FALSE), "XXX")</f>
        <v>EUR</v>
      </c>
      <c r="E784" t="str">
        <f>IFERROR(VLOOKUP(FO_Capture!C784, Reference_Data!A:D, 4, FALSE), "MISSING SSI")</f>
        <v>Citi A/C 714496</v>
      </c>
      <c r="F784">
        <f>FO_Capture!D784</f>
        <v>210</v>
      </c>
      <c r="G784">
        <f>FO_Capture!E784</f>
        <v>368.01998901367188</v>
      </c>
      <c r="H784">
        <f t="shared" si="24"/>
        <v>77284.197692871094</v>
      </c>
      <c r="I784" t="str">
        <f t="shared" si="25"/>
        <v>Pass - Ready for Confirmation</v>
      </c>
    </row>
    <row r="785" spans="1:9" x14ac:dyDescent="0.3">
      <c r="A785" t="str">
        <f>FO_Capture!A785</f>
        <v>TRD00784</v>
      </c>
      <c r="B785" t="str">
        <f>FO_Capture!B785</f>
        <v>INE003A01053</v>
      </c>
      <c r="C785" t="str">
        <f>IFERROR(VLOOKUP(FO_Capture!C785, Reference_Data!A:D, 2, FALSE), "UNKNOWN")</f>
        <v>Alpha Partners 26</v>
      </c>
      <c r="D785" t="str">
        <f>IFERROR(VLOOKUP(FO_Capture!C785, Reference_Data!A:D, 3, FALSE), "XXX")</f>
        <v>USD</v>
      </c>
      <c r="E785" t="str">
        <f>IFERROR(VLOOKUP(FO_Capture!C785, Reference_Data!A:D, 4, FALSE), "MISSING SSI")</f>
        <v>HSBC A/C 867781</v>
      </c>
      <c r="F785">
        <f>FO_Capture!D785</f>
        <v>140</v>
      </c>
      <c r="G785">
        <f>FO_Capture!E785</f>
        <v>286.510009765625</v>
      </c>
      <c r="H785">
        <f t="shared" si="24"/>
        <v>40111.4013671875</v>
      </c>
      <c r="I785" t="str">
        <f t="shared" si="25"/>
        <v>Pass - Ready for Confirmation</v>
      </c>
    </row>
    <row r="786" spans="1:9" x14ac:dyDescent="0.3">
      <c r="A786" t="str">
        <f>FO_Capture!A786</f>
        <v>TRD00785</v>
      </c>
      <c r="B786" t="str">
        <f>FO_Capture!B786</f>
        <v>INE002A01050</v>
      </c>
      <c r="C786" t="str">
        <f>IFERROR(VLOOKUP(FO_Capture!C786, Reference_Data!A:D, 2, FALSE), "UNKNOWN")</f>
        <v>Alpha Capital 7</v>
      </c>
      <c r="D786" t="str">
        <f>IFERROR(VLOOKUP(FO_Capture!C786, Reference_Data!A:D, 3, FALSE), "XXX")</f>
        <v>INR</v>
      </c>
      <c r="E786" t="str">
        <f>IFERROR(VLOOKUP(FO_Capture!C786, Reference_Data!A:D, 4, FALSE), "MISSING SSI")</f>
        <v>Standard Chartered A/C 682134</v>
      </c>
      <c r="F786">
        <f>FO_Capture!D786</f>
        <v>490</v>
      </c>
      <c r="G786">
        <f>FO_Capture!E786</f>
        <v>63.369998931884766</v>
      </c>
      <c r="H786">
        <f t="shared" si="24"/>
        <v>31051.299476623535</v>
      </c>
      <c r="I786" t="str">
        <f t="shared" si="25"/>
        <v>Pass - Ready for Confirmation</v>
      </c>
    </row>
    <row r="787" spans="1:9" x14ac:dyDescent="0.3">
      <c r="A787" t="str">
        <f>FO_Capture!A787</f>
        <v>TRD00786</v>
      </c>
      <c r="B787" t="str">
        <f>FO_Capture!B787</f>
        <v>INE001A01070</v>
      </c>
      <c r="C787" t="str">
        <f>IFERROR(VLOOKUP(FO_Capture!C787, Reference_Data!A:D, 2, FALSE), "UNKNOWN")</f>
        <v>Alpha Capital 44</v>
      </c>
      <c r="D787" t="str">
        <f>IFERROR(VLOOKUP(FO_Capture!C787, Reference_Data!A:D, 3, FALSE), "XXX")</f>
        <v>INR</v>
      </c>
      <c r="E787" t="str">
        <f>IFERROR(VLOOKUP(FO_Capture!C787, Reference_Data!A:D, 4, FALSE), "MISSING SSI")</f>
        <v>Deutsche Bank A/C 428758</v>
      </c>
      <c r="F787">
        <f>FO_Capture!D787</f>
        <v>340</v>
      </c>
      <c r="G787">
        <f>FO_Capture!E787</f>
        <v>204.69999694824219</v>
      </c>
      <c r="H787">
        <f t="shared" si="24"/>
        <v>69597.998962402344</v>
      </c>
      <c r="I787" t="str">
        <f t="shared" si="25"/>
        <v>Pass - Ready for Confirmation</v>
      </c>
    </row>
    <row r="788" spans="1:9" x14ac:dyDescent="0.3">
      <c r="A788" t="str">
        <f>FO_Capture!A788</f>
        <v>TRD00787</v>
      </c>
      <c r="B788" t="str">
        <f>FO_Capture!B788</f>
        <v>INE004A01024</v>
      </c>
      <c r="C788" t="str">
        <f>IFERROR(VLOOKUP(FO_Capture!C788, Reference_Data!A:D, 2, FALSE), "UNKNOWN")</f>
        <v>Alpha Capital 36</v>
      </c>
      <c r="D788" t="str">
        <f>IFERROR(VLOOKUP(FO_Capture!C788, Reference_Data!A:D, 3, FALSE), "XXX")</f>
        <v>JPY</v>
      </c>
      <c r="E788" t="str">
        <f>IFERROR(VLOOKUP(FO_Capture!C788, Reference_Data!A:D, 4, FALSE), "MISSING SSI")</f>
        <v>Citi A/C 359789</v>
      </c>
      <c r="F788">
        <f>FO_Capture!D788</f>
        <v>110</v>
      </c>
      <c r="G788">
        <f>FO_Capture!E788</f>
        <v>255.69000244140625</v>
      </c>
      <c r="H788">
        <f t="shared" si="24"/>
        <v>28125.900268554688</v>
      </c>
      <c r="I788" t="str">
        <f t="shared" si="25"/>
        <v>Pass - Ready for Confirmation</v>
      </c>
    </row>
    <row r="789" spans="1:9" x14ac:dyDescent="0.3">
      <c r="A789" t="str">
        <f>FO_Capture!A789</f>
        <v>TRD00788</v>
      </c>
      <c r="B789" t="str">
        <f>FO_Capture!B789</f>
        <v>INE006A01093</v>
      </c>
      <c r="C789" t="str">
        <f>IFERROR(VLOOKUP(FO_Capture!C789, Reference_Data!A:D, 2, FALSE), "UNKNOWN")</f>
        <v>Alpha Holdings 49</v>
      </c>
      <c r="D789" t="str">
        <f>IFERROR(VLOOKUP(FO_Capture!C789, Reference_Data!A:D, 3, FALSE), "XXX")</f>
        <v>JPY</v>
      </c>
      <c r="E789" t="str">
        <f>IFERROR(VLOOKUP(FO_Capture!C789, Reference_Data!A:D, 4, FALSE), "MISSING SSI")</f>
        <v>HDFC A/C 679335</v>
      </c>
      <c r="F789">
        <f>FO_Capture!D789</f>
        <v>250</v>
      </c>
      <c r="G789">
        <f>FO_Capture!E789</f>
        <v>50.549999237060547</v>
      </c>
      <c r="H789">
        <f t="shared" si="24"/>
        <v>12637.499809265137</v>
      </c>
      <c r="I789" t="str">
        <f t="shared" si="25"/>
        <v>Pass - Ready for Confirmation</v>
      </c>
    </row>
    <row r="790" spans="1:9" x14ac:dyDescent="0.3">
      <c r="A790" t="str">
        <f>FO_Capture!A790</f>
        <v>TRD00789</v>
      </c>
      <c r="B790" t="str">
        <f>FO_Capture!B790</f>
        <v>INE009A01080</v>
      </c>
      <c r="C790" t="str">
        <f>IFERROR(VLOOKUP(FO_Capture!C790, Reference_Data!A:D, 2, FALSE), "UNKNOWN")</f>
        <v>Alpha Holdings 41</v>
      </c>
      <c r="D790" t="str">
        <f>IFERROR(VLOOKUP(FO_Capture!C790, Reference_Data!A:D, 3, FALSE), "XXX")</f>
        <v>JPY</v>
      </c>
      <c r="E790" t="str">
        <f>IFERROR(VLOOKUP(FO_Capture!C790, Reference_Data!A:D, 4, FALSE), "MISSING SSI")</f>
        <v>HSBC A/C 468615</v>
      </c>
      <c r="F790">
        <f>FO_Capture!D790</f>
        <v>70</v>
      </c>
      <c r="G790">
        <f>FO_Capture!E790</f>
        <v>462.57000732421875</v>
      </c>
      <c r="H790">
        <f t="shared" si="24"/>
        <v>32379.900512695313</v>
      </c>
      <c r="I790" t="str">
        <f t="shared" si="25"/>
        <v>Pass - Ready for Confirmation</v>
      </c>
    </row>
    <row r="791" spans="1:9" x14ac:dyDescent="0.3">
      <c r="A791" t="str">
        <f>FO_Capture!A791</f>
        <v>TRD00790</v>
      </c>
      <c r="B791" t="str">
        <f>FO_Capture!B791</f>
        <v>INE008A01056</v>
      </c>
      <c r="C791" t="str">
        <f>IFERROR(VLOOKUP(FO_Capture!C791, Reference_Data!A:D, 2, FALSE), "UNKNOWN")</f>
        <v>Alpha Asset Management 35</v>
      </c>
      <c r="D791" t="str">
        <f>IFERROR(VLOOKUP(FO_Capture!C791, Reference_Data!A:D, 3, FALSE), "XXX")</f>
        <v>JPY</v>
      </c>
      <c r="E791" t="str">
        <f>IFERROR(VLOOKUP(FO_Capture!C791, Reference_Data!A:D, 4, FALSE), "MISSING SSI")</f>
        <v>HSBC A/C 604357</v>
      </c>
      <c r="F791">
        <f>FO_Capture!D791</f>
        <v>420</v>
      </c>
      <c r="G791">
        <f>FO_Capture!E791</f>
        <v>154.11000061035156</v>
      </c>
      <c r="H791">
        <f t="shared" si="24"/>
        <v>64726.200256347656</v>
      </c>
      <c r="I791" t="str">
        <f t="shared" si="25"/>
        <v>Pass - Ready for Confirmation</v>
      </c>
    </row>
    <row r="792" spans="1:9" x14ac:dyDescent="0.3">
      <c r="A792" t="str">
        <f>FO_Capture!A792</f>
        <v>TRD00791</v>
      </c>
      <c r="B792" t="str">
        <f>FO_Capture!B792</f>
        <v>INE007A01013</v>
      </c>
      <c r="C792" t="str">
        <f>IFERROR(VLOOKUP(FO_Capture!C792, Reference_Data!A:D, 2, FALSE), "UNKNOWN")</f>
        <v>Alpha Holdings 47</v>
      </c>
      <c r="D792" t="str">
        <f>IFERROR(VLOOKUP(FO_Capture!C792, Reference_Data!A:D, 3, FALSE), "XXX")</f>
        <v>GBP</v>
      </c>
      <c r="E792" t="str">
        <f>IFERROR(VLOOKUP(FO_Capture!C792, Reference_Data!A:D, 4, FALSE), "MISSING SSI")</f>
        <v>Citi A/C 703401</v>
      </c>
      <c r="F792">
        <f>FO_Capture!D792</f>
        <v>480</v>
      </c>
      <c r="G792">
        <f>FO_Capture!E792</f>
        <v>326.57998657226563</v>
      </c>
      <c r="H792">
        <f t="shared" si="24"/>
        <v>156758.3935546875</v>
      </c>
      <c r="I792" t="str">
        <f t="shared" si="25"/>
        <v>Pass - Ready for Confirmation</v>
      </c>
    </row>
    <row r="793" spans="1:9" x14ac:dyDescent="0.3">
      <c r="A793" t="str">
        <f>FO_Capture!A793</f>
        <v>TRD00792</v>
      </c>
      <c r="B793" t="str">
        <f>FO_Capture!B793</f>
        <v>INE009A01014</v>
      </c>
      <c r="C793" t="str">
        <f>IFERROR(VLOOKUP(FO_Capture!C793, Reference_Data!A:D, 2, FALSE), "UNKNOWN")</f>
        <v>Alpha Capital 7</v>
      </c>
      <c r="D793" t="str">
        <f>IFERROR(VLOOKUP(FO_Capture!C793, Reference_Data!A:D, 3, FALSE), "XXX")</f>
        <v>INR</v>
      </c>
      <c r="E793" t="str">
        <f>IFERROR(VLOOKUP(FO_Capture!C793, Reference_Data!A:D, 4, FALSE), "MISSING SSI")</f>
        <v>Standard Chartered A/C 682134</v>
      </c>
      <c r="F793">
        <f>FO_Capture!D793</f>
        <v>20</v>
      </c>
      <c r="G793">
        <f>FO_Capture!E793</f>
        <v>470.47000122070313</v>
      </c>
      <c r="H793">
        <f t="shared" si="24"/>
        <v>9409.4000244140625</v>
      </c>
      <c r="I793" t="str">
        <f t="shared" si="25"/>
        <v>Pass - Ready for Confirmation</v>
      </c>
    </row>
    <row r="794" spans="1:9" x14ac:dyDescent="0.3">
      <c r="A794" t="str">
        <f>FO_Capture!A794</f>
        <v>TRD00793</v>
      </c>
      <c r="B794" t="str">
        <f>FO_Capture!B794</f>
        <v>INE001A01041</v>
      </c>
      <c r="C794" t="str">
        <f>IFERROR(VLOOKUP(FO_Capture!C794, Reference_Data!A:D, 2, FALSE), "UNKNOWN")</f>
        <v>Alpha Capital 38</v>
      </c>
      <c r="D794" t="str">
        <f>IFERROR(VLOOKUP(FO_Capture!C794, Reference_Data!A:D, 3, FALSE), "XXX")</f>
        <v>SGD</v>
      </c>
      <c r="E794" t="str">
        <f>IFERROR(VLOOKUP(FO_Capture!C794, Reference_Data!A:D, 4, FALSE), "MISSING SSI")</f>
        <v>Deutsche Bank A/C 153521</v>
      </c>
      <c r="F794">
        <f>FO_Capture!D794</f>
        <v>100</v>
      </c>
      <c r="G794">
        <f>FO_Capture!E794</f>
        <v>115.30999755859375</v>
      </c>
      <c r="H794">
        <f t="shared" si="24"/>
        <v>11530.999755859375</v>
      </c>
      <c r="I794" t="str">
        <f t="shared" si="25"/>
        <v>Pass - Ready for Confirmation</v>
      </c>
    </row>
    <row r="795" spans="1:9" x14ac:dyDescent="0.3">
      <c r="A795" t="str">
        <f>FO_Capture!A795</f>
        <v>TRD00794</v>
      </c>
      <c r="B795" t="str">
        <f>FO_Capture!B795</f>
        <v>INE004A01048</v>
      </c>
      <c r="C795" t="str">
        <f>IFERROR(VLOOKUP(FO_Capture!C795, Reference_Data!A:D, 2, FALSE), "UNKNOWN")</f>
        <v>Alpha Asset Management 31</v>
      </c>
      <c r="D795" t="str">
        <f>IFERROR(VLOOKUP(FO_Capture!C795, Reference_Data!A:D, 3, FALSE), "XXX")</f>
        <v>USD</v>
      </c>
      <c r="E795" t="str">
        <f>IFERROR(VLOOKUP(FO_Capture!C795, Reference_Data!A:D, 4, FALSE), "MISSING SSI")</f>
        <v>Citi A/C 194841</v>
      </c>
      <c r="F795">
        <f>FO_Capture!D795</f>
        <v>370</v>
      </c>
      <c r="G795">
        <f>FO_Capture!E795</f>
        <v>79.709999084472656</v>
      </c>
      <c r="H795">
        <f t="shared" si="24"/>
        <v>29492.699661254883</v>
      </c>
      <c r="I795" t="str">
        <f t="shared" si="25"/>
        <v>Pass - Ready for Confirmation</v>
      </c>
    </row>
    <row r="796" spans="1:9" x14ac:dyDescent="0.3">
      <c r="A796" t="str">
        <f>FO_Capture!A796</f>
        <v>TRD00795</v>
      </c>
      <c r="B796" t="str">
        <f>FO_Capture!B796</f>
        <v>INE005A0109</v>
      </c>
      <c r="C796" t="str">
        <f>IFERROR(VLOOKUP(FO_Capture!C796, Reference_Data!A:D, 2, FALSE), "UNKNOWN")</f>
        <v>Alpha Investments 15</v>
      </c>
      <c r="D796" t="str">
        <f>IFERROR(VLOOKUP(FO_Capture!C796, Reference_Data!A:D, 3, FALSE), "XXX")</f>
        <v>INR</v>
      </c>
      <c r="E796" t="str">
        <f>IFERROR(VLOOKUP(FO_Capture!C796, Reference_Data!A:D, 4, FALSE), "MISSING SSI")</f>
        <v>Deutsche Bank A/C 330518</v>
      </c>
      <c r="F796">
        <f>FO_Capture!D796</f>
        <v>290</v>
      </c>
      <c r="G796">
        <f>FO_Capture!E796</f>
        <v>221.33000183105469</v>
      </c>
      <c r="H796">
        <f t="shared" si="24"/>
        <v>64185.700531005859</v>
      </c>
      <c r="I796" t="str">
        <f t="shared" si="25"/>
        <v>Pass - Ready for Confirmation</v>
      </c>
    </row>
    <row r="797" spans="1:9" x14ac:dyDescent="0.3">
      <c r="A797" t="str">
        <f>FO_Capture!A797</f>
        <v>TRD00796</v>
      </c>
      <c r="B797" t="str">
        <f>FO_Capture!B797</f>
        <v>INE007A01067</v>
      </c>
      <c r="C797" t="str">
        <f>IFERROR(VLOOKUP(FO_Capture!C797, Reference_Data!A:D, 2, FALSE), "UNKNOWN")</f>
        <v>Alpha Partners 37</v>
      </c>
      <c r="D797" t="str">
        <f>IFERROR(VLOOKUP(FO_Capture!C797, Reference_Data!A:D, 3, FALSE), "XXX")</f>
        <v>JPY</v>
      </c>
      <c r="E797" t="str">
        <f>IFERROR(VLOOKUP(FO_Capture!C797, Reference_Data!A:D, 4, FALSE), "MISSING SSI")</f>
        <v>HSBC A/C 994063</v>
      </c>
      <c r="F797">
        <f>FO_Capture!D797</f>
        <v>400</v>
      </c>
      <c r="G797">
        <f>FO_Capture!E797</f>
        <v>186.89999389648438</v>
      </c>
      <c r="H797">
        <f t="shared" si="24"/>
        <v>74759.99755859375</v>
      </c>
      <c r="I797" t="str">
        <f t="shared" si="25"/>
        <v>Pass - Ready for Confirmation</v>
      </c>
    </row>
    <row r="798" spans="1:9" x14ac:dyDescent="0.3">
      <c r="A798" t="str">
        <f>FO_Capture!A798</f>
        <v>TRD00797</v>
      </c>
      <c r="B798" t="str">
        <f>FO_Capture!B798</f>
        <v>INE007A01085</v>
      </c>
      <c r="C798" t="str">
        <f>IFERROR(VLOOKUP(FO_Capture!C798, Reference_Data!A:D, 2, FALSE), "UNKNOWN")</f>
        <v>Alpha Partners 37</v>
      </c>
      <c r="D798" t="str">
        <f>IFERROR(VLOOKUP(FO_Capture!C798, Reference_Data!A:D, 3, FALSE), "XXX")</f>
        <v>JPY</v>
      </c>
      <c r="E798" t="str">
        <f>IFERROR(VLOOKUP(FO_Capture!C798, Reference_Data!A:D, 4, FALSE), "MISSING SSI")</f>
        <v>HSBC A/C 994063</v>
      </c>
      <c r="F798">
        <f>FO_Capture!D798</f>
        <v>40</v>
      </c>
      <c r="G798">
        <f>FO_Capture!E798</f>
        <v>162.22000122070313</v>
      </c>
      <c r="H798">
        <f t="shared" si="24"/>
        <v>6488.800048828125</v>
      </c>
      <c r="I798" t="str">
        <f t="shared" si="25"/>
        <v>Pass - Ready for Confirmation</v>
      </c>
    </row>
    <row r="799" spans="1:9" x14ac:dyDescent="0.3">
      <c r="A799" t="str">
        <f>FO_Capture!A799</f>
        <v>TRD00798</v>
      </c>
      <c r="B799" t="str">
        <f>FO_Capture!B799</f>
        <v>INE008A0101</v>
      </c>
      <c r="C799" t="str">
        <f>IFERROR(VLOOKUP(FO_Capture!C799, Reference_Data!A:D, 2, FALSE), "UNKNOWN")</f>
        <v>Alpha Partners 19</v>
      </c>
      <c r="D799" t="str">
        <f>IFERROR(VLOOKUP(FO_Capture!C799, Reference_Data!A:D, 3, FALSE), "XXX")</f>
        <v>INR</v>
      </c>
      <c r="E799" t="str">
        <f>IFERROR(VLOOKUP(FO_Capture!C799, Reference_Data!A:D, 4, FALSE), "MISSING SSI")</f>
        <v>Citi A/C 543819</v>
      </c>
      <c r="F799">
        <f>FO_Capture!D799</f>
        <v>160</v>
      </c>
      <c r="G799">
        <f>FO_Capture!E799</f>
        <v>122.12999725341797</v>
      </c>
      <c r="H799">
        <f t="shared" si="24"/>
        <v>19540.799560546875</v>
      </c>
      <c r="I799" t="str">
        <f t="shared" si="25"/>
        <v>Pass - Ready for Confirmation</v>
      </c>
    </row>
    <row r="800" spans="1:9" x14ac:dyDescent="0.3">
      <c r="A800" t="str">
        <f>FO_Capture!A800</f>
        <v>TRD00799</v>
      </c>
      <c r="B800" t="str">
        <f>FO_Capture!B800</f>
        <v>INE007A01065</v>
      </c>
      <c r="C800" t="str">
        <f>IFERROR(VLOOKUP(FO_Capture!C800, Reference_Data!A:D, 2, FALSE), "UNKNOWN")</f>
        <v>Alpha Investments 29</v>
      </c>
      <c r="D800" t="str">
        <f>IFERROR(VLOOKUP(FO_Capture!C800, Reference_Data!A:D, 3, FALSE), "XXX")</f>
        <v>INR</v>
      </c>
      <c r="E800" t="str">
        <f>IFERROR(VLOOKUP(FO_Capture!C800, Reference_Data!A:D, 4, FALSE), "MISSING SSI")</f>
        <v>HSBC A/C 785870</v>
      </c>
      <c r="F800">
        <f>FO_Capture!D800</f>
        <v>480</v>
      </c>
      <c r="G800">
        <f>FO_Capture!E800</f>
        <v>80.550003051757813</v>
      </c>
      <c r="H800">
        <f t="shared" si="24"/>
        <v>38664.00146484375</v>
      </c>
      <c r="I800" t="str">
        <f t="shared" si="25"/>
        <v>Pass - Ready for Confirmation</v>
      </c>
    </row>
    <row r="801" spans="1:9" x14ac:dyDescent="0.3">
      <c r="A801" t="str">
        <f>FO_Capture!A801</f>
        <v>TRD00800</v>
      </c>
      <c r="B801" t="str">
        <f>FO_Capture!B801</f>
        <v>INE009A0106</v>
      </c>
      <c r="C801" t="str">
        <f>IFERROR(VLOOKUP(FO_Capture!C801, Reference_Data!A:D, 2, FALSE), "UNKNOWN")</f>
        <v>Alpha Global 30</v>
      </c>
      <c r="D801" t="str">
        <f>IFERROR(VLOOKUP(FO_Capture!C801, Reference_Data!A:D, 3, FALSE), "XXX")</f>
        <v>JPY</v>
      </c>
      <c r="E801" t="str">
        <f>IFERROR(VLOOKUP(FO_Capture!C801, Reference_Data!A:D, 4, FALSE), "MISSING SSI")</f>
        <v>Deutsche Bank A/C 917262</v>
      </c>
      <c r="F801">
        <f>FO_Capture!D801</f>
        <v>340</v>
      </c>
      <c r="G801">
        <f>FO_Capture!E801</f>
        <v>340.47000122070313</v>
      </c>
      <c r="H801">
        <f t="shared" si="24"/>
        <v>115759.80041503906</v>
      </c>
      <c r="I801" t="str">
        <f t="shared" si="25"/>
        <v>Pass - Ready for Confirmation</v>
      </c>
    </row>
    <row r="802" spans="1:9" x14ac:dyDescent="0.3">
      <c r="A802" t="str">
        <f>FO_Capture!A802</f>
        <v>TRD00801</v>
      </c>
      <c r="B802" t="str">
        <f>FO_Capture!B802</f>
        <v>INE009A01067</v>
      </c>
      <c r="C802" t="str">
        <f>IFERROR(VLOOKUP(FO_Capture!C802, Reference_Data!A:D, 2, FALSE), "UNKNOWN")</f>
        <v>Alpha Quant Fund 27</v>
      </c>
      <c r="D802" t="str">
        <f>IFERROR(VLOOKUP(FO_Capture!C802, Reference_Data!A:D, 3, FALSE), "XXX")</f>
        <v>EUR</v>
      </c>
      <c r="E802" t="str">
        <f>IFERROR(VLOOKUP(FO_Capture!C802, Reference_Data!A:D, 4, FALSE), "MISSING SSI")</f>
        <v>Standard Chartered A/C 331839</v>
      </c>
      <c r="F802">
        <f>FO_Capture!D802</f>
        <v>350</v>
      </c>
      <c r="G802">
        <f>FO_Capture!E802</f>
        <v>243.91000366210938</v>
      </c>
      <c r="H802">
        <f t="shared" si="24"/>
        <v>85368.501281738281</v>
      </c>
      <c r="I802" t="str">
        <f t="shared" si="25"/>
        <v>Pass - Ready for Confirmation</v>
      </c>
    </row>
    <row r="803" spans="1:9" x14ac:dyDescent="0.3">
      <c r="A803" t="str">
        <f>FO_Capture!A803</f>
        <v>TRD00802</v>
      </c>
      <c r="B803" t="str">
        <f>FO_Capture!B803</f>
        <v>INE003A01065</v>
      </c>
      <c r="C803" t="str">
        <f>IFERROR(VLOOKUP(FO_Capture!C803, Reference_Data!A:D, 2, FALSE), "UNKNOWN")</f>
        <v>Alpha Global 39</v>
      </c>
      <c r="D803" t="str">
        <f>IFERROR(VLOOKUP(FO_Capture!C803, Reference_Data!A:D, 3, FALSE), "XXX")</f>
        <v>SGD</v>
      </c>
      <c r="E803" t="str">
        <f>IFERROR(VLOOKUP(FO_Capture!C803, Reference_Data!A:D, 4, FALSE), "MISSING SSI")</f>
        <v>Deutsche Bank A/C 917029</v>
      </c>
      <c r="F803">
        <f>FO_Capture!D803</f>
        <v>240</v>
      </c>
      <c r="G803">
        <f>FO_Capture!E803</f>
        <v>421.989990234375</v>
      </c>
      <c r="H803">
        <f t="shared" si="24"/>
        <v>101277.59765625</v>
      </c>
      <c r="I803" t="str">
        <f t="shared" si="25"/>
        <v>Pass - Ready for Confirmation</v>
      </c>
    </row>
    <row r="804" spans="1:9" x14ac:dyDescent="0.3">
      <c r="A804" t="str">
        <f>FO_Capture!A804</f>
        <v>TRD00803</v>
      </c>
      <c r="B804" t="str">
        <f>FO_Capture!B804</f>
        <v>INE007A01035</v>
      </c>
      <c r="C804" t="str">
        <f>IFERROR(VLOOKUP(FO_Capture!C804, Reference_Data!A:D, 2, FALSE), "UNKNOWN")</f>
        <v>Alpha Investments 29</v>
      </c>
      <c r="D804" t="str">
        <f>IFERROR(VLOOKUP(FO_Capture!C804, Reference_Data!A:D, 3, FALSE), "XXX")</f>
        <v>INR</v>
      </c>
      <c r="E804" t="str">
        <f>IFERROR(VLOOKUP(FO_Capture!C804, Reference_Data!A:D, 4, FALSE), "MISSING SSI")</f>
        <v>HSBC A/C 785870</v>
      </c>
      <c r="F804">
        <f>FO_Capture!D804</f>
        <v>25000</v>
      </c>
      <c r="G804">
        <f>FO_Capture!E804</f>
        <v>23.260000228881836</v>
      </c>
      <c r="H804">
        <f t="shared" si="24"/>
        <v>581500.0057220459</v>
      </c>
      <c r="I804" t="str">
        <f t="shared" si="25"/>
        <v>Pass - Ready for Confirmation</v>
      </c>
    </row>
    <row r="805" spans="1:9" x14ac:dyDescent="0.3">
      <c r="A805" t="str">
        <f>FO_Capture!A805</f>
        <v>TRD00804</v>
      </c>
      <c r="B805" t="str">
        <f>FO_Capture!B805</f>
        <v>INE001A01071</v>
      </c>
      <c r="C805" t="str">
        <f>IFERROR(VLOOKUP(FO_Capture!C805, Reference_Data!A:D, 2, FALSE), "UNKNOWN")</f>
        <v>Alpha Global 45</v>
      </c>
      <c r="D805" t="str">
        <f>IFERROR(VLOOKUP(FO_Capture!C805, Reference_Data!A:D, 3, FALSE), "XXX")</f>
        <v>EUR</v>
      </c>
      <c r="E805" t="str">
        <f>IFERROR(VLOOKUP(FO_Capture!C805, Reference_Data!A:D, 4, FALSE), "MISSING SSI")</f>
        <v>HSBC A/C 540659</v>
      </c>
      <c r="F805">
        <f>FO_Capture!D805</f>
        <v>400</v>
      </c>
      <c r="G805">
        <f>FO_Capture!E805</f>
        <v>297.25</v>
      </c>
      <c r="H805">
        <f t="shared" si="24"/>
        <v>118900</v>
      </c>
      <c r="I805" t="str">
        <f t="shared" si="25"/>
        <v>Pass - Ready for Confirmation</v>
      </c>
    </row>
    <row r="806" spans="1:9" x14ac:dyDescent="0.3">
      <c r="A806" t="str">
        <f>FO_Capture!A806</f>
        <v>TRD00805</v>
      </c>
      <c r="B806" t="str">
        <f>FO_Capture!B806</f>
        <v>INE002A01095</v>
      </c>
      <c r="C806" t="str">
        <f>IFERROR(VLOOKUP(FO_Capture!C806, Reference_Data!A:D, 2, FALSE), "UNKNOWN")</f>
        <v>Alpha Global 46</v>
      </c>
      <c r="D806" t="str">
        <f>IFERROR(VLOOKUP(FO_Capture!C806, Reference_Data!A:D, 3, FALSE), "XXX")</f>
        <v>USD</v>
      </c>
      <c r="E806" t="str">
        <f>IFERROR(VLOOKUP(FO_Capture!C806, Reference_Data!A:D, 4, FALSE), "MISSING SSI")</f>
        <v>Citi A/C 700450</v>
      </c>
      <c r="F806">
        <f>FO_Capture!D806</f>
        <v>260</v>
      </c>
      <c r="G806">
        <f>FO_Capture!E806</f>
        <v>481.39999389648438</v>
      </c>
      <c r="H806">
        <f t="shared" si="24"/>
        <v>125163.99841308594</v>
      </c>
      <c r="I806" t="str">
        <f t="shared" si="25"/>
        <v>Pass - Ready for Confirmation</v>
      </c>
    </row>
    <row r="807" spans="1:9" x14ac:dyDescent="0.3">
      <c r="A807" t="str">
        <f>FO_Capture!A807</f>
        <v>TRD00806</v>
      </c>
      <c r="B807" t="str">
        <f>FO_Capture!B807</f>
        <v>INE009A0100</v>
      </c>
      <c r="C807" t="str">
        <f>IFERROR(VLOOKUP(FO_Capture!C807, Reference_Data!A:D, 2, FALSE), "UNKNOWN")</f>
        <v>Alpha Asset Management 35</v>
      </c>
      <c r="D807" t="str">
        <f>IFERROR(VLOOKUP(FO_Capture!C807, Reference_Data!A:D, 3, FALSE), "XXX")</f>
        <v>JPY</v>
      </c>
      <c r="E807" t="str">
        <f>IFERROR(VLOOKUP(FO_Capture!C807, Reference_Data!A:D, 4, FALSE), "MISSING SSI")</f>
        <v>HSBC A/C 604357</v>
      </c>
      <c r="F807">
        <f>FO_Capture!D807</f>
        <v>330</v>
      </c>
      <c r="G807">
        <f>FO_Capture!E807</f>
        <v>63.270000457763672</v>
      </c>
      <c r="H807">
        <f t="shared" si="24"/>
        <v>20879.100151062012</v>
      </c>
      <c r="I807" t="str">
        <f t="shared" si="25"/>
        <v>Pass - Ready for Confirmation</v>
      </c>
    </row>
    <row r="808" spans="1:9" x14ac:dyDescent="0.3">
      <c r="A808" t="str">
        <f>FO_Capture!A808</f>
        <v>TRD00807</v>
      </c>
      <c r="B808" t="str">
        <f>FO_Capture!B808</f>
        <v>INE002A01059</v>
      </c>
      <c r="C808" t="str">
        <f>IFERROR(VLOOKUP(FO_Capture!C808, Reference_Data!A:D, 2, FALSE), "UNKNOWN")</f>
        <v>Alpha Quant Fund 12</v>
      </c>
      <c r="D808" t="str">
        <f>IFERROR(VLOOKUP(FO_Capture!C808, Reference_Data!A:D, 3, FALSE), "XXX")</f>
        <v>EUR</v>
      </c>
      <c r="E808" t="str">
        <f>IFERROR(VLOOKUP(FO_Capture!C808, Reference_Data!A:D, 4, FALSE), "MISSING SSI")</f>
        <v>Deutsche Bank A/C 324710</v>
      </c>
      <c r="F808">
        <f>FO_Capture!D808</f>
        <v>90</v>
      </c>
      <c r="G808">
        <f>FO_Capture!E808</f>
        <v>350.70999145507813</v>
      </c>
      <c r="H808">
        <f t="shared" si="24"/>
        <v>31563.899230957031</v>
      </c>
      <c r="I808" t="str">
        <f t="shared" si="25"/>
        <v>Pass - Ready for Confirmation</v>
      </c>
    </row>
    <row r="809" spans="1:9" x14ac:dyDescent="0.3">
      <c r="A809" t="str">
        <f>FO_Capture!A809</f>
        <v>TRD00808</v>
      </c>
      <c r="B809" t="str">
        <f>FO_Capture!B809</f>
        <v>INE005A01030</v>
      </c>
      <c r="C809" t="str">
        <f>IFERROR(VLOOKUP(FO_Capture!C809, Reference_Data!A:D, 2, FALSE), "UNKNOWN")</f>
        <v>Alpha Partners 19</v>
      </c>
      <c r="D809" t="str">
        <f>IFERROR(VLOOKUP(FO_Capture!C809, Reference_Data!A:D, 3, FALSE), "XXX")</f>
        <v>INR</v>
      </c>
      <c r="E809" t="str">
        <f>IFERROR(VLOOKUP(FO_Capture!C809, Reference_Data!A:D, 4, FALSE), "MISSING SSI")</f>
        <v>Citi A/C 543819</v>
      </c>
      <c r="F809">
        <f>FO_Capture!D809</f>
        <v>10</v>
      </c>
      <c r="G809">
        <f>FO_Capture!E809</f>
        <v>221.88999938964844</v>
      </c>
      <c r="H809">
        <f t="shared" si="24"/>
        <v>2218.8999938964844</v>
      </c>
      <c r="I809" t="str">
        <f t="shared" si="25"/>
        <v>Pass - Ready for Confirmation</v>
      </c>
    </row>
    <row r="810" spans="1:9" x14ac:dyDescent="0.3">
      <c r="A810" t="str">
        <f>FO_Capture!A810</f>
        <v>TRD00809</v>
      </c>
      <c r="B810" t="str">
        <f>FO_Capture!B810</f>
        <v>INE001A01091</v>
      </c>
      <c r="C810" t="str">
        <f>IFERROR(VLOOKUP(FO_Capture!C810, Reference_Data!A:D, 2, FALSE), "UNKNOWN")</f>
        <v>Alpha Global 20</v>
      </c>
      <c r="D810" t="str">
        <f>IFERROR(VLOOKUP(FO_Capture!C810, Reference_Data!A:D, 3, FALSE), "XXX")</f>
        <v>JPY</v>
      </c>
      <c r="E810" t="str">
        <f>IFERROR(VLOOKUP(FO_Capture!C810, Reference_Data!A:D, 4, FALSE), "MISSING SSI")</f>
        <v>Barclays A/C 560891</v>
      </c>
      <c r="F810">
        <f>FO_Capture!D810</f>
        <v>270</v>
      </c>
      <c r="G810">
        <f>FO_Capture!E810</f>
        <v>375.30999755859375</v>
      </c>
      <c r="H810">
        <f t="shared" si="24"/>
        <v>101333.69934082031</v>
      </c>
      <c r="I810" t="str">
        <f t="shared" si="25"/>
        <v>Pass - Ready for Confirmation</v>
      </c>
    </row>
    <row r="811" spans="1:9" x14ac:dyDescent="0.3">
      <c r="A811" t="str">
        <f>FO_Capture!A811</f>
        <v>TRD00810</v>
      </c>
      <c r="B811" t="str">
        <f>FO_Capture!B811</f>
        <v>INE002A0103</v>
      </c>
      <c r="C811" t="str">
        <f>IFERROR(VLOOKUP(FO_Capture!C811, Reference_Data!A:D, 2, FALSE), "UNKNOWN")</f>
        <v>Alpha Holdings 23</v>
      </c>
      <c r="D811" t="str">
        <f>IFERROR(VLOOKUP(FO_Capture!C811, Reference_Data!A:D, 3, FALSE), "XXX")</f>
        <v>INR</v>
      </c>
      <c r="E811" t="str">
        <f>IFERROR(VLOOKUP(FO_Capture!C811, Reference_Data!A:D, 4, FALSE), "MISSING SSI")</f>
        <v>Deutsche Bank A/C 983712</v>
      </c>
      <c r="F811">
        <f>FO_Capture!D811</f>
        <v>10</v>
      </c>
      <c r="G811">
        <f>FO_Capture!E811</f>
        <v>79.769996643066406</v>
      </c>
      <c r="H811">
        <f t="shared" si="24"/>
        <v>797.69996643066406</v>
      </c>
      <c r="I811" t="str">
        <f t="shared" si="25"/>
        <v>Pass - Ready for Confirmation</v>
      </c>
    </row>
    <row r="812" spans="1:9" x14ac:dyDescent="0.3">
      <c r="A812" t="str">
        <f>FO_Capture!A812</f>
        <v>TRD00811</v>
      </c>
      <c r="B812" t="str">
        <f>FO_Capture!B812</f>
        <v>INE007A01046</v>
      </c>
      <c r="C812" t="str">
        <f>IFERROR(VLOOKUP(FO_Capture!C812, Reference_Data!A:D, 2, FALSE), "UNKNOWN")</f>
        <v>Alpha Asset Management 5</v>
      </c>
      <c r="D812" t="str">
        <f>IFERROR(VLOOKUP(FO_Capture!C812, Reference_Data!A:D, 3, FALSE), "XXX")</f>
        <v>INR</v>
      </c>
      <c r="E812" t="str">
        <f>IFERROR(VLOOKUP(FO_Capture!C812, Reference_Data!A:D, 4, FALSE), "MISSING SSI")</f>
        <v>JPMorgan A/C 860462</v>
      </c>
      <c r="F812">
        <f>FO_Capture!D812</f>
        <v>150</v>
      </c>
      <c r="G812">
        <f>FO_Capture!E812</f>
        <v>424.3699951171875</v>
      </c>
      <c r="H812">
        <f t="shared" si="24"/>
        <v>63655.499267578125</v>
      </c>
      <c r="I812" t="str">
        <f t="shared" si="25"/>
        <v>Pass - Ready for Confirmation</v>
      </c>
    </row>
    <row r="813" spans="1:9" x14ac:dyDescent="0.3">
      <c r="A813" t="str">
        <f>FO_Capture!A813</f>
        <v>TRD00812</v>
      </c>
      <c r="B813" t="str">
        <f>FO_Capture!B813</f>
        <v>INE007A01081</v>
      </c>
      <c r="C813" t="str">
        <f>IFERROR(VLOOKUP(FO_Capture!C813, Reference_Data!A:D, 2, FALSE), "UNKNOWN")</f>
        <v>Alpha Capital 38</v>
      </c>
      <c r="D813" t="str">
        <f>IFERROR(VLOOKUP(FO_Capture!C813, Reference_Data!A:D, 3, FALSE), "XXX")</f>
        <v>SGD</v>
      </c>
      <c r="E813" t="str">
        <f>IFERROR(VLOOKUP(FO_Capture!C813, Reference_Data!A:D, 4, FALSE), "MISSING SSI")</f>
        <v>Deutsche Bank A/C 153521</v>
      </c>
      <c r="F813">
        <f>FO_Capture!D813</f>
        <v>20</v>
      </c>
      <c r="G813">
        <f>FO_Capture!E813</f>
        <v>68.529998779296875</v>
      </c>
      <c r="H813">
        <f t="shared" si="24"/>
        <v>1370.5999755859375</v>
      </c>
      <c r="I813" t="str">
        <f t="shared" si="25"/>
        <v>Pass - Ready for Confirmation</v>
      </c>
    </row>
    <row r="814" spans="1:9" x14ac:dyDescent="0.3">
      <c r="A814" t="str">
        <f>FO_Capture!A814</f>
        <v>TRD00813</v>
      </c>
      <c r="B814" t="str">
        <f>FO_Capture!B814</f>
        <v>INE006A01097</v>
      </c>
      <c r="C814" t="str">
        <f>IFERROR(VLOOKUP(FO_Capture!C814, Reference_Data!A:D, 2, FALSE), "UNKNOWN")</f>
        <v>Alpha Asset Management 13</v>
      </c>
      <c r="D814" t="str">
        <f>IFERROR(VLOOKUP(FO_Capture!C814, Reference_Data!A:D, 3, FALSE), "XXX")</f>
        <v>INR</v>
      </c>
      <c r="E814" t="str">
        <f>IFERROR(VLOOKUP(FO_Capture!C814, Reference_Data!A:D, 4, FALSE), "MISSING SSI")</f>
        <v>HSBC A/C 972195</v>
      </c>
      <c r="F814">
        <f>FO_Capture!D814</f>
        <v>240</v>
      </c>
      <c r="G814">
        <f>FO_Capture!E814</f>
        <v>492</v>
      </c>
      <c r="H814">
        <f t="shared" si="24"/>
        <v>118080</v>
      </c>
      <c r="I814" t="str">
        <f t="shared" si="25"/>
        <v>Pass - Ready for Confirmation</v>
      </c>
    </row>
    <row r="815" spans="1:9" x14ac:dyDescent="0.3">
      <c r="A815" t="str">
        <f>FO_Capture!A815</f>
        <v>TRD00814</v>
      </c>
      <c r="B815" t="str">
        <f>FO_Capture!B815</f>
        <v>INE002A01057</v>
      </c>
      <c r="C815" t="str">
        <f>IFERROR(VLOOKUP(FO_Capture!C815, Reference_Data!A:D, 2, FALSE), "UNKNOWN")</f>
        <v>Alpha Holdings 16</v>
      </c>
      <c r="D815" t="str">
        <f>IFERROR(VLOOKUP(FO_Capture!C815, Reference_Data!A:D, 3, FALSE), "XXX")</f>
        <v>USD</v>
      </c>
      <c r="E815" t="str">
        <f>IFERROR(VLOOKUP(FO_Capture!C815, Reference_Data!A:D, 4, FALSE), "MISSING SSI")</f>
        <v>Barclays A/C 197229</v>
      </c>
      <c r="F815">
        <f>FO_Capture!D815</f>
        <v>360</v>
      </c>
      <c r="G815">
        <f>FO_Capture!E815</f>
        <v>244.83000183105469</v>
      </c>
      <c r="H815">
        <f t="shared" si="24"/>
        <v>88138.800659179688</v>
      </c>
      <c r="I815" t="str">
        <f t="shared" si="25"/>
        <v>Pass - Ready for Confirmation</v>
      </c>
    </row>
    <row r="816" spans="1:9" x14ac:dyDescent="0.3">
      <c r="A816" t="str">
        <f>FO_Capture!A816</f>
        <v>TRD00815</v>
      </c>
      <c r="B816" t="str">
        <f>FO_Capture!B816</f>
        <v>INE005A01049</v>
      </c>
      <c r="C816" t="str">
        <f>IFERROR(VLOOKUP(FO_Capture!C816, Reference_Data!A:D, 2, FALSE), "UNKNOWN")</f>
        <v>Alpha Global 2</v>
      </c>
      <c r="D816" t="str">
        <f>IFERROR(VLOOKUP(FO_Capture!C816, Reference_Data!A:D, 3, FALSE), "XXX")</f>
        <v>GBP</v>
      </c>
      <c r="E816" t="str">
        <f>IFERROR(VLOOKUP(FO_Capture!C816, Reference_Data!A:D, 4, FALSE), "MISSING SSI")</f>
        <v>JPMorgan A/C 582379</v>
      </c>
      <c r="F816">
        <f>FO_Capture!D816</f>
        <v>170</v>
      </c>
      <c r="G816">
        <f>FO_Capture!E816</f>
        <v>197.3699951171875</v>
      </c>
      <c r="H816">
        <f t="shared" si="24"/>
        <v>33552.899169921875</v>
      </c>
      <c r="I816" t="str">
        <f t="shared" si="25"/>
        <v>Pass - Ready for Confirmation</v>
      </c>
    </row>
    <row r="817" spans="1:9" x14ac:dyDescent="0.3">
      <c r="A817" t="str">
        <f>FO_Capture!A817</f>
        <v>TRD00816</v>
      </c>
      <c r="B817" t="str">
        <f>FO_Capture!B817</f>
        <v>INE009A01042</v>
      </c>
      <c r="C817" t="str">
        <f>IFERROR(VLOOKUP(FO_Capture!C817, Reference_Data!A:D, 2, FALSE), "UNKNOWN")</f>
        <v>Alpha Partners 22</v>
      </c>
      <c r="D817" t="str">
        <f>IFERROR(VLOOKUP(FO_Capture!C817, Reference_Data!A:D, 3, FALSE), "XXX")</f>
        <v>GBP</v>
      </c>
      <c r="E817" t="str">
        <f>IFERROR(VLOOKUP(FO_Capture!C817, Reference_Data!A:D, 4, FALSE), "MISSING SSI")</f>
        <v>JPMorgan A/C 488546</v>
      </c>
      <c r="F817">
        <f>FO_Capture!D817</f>
        <v>450</v>
      </c>
      <c r="G817">
        <f>FO_Capture!E817</f>
        <v>290.29000854492188</v>
      </c>
      <c r="H817">
        <f t="shared" si="24"/>
        <v>130630.50384521484</v>
      </c>
      <c r="I817" t="str">
        <f t="shared" si="25"/>
        <v>Pass - Ready for Confirmation</v>
      </c>
    </row>
    <row r="818" spans="1:9" x14ac:dyDescent="0.3">
      <c r="A818" t="str">
        <f>FO_Capture!A818</f>
        <v>TRD00817</v>
      </c>
      <c r="B818" t="str">
        <f>FO_Capture!B818</f>
        <v>INE003A01028</v>
      </c>
      <c r="C818" t="str">
        <f>IFERROR(VLOOKUP(FO_Capture!C818, Reference_Data!A:D, 2, FALSE), "UNKNOWN")</f>
        <v>Alpha Capital 44</v>
      </c>
      <c r="D818" t="str">
        <f>IFERROR(VLOOKUP(FO_Capture!C818, Reference_Data!A:D, 3, FALSE), "XXX")</f>
        <v>INR</v>
      </c>
      <c r="E818" t="str">
        <f>IFERROR(VLOOKUP(FO_Capture!C818, Reference_Data!A:D, 4, FALSE), "MISSING SSI")</f>
        <v>Deutsche Bank A/C 428758</v>
      </c>
      <c r="F818">
        <f>FO_Capture!D818</f>
        <v>200</v>
      </c>
      <c r="G818">
        <f>FO_Capture!E818</f>
        <v>284.58999633789063</v>
      </c>
      <c r="H818">
        <f t="shared" si="24"/>
        <v>56917.999267578125</v>
      </c>
      <c r="I818" t="str">
        <f t="shared" si="25"/>
        <v>Pass - Ready for Confirmation</v>
      </c>
    </row>
    <row r="819" spans="1:9" x14ac:dyDescent="0.3">
      <c r="A819" t="str">
        <f>FO_Capture!A819</f>
        <v>TRD00818</v>
      </c>
      <c r="B819" t="str">
        <f>FO_Capture!B819</f>
        <v>INE004A01077</v>
      </c>
      <c r="C819" t="str">
        <f>IFERROR(VLOOKUP(FO_Capture!C819, Reference_Data!A:D, 2, FALSE), "UNKNOWN")</f>
        <v>Alpha Capital 33</v>
      </c>
      <c r="D819" t="str">
        <f>IFERROR(VLOOKUP(FO_Capture!C819, Reference_Data!A:D, 3, FALSE), "XXX")</f>
        <v>JPY</v>
      </c>
      <c r="E819" t="str">
        <f>IFERROR(VLOOKUP(FO_Capture!C819, Reference_Data!A:D, 4, FALSE), "MISSING SSI")</f>
        <v>HSBC A/C 172861</v>
      </c>
      <c r="F819">
        <f>FO_Capture!D819</f>
        <v>380</v>
      </c>
      <c r="G819">
        <f>FO_Capture!E819</f>
        <v>11.569999694824219</v>
      </c>
      <c r="H819">
        <f t="shared" si="24"/>
        <v>4396.5998840332031</v>
      </c>
      <c r="I819" t="str">
        <f t="shared" si="25"/>
        <v>Pass - Ready for Confirmation</v>
      </c>
    </row>
    <row r="820" spans="1:9" x14ac:dyDescent="0.3">
      <c r="A820" t="str">
        <f>FO_Capture!A820</f>
        <v>TRD00819</v>
      </c>
      <c r="B820" t="str">
        <f>FO_Capture!B820</f>
        <v>INE009A01086</v>
      </c>
      <c r="C820" t="str">
        <f>IFERROR(VLOOKUP(FO_Capture!C820, Reference_Data!A:D, 2, FALSE), "UNKNOWN")</f>
        <v>Alpha Partners 22</v>
      </c>
      <c r="D820" t="str">
        <f>IFERROR(VLOOKUP(FO_Capture!C820, Reference_Data!A:D, 3, FALSE), "XXX")</f>
        <v>GBP</v>
      </c>
      <c r="E820" t="str">
        <f>IFERROR(VLOOKUP(FO_Capture!C820, Reference_Data!A:D, 4, FALSE), "MISSING SSI")</f>
        <v>JPMorgan A/C 488546</v>
      </c>
      <c r="F820">
        <f>FO_Capture!D820</f>
        <v>190</v>
      </c>
      <c r="G820">
        <f>FO_Capture!E820</f>
        <v>122.83000183105469</v>
      </c>
      <c r="H820">
        <f t="shared" si="24"/>
        <v>23337.700347900391</v>
      </c>
      <c r="I820" t="str">
        <f t="shared" si="25"/>
        <v>Pass - Ready for Confirmation</v>
      </c>
    </row>
    <row r="821" spans="1:9" x14ac:dyDescent="0.3">
      <c r="A821" t="str">
        <f>FO_Capture!A821</f>
        <v>TRD00820</v>
      </c>
      <c r="B821" t="str">
        <f>FO_Capture!B821</f>
        <v>INE005A01027</v>
      </c>
      <c r="C821" t="str">
        <f>IFERROR(VLOOKUP(FO_Capture!C821, Reference_Data!A:D, 2, FALSE), "UNKNOWN")</f>
        <v>Alpha Investments 40</v>
      </c>
      <c r="D821" t="str">
        <f>IFERROR(VLOOKUP(FO_Capture!C821, Reference_Data!A:D, 3, FALSE), "XXX")</f>
        <v>GBP</v>
      </c>
      <c r="E821" t="str">
        <f>IFERROR(VLOOKUP(FO_Capture!C821, Reference_Data!A:D, 4, FALSE), "MISSING SSI")</f>
        <v>HDFC A/C 897530</v>
      </c>
      <c r="F821">
        <f>FO_Capture!D821</f>
        <v>310</v>
      </c>
      <c r="G821">
        <f>FO_Capture!E821</f>
        <v>340.29998779296875</v>
      </c>
      <c r="H821">
        <f t="shared" si="24"/>
        <v>105492.99621582031</v>
      </c>
      <c r="I821" t="str">
        <f t="shared" si="25"/>
        <v>Pass - Ready for Confirmation</v>
      </c>
    </row>
    <row r="822" spans="1:9" x14ac:dyDescent="0.3">
      <c r="A822" t="str">
        <f>FO_Capture!A822</f>
        <v>TRD00821</v>
      </c>
      <c r="B822" t="str">
        <f>FO_Capture!B822</f>
        <v>INE002A0100</v>
      </c>
      <c r="C822" t="str">
        <f>IFERROR(VLOOKUP(FO_Capture!C822, Reference_Data!A:D, 2, FALSE), "UNKNOWN")</f>
        <v>Alpha Quant Fund 34</v>
      </c>
      <c r="D822" t="str">
        <f>IFERROR(VLOOKUP(FO_Capture!C822, Reference_Data!A:D, 3, FALSE), "XXX")</f>
        <v>JPY</v>
      </c>
      <c r="E822" t="str">
        <f>IFERROR(VLOOKUP(FO_Capture!C822, Reference_Data!A:D, 4, FALSE), "MISSING SSI")</f>
        <v>Citi A/C 837378</v>
      </c>
      <c r="F822">
        <f>FO_Capture!D822</f>
        <v>150</v>
      </c>
      <c r="G822">
        <f>FO_Capture!E822</f>
        <v>206.21000671386719</v>
      </c>
      <c r="H822">
        <f t="shared" si="24"/>
        <v>30931.501007080078</v>
      </c>
      <c r="I822" t="str">
        <f t="shared" si="25"/>
        <v>Pass - Ready for Confirmation</v>
      </c>
    </row>
    <row r="823" spans="1:9" x14ac:dyDescent="0.3">
      <c r="A823" t="str">
        <f>FO_Capture!A823</f>
        <v>TRD00822</v>
      </c>
      <c r="B823" t="str">
        <f>FO_Capture!B823</f>
        <v>INE002A01080</v>
      </c>
      <c r="C823" t="str">
        <f>IFERROR(VLOOKUP(FO_Capture!C823, Reference_Data!A:D, 2, FALSE), "UNKNOWN")</f>
        <v>Alpha Global 45</v>
      </c>
      <c r="D823" t="str">
        <f>IFERROR(VLOOKUP(FO_Capture!C823, Reference_Data!A:D, 3, FALSE), "XXX")</f>
        <v>EUR</v>
      </c>
      <c r="E823" t="str">
        <f>IFERROR(VLOOKUP(FO_Capture!C823, Reference_Data!A:D, 4, FALSE), "MISSING SSI")</f>
        <v>HSBC A/C 540659</v>
      </c>
      <c r="F823">
        <f>FO_Capture!D823</f>
        <v>80</v>
      </c>
      <c r="G823">
        <f>FO_Capture!E823</f>
        <v>333.1199951171875</v>
      </c>
      <c r="H823">
        <f t="shared" si="24"/>
        <v>26649.599609375</v>
      </c>
      <c r="I823" t="str">
        <f t="shared" si="25"/>
        <v>Pass - Ready for Confirmation</v>
      </c>
    </row>
    <row r="824" spans="1:9" x14ac:dyDescent="0.3">
      <c r="A824" t="str">
        <f>FO_Capture!A824</f>
        <v>TRD00823</v>
      </c>
      <c r="B824" t="str">
        <f>FO_Capture!B824</f>
        <v>INE004A01071</v>
      </c>
      <c r="C824" t="str">
        <f>IFERROR(VLOOKUP(FO_Capture!C824, Reference_Data!A:D, 2, FALSE), "UNKNOWN")</f>
        <v>Alpha Partners 37</v>
      </c>
      <c r="D824" t="str">
        <f>IFERROR(VLOOKUP(FO_Capture!C824, Reference_Data!A:D, 3, FALSE), "XXX")</f>
        <v>JPY</v>
      </c>
      <c r="E824" t="str">
        <f>IFERROR(VLOOKUP(FO_Capture!C824, Reference_Data!A:D, 4, FALSE), "MISSING SSI")</f>
        <v>HSBC A/C 994063</v>
      </c>
      <c r="F824">
        <f>FO_Capture!D824</f>
        <v>210</v>
      </c>
      <c r="G824">
        <f>FO_Capture!E824</f>
        <v>153.88999938964844</v>
      </c>
      <c r="H824">
        <f t="shared" si="24"/>
        <v>32316.899871826172</v>
      </c>
      <c r="I824" t="str">
        <f t="shared" si="25"/>
        <v>Pass - Ready for Confirmation</v>
      </c>
    </row>
    <row r="825" spans="1:9" x14ac:dyDescent="0.3">
      <c r="A825" t="str">
        <f>FO_Capture!A825</f>
        <v>TRD00824</v>
      </c>
      <c r="B825" t="str">
        <f>FO_Capture!B825</f>
        <v>INE007A01052</v>
      </c>
      <c r="C825" t="str">
        <f>IFERROR(VLOOKUP(FO_Capture!C825, Reference_Data!A:D, 2, FALSE), "UNKNOWN")</f>
        <v>Alpha Global 14</v>
      </c>
      <c r="D825" t="str">
        <f>IFERROR(VLOOKUP(FO_Capture!C825, Reference_Data!A:D, 3, FALSE), "XXX")</f>
        <v>USD</v>
      </c>
      <c r="E825" t="str">
        <f>IFERROR(VLOOKUP(FO_Capture!C825, Reference_Data!A:D, 4, FALSE), "MISSING SSI")</f>
        <v>HSBC A/C 864249</v>
      </c>
      <c r="F825">
        <f>FO_Capture!D825</f>
        <v>120</v>
      </c>
      <c r="G825">
        <f>FO_Capture!E825</f>
        <v>171.67999267578125</v>
      </c>
      <c r="H825">
        <f t="shared" si="24"/>
        <v>20601.59912109375</v>
      </c>
      <c r="I825" t="str">
        <f t="shared" si="25"/>
        <v>Pass - Ready for Confirmation</v>
      </c>
    </row>
    <row r="826" spans="1:9" x14ac:dyDescent="0.3">
      <c r="A826" t="str">
        <f>FO_Capture!A826</f>
        <v>TRD00825</v>
      </c>
      <c r="B826" t="str">
        <f>FO_Capture!B826</f>
        <v>INE006A01028</v>
      </c>
      <c r="C826" t="str">
        <f>IFERROR(VLOOKUP(FO_Capture!C826, Reference_Data!A:D, 2, FALSE), "UNKNOWN")</f>
        <v>Alpha Partners 3</v>
      </c>
      <c r="D826" t="str">
        <f>IFERROR(VLOOKUP(FO_Capture!C826, Reference_Data!A:D, 3, FALSE), "XXX")</f>
        <v>USD</v>
      </c>
      <c r="E826" t="str">
        <f>IFERROR(VLOOKUP(FO_Capture!C826, Reference_Data!A:D, 4, FALSE), "MISSING SSI")</f>
        <v>Citi A/C 508769</v>
      </c>
      <c r="F826">
        <f>FO_Capture!D826</f>
        <v>120</v>
      </c>
      <c r="G826">
        <f>FO_Capture!E826</f>
        <v>209.99000549316406</v>
      </c>
      <c r="H826">
        <f t="shared" si="24"/>
        <v>25198.800659179688</v>
      </c>
      <c r="I826" t="str">
        <f t="shared" si="25"/>
        <v>Pass - Ready for Confirmation</v>
      </c>
    </row>
    <row r="827" spans="1:9" x14ac:dyDescent="0.3">
      <c r="A827" t="str">
        <f>FO_Capture!A827</f>
        <v>TRD00826</v>
      </c>
      <c r="B827" t="str">
        <f>FO_Capture!B827</f>
        <v>INE006A01081</v>
      </c>
      <c r="C827" t="str">
        <f>IFERROR(VLOOKUP(FO_Capture!C827, Reference_Data!A:D, 2, FALSE), "UNKNOWN")</f>
        <v>Alpha Holdings 23</v>
      </c>
      <c r="D827" t="str">
        <f>IFERROR(VLOOKUP(FO_Capture!C827, Reference_Data!A:D, 3, FALSE), "XXX")</f>
        <v>INR</v>
      </c>
      <c r="E827" t="str">
        <f>IFERROR(VLOOKUP(FO_Capture!C827, Reference_Data!A:D, 4, FALSE), "MISSING SSI")</f>
        <v>Deutsche Bank A/C 983712</v>
      </c>
      <c r="F827">
        <f>FO_Capture!D827</f>
        <v>500</v>
      </c>
      <c r="G827">
        <f>FO_Capture!E827</f>
        <v>162.61000061035156</v>
      </c>
      <c r="H827">
        <f t="shared" si="24"/>
        <v>81305.000305175781</v>
      </c>
      <c r="I827" t="str">
        <f t="shared" si="25"/>
        <v>Pass - Ready for Confirmation</v>
      </c>
    </row>
    <row r="828" spans="1:9" x14ac:dyDescent="0.3">
      <c r="A828" t="str">
        <f>FO_Capture!A828</f>
        <v>TRD00827</v>
      </c>
      <c r="B828" t="str">
        <f>FO_Capture!B828</f>
        <v>INE009A01021</v>
      </c>
      <c r="C828" t="str">
        <f>IFERROR(VLOOKUP(FO_Capture!C828, Reference_Data!A:D, 2, FALSE), "UNKNOWN")</f>
        <v>Alpha Investments 15</v>
      </c>
      <c r="D828" t="str">
        <f>IFERROR(VLOOKUP(FO_Capture!C828, Reference_Data!A:D, 3, FALSE), "XXX")</f>
        <v>INR</v>
      </c>
      <c r="E828" t="str">
        <f>IFERROR(VLOOKUP(FO_Capture!C828, Reference_Data!A:D, 4, FALSE), "MISSING SSI")</f>
        <v>Deutsche Bank A/C 330518</v>
      </c>
      <c r="F828">
        <f>FO_Capture!D828</f>
        <v>260</v>
      </c>
      <c r="G828">
        <f>FO_Capture!E828</f>
        <v>243.66000366210938</v>
      </c>
      <c r="H828">
        <f t="shared" si="24"/>
        <v>63351.600952148438</v>
      </c>
      <c r="I828" t="str">
        <f t="shared" si="25"/>
        <v>Pass - Ready for Confirmation</v>
      </c>
    </row>
    <row r="829" spans="1:9" x14ac:dyDescent="0.3">
      <c r="A829" t="str">
        <f>FO_Capture!A829</f>
        <v>TRD00828</v>
      </c>
      <c r="B829" t="str">
        <f>FO_Capture!B829</f>
        <v>INE008A01033</v>
      </c>
      <c r="C829" t="str">
        <f>IFERROR(VLOOKUP(FO_Capture!C829, Reference_Data!A:D, 2, FALSE), "UNKNOWN")</f>
        <v>Alpha Asset Management 13</v>
      </c>
      <c r="D829" t="str">
        <f>IFERROR(VLOOKUP(FO_Capture!C829, Reference_Data!A:D, 3, FALSE), "XXX")</f>
        <v>INR</v>
      </c>
      <c r="E829" t="str">
        <f>IFERROR(VLOOKUP(FO_Capture!C829, Reference_Data!A:D, 4, FALSE), "MISSING SSI")</f>
        <v>HSBC A/C 972195</v>
      </c>
      <c r="F829">
        <f>FO_Capture!D829</f>
        <v>400</v>
      </c>
      <c r="G829">
        <f>FO_Capture!E829</f>
        <v>237.55999755859375</v>
      </c>
      <c r="H829">
        <f t="shared" si="24"/>
        <v>95023.9990234375</v>
      </c>
      <c r="I829" t="str">
        <f t="shared" si="25"/>
        <v>Pass - Ready for Confirmation</v>
      </c>
    </row>
    <row r="830" spans="1:9" x14ac:dyDescent="0.3">
      <c r="A830" t="str">
        <f>FO_Capture!A830</f>
        <v>TRD00829</v>
      </c>
      <c r="B830" t="str">
        <f>FO_Capture!B830</f>
        <v>INE009A01028</v>
      </c>
      <c r="C830" t="str">
        <f>IFERROR(VLOOKUP(FO_Capture!C830, Reference_Data!A:D, 2, FALSE), "UNKNOWN")</f>
        <v>Alpha Holdings 21</v>
      </c>
      <c r="D830" t="str">
        <f>IFERROR(VLOOKUP(FO_Capture!C830, Reference_Data!A:D, 3, FALSE), "XXX")</f>
        <v>SGD</v>
      </c>
      <c r="E830" t="str">
        <f>IFERROR(VLOOKUP(FO_Capture!C830, Reference_Data!A:D, 4, FALSE), "MISSING SSI")</f>
        <v>HSBC A/C 562956</v>
      </c>
      <c r="F830">
        <f>FO_Capture!D830</f>
        <v>120</v>
      </c>
      <c r="G830">
        <f>FO_Capture!E830</f>
        <v>249.03999328613281</v>
      </c>
      <c r="H830">
        <f t="shared" si="24"/>
        <v>29884.799194335938</v>
      </c>
      <c r="I830" t="str">
        <f t="shared" si="25"/>
        <v>Pass - Ready for Confirmation</v>
      </c>
    </row>
    <row r="831" spans="1:9" x14ac:dyDescent="0.3">
      <c r="A831" t="str">
        <f>FO_Capture!A831</f>
        <v>TRD00830</v>
      </c>
      <c r="B831" t="str">
        <f>FO_Capture!B831</f>
        <v>INE002A01095</v>
      </c>
      <c r="C831" t="str">
        <f>IFERROR(VLOOKUP(FO_Capture!C831, Reference_Data!A:D, 2, FALSE), "UNKNOWN")</f>
        <v>Alpha Partners 37</v>
      </c>
      <c r="D831" t="str">
        <f>IFERROR(VLOOKUP(FO_Capture!C831, Reference_Data!A:D, 3, FALSE), "XXX")</f>
        <v>JPY</v>
      </c>
      <c r="E831" t="str">
        <f>IFERROR(VLOOKUP(FO_Capture!C831, Reference_Data!A:D, 4, FALSE), "MISSING SSI")</f>
        <v>HSBC A/C 994063</v>
      </c>
      <c r="F831">
        <f>FO_Capture!D831</f>
        <v>-50</v>
      </c>
      <c r="G831">
        <f>FO_Capture!E831</f>
        <v>83.800003051757813</v>
      </c>
      <c r="H831">
        <f t="shared" si="24"/>
        <v>-4190.0001525878906</v>
      </c>
      <c r="I831" t="str">
        <f t="shared" si="25"/>
        <v>Fail - Invalid Price/Qty</v>
      </c>
    </row>
    <row r="832" spans="1:9" x14ac:dyDescent="0.3">
      <c r="A832" t="str">
        <f>FO_Capture!A832</f>
        <v>TRD00831</v>
      </c>
      <c r="B832" t="str">
        <f>FO_Capture!B832</f>
        <v>INE003A01087</v>
      </c>
      <c r="C832" t="str">
        <f>IFERROR(VLOOKUP(FO_Capture!C832, Reference_Data!A:D, 2, FALSE), "UNKNOWN")</f>
        <v>Alpha Partners 26</v>
      </c>
      <c r="D832" t="str">
        <f>IFERROR(VLOOKUP(FO_Capture!C832, Reference_Data!A:D, 3, FALSE), "XXX")</f>
        <v>USD</v>
      </c>
      <c r="E832" t="str">
        <f>IFERROR(VLOOKUP(FO_Capture!C832, Reference_Data!A:D, 4, FALSE), "MISSING SSI")</f>
        <v>HSBC A/C 867781</v>
      </c>
      <c r="F832">
        <f>FO_Capture!D832</f>
        <v>460</v>
      </c>
      <c r="G832">
        <f>FO_Capture!E832</f>
        <v>316.98001098632813</v>
      </c>
      <c r="H832">
        <f t="shared" si="24"/>
        <v>145810.80505371094</v>
      </c>
      <c r="I832" t="str">
        <f t="shared" si="25"/>
        <v>Pass - Ready for Confirmation</v>
      </c>
    </row>
    <row r="833" spans="1:9" x14ac:dyDescent="0.3">
      <c r="A833" t="str">
        <f>FO_Capture!A833</f>
        <v>TRD00832</v>
      </c>
      <c r="B833" t="str">
        <f>FO_Capture!B833</f>
        <v>INE007A01066</v>
      </c>
      <c r="C833" t="str">
        <f>IFERROR(VLOOKUP(FO_Capture!C833, Reference_Data!A:D, 2, FALSE), "UNKNOWN")</f>
        <v>Alpha Investments 43</v>
      </c>
      <c r="D833" t="str">
        <f>IFERROR(VLOOKUP(FO_Capture!C833, Reference_Data!A:D, 3, FALSE), "XXX")</f>
        <v>EUR</v>
      </c>
      <c r="E833" t="str">
        <f>IFERROR(VLOOKUP(FO_Capture!C833, Reference_Data!A:D, 4, FALSE), "MISSING SSI")</f>
        <v>Citi A/C 714496</v>
      </c>
      <c r="F833">
        <f>FO_Capture!D833</f>
        <v>30</v>
      </c>
      <c r="G833">
        <f>FO_Capture!E833</f>
        <v>458.55999755859375</v>
      </c>
      <c r="H833">
        <f t="shared" si="24"/>
        <v>13756.799926757813</v>
      </c>
      <c r="I833" t="str">
        <f t="shared" si="25"/>
        <v>Pass - Ready for Confirmation</v>
      </c>
    </row>
    <row r="834" spans="1:9" x14ac:dyDescent="0.3">
      <c r="A834" t="str">
        <f>FO_Capture!A834</f>
        <v>TRD00833</v>
      </c>
      <c r="B834" t="str">
        <f>FO_Capture!B834</f>
        <v>INE003A01095</v>
      </c>
      <c r="C834" t="str">
        <f>IFERROR(VLOOKUP(FO_Capture!C834, Reference_Data!A:D, 2, FALSE), "UNKNOWN")</f>
        <v>Alpha Capital 9</v>
      </c>
      <c r="D834" t="str">
        <f>IFERROR(VLOOKUP(FO_Capture!C834, Reference_Data!A:D, 3, FALSE), "XXX")</f>
        <v>JPY</v>
      </c>
      <c r="E834" t="str">
        <f>IFERROR(VLOOKUP(FO_Capture!C834, Reference_Data!A:D, 4, FALSE), "MISSING SSI")</f>
        <v>Citi A/C 744145</v>
      </c>
      <c r="F834">
        <f>FO_Capture!D834</f>
        <v>490</v>
      </c>
      <c r="G834">
        <f>FO_Capture!E834</f>
        <v>384.75</v>
      </c>
      <c r="H834">
        <f t="shared" si="24"/>
        <v>188527.5</v>
      </c>
      <c r="I834" t="str">
        <f t="shared" si="25"/>
        <v>Pass - Ready for Confirmation</v>
      </c>
    </row>
    <row r="835" spans="1:9" x14ac:dyDescent="0.3">
      <c r="A835" t="str">
        <f>FO_Capture!A835</f>
        <v>TRD00834</v>
      </c>
      <c r="B835" t="str">
        <f>FO_Capture!B835</f>
        <v>INE003A01052</v>
      </c>
      <c r="C835" t="str">
        <f>IFERROR(VLOOKUP(FO_Capture!C835, Reference_Data!A:D, 2, FALSE), "UNKNOWN")</f>
        <v>Alpha Holdings 21</v>
      </c>
      <c r="D835" t="str">
        <f>IFERROR(VLOOKUP(FO_Capture!C835, Reference_Data!A:D, 3, FALSE), "XXX")</f>
        <v>SGD</v>
      </c>
      <c r="E835" t="str">
        <f>IFERROR(VLOOKUP(FO_Capture!C835, Reference_Data!A:D, 4, FALSE), "MISSING SSI")</f>
        <v>HSBC A/C 562956</v>
      </c>
      <c r="F835">
        <f>FO_Capture!D835</f>
        <v>310</v>
      </c>
      <c r="G835">
        <f>FO_Capture!E835</f>
        <v>479.58999633789063</v>
      </c>
      <c r="H835">
        <f t="shared" ref="H835:H898" si="26">F835 * G835</f>
        <v>148672.89886474609</v>
      </c>
      <c r="I835" t="str">
        <f t="shared" ref="I835:I898" si="27">IF(C835="UNKNOWN", "Fail - Missing Ref Data", IF(OR(F835&lt;=0, G835&lt;=0), "Fail - Invalid Price/Qty", IF(H835&gt;1000000, "Exception - Limit Breach", "Pass - Ready for Confirmation")))</f>
        <v>Pass - Ready for Confirmation</v>
      </c>
    </row>
    <row r="836" spans="1:9" x14ac:dyDescent="0.3">
      <c r="A836" t="str">
        <f>FO_Capture!A836</f>
        <v>TRD00835</v>
      </c>
      <c r="B836" t="str">
        <f>FO_Capture!B836</f>
        <v>INE001A01029</v>
      </c>
      <c r="C836" t="str">
        <f>IFERROR(VLOOKUP(FO_Capture!C836, Reference_Data!A:D, 2, FALSE), "UNKNOWN")</f>
        <v>Alpha Global 39</v>
      </c>
      <c r="D836" t="str">
        <f>IFERROR(VLOOKUP(FO_Capture!C836, Reference_Data!A:D, 3, FALSE), "XXX")</f>
        <v>SGD</v>
      </c>
      <c r="E836" t="str">
        <f>IFERROR(VLOOKUP(FO_Capture!C836, Reference_Data!A:D, 4, FALSE), "MISSING SSI")</f>
        <v>Deutsche Bank A/C 917029</v>
      </c>
      <c r="F836">
        <f>FO_Capture!D836</f>
        <v>340</v>
      </c>
      <c r="G836">
        <f>FO_Capture!E836</f>
        <v>384.92999267578125</v>
      </c>
      <c r="H836">
        <f t="shared" si="26"/>
        <v>130876.19750976563</v>
      </c>
      <c r="I836" t="str">
        <f t="shared" si="27"/>
        <v>Pass - Ready for Confirmation</v>
      </c>
    </row>
    <row r="837" spans="1:9" x14ac:dyDescent="0.3">
      <c r="A837" t="str">
        <f>FO_Capture!A837</f>
        <v>TRD00836</v>
      </c>
      <c r="B837" t="str">
        <f>FO_Capture!B837</f>
        <v>INE009A01079</v>
      </c>
      <c r="C837" t="str">
        <f>IFERROR(VLOOKUP(FO_Capture!C837, Reference_Data!A:D, 2, FALSE), "UNKNOWN")</f>
        <v>Alpha Asset Management 13</v>
      </c>
      <c r="D837" t="str">
        <f>IFERROR(VLOOKUP(FO_Capture!C837, Reference_Data!A:D, 3, FALSE), "XXX")</f>
        <v>INR</v>
      </c>
      <c r="E837" t="str">
        <f>IFERROR(VLOOKUP(FO_Capture!C837, Reference_Data!A:D, 4, FALSE), "MISSING SSI")</f>
        <v>HSBC A/C 972195</v>
      </c>
      <c r="F837">
        <f>FO_Capture!D837</f>
        <v>140</v>
      </c>
      <c r="G837">
        <f>FO_Capture!E837</f>
        <v>250.41000366210938</v>
      </c>
      <c r="H837">
        <f t="shared" si="26"/>
        <v>35057.400512695313</v>
      </c>
      <c r="I837" t="str">
        <f t="shared" si="27"/>
        <v>Pass - Ready for Confirmation</v>
      </c>
    </row>
    <row r="838" spans="1:9" x14ac:dyDescent="0.3">
      <c r="A838" t="str">
        <f>FO_Capture!A838</f>
        <v>TRD00837</v>
      </c>
      <c r="B838" t="str">
        <f>FO_Capture!B838</f>
        <v>INE008A01074</v>
      </c>
      <c r="C838" t="str">
        <f>IFERROR(VLOOKUP(FO_Capture!C838, Reference_Data!A:D, 2, FALSE), "UNKNOWN")</f>
        <v>Alpha Asset Management 5</v>
      </c>
      <c r="D838" t="str">
        <f>IFERROR(VLOOKUP(FO_Capture!C838, Reference_Data!A:D, 3, FALSE), "XXX")</f>
        <v>INR</v>
      </c>
      <c r="E838" t="str">
        <f>IFERROR(VLOOKUP(FO_Capture!C838, Reference_Data!A:D, 4, FALSE), "MISSING SSI")</f>
        <v>JPMorgan A/C 860462</v>
      </c>
      <c r="F838">
        <f>FO_Capture!D838</f>
        <v>140</v>
      </c>
      <c r="G838">
        <f>FO_Capture!E838</f>
        <v>483.51998901367188</v>
      </c>
      <c r="H838">
        <f t="shared" si="26"/>
        <v>67692.798461914063</v>
      </c>
      <c r="I838" t="str">
        <f t="shared" si="27"/>
        <v>Pass - Ready for Confirmation</v>
      </c>
    </row>
    <row r="839" spans="1:9" x14ac:dyDescent="0.3">
      <c r="A839" t="str">
        <f>FO_Capture!A839</f>
        <v>TRD00838</v>
      </c>
      <c r="B839" t="str">
        <f>FO_Capture!B839</f>
        <v>INE005A01046</v>
      </c>
      <c r="C839" t="str">
        <f>IFERROR(VLOOKUP(FO_Capture!C839, Reference_Data!A:D, 2, FALSE), "UNKNOWN")</f>
        <v>Alpha Investments 15</v>
      </c>
      <c r="D839" t="str">
        <f>IFERROR(VLOOKUP(FO_Capture!C839, Reference_Data!A:D, 3, FALSE), "XXX")</f>
        <v>INR</v>
      </c>
      <c r="E839" t="str">
        <f>IFERROR(VLOOKUP(FO_Capture!C839, Reference_Data!A:D, 4, FALSE), "MISSING SSI")</f>
        <v>Deutsche Bank A/C 330518</v>
      </c>
      <c r="F839">
        <f>FO_Capture!D839</f>
        <v>450</v>
      </c>
      <c r="G839">
        <f>FO_Capture!E839</f>
        <v>499.52999877929688</v>
      </c>
      <c r="H839">
        <f t="shared" si="26"/>
        <v>224788.49945068359</v>
      </c>
      <c r="I839" t="str">
        <f t="shared" si="27"/>
        <v>Pass - Ready for Confirmation</v>
      </c>
    </row>
    <row r="840" spans="1:9" x14ac:dyDescent="0.3">
      <c r="A840" t="str">
        <f>FO_Capture!A840</f>
        <v>TRD00839</v>
      </c>
      <c r="B840" t="str">
        <f>FO_Capture!B840</f>
        <v>INE003A01043</v>
      </c>
      <c r="C840" t="str">
        <f>IFERROR(VLOOKUP(FO_Capture!C840, Reference_Data!A:D, 2, FALSE), "UNKNOWN")</f>
        <v>Alpha Capital 7</v>
      </c>
      <c r="D840" t="str">
        <f>IFERROR(VLOOKUP(FO_Capture!C840, Reference_Data!A:D, 3, FALSE), "XXX")</f>
        <v>INR</v>
      </c>
      <c r="E840" t="str">
        <f>IFERROR(VLOOKUP(FO_Capture!C840, Reference_Data!A:D, 4, FALSE), "MISSING SSI")</f>
        <v>Standard Chartered A/C 682134</v>
      </c>
      <c r="F840">
        <f>FO_Capture!D840</f>
        <v>100</v>
      </c>
      <c r="G840">
        <f>FO_Capture!E840</f>
        <v>471.54998779296875</v>
      </c>
      <c r="H840">
        <f t="shared" si="26"/>
        <v>47154.998779296875</v>
      </c>
      <c r="I840" t="str">
        <f t="shared" si="27"/>
        <v>Pass - Ready for Confirmation</v>
      </c>
    </row>
    <row r="841" spans="1:9" x14ac:dyDescent="0.3">
      <c r="A841" t="str">
        <f>FO_Capture!A841</f>
        <v>TRD00840</v>
      </c>
      <c r="B841" t="str">
        <f>FO_Capture!B841</f>
        <v>INE004A01076</v>
      </c>
      <c r="C841" t="str">
        <f>IFERROR(VLOOKUP(FO_Capture!C841, Reference_Data!A:D, 2, FALSE), "UNKNOWN")</f>
        <v>Alpha Quant Fund 34</v>
      </c>
      <c r="D841" t="str">
        <f>IFERROR(VLOOKUP(FO_Capture!C841, Reference_Data!A:D, 3, FALSE), "XXX")</f>
        <v>JPY</v>
      </c>
      <c r="E841" t="str">
        <f>IFERROR(VLOOKUP(FO_Capture!C841, Reference_Data!A:D, 4, FALSE), "MISSING SSI")</f>
        <v>Citi A/C 837378</v>
      </c>
      <c r="F841">
        <f>FO_Capture!D841</f>
        <v>280</v>
      </c>
      <c r="G841">
        <f>FO_Capture!E841</f>
        <v>80.470001220703125</v>
      </c>
      <c r="H841">
        <f t="shared" si="26"/>
        <v>22531.600341796875</v>
      </c>
      <c r="I841" t="str">
        <f t="shared" si="27"/>
        <v>Pass - Ready for Confirmation</v>
      </c>
    </row>
    <row r="842" spans="1:9" x14ac:dyDescent="0.3">
      <c r="A842" t="str">
        <f>FO_Capture!A842</f>
        <v>TRD00841</v>
      </c>
      <c r="B842" t="str">
        <f>FO_Capture!B842</f>
        <v>INE003A01071</v>
      </c>
      <c r="C842" t="str">
        <f>IFERROR(VLOOKUP(FO_Capture!C842, Reference_Data!A:D, 2, FALSE), "UNKNOWN")</f>
        <v>Alpha Capital 10</v>
      </c>
      <c r="D842" t="str">
        <f>IFERROR(VLOOKUP(FO_Capture!C842, Reference_Data!A:D, 3, FALSE), "XXX")</f>
        <v>USD</v>
      </c>
      <c r="E842" t="str">
        <f>IFERROR(VLOOKUP(FO_Capture!C842, Reference_Data!A:D, 4, FALSE), "MISSING SSI")</f>
        <v>HDFC A/C 543407</v>
      </c>
      <c r="F842">
        <f>FO_Capture!D842</f>
        <v>90</v>
      </c>
      <c r="G842">
        <f>FO_Capture!E842</f>
        <v>265.02999877929688</v>
      </c>
      <c r="H842">
        <f t="shared" si="26"/>
        <v>23852.699890136719</v>
      </c>
      <c r="I842" t="str">
        <f t="shared" si="27"/>
        <v>Pass - Ready for Confirmation</v>
      </c>
    </row>
    <row r="843" spans="1:9" x14ac:dyDescent="0.3">
      <c r="A843" t="str">
        <f>FO_Capture!A843</f>
        <v>TRD00842</v>
      </c>
      <c r="B843" t="str">
        <f>FO_Capture!B843</f>
        <v>INE009A01019</v>
      </c>
      <c r="C843" t="str">
        <f>IFERROR(VLOOKUP(FO_Capture!C843, Reference_Data!A:D, 2, FALSE), "UNKNOWN")</f>
        <v>Alpha Global 39</v>
      </c>
      <c r="D843" t="str">
        <f>IFERROR(VLOOKUP(FO_Capture!C843, Reference_Data!A:D, 3, FALSE), "XXX")</f>
        <v>SGD</v>
      </c>
      <c r="E843" t="str">
        <f>IFERROR(VLOOKUP(FO_Capture!C843, Reference_Data!A:D, 4, FALSE), "MISSING SSI")</f>
        <v>Deutsche Bank A/C 917029</v>
      </c>
      <c r="F843">
        <f>FO_Capture!D843</f>
        <v>310</v>
      </c>
      <c r="G843">
        <f>FO_Capture!E843</f>
        <v>471.739990234375</v>
      </c>
      <c r="H843">
        <f t="shared" si="26"/>
        <v>146239.39697265625</v>
      </c>
      <c r="I843" t="str">
        <f t="shared" si="27"/>
        <v>Pass - Ready for Confirmation</v>
      </c>
    </row>
    <row r="844" spans="1:9" x14ac:dyDescent="0.3">
      <c r="A844" t="str">
        <f>FO_Capture!A844</f>
        <v>TRD00843</v>
      </c>
      <c r="B844" t="str">
        <f>FO_Capture!B844</f>
        <v>INE001A01022</v>
      </c>
      <c r="C844" t="str">
        <f>IFERROR(VLOOKUP(FO_Capture!C844, Reference_Data!A:D, 2, FALSE), "UNKNOWN")</f>
        <v>Alpha Global 39</v>
      </c>
      <c r="D844" t="str">
        <f>IFERROR(VLOOKUP(FO_Capture!C844, Reference_Data!A:D, 3, FALSE), "XXX")</f>
        <v>SGD</v>
      </c>
      <c r="E844" t="str">
        <f>IFERROR(VLOOKUP(FO_Capture!C844, Reference_Data!A:D, 4, FALSE), "MISSING SSI")</f>
        <v>Deutsche Bank A/C 917029</v>
      </c>
      <c r="F844">
        <f>FO_Capture!D844</f>
        <v>110</v>
      </c>
      <c r="G844">
        <f>FO_Capture!E844</f>
        <v>404.97000122070313</v>
      </c>
      <c r="H844">
        <f t="shared" si="26"/>
        <v>44546.700134277344</v>
      </c>
      <c r="I844" t="str">
        <f t="shared" si="27"/>
        <v>Pass - Ready for Confirmation</v>
      </c>
    </row>
    <row r="845" spans="1:9" x14ac:dyDescent="0.3">
      <c r="A845" t="str">
        <f>FO_Capture!A845</f>
        <v>TRD00844</v>
      </c>
      <c r="B845" t="str">
        <f>FO_Capture!B845</f>
        <v>INE009A01047</v>
      </c>
      <c r="C845" t="str">
        <f>IFERROR(VLOOKUP(FO_Capture!C845, Reference_Data!A:D, 2, FALSE), "UNKNOWN")</f>
        <v>Alpha Global 14</v>
      </c>
      <c r="D845" t="str">
        <f>IFERROR(VLOOKUP(FO_Capture!C845, Reference_Data!A:D, 3, FALSE), "XXX")</f>
        <v>USD</v>
      </c>
      <c r="E845" t="str">
        <f>IFERROR(VLOOKUP(FO_Capture!C845, Reference_Data!A:D, 4, FALSE), "MISSING SSI")</f>
        <v>HSBC A/C 864249</v>
      </c>
      <c r="F845">
        <f>FO_Capture!D845</f>
        <v>340</v>
      </c>
      <c r="G845">
        <f>FO_Capture!E845</f>
        <v>276.8599853515625</v>
      </c>
      <c r="H845">
        <f t="shared" si="26"/>
        <v>94132.39501953125</v>
      </c>
      <c r="I845" t="str">
        <f t="shared" si="27"/>
        <v>Pass - Ready for Confirmation</v>
      </c>
    </row>
    <row r="846" spans="1:9" x14ac:dyDescent="0.3">
      <c r="A846" t="str">
        <f>FO_Capture!A846</f>
        <v>TRD00845</v>
      </c>
      <c r="B846" t="str">
        <f>FO_Capture!B846</f>
        <v>INE008A01078</v>
      </c>
      <c r="C846" t="str">
        <f>IFERROR(VLOOKUP(FO_Capture!C846, Reference_Data!A:D, 2, FALSE), "UNKNOWN")</f>
        <v>Alpha Asset Management 32</v>
      </c>
      <c r="D846" t="str">
        <f>IFERROR(VLOOKUP(FO_Capture!C846, Reference_Data!A:D, 3, FALSE), "XXX")</f>
        <v>INR</v>
      </c>
      <c r="E846" t="str">
        <f>IFERROR(VLOOKUP(FO_Capture!C846, Reference_Data!A:D, 4, FALSE), "MISSING SSI")</f>
        <v>Barclays A/C 302646</v>
      </c>
      <c r="F846">
        <f>FO_Capture!D846</f>
        <v>260</v>
      </c>
      <c r="G846">
        <f>FO_Capture!E846</f>
        <v>57.400001525878906</v>
      </c>
      <c r="H846">
        <f t="shared" si="26"/>
        <v>14924.000396728516</v>
      </c>
      <c r="I846" t="str">
        <f t="shared" si="27"/>
        <v>Pass - Ready for Confirmation</v>
      </c>
    </row>
    <row r="847" spans="1:9" x14ac:dyDescent="0.3">
      <c r="A847" t="str">
        <f>FO_Capture!A847</f>
        <v>TRD00846</v>
      </c>
      <c r="B847" t="str">
        <f>FO_Capture!B847</f>
        <v>INE005A01061</v>
      </c>
      <c r="C847" t="str">
        <f>IFERROR(VLOOKUP(FO_Capture!C847, Reference_Data!A:D, 2, FALSE), "UNKNOWN")</f>
        <v>Alpha Global 2</v>
      </c>
      <c r="D847" t="str">
        <f>IFERROR(VLOOKUP(FO_Capture!C847, Reference_Data!A:D, 3, FALSE), "XXX")</f>
        <v>GBP</v>
      </c>
      <c r="E847" t="str">
        <f>IFERROR(VLOOKUP(FO_Capture!C847, Reference_Data!A:D, 4, FALSE), "MISSING SSI")</f>
        <v>JPMorgan A/C 582379</v>
      </c>
      <c r="F847">
        <f>FO_Capture!D847</f>
        <v>290</v>
      </c>
      <c r="G847">
        <f>FO_Capture!E847</f>
        <v>224.35000610351563</v>
      </c>
      <c r="H847">
        <f t="shared" si="26"/>
        <v>65061.501770019531</v>
      </c>
      <c r="I847" t="str">
        <f t="shared" si="27"/>
        <v>Pass - Ready for Confirmation</v>
      </c>
    </row>
    <row r="848" spans="1:9" x14ac:dyDescent="0.3">
      <c r="A848" t="str">
        <f>FO_Capture!A848</f>
        <v>TRD00847</v>
      </c>
      <c r="B848" t="str">
        <f>FO_Capture!B848</f>
        <v>INE004A01055</v>
      </c>
      <c r="C848" t="str">
        <f>IFERROR(VLOOKUP(FO_Capture!C848, Reference_Data!A:D, 2, FALSE), "UNKNOWN")</f>
        <v>Alpha Holdings 41</v>
      </c>
      <c r="D848" t="str">
        <f>IFERROR(VLOOKUP(FO_Capture!C848, Reference_Data!A:D, 3, FALSE), "XXX")</f>
        <v>JPY</v>
      </c>
      <c r="E848" t="str">
        <f>IFERROR(VLOOKUP(FO_Capture!C848, Reference_Data!A:D, 4, FALSE), "MISSING SSI")</f>
        <v>HSBC A/C 468615</v>
      </c>
      <c r="F848">
        <f>FO_Capture!D848</f>
        <v>270</v>
      </c>
      <c r="G848">
        <f>FO_Capture!E848</f>
        <v>13.319999694824219</v>
      </c>
      <c r="H848">
        <f t="shared" si="26"/>
        <v>3596.3999176025391</v>
      </c>
      <c r="I848" t="str">
        <f t="shared" si="27"/>
        <v>Pass - Ready for Confirmation</v>
      </c>
    </row>
    <row r="849" spans="1:9" x14ac:dyDescent="0.3">
      <c r="A849" t="str">
        <f>FO_Capture!A849</f>
        <v>TRD00848</v>
      </c>
      <c r="B849" t="str">
        <f>FO_Capture!B849</f>
        <v>INE007A01083</v>
      </c>
      <c r="C849" t="str">
        <f>IFERROR(VLOOKUP(FO_Capture!C849, Reference_Data!A:D, 2, FALSE), "UNKNOWN")</f>
        <v>Alpha Capital 10</v>
      </c>
      <c r="D849" t="str">
        <f>IFERROR(VLOOKUP(FO_Capture!C849, Reference_Data!A:D, 3, FALSE), "XXX")</f>
        <v>USD</v>
      </c>
      <c r="E849" t="str">
        <f>IFERROR(VLOOKUP(FO_Capture!C849, Reference_Data!A:D, 4, FALSE), "MISSING SSI")</f>
        <v>HDFC A/C 543407</v>
      </c>
      <c r="F849">
        <f>FO_Capture!D849</f>
        <v>210</v>
      </c>
      <c r="G849">
        <f>FO_Capture!E849</f>
        <v>167.72000122070313</v>
      </c>
      <c r="H849">
        <f t="shared" si="26"/>
        <v>35221.200256347656</v>
      </c>
      <c r="I849" t="str">
        <f t="shared" si="27"/>
        <v>Pass - Ready for Confirmation</v>
      </c>
    </row>
    <row r="850" spans="1:9" x14ac:dyDescent="0.3">
      <c r="A850" t="str">
        <f>FO_Capture!A850</f>
        <v>TRD00849</v>
      </c>
      <c r="B850" t="str">
        <f>FO_Capture!B850</f>
        <v>INE005A01085</v>
      </c>
      <c r="C850" t="str">
        <f>IFERROR(VLOOKUP(FO_Capture!C850, Reference_Data!A:D, 2, FALSE), "UNKNOWN")</f>
        <v>Alpha Global 30</v>
      </c>
      <c r="D850" t="str">
        <f>IFERROR(VLOOKUP(FO_Capture!C850, Reference_Data!A:D, 3, FALSE), "XXX")</f>
        <v>JPY</v>
      </c>
      <c r="E850" t="str">
        <f>IFERROR(VLOOKUP(FO_Capture!C850, Reference_Data!A:D, 4, FALSE), "MISSING SSI")</f>
        <v>Deutsche Bank A/C 917262</v>
      </c>
      <c r="F850">
        <f>FO_Capture!D850</f>
        <v>20</v>
      </c>
      <c r="G850">
        <f>FO_Capture!E850</f>
        <v>188.75999450683594</v>
      </c>
      <c r="H850">
        <f t="shared" si="26"/>
        <v>3775.1998901367188</v>
      </c>
      <c r="I850" t="str">
        <f t="shared" si="27"/>
        <v>Pass - Ready for Confirmation</v>
      </c>
    </row>
    <row r="851" spans="1:9" x14ac:dyDescent="0.3">
      <c r="A851" t="str">
        <f>FO_Capture!A851</f>
        <v>TRD00850</v>
      </c>
      <c r="B851" t="str">
        <f>FO_Capture!B851</f>
        <v>INE003A01063</v>
      </c>
      <c r="C851" t="str">
        <f>IFERROR(VLOOKUP(FO_Capture!C851, Reference_Data!A:D, 2, FALSE), "UNKNOWN")</f>
        <v>Alpha Capital 10</v>
      </c>
      <c r="D851" t="str">
        <f>IFERROR(VLOOKUP(FO_Capture!C851, Reference_Data!A:D, 3, FALSE), "XXX")</f>
        <v>USD</v>
      </c>
      <c r="E851" t="str">
        <f>IFERROR(VLOOKUP(FO_Capture!C851, Reference_Data!A:D, 4, FALSE), "MISSING SSI")</f>
        <v>HDFC A/C 543407</v>
      </c>
      <c r="F851">
        <f>FO_Capture!D851</f>
        <v>270</v>
      </c>
      <c r="G851">
        <f>FO_Capture!E851</f>
        <v>85.480003356933594</v>
      </c>
      <c r="H851">
        <f t="shared" si="26"/>
        <v>23079.60090637207</v>
      </c>
      <c r="I851" t="str">
        <f t="shared" si="27"/>
        <v>Pass - Ready for Confirmation</v>
      </c>
    </row>
    <row r="852" spans="1:9" x14ac:dyDescent="0.3">
      <c r="A852" t="str">
        <f>FO_Capture!A852</f>
        <v>TRD00851</v>
      </c>
      <c r="B852" t="str">
        <f>FO_Capture!B852</f>
        <v>INE004A01033</v>
      </c>
      <c r="C852" t="str">
        <f>IFERROR(VLOOKUP(FO_Capture!C852, Reference_Data!A:D, 2, FALSE), "UNKNOWN")</f>
        <v>Alpha Holdings 23</v>
      </c>
      <c r="D852" t="str">
        <f>IFERROR(VLOOKUP(FO_Capture!C852, Reference_Data!A:D, 3, FALSE), "XXX")</f>
        <v>INR</v>
      </c>
      <c r="E852" t="str">
        <f>IFERROR(VLOOKUP(FO_Capture!C852, Reference_Data!A:D, 4, FALSE), "MISSING SSI")</f>
        <v>Deutsche Bank A/C 983712</v>
      </c>
      <c r="F852">
        <f>FO_Capture!D852</f>
        <v>470</v>
      </c>
      <c r="G852">
        <f>FO_Capture!E852</f>
        <v>124.72000122070313</v>
      </c>
      <c r="H852">
        <f t="shared" si="26"/>
        <v>58618.400573730469</v>
      </c>
      <c r="I852" t="str">
        <f t="shared" si="27"/>
        <v>Pass - Ready for Confirmation</v>
      </c>
    </row>
    <row r="853" spans="1:9" x14ac:dyDescent="0.3">
      <c r="A853" t="str">
        <f>FO_Capture!A853</f>
        <v>TRD00852</v>
      </c>
      <c r="B853" t="str">
        <f>FO_Capture!B853</f>
        <v>INE007A01075</v>
      </c>
      <c r="C853" t="str">
        <f>IFERROR(VLOOKUP(FO_Capture!C853, Reference_Data!A:D, 2, FALSE), "UNKNOWN")</f>
        <v>Alpha Asset Management 32</v>
      </c>
      <c r="D853" t="str">
        <f>IFERROR(VLOOKUP(FO_Capture!C853, Reference_Data!A:D, 3, FALSE), "XXX")</f>
        <v>INR</v>
      </c>
      <c r="E853" t="str">
        <f>IFERROR(VLOOKUP(FO_Capture!C853, Reference_Data!A:D, 4, FALSE), "MISSING SSI")</f>
        <v>Barclays A/C 302646</v>
      </c>
      <c r="F853">
        <f>FO_Capture!D853</f>
        <v>280</v>
      </c>
      <c r="G853">
        <f>FO_Capture!E853</f>
        <v>81.150001525878906</v>
      </c>
      <c r="H853">
        <f t="shared" si="26"/>
        <v>22722.000427246094</v>
      </c>
      <c r="I853" t="str">
        <f t="shared" si="27"/>
        <v>Pass - Ready for Confirmation</v>
      </c>
    </row>
    <row r="854" spans="1:9" x14ac:dyDescent="0.3">
      <c r="A854" t="str">
        <f>FO_Capture!A854</f>
        <v>TRD00853</v>
      </c>
      <c r="B854" t="str">
        <f>FO_Capture!B854</f>
        <v>INE003A01083</v>
      </c>
      <c r="C854" t="str">
        <f>IFERROR(VLOOKUP(FO_Capture!C854, Reference_Data!A:D, 2, FALSE), "UNKNOWN")</f>
        <v>Alpha Capital 10</v>
      </c>
      <c r="D854" t="str">
        <f>IFERROR(VLOOKUP(FO_Capture!C854, Reference_Data!A:D, 3, FALSE), "XXX")</f>
        <v>USD</v>
      </c>
      <c r="E854" t="str">
        <f>IFERROR(VLOOKUP(FO_Capture!C854, Reference_Data!A:D, 4, FALSE), "MISSING SSI")</f>
        <v>HDFC A/C 543407</v>
      </c>
      <c r="F854">
        <f>FO_Capture!D854</f>
        <v>260</v>
      </c>
      <c r="G854">
        <f>FO_Capture!E854</f>
        <v>487.23001098632813</v>
      </c>
      <c r="H854">
        <f t="shared" si="26"/>
        <v>126679.80285644531</v>
      </c>
      <c r="I854" t="str">
        <f t="shared" si="27"/>
        <v>Pass - Ready for Confirmation</v>
      </c>
    </row>
    <row r="855" spans="1:9" x14ac:dyDescent="0.3">
      <c r="A855" t="str">
        <f>FO_Capture!A855</f>
        <v>TRD00854</v>
      </c>
      <c r="B855" t="str">
        <f>FO_Capture!B855</f>
        <v>INE003A01017</v>
      </c>
      <c r="C855" t="str">
        <f>IFERROR(VLOOKUP(FO_Capture!C855, Reference_Data!A:D, 2, FALSE), "UNKNOWN")</f>
        <v>Alpha Holdings 21</v>
      </c>
      <c r="D855" t="str">
        <f>IFERROR(VLOOKUP(FO_Capture!C855, Reference_Data!A:D, 3, FALSE), "XXX")</f>
        <v>SGD</v>
      </c>
      <c r="E855" t="str">
        <f>IFERROR(VLOOKUP(FO_Capture!C855, Reference_Data!A:D, 4, FALSE), "MISSING SSI")</f>
        <v>HSBC A/C 562956</v>
      </c>
      <c r="F855">
        <f>FO_Capture!D855</f>
        <v>150</v>
      </c>
      <c r="G855">
        <f>FO_Capture!E855</f>
        <v>383.25</v>
      </c>
      <c r="H855">
        <f t="shared" si="26"/>
        <v>57487.5</v>
      </c>
      <c r="I855" t="str">
        <f t="shared" si="27"/>
        <v>Pass - Ready for Confirmation</v>
      </c>
    </row>
    <row r="856" spans="1:9" x14ac:dyDescent="0.3">
      <c r="A856" t="str">
        <f>FO_Capture!A856</f>
        <v>TRD00855</v>
      </c>
      <c r="B856" t="str">
        <f>FO_Capture!B856</f>
        <v>INE009A01048</v>
      </c>
      <c r="C856" t="str">
        <f>IFERROR(VLOOKUP(FO_Capture!C856, Reference_Data!A:D, 2, FALSE), "UNKNOWN")</f>
        <v>Alpha Partners 42</v>
      </c>
      <c r="D856" t="str">
        <f>IFERROR(VLOOKUP(FO_Capture!C856, Reference_Data!A:D, 3, FALSE), "XXX")</f>
        <v>USD</v>
      </c>
      <c r="E856" t="str">
        <f>IFERROR(VLOOKUP(FO_Capture!C856, Reference_Data!A:D, 4, FALSE), "MISSING SSI")</f>
        <v>Citi A/C 416082</v>
      </c>
      <c r="F856">
        <f>FO_Capture!D856</f>
        <v>110</v>
      </c>
      <c r="G856">
        <f>FO_Capture!E856</f>
        <v>67.300003051757813</v>
      </c>
      <c r="H856">
        <f t="shared" si="26"/>
        <v>7403.0003356933594</v>
      </c>
      <c r="I856" t="str">
        <f t="shared" si="27"/>
        <v>Pass - Ready for Confirmation</v>
      </c>
    </row>
    <row r="857" spans="1:9" x14ac:dyDescent="0.3">
      <c r="A857" t="str">
        <f>FO_Capture!A857</f>
        <v>TRD00856</v>
      </c>
      <c r="B857" t="str">
        <f>FO_Capture!B857</f>
        <v>INE001A01013</v>
      </c>
      <c r="C857" t="str">
        <f>IFERROR(VLOOKUP(FO_Capture!C857, Reference_Data!A:D, 2, FALSE), "UNKNOWN")</f>
        <v>Alpha Capital 36</v>
      </c>
      <c r="D857" t="str">
        <f>IFERROR(VLOOKUP(FO_Capture!C857, Reference_Data!A:D, 3, FALSE), "XXX")</f>
        <v>JPY</v>
      </c>
      <c r="E857" t="str">
        <f>IFERROR(VLOOKUP(FO_Capture!C857, Reference_Data!A:D, 4, FALSE), "MISSING SSI")</f>
        <v>Citi A/C 359789</v>
      </c>
      <c r="F857">
        <f>FO_Capture!D857</f>
        <v>440</v>
      </c>
      <c r="G857">
        <f>FO_Capture!E857</f>
        <v>345.29000854492188</v>
      </c>
      <c r="H857">
        <f t="shared" si="26"/>
        <v>151927.60375976563</v>
      </c>
      <c r="I857" t="str">
        <f t="shared" si="27"/>
        <v>Pass - Ready for Confirmation</v>
      </c>
    </row>
    <row r="858" spans="1:9" x14ac:dyDescent="0.3">
      <c r="A858" t="str">
        <f>FO_Capture!A858</f>
        <v>TRD00857</v>
      </c>
      <c r="B858" t="str">
        <f>FO_Capture!B858</f>
        <v>INE002A01062</v>
      </c>
      <c r="C858" t="str">
        <f>IFERROR(VLOOKUP(FO_Capture!C858, Reference_Data!A:D, 2, FALSE), "UNKNOWN")</f>
        <v>Alpha Asset Management 31</v>
      </c>
      <c r="D858" t="str">
        <f>IFERROR(VLOOKUP(FO_Capture!C858, Reference_Data!A:D, 3, FALSE), "XXX")</f>
        <v>USD</v>
      </c>
      <c r="E858" t="str">
        <f>IFERROR(VLOOKUP(FO_Capture!C858, Reference_Data!A:D, 4, FALSE), "MISSING SSI")</f>
        <v>Citi A/C 194841</v>
      </c>
      <c r="F858">
        <f>FO_Capture!D858</f>
        <v>380</v>
      </c>
      <c r="G858">
        <f>FO_Capture!E858</f>
        <v>280.94000244140625</v>
      </c>
      <c r="H858">
        <f t="shared" si="26"/>
        <v>106757.20092773438</v>
      </c>
      <c r="I858" t="str">
        <f t="shared" si="27"/>
        <v>Pass - Ready for Confirmation</v>
      </c>
    </row>
    <row r="859" spans="1:9" x14ac:dyDescent="0.3">
      <c r="A859" t="str">
        <f>FO_Capture!A859</f>
        <v>TRD00858</v>
      </c>
      <c r="B859" t="str">
        <f>FO_Capture!B859</f>
        <v>INE005A01012</v>
      </c>
      <c r="C859" t="str">
        <f>IFERROR(VLOOKUP(FO_Capture!C859, Reference_Data!A:D, 2, FALSE), "UNKNOWN")</f>
        <v>Alpha Global 45</v>
      </c>
      <c r="D859" t="str">
        <f>IFERROR(VLOOKUP(FO_Capture!C859, Reference_Data!A:D, 3, FALSE), "XXX")</f>
        <v>EUR</v>
      </c>
      <c r="E859" t="str">
        <f>IFERROR(VLOOKUP(FO_Capture!C859, Reference_Data!A:D, 4, FALSE), "MISSING SSI")</f>
        <v>HSBC A/C 540659</v>
      </c>
      <c r="F859">
        <f>FO_Capture!D859</f>
        <v>320</v>
      </c>
      <c r="G859">
        <f>FO_Capture!E859</f>
        <v>445.79000854492188</v>
      </c>
      <c r="H859">
        <f t="shared" si="26"/>
        <v>142652.802734375</v>
      </c>
      <c r="I859" t="str">
        <f t="shared" si="27"/>
        <v>Pass - Ready for Confirmation</v>
      </c>
    </row>
    <row r="860" spans="1:9" x14ac:dyDescent="0.3">
      <c r="A860" t="str">
        <f>FO_Capture!A860</f>
        <v>TRD00859</v>
      </c>
      <c r="B860" t="str">
        <f>FO_Capture!B860</f>
        <v>INE002A01088</v>
      </c>
      <c r="C860" t="str">
        <f>IFERROR(VLOOKUP(FO_Capture!C860, Reference_Data!A:D, 2, FALSE), "UNKNOWN")</f>
        <v>Alpha Asset Management 5</v>
      </c>
      <c r="D860" t="str">
        <f>IFERROR(VLOOKUP(FO_Capture!C860, Reference_Data!A:D, 3, FALSE), "XXX")</f>
        <v>INR</v>
      </c>
      <c r="E860" t="str">
        <f>IFERROR(VLOOKUP(FO_Capture!C860, Reference_Data!A:D, 4, FALSE), "MISSING SSI")</f>
        <v>JPMorgan A/C 860462</v>
      </c>
      <c r="F860">
        <f>FO_Capture!D860</f>
        <v>60</v>
      </c>
      <c r="G860">
        <f>FO_Capture!E860</f>
        <v>169.17999267578125</v>
      </c>
      <c r="H860">
        <f t="shared" si="26"/>
        <v>10150.799560546875</v>
      </c>
      <c r="I860" t="str">
        <f t="shared" si="27"/>
        <v>Pass - Ready for Confirmation</v>
      </c>
    </row>
    <row r="861" spans="1:9" x14ac:dyDescent="0.3">
      <c r="A861" t="str">
        <f>FO_Capture!A861</f>
        <v>TRD00860</v>
      </c>
      <c r="B861" t="str">
        <f>FO_Capture!B861</f>
        <v>INE006A01087</v>
      </c>
      <c r="C861" t="str">
        <f>IFERROR(VLOOKUP(FO_Capture!C861, Reference_Data!A:D, 2, FALSE), "UNKNOWN")</f>
        <v>Alpha Global 30</v>
      </c>
      <c r="D861" t="str">
        <f>IFERROR(VLOOKUP(FO_Capture!C861, Reference_Data!A:D, 3, FALSE), "XXX")</f>
        <v>JPY</v>
      </c>
      <c r="E861" t="str">
        <f>IFERROR(VLOOKUP(FO_Capture!C861, Reference_Data!A:D, 4, FALSE), "MISSING SSI")</f>
        <v>Deutsche Bank A/C 917262</v>
      </c>
      <c r="F861">
        <f>FO_Capture!D861</f>
        <v>90</v>
      </c>
      <c r="G861">
        <f>FO_Capture!E861</f>
        <v>288.26998901367188</v>
      </c>
      <c r="H861">
        <f t="shared" si="26"/>
        <v>25944.299011230469</v>
      </c>
      <c r="I861" t="str">
        <f t="shared" si="27"/>
        <v>Pass - Ready for Confirmation</v>
      </c>
    </row>
    <row r="862" spans="1:9" x14ac:dyDescent="0.3">
      <c r="A862" t="str">
        <f>FO_Capture!A862</f>
        <v>TRD00861</v>
      </c>
      <c r="B862" t="str">
        <f>FO_Capture!B862</f>
        <v>INE003A01014</v>
      </c>
      <c r="C862" t="str">
        <f>IFERROR(VLOOKUP(FO_Capture!C862, Reference_Data!A:D, 2, FALSE), "UNKNOWN")</f>
        <v>Alpha Partners 1</v>
      </c>
      <c r="D862" t="str">
        <f>IFERROR(VLOOKUP(FO_Capture!C862, Reference_Data!A:D, 3, FALSE), "XXX")</f>
        <v>JPY</v>
      </c>
      <c r="E862" t="str">
        <f>IFERROR(VLOOKUP(FO_Capture!C862, Reference_Data!A:D, 4, FALSE), "MISSING SSI")</f>
        <v>Standard Chartered A/C 277005</v>
      </c>
      <c r="F862">
        <f>FO_Capture!D862</f>
        <v>270</v>
      </c>
      <c r="G862">
        <f>FO_Capture!E862</f>
        <v>398.01998901367188</v>
      </c>
      <c r="H862">
        <f t="shared" si="26"/>
        <v>107465.39703369141</v>
      </c>
      <c r="I862" t="str">
        <f t="shared" si="27"/>
        <v>Pass - Ready for Confirmation</v>
      </c>
    </row>
    <row r="863" spans="1:9" x14ac:dyDescent="0.3">
      <c r="A863" t="str">
        <f>FO_Capture!A863</f>
        <v>TRD00862</v>
      </c>
      <c r="B863" t="str">
        <f>FO_Capture!B863</f>
        <v>INE002A01038</v>
      </c>
      <c r="C863" t="str">
        <f>IFERROR(VLOOKUP(FO_Capture!C863, Reference_Data!A:D, 2, FALSE), "UNKNOWN")</f>
        <v>Alpha Partners 37</v>
      </c>
      <c r="D863" t="str">
        <f>IFERROR(VLOOKUP(FO_Capture!C863, Reference_Data!A:D, 3, FALSE), "XXX")</f>
        <v>JPY</v>
      </c>
      <c r="E863" t="str">
        <f>IFERROR(VLOOKUP(FO_Capture!C863, Reference_Data!A:D, 4, FALSE), "MISSING SSI")</f>
        <v>HSBC A/C 994063</v>
      </c>
      <c r="F863">
        <f>FO_Capture!D863</f>
        <v>160</v>
      </c>
      <c r="G863">
        <f>FO_Capture!E863</f>
        <v>101.23000335693359</v>
      </c>
      <c r="H863">
        <f t="shared" si="26"/>
        <v>16196.800537109375</v>
      </c>
      <c r="I863" t="str">
        <f t="shared" si="27"/>
        <v>Pass - Ready for Confirmation</v>
      </c>
    </row>
    <row r="864" spans="1:9" x14ac:dyDescent="0.3">
      <c r="A864" t="str">
        <f>FO_Capture!A864</f>
        <v>TRD00863</v>
      </c>
      <c r="B864" t="str">
        <f>FO_Capture!B864</f>
        <v>INE001A01047</v>
      </c>
      <c r="C864" t="str">
        <f>IFERROR(VLOOKUP(FO_Capture!C864, Reference_Data!A:D, 2, FALSE), "UNKNOWN")</f>
        <v>Alpha Holdings 21</v>
      </c>
      <c r="D864" t="str">
        <f>IFERROR(VLOOKUP(FO_Capture!C864, Reference_Data!A:D, 3, FALSE), "XXX")</f>
        <v>SGD</v>
      </c>
      <c r="E864" t="str">
        <f>IFERROR(VLOOKUP(FO_Capture!C864, Reference_Data!A:D, 4, FALSE), "MISSING SSI")</f>
        <v>HSBC A/C 562956</v>
      </c>
      <c r="F864">
        <f>FO_Capture!D864</f>
        <v>230</v>
      </c>
      <c r="G864">
        <f>FO_Capture!E864</f>
        <v>258.489990234375</v>
      </c>
      <c r="H864">
        <f t="shared" si="26"/>
        <v>59452.69775390625</v>
      </c>
      <c r="I864" t="str">
        <f t="shared" si="27"/>
        <v>Pass - Ready for Confirmation</v>
      </c>
    </row>
    <row r="865" spans="1:9" x14ac:dyDescent="0.3">
      <c r="A865" t="str">
        <f>FO_Capture!A865</f>
        <v>TRD00864</v>
      </c>
      <c r="B865" t="str">
        <f>FO_Capture!B865</f>
        <v>INE005A01088</v>
      </c>
      <c r="C865" t="str">
        <f>IFERROR(VLOOKUP(FO_Capture!C865, Reference_Data!A:D, 2, FALSE), "UNKNOWN")</f>
        <v>Alpha Holdings 23</v>
      </c>
      <c r="D865" t="str">
        <f>IFERROR(VLOOKUP(FO_Capture!C865, Reference_Data!A:D, 3, FALSE), "XXX")</f>
        <v>INR</v>
      </c>
      <c r="E865" t="str">
        <f>IFERROR(VLOOKUP(FO_Capture!C865, Reference_Data!A:D, 4, FALSE), "MISSING SSI")</f>
        <v>Deutsche Bank A/C 983712</v>
      </c>
      <c r="F865">
        <f>FO_Capture!D865</f>
        <v>100</v>
      </c>
      <c r="G865">
        <f>FO_Capture!E865</f>
        <v>238.19999694824219</v>
      </c>
      <c r="H865">
        <f t="shared" si="26"/>
        <v>23819.999694824219</v>
      </c>
      <c r="I865" t="str">
        <f t="shared" si="27"/>
        <v>Pass - Ready for Confirmation</v>
      </c>
    </row>
    <row r="866" spans="1:9" x14ac:dyDescent="0.3">
      <c r="A866" t="str">
        <f>FO_Capture!A866</f>
        <v>TRD00865</v>
      </c>
      <c r="B866" t="str">
        <f>FO_Capture!B866</f>
        <v>INE006A01027</v>
      </c>
      <c r="C866" t="str">
        <f>IFERROR(VLOOKUP(FO_Capture!C866, Reference_Data!A:D, 2, FALSE), "UNKNOWN")</f>
        <v>Alpha Quant Fund 27</v>
      </c>
      <c r="D866" t="str">
        <f>IFERROR(VLOOKUP(FO_Capture!C866, Reference_Data!A:D, 3, FALSE), "XXX")</f>
        <v>EUR</v>
      </c>
      <c r="E866" t="str">
        <f>IFERROR(VLOOKUP(FO_Capture!C866, Reference_Data!A:D, 4, FALSE), "MISSING SSI")</f>
        <v>Standard Chartered A/C 331839</v>
      </c>
      <c r="F866">
        <f>FO_Capture!D866</f>
        <v>320</v>
      </c>
      <c r="G866">
        <f>FO_Capture!E866</f>
        <v>166.58999633789063</v>
      </c>
      <c r="H866">
        <f t="shared" si="26"/>
        <v>53308.798828125</v>
      </c>
      <c r="I866" t="str">
        <f t="shared" si="27"/>
        <v>Pass - Ready for Confirmation</v>
      </c>
    </row>
    <row r="867" spans="1:9" x14ac:dyDescent="0.3">
      <c r="A867" t="str">
        <f>FO_Capture!A867</f>
        <v>TRD00866</v>
      </c>
      <c r="B867" t="str">
        <f>FO_Capture!B867</f>
        <v>INE001A01087</v>
      </c>
      <c r="C867" t="str">
        <f>IFERROR(VLOOKUP(FO_Capture!C867, Reference_Data!A:D, 2, FALSE), "UNKNOWN")</f>
        <v>Alpha Capital 7</v>
      </c>
      <c r="D867" t="str">
        <f>IFERROR(VLOOKUP(FO_Capture!C867, Reference_Data!A:D, 3, FALSE), "XXX")</f>
        <v>INR</v>
      </c>
      <c r="E867" t="str">
        <f>IFERROR(VLOOKUP(FO_Capture!C867, Reference_Data!A:D, 4, FALSE), "MISSING SSI")</f>
        <v>Standard Chartered A/C 682134</v>
      </c>
      <c r="F867">
        <f>FO_Capture!D867</f>
        <v>80</v>
      </c>
      <c r="G867">
        <f>FO_Capture!E867</f>
        <v>177.69000244140625</v>
      </c>
      <c r="H867">
        <f t="shared" si="26"/>
        <v>14215.2001953125</v>
      </c>
      <c r="I867" t="str">
        <f t="shared" si="27"/>
        <v>Pass - Ready for Confirmation</v>
      </c>
    </row>
    <row r="868" spans="1:9" x14ac:dyDescent="0.3">
      <c r="A868" t="str">
        <f>FO_Capture!A868</f>
        <v>TRD00867</v>
      </c>
      <c r="B868" t="str">
        <f>FO_Capture!B868</f>
        <v>INE007A01014</v>
      </c>
      <c r="C868" t="str">
        <f>IFERROR(VLOOKUP(FO_Capture!C868, Reference_Data!A:D, 2, FALSE), "UNKNOWN")</f>
        <v>Alpha Holdings 47</v>
      </c>
      <c r="D868" t="str">
        <f>IFERROR(VLOOKUP(FO_Capture!C868, Reference_Data!A:D, 3, FALSE), "XXX")</f>
        <v>GBP</v>
      </c>
      <c r="E868" t="str">
        <f>IFERROR(VLOOKUP(FO_Capture!C868, Reference_Data!A:D, 4, FALSE), "MISSING SSI")</f>
        <v>Citi A/C 703401</v>
      </c>
      <c r="F868">
        <f>FO_Capture!D868</f>
        <v>500</v>
      </c>
      <c r="G868">
        <f>FO_Capture!E868</f>
        <v>163.35000610351563</v>
      </c>
      <c r="H868">
        <f t="shared" si="26"/>
        <v>81675.003051757813</v>
      </c>
      <c r="I868" t="str">
        <f t="shared" si="27"/>
        <v>Pass - Ready for Confirmation</v>
      </c>
    </row>
    <row r="869" spans="1:9" x14ac:dyDescent="0.3">
      <c r="A869" t="str">
        <f>FO_Capture!A869</f>
        <v>TRD00868</v>
      </c>
      <c r="B869" t="str">
        <f>FO_Capture!B869</f>
        <v>INE007A0109</v>
      </c>
      <c r="C869" t="str">
        <f>IFERROR(VLOOKUP(FO_Capture!C869, Reference_Data!A:D, 2, FALSE), "UNKNOWN")</f>
        <v>Alpha Holdings 21</v>
      </c>
      <c r="D869" t="str">
        <f>IFERROR(VLOOKUP(FO_Capture!C869, Reference_Data!A:D, 3, FALSE), "XXX")</f>
        <v>SGD</v>
      </c>
      <c r="E869" t="str">
        <f>IFERROR(VLOOKUP(FO_Capture!C869, Reference_Data!A:D, 4, FALSE), "MISSING SSI")</f>
        <v>HSBC A/C 562956</v>
      </c>
      <c r="F869">
        <f>FO_Capture!D869</f>
        <v>380</v>
      </c>
      <c r="G869">
        <f>FO_Capture!E869</f>
        <v>23.219999313354492</v>
      </c>
      <c r="H869">
        <f t="shared" si="26"/>
        <v>8823.599739074707</v>
      </c>
      <c r="I869" t="str">
        <f t="shared" si="27"/>
        <v>Pass - Ready for Confirmation</v>
      </c>
    </row>
    <row r="870" spans="1:9" x14ac:dyDescent="0.3">
      <c r="A870" t="str">
        <f>FO_Capture!A870</f>
        <v>TRD00869</v>
      </c>
      <c r="B870" t="str">
        <f>FO_Capture!B870</f>
        <v>INE001A01093</v>
      </c>
      <c r="C870" t="str">
        <f>IFERROR(VLOOKUP(FO_Capture!C870, Reference_Data!A:D, 2, FALSE), "UNKNOWN")</f>
        <v>Alpha Partners 18</v>
      </c>
      <c r="D870" t="str">
        <f>IFERROR(VLOOKUP(FO_Capture!C870, Reference_Data!A:D, 3, FALSE), "XXX")</f>
        <v>INR</v>
      </c>
      <c r="E870" t="str">
        <f>IFERROR(VLOOKUP(FO_Capture!C870, Reference_Data!A:D, 4, FALSE), "MISSING SSI")</f>
        <v>JPMorgan A/C 704166</v>
      </c>
      <c r="F870">
        <f>FO_Capture!D870</f>
        <v>410</v>
      </c>
      <c r="G870">
        <f>FO_Capture!E870</f>
        <v>414.76998901367188</v>
      </c>
      <c r="H870">
        <f t="shared" si="26"/>
        <v>170055.69549560547</v>
      </c>
      <c r="I870" t="str">
        <f t="shared" si="27"/>
        <v>Pass - Ready for Confirmation</v>
      </c>
    </row>
    <row r="871" spans="1:9" x14ac:dyDescent="0.3">
      <c r="A871" t="str">
        <f>FO_Capture!A871</f>
        <v>TRD00870</v>
      </c>
      <c r="B871" t="str">
        <f>FO_Capture!B871</f>
        <v>INE004A01050</v>
      </c>
      <c r="C871" t="str">
        <f>IFERROR(VLOOKUP(FO_Capture!C871, Reference_Data!A:D, 2, FALSE), "UNKNOWN")</f>
        <v>Alpha Capital 11</v>
      </c>
      <c r="D871" t="str">
        <f>IFERROR(VLOOKUP(FO_Capture!C871, Reference_Data!A:D, 3, FALSE), "XXX")</f>
        <v>USD</v>
      </c>
      <c r="E871" t="str">
        <f>IFERROR(VLOOKUP(FO_Capture!C871, Reference_Data!A:D, 4, FALSE), "MISSING SSI")</f>
        <v>JPMorgan A/C 987170</v>
      </c>
      <c r="F871">
        <f>FO_Capture!D871</f>
        <v>450</v>
      </c>
      <c r="G871">
        <f>FO_Capture!E871</f>
        <v>503.29000854492188</v>
      </c>
      <c r="H871">
        <f t="shared" si="26"/>
        <v>226480.50384521484</v>
      </c>
      <c r="I871" t="str">
        <f t="shared" si="27"/>
        <v>Pass - Ready for Confirmation</v>
      </c>
    </row>
    <row r="872" spans="1:9" x14ac:dyDescent="0.3">
      <c r="A872" t="str">
        <f>FO_Capture!A872</f>
        <v>TRD00871</v>
      </c>
      <c r="B872" t="str">
        <f>FO_Capture!B872</f>
        <v>INE002A01078</v>
      </c>
      <c r="C872" t="str">
        <f>IFERROR(VLOOKUP(FO_Capture!C872, Reference_Data!A:D, 2, FALSE), "UNKNOWN")</f>
        <v>Alpha Holdings 41</v>
      </c>
      <c r="D872" t="str">
        <f>IFERROR(VLOOKUP(FO_Capture!C872, Reference_Data!A:D, 3, FALSE), "XXX")</f>
        <v>JPY</v>
      </c>
      <c r="E872" t="str">
        <f>IFERROR(VLOOKUP(FO_Capture!C872, Reference_Data!A:D, 4, FALSE), "MISSING SSI")</f>
        <v>HSBC A/C 468615</v>
      </c>
      <c r="F872">
        <f>FO_Capture!D872</f>
        <v>270</v>
      </c>
      <c r="G872">
        <f>FO_Capture!E872</f>
        <v>211.8800048828125</v>
      </c>
      <c r="H872">
        <f t="shared" si="26"/>
        <v>57207.601318359375</v>
      </c>
      <c r="I872" t="str">
        <f t="shared" si="27"/>
        <v>Pass - Ready for Confirmation</v>
      </c>
    </row>
    <row r="873" spans="1:9" x14ac:dyDescent="0.3">
      <c r="A873" t="str">
        <f>FO_Capture!A873</f>
        <v>TRD00872</v>
      </c>
      <c r="B873" t="str">
        <f>FO_Capture!B873</f>
        <v>INE004A01037</v>
      </c>
      <c r="C873" t="str">
        <f>IFERROR(VLOOKUP(FO_Capture!C873, Reference_Data!A:D, 2, FALSE), "UNKNOWN")</f>
        <v>Alpha Quant Fund 34</v>
      </c>
      <c r="D873" t="str">
        <f>IFERROR(VLOOKUP(FO_Capture!C873, Reference_Data!A:D, 3, FALSE), "XXX")</f>
        <v>JPY</v>
      </c>
      <c r="E873" t="str">
        <f>IFERROR(VLOOKUP(FO_Capture!C873, Reference_Data!A:D, 4, FALSE), "MISSING SSI")</f>
        <v>Citi A/C 837378</v>
      </c>
      <c r="F873">
        <f>FO_Capture!D873</f>
        <v>320</v>
      </c>
      <c r="G873">
        <f>FO_Capture!E873</f>
        <v>471.44000244140625</v>
      </c>
      <c r="H873">
        <f t="shared" si="26"/>
        <v>150860.80078125</v>
      </c>
      <c r="I873" t="str">
        <f t="shared" si="27"/>
        <v>Pass - Ready for Confirmation</v>
      </c>
    </row>
    <row r="874" spans="1:9" x14ac:dyDescent="0.3">
      <c r="A874" t="str">
        <f>FO_Capture!A874</f>
        <v>TRD00873</v>
      </c>
      <c r="B874" t="str">
        <f>FO_Capture!B874</f>
        <v>INE009A0104</v>
      </c>
      <c r="C874" t="str">
        <f>IFERROR(VLOOKUP(FO_Capture!C874, Reference_Data!A:D, 2, FALSE), "UNKNOWN")</f>
        <v>Alpha Global 30</v>
      </c>
      <c r="D874" t="str">
        <f>IFERROR(VLOOKUP(FO_Capture!C874, Reference_Data!A:D, 3, FALSE), "XXX")</f>
        <v>JPY</v>
      </c>
      <c r="E874" t="str">
        <f>IFERROR(VLOOKUP(FO_Capture!C874, Reference_Data!A:D, 4, FALSE), "MISSING SSI")</f>
        <v>Deutsche Bank A/C 917262</v>
      </c>
      <c r="F874">
        <f>FO_Capture!D874</f>
        <v>440</v>
      </c>
      <c r="G874">
        <f>FO_Capture!E874</f>
        <v>470.69000244140625</v>
      </c>
      <c r="H874">
        <f t="shared" si="26"/>
        <v>207103.60107421875</v>
      </c>
      <c r="I874" t="str">
        <f t="shared" si="27"/>
        <v>Pass - Ready for Confirmation</v>
      </c>
    </row>
    <row r="875" spans="1:9" x14ac:dyDescent="0.3">
      <c r="A875" t="str">
        <f>FO_Capture!A875</f>
        <v>TRD00874</v>
      </c>
      <c r="B875" t="str">
        <f>FO_Capture!B875</f>
        <v>INE002A01017</v>
      </c>
      <c r="C875" t="str">
        <f>IFERROR(VLOOKUP(FO_Capture!C875, Reference_Data!A:D, 2, FALSE), "UNKNOWN")</f>
        <v>Alpha Asset Management 8</v>
      </c>
      <c r="D875" t="str">
        <f>IFERROR(VLOOKUP(FO_Capture!C875, Reference_Data!A:D, 3, FALSE), "XXX")</f>
        <v>GBP</v>
      </c>
      <c r="E875" t="str">
        <f>IFERROR(VLOOKUP(FO_Capture!C875, Reference_Data!A:D, 4, FALSE), "MISSING SSI")</f>
        <v>HDFC A/C 180445</v>
      </c>
      <c r="F875">
        <f>FO_Capture!D875</f>
        <v>170</v>
      </c>
      <c r="G875">
        <f>FO_Capture!E875</f>
        <v>406.17001342773438</v>
      </c>
      <c r="H875">
        <f t="shared" si="26"/>
        <v>69048.902282714844</v>
      </c>
      <c r="I875" t="str">
        <f t="shared" si="27"/>
        <v>Pass - Ready for Confirmation</v>
      </c>
    </row>
    <row r="876" spans="1:9" x14ac:dyDescent="0.3">
      <c r="A876" t="str">
        <f>FO_Capture!A876</f>
        <v>TRD00875</v>
      </c>
      <c r="B876" t="str">
        <f>FO_Capture!B876</f>
        <v>INE004A01032</v>
      </c>
      <c r="C876" t="str">
        <f>IFERROR(VLOOKUP(FO_Capture!C876, Reference_Data!A:D, 2, FALSE), "UNKNOWN")</f>
        <v>Alpha Capital 11</v>
      </c>
      <c r="D876" t="str">
        <f>IFERROR(VLOOKUP(FO_Capture!C876, Reference_Data!A:D, 3, FALSE), "XXX")</f>
        <v>USD</v>
      </c>
      <c r="E876" t="str">
        <f>IFERROR(VLOOKUP(FO_Capture!C876, Reference_Data!A:D, 4, FALSE), "MISSING SSI")</f>
        <v>JPMorgan A/C 987170</v>
      </c>
      <c r="F876">
        <f>FO_Capture!D876</f>
        <v>420</v>
      </c>
      <c r="G876">
        <f>FO_Capture!E876</f>
        <v>232.22000122070313</v>
      </c>
      <c r="H876">
        <f t="shared" si="26"/>
        <v>97532.400512695313</v>
      </c>
      <c r="I876" t="str">
        <f t="shared" si="27"/>
        <v>Pass - Ready for Confirmation</v>
      </c>
    </row>
    <row r="877" spans="1:9" x14ac:dyDescent="0.3">
      <c r="A877" t="str">
        <f>FO_Capture!A877</f>
        <v>TRD00876</v>
      </c>
      <c r="B877" t="str">
        <f>FO_Capture!B877</f>
        <v>INE004A01064</v>
      </c>
      <c r="C877" t="str">
        <f>IFERROR(VLOOKUP(FO_Capture!C877, Reference_Data!A:D, 2, FALSE), "UNKNOWN")</f>
        <v>Alpha Investments 17</v>
      </c>
      <c r="D877" t="str">
        <f>IFERROR(VLOOKUP(FO_Capture!C877, Reference_Data!A:D, 3, FALSE), "XXX")</f>
        <v>USD</v>
      </c>
      <c r="E877" t="str">
        <f>IFERROR(VLOOKUP(FO_Capture!C877, Reference_Data!A:D, 4, FALSE), "MISSING SSI")</f>
        <v>HDFC A/C 113752</v>
      </c>
      <c r="F877">
        <f>FO_Capture!D877</f>
        <v>300</v>
      </c>
      <c r="G877">
        <f>FO_Capture!E877</f>
        <v>411</v>
      </c>
      <c r="H877">
        <f t="shared" si="26"/>
        <v>123300</v>
      </c>
      <c r="I877" t="str">
        <f t="shared" si="27"/>
        <v>Pass - Ready for Confirmation</v>
      </c>
    </row>
    <row r="878" spans="1:9" x14ac:dyDescent="0.3">
      <c r="A878" t="str">
        <f>FO_Capture!A878</f>
        <v>TRD00877</v>
      </c>
      <c r="B878" t="str">
        <f>FO_Capture!B878</f>
        <v>INE001A01048</v>
      </c>
      <c r="C878" t="str">
        <f>IFERROR(VLOOKUP(FO_Capture!C878, Reference_Data!A:D, 2, FALSE), "UNKNOWN")</f>
        <v>Alpha Partners 22</v>
      </c>
      <c r="D878" t="str">
        <f>IFERROR(VLOOKUP(FO_Capture!C878, Reference_Data!A:D, 3, FALSE), "XXX")</f>
        <v>GBP</v>
      </c>
      <c r="E878" t="str">
        <f>IFERROR(VLOOKUP(FO_Capture!C878, Reference_Data!A:D, 4, FALSE), "MISSING SSI")</f>
        <v>JPMorgan A/C 488546</v>
      </c>
      <c r="F878">
        <f>FO_Capture!D878</f>
        <v>310</v>
      </c>
      <c r="G878">
        <f>FO_Capture!E878</f>
        <v>162.47999572753906</v>
      </c>
      <c r="H878">
        <f t="shared" si="26"/>
        <v>50368.798675537109</v>
      </c>
      <c r="I878" t="str">
        <f t="shared" si="27"/>
        <v>Pass - Ready for Confirmation</v>
      </c>
    </row>
    <row r="879" spans="1:9" x14ac:dyDescent="0.3">
      <c r="A879" t="str">
        <f>FO_Capture!A879</f>
        <v>TRD00878</v>
      </c>
      <c r="B879" t="str">
        <f>FO_Capture!B879</f>
        <v>INE003A01078</v>
      </c>
      <c r="C879" t="str">
        <f>IFERROR(VLOOKUP(FO_Capture!C879, Reference_Data!A:D, 2, FALSE), "UNKNOWN")</f>
        <v>Alpha Partners 6</v>
      </c>
      <c r="D879" t="str">
        <f>IFERROR(VLOOKUP(FO_Capture!C879, Reference_Data!A:D, 3, FALSE), "XXX")</f>
        <v>INR</v>
      </c>
      <c r="E879" t="str">
        <f>IFERROR(VLOOKUP(FO_Capture!C879, Reference_Data!A:D, 4, FALSE), "MISSING SSI")</f>
        <v>Standard Chartered A/C 441247</v>
      </c>
      <c r="F879">
        <f>FO_Capture!D879</f>
        <v>130</v>
      </c>
      <c r="G879">
        <f>FO_Capture!E879</f>
        <v>214.44000244140625</v>
      </c>
      <c r="H879">
        <f t="shared" si="26"/>
        <v>27877.200317382813</v>
      </c>
      <c r="I879" t="str">
        <f t="shared" si="27"/>
        <v>Pass - Ready for Confirmation</v>
      </c>
    </row>
    <row r="880" spans="1:9" x14ac:dyDescent="0.3">
      <c r="A880" t="str">
        <f>FO_Capture!A880</f>
        <v>TRD00879</v>
      </c>
      <c r="B880" t="str">
        <f>FO_Capture!B880</f>
        <v>INE004A01065</v>
      </c>
      <c r="C880" t="str">
        <f>IFERROR(VLOOKUP(FO_Capture!C880, Reference_Data!A:D, 2, FALSE), "UNKNOWN")</f>
        <v>Alpha Global 14</v>
      </c>
      <c r="D880" t="str">
        <f>IFERROR(VLOOKUP(FO_Capture!C880, Reference_Data!A:D, 3, FALSE), "XXX")</f>
        <v>USD</v>
      </c>
      <c r="E880" t="str">
        <f>IFERROR(VLOOKUP(FO_Capture!C880, Reference_Data!A:D, 4, FALSE), "MISSING SSI")</f>
        <v>HSBC A/C 864249</v>
      </c>
      <c r="F880">
        <f>FO_Capture!D880</f>
        <v>340</v>
      </c>
      <c r="G880">
        <f>FO_Capture!E880</f>
        <v>52.479999542236328</v>
      </c>
      <c r="H880">
        <f t="shared" si="26"/>
        <v>17843.199844360352</v>
      </c>
      <c r="I880" t="str">
        <f t="shared" si="27"/>
        <v>Pass - Ready for Confirmation</v>
      </c>
    </row>
    <row r="881" spans="1:9" x14ac:dyDescent="0.3">
      <c r="A881" t="str">
        <f>FO_Capture!A881</f>
        <v>TRD00880</v>
      </c>
      <c r="B881" t="str">
        <f>FO_Capture!B881</f>
        <v>INE009A01082</v>
      </c>
      <c r="C881" t="str">
        <f>IFERROR(VLOOKUP(FO_Capture!C881, Reference_Data!A:D, 2, FALSE), "UNKNOWN")</f>
        <v>Alpha Asset Management 31</v>
      </c>
      <c r="D881" t="str">
        <f>IFERROR(VLOOKUP(FO_Capture!C881, Reference_Data!A:D, 3, FALSE), "XXX")</f>
        <v>USD</v>
      </c>
      <c r="E881" t="str">
        <f>IFERROR(VLOOKUP(FO_Capture!C881, Reference_Data!A:D, 4, FALSE), "MISSING SSI")</f>
        <v>Citi A/C 194841</v>
      </c>
      <c r="F881">
        <f>FO_Capture!D881</f>
        <v>210</v>
      </c>
      <c r="G881">
        <f>FO_Capture!E881</f>
        <v>170.00999450683594</v>
      </c>
      <c r="H881">
        <f t="shared" si="26"/>
        <v>35702.098846435547</v>
      </c>
      <c r="I881" t="str">
        <f t="shared" si="27"/>
        <v>Pass - Ready for Confirmation</v>
      </c>
    </row>
    <row r="882" spans="1:9" x14ac:dyDescent="0.3">
      <c r="A882" t="str">
        <f>FO_Capture!A882</f>
        <v>TRD00881</v>
      </c>
      <c r="B882" t="str">
        <f>FO_Capture!B882</f>
        <v>INE005A01018</v>
      </c>
      <c r="C882" t="str">
        <f>IFERROR(VLOOKUP(FO_Capture!C882, Reference_Data!A:D, 2, FALSE), "UNKNOWN")</f>
        <v>Alpha Global 2</v>
      </c>
      <c r="D882" t="str">
        <f>IFERROR(VLOOKUP(FO_Capture!C882, Reference_Data!A:D, 3, FALSE), "XXX")</f>
        <v>GBP</v>
      </c>
      <c r="E882" t="str">
        <f>IFERROR(VLOOKUP(FO_Capture!C882, Reference_Data!A:D, 4, FALSE), "MISSING SSI")</f>
        <v>JPMorgan A/C 582379</v>
      </c>
      <c r="F882">
        <f>FO_Capture!D882</f>
        <v>25000</v>
      </c>
      <c r="G882">
        <f>FO_Capture!E882</f>
        <v>396.69000244140625</v>
      </c>
      <c r="H882">
        <f t="shared" si="26"/>
        <v>9917250.0610351563</v>
      </c>
      <c r="I882" t="str">
        <f t="shared" si="27"/>
        <v>Exception - Limit Breach</v>
      </c>
    </row>
    <row r="883" spans="1:9" x14ac:dyDescent="0.3">
      <c r="A883" t="str">
        <f>FO_Capture!A883</f>
        <v>TRD00882</v>
      </c>
      <c r="B883" t="str">
        <f>FO_Capture!B883</f>
        <v>INE006A01089</v>
      </c>
      <c r="C883" t="str">
        <f>IFERROR(VLOOKUP(FO_Capture!C883, Reference_Data!A:D, 2, FALSE), "UNKNOWN")</f>
        <v>Alpha Quant Fund 24</v>
      </c>
      <c r="D883" t="str">
        <f>IFERROR(VLOOKUP(FO_Capture!C883, Reference_Data!A:D, 3, FALSE), "XXX")</f>
        <v>SGD</v>
      </c>
      <c r="E883" t="str">
        <f>IFERROR(VLOOKUP(FO_Capture!C883, Reference_Data!A:D, 4, FALSE), "MISSING SSI")</f>
        <v>JPMorgan A/C 603587</v>
      </c>
      <c r="F883">
        <f>FO_Capture!D883</f>
        <v>90</v>
      </c>
      <c r="G883">
        <f>FO_Capture!E883</f>
        <v>223.42999267578125</v>
      </c>
      <c r="H883">
        <f t="shared" si="26"/>
        <v>20108.699340820313</v>
      </c>
      <c r="I883" t="str">
        <f t="shared" si="27"/>
        <v>Pass - Ready for Confirmation</v>
      </c>
    </row>
    <row r="884" spans="1:9" x14ac:dyDescent="0.3">
      <c r="A884" t="str">
        <f>FO_Capture!A884</f>
        <v>TRD00883</v>
      </c>
      <c r="B884" t="str">
        <f>FO_Capture!B884</f>
        <v>INE005A01026</v>
      </c>
      <c r="C884" t="str">
        <f>IFERROR(VLOOKUP(FO_Capture!C884, Reference_Data!A:D, 2, FALSE), "UNKNOWN")</f>
        <v>Alpha Asset Management 4</v>
      </c>
      <c r="D884" t="str">
        <f>IFERROR(VLOOKUP(FO_Capture!C884, Reference_Data!A:D, 3, FALSE), "XXX")</f>
        <v>JPY</v>
      </c>
      <c r="E884" t="str">
        <f>IFERROR(VLOOKUP(FO_Capture!C884, Reference_Data!A:D, 4, FALSE), "MISSING SSI")</f>
        <v>Deutsche Bank A/C 126543</v>
      </c>
      <c r="F884">
        <f>FO_Capture!D884</f>
        <v>390</v>
      </c>
      <c r="G884">
        <f>FO_Capture!E884</f>
        <v>440.17001342773438</v>
      </c>
      <c r="H884">
        <f t="shared" si="26"/>
        <v>171666.30523681641</v>
      </c>
      <c r="I884" t="str">
        <f t="shared" si="27"/>
        <v>Pass - Ready for Confirmation</v>
      </c>
    </row>
    <row r="885" spans="1:9" x14ac:dyDescent="0.3">
      <c r="A885" t="str">
        <f>FO_Capture!A885</f>
        <v>TRD00884</v>
      </c>
      <c r="B885" t="str">
        <f>FO_Capture!B885</f>
        <v>INE009A01092</v>
      </c>
      <c r="C885" t="str">
        <f>IFERROR(VLOOKUP(FO_Capture!C885, Reference_Data!A:D, 2, FALSE), "UNKNOWN")</f>
        <v>Alpha Global 46</v>
      </c>
      <c r="D885" t="str">
        <f>IFERROR(VLOOKUP(FO_Capture!C885, Reference_Data!A:D, 3, FALSE), "XXX")</f>
        <v>USD</v>
      </c>
      <c r="E885" t="str">
        <f>IFERROR(VLOOKUP(FO_Capture!C885, Reference_Data!A:D, 4, FALSE), "MISSING SSI")</f>
        <v>Citi A/C 700450</v>
      </c>
      <c r="F885">
        <f>FO_Capture!D885</f>
        <v>180</v>
      </c>
      <c r="G885">
        <f>FO_Capture!E885</f>
        <v>455.33999633789063</v>
      </c>
      <c r="H885">
        <f t="shared" si="26"/>
        <v>81961.199340820313</v>
      </c>
      <c r="I885" t="str">
        <f t="shared" si="27"/>
        <v>Pass - Ready for Confirmation</v>
      </c>
    </row>
    <row r="886" spans="1:9" x14ac:dyDescent="0.3">
      <c r="A886" t="str">
        <f>FO_Capture!A886</f>
        <v>TRD00885</v>
      </c>
      <c r="B886" t="str">
        <f>FO_Capture!B886</f>
        <v>INE002A01024</v>
      </c>
      <c r="C886" t="str">
        <f>IFERROR(VLOOKUP(FO_Capture!C886, Reference_Data!A:D, 2, FALSE), "UNKNOWN")</f>
        <v>Alpha Capital 9</v>
      </c>
      <c r="D886" t="str">
        <f>IFERROR(VLOOKUP(FO_Capture!C886, Reference_Data!A:D, 3, FALSE), "XXX")</f>
        <v>JPY</v>
      </c>
      <c r="E886" t="str">
        <f>IFERROR(VLOOKUP(FO_Capture!C886, Reference_Data!A:D, 4, FALSE), "MISSING SSI")</f>
        <v>Citi A/C 744145</v>
      </c>
      <c r="F886">
        <f>FO_Capture!D886</f>
        <v>430</v>
      </c>
      <c r="G886">
        <f>FO_Capture!E886</f>
        <v>91.470001220703125</v>
      </c>
      <c r="H886">
        <f t="shared" si="26"/>
        <v>39332.100524902344</v>
      </c>
      <c r="I886" t="str">
        <f t="shared" si="27"/>
        <v>Pass - Ready for Confirmation</v>
      </c>
    </row>
    <row r="887" spans="1:9" x14ac:dyDescent="0.3">
      <c r="A887" t="str">
        <f>FO_Capture!A887</f>
        <v>TRD00886</v>
      </c>
      <c r="B887" t="str">
        <f>FO_Capture!B887</f>
        <v>INE005A0102</v>
      </c>
      <c r="C887" t="str">
        <f>IFERROR(VLOOKUP(FO_Capture!C887, Reference_Data!A:D, 2, FALSE), "UNKNOWN")</f>
        <v>Alpha Asset Management 4</v>
      </c>
      <c r="D887" t="str">
        <f>IFERROR(VLOOKUP(FO_Capture!C887, Reference_Data!A:D, 3, FALSE), "XXX")</f>
        <v>JPY</v>
      </c>
      <c r="E887" t="str">
        <f>IFERROR(VLOOKUP(FO_Capture!C887, Reference_Data!A:D, 4, FALSE), "MISSING SSI")</f>
        <v>Deutsche Bank A/C 126543</v>
      </c>
      <c r="F887">
        <f>FO_Capture!D887</f>
        <v>60</v>
      </c>
      <c r="G887">
        <f>FO_Capture!E887</f>
        <v>335.1099853515625</v>
      </c>
      <c r="H887">
        <f t="shared" si="26"/>
        <v>20106.59912109375</v>
      </c>
      <c r="I887" t="str">
        <f t="shared" si="27"/>
        <v>Pass - Ready for Confirmation</v>
      </c>
    </row>
    <row r="888" spans="1:9" x14ac:dyDescent="0.3">
      <c r="A888" t="str">
        <f>FO_Capture!A888</f>
        <v>TRD00887</v>
      </c>
      <c r="B888" t="str">
        <f>FO_Capture!B888</f>
        <v>INE007A0101</v>
      </c>
      <c r="C888" t="str">
        <f>IFERROR(VLOOKUP(FO_Capture!C888, Reference_Data!A:D, 2, FALSE), "UNKNOWN")</f>
        <v>Alpha Holdings 23</v>
      </c>
      <c r="D888" t="str">
        <f>IFERROR(VLOOKUP(FO_Capture!C888, Reference_Data!A:D, 3, FALSE), "XXX")</f>
        <v>INR</v>
      </c>
      <c r="E888" t="str">
        <f>IFERROR(VLOOKUP(FO_Capture!C888, Reference_Data!A:D, 4, FALSE), "MISSING SSI")</f>
        <v>Deutsche Bank A/C 983712</v>
      </c>
      <c r="F888">
        <f>FO_Capture!D888</f>
        <v>190</v>
      </c>
      <c r="G888">
        <f>FO_Capture!E888</f>
        <v>86.910003662109375</v>
      </c>
      <c r="H888">
        <f t="shared" si="26"/>
        <v>16512.900695800781</v>
      </c>
      <c r="I888" t="str">
        <f t="shared" si="27"/>
        <v>Pass - Ready for Confirmation</v>
      </c>
    </row>
    <row r="889" spans="1:9" x14ac:dyDescent="0.3">
      <c r="A889" t="str">
        <f>FO_Capture!A889</f>
        <v>TRD00888</v>
      </c>
      <c r="B889" t="str">
        <f>FO_Capture!B889</f>
        <v>INE008A01043</v>
      </c>
      <c r="C889" t="str">
        <f>IFERROR(VLOOKUP(FO_Capture!C889, Reference_Data!A:D, 2, FALSE), "UNKNOWN")</f>
        <v>Alpha Quant Fund 12</v>
      </c>
      <c r="D889" t="str">
        <f>IFERROR(VLOOKUP(FO_Capture!C889, Reference_Data!A:D, 3, FALSE), "XXX")</f>
        <v>EUR</v>
      </c>
      <c r="E889" t="str">
        <f>IFERROR(VLOOKUP(FO_Capture!C889, Reference_Data!A:D, 4, FALSE), "MISSING SSI")</f>
        <v>Deutsche Bank A/C 324710</v>
      </c>
      <c r="F889">
        <f>FO_Capture!D889</f>
        <v>390</v>
      </c>
      <c r="G889">
        <f>FO_Capture!E889</f>
        <v>411.57000732421875</v>
      </c>
      <c r="H889">
        <f t="shared" si="26"/>
        <v>160512.30285644531</v>
      </c>
      <c r="I889" t="str">
        <f t="shared" si="27"/>
        <v>Pass - Ready for Confirmation</v>
      </c>
    </row>
    <row r="890" spans="1:9" x14ac:dyDescent="0.3">
      <c r="A890" t="str">
        <f>FO_Capture!A890</f>
        <v>TRD00889</v>
      </c>
      <c r="B890" t="str">
        <f>FO_Capture!B890</f>
        <v>INE009A01044</v>
      </c>
      <c r="C890" t="str">
        <f>IFERROR(VLOOKUP(FO_Capture!C890, Reference_Data!A:D, 2, FALSE), "UNKNOWN")</f>
        <v>Alpha Investments 43</v>
      </c>
      <c r="D890" t="str">
        <f>IFERROR(VLOOKUP(FO_Capture!C890, Reference_Data!A:D, 3, FALSE), "XXX")</f>
        <v>EUR</v>
      </c>
      <c r="E890" t="str">
        <f>IFERROR(VLOOKUP(FO_Capture!C890, Reference_Data!A:D, 4, FALSE), "MISSING SSI")</f>
        <v>Citi A/C 714496</v>
      </c>
      <c r="F890">
        <f>FO_Capture!D890</f>
        <v>400</v>
      </c>
      <c r="G890">
        <f>FO_Capture!E890</f>
        <v>287.82998657226563</v>
      </c>
      <c r="H890">
        <f t="shared" si="26"/>
        <v>115131.99462890625</v>
      </c>
      <c r="I890" t="str">
        <f t="shared" si="27"/>
        <v>Pass - Ready for Confirmation</v>
      </c>
    </row>
    <row r="891" spans="1:9" x14ac:dyDescent="0.3">
      <c r="A891" t="str">
        <f>FO_Capture!A891</f>
        <v>TRD00890</v>
      </c>
      <c r="B891" t="str">
        <f>FO_Capture!B891</f>
        <v>INE006A01066</v>
      </c>
      <c r="C891" t="str">
        <f>IFERROR(VLOOKUP(FO_Capture!C891, Reference_Data!A:D, 2, FALSE), "UNKNOWN")</f>
        <v>Alpha Global 46</v>
      </c>
      <c r="D891" t="str">
        <f>IFERROR(VLOOKUP(FO_Capture!C891, Reference_Data!A:D, 3, FALSE), "XXX")</f>
        <v>USD</v>
      </c>
      <c r="E891" t="str">
        <f>IFERROR(VLOOKUP(FO_Capture!C891, Reference_Data!A:D, 4, FALSE), "MISSING SSI")</f>
        <v>Citi A/C 700450</v>
      </c>
      <c r="F891">
        <f>FO_Capture!D891</f>
        <v>440</v>
      </c>
      <c r="G891">
        <f>FO_Capture!E891</f>
        <v>358.54000854492188</v>
      </c>
      <c r="H891">
        <f t="shared" si="26"/>
        <v>157757.60375976563</v>
      </c>
      <c r="I891" t="str">
        <f t="shared" si="27"/>
        <v>Pass - Ready for Confirmation</v>
      </c>
    </row>
    <row r="892" spans="1:9" x14ac:dyDescent="0.3">
      <c r="A892" t="str">
        <f>FO_Capture!A892</f>
        <v>TRD00891</v>
      </c>
      <c r="B892" t="str">
        <f>FO_Capture!B892</f>
        <v>INE007A01067</v>
      </c>
      <c r="C892" t="str">
        <f>IFERROR(VLOOKUP(FO_Capture!C892, Reference_Data!A:D, 2, FALSE), "UNKNOWN")</f>
        <v>Alpha Quant Fund 27</v>
      </c>
      <c r="D892" t="str">
        <f>IFERROR(VLOOKUP(FO_Capture!C892, Reference_Data!A:D, 3, FALSE), "XXX")</f>
        <v>EUR</v>
      </c>
      <c r="E892" t="str">
        <f>IFERROR(VLOOKUP(FO_Capture!C892, Reference_Data!A:D, 4, FALSE), "MISSING SSI")</f>
        <v>Standard Chartered A/C 331839</v>
      </c>
      <c r="F892">
        <f>FO_Capture!D892</f>
        <v>390</v>
      </c>
      <c r="G892">
        <f>FO_Capture!E892</f>
        <v>180.55999755859375</v>
      </c>
      <c r="H892">
        <f t="shared" si="26"/>
        <v>70418.399047851563</v>
      </c>
      <c r="I892" t="str">
        <f t="shared" si="27"/>
        <v>Pass - Ready for Confirmation</v>
      </c>
    </row>
    <row r="893" spans="1:9" x14ac:dyDescent="0.3">
      <c r="A893" t="str">
        <f>FO_Capture!A893</f>
        <v>TRD00892</v>
      </c>
      <c r="B893" t="str">
        <f>FO_Capture!B893</f>
        <v>INE002A01048</v>
      </c>
      <c r="C893" t="str">
        <f>IFERROR(VLOOKUP(FO_Capture!C893, Reference_Data!A:D, 2, FALSE), "UNKNOWN")</f>
        <v>Alpha Holdings 47</v>
      </c>
      <c r="D893" t="str">
        <f>IFERROR(VLOOKUP(FO_Capture!C893, Reference_Data!A:D, 3, FALSE), "XXX")</f>
        <v>GBP</v>
      </c>
      <c r="E893" t="str">
        <f>IFERROR(VLOOKUP(FO_Capture!C893, Reference_Data!A:D, 4, FALSE), "MISSING SSI")</f>
        <v>Citi A/C 703401</v>
      </c>
      <c r="F893">
        <f>FO_Capture!D893</f>
        <v>100</v>
      </c>
      <c r="G893">
        <f>FO_Capture!E893</f>
        <v>474.85000610351563</v>
      </c>
      <c r="H893">
        <f t="shared" si="26"/>
        <v>47485.000610351563</v>
      </c>
      <c r="I893" t="str">
        <f t="shared" si="27"/>
        <v>Pass - Ready for Confirmation</v>
      </c>
    </row>
    <row r="894" spans="1:9" x14ac:dyDescent="0.3">
      <c r="A894" t="str">
        <f>FO_Capture!A894</f>
        <v>TRD00893</v>
      </c>
      <c r="B894" t="str">
        <f>FO_Capture!B894</f>
        <v>INE003A0107</v>
      </c>
      <c r="C894" t="str">
        <f>IFERROR(VLOOKUP(FO_Capture!C894, Reference_Data!A:D, 2, FALSE), "UNKNOWN")</f>
        <v>Alpha Global 45</v>
      </c>
      <c r="D894" t="str">
        <f>IFERROR(VLOOKUP(FO_Capture!C894, Reference_Data!A:D, 3, FALSE), "XXX")</f>
        <v>EUR</v>
      </c>
      <c r="E894" t="str">
        <f>IFERROR(VLOOKUP(FO_Capture!C894, Reference_Data!A:D, 4, FALSE), "MISSING SSI")</f>
        <v>HSBC A/C 540659</v>
      </c>
      <c r="F894">
        <f>FO_Capture!D894</f>
        <v>25000</v>
      </c>
      <c r="G894">
        <f>FO_Capture!E894</f>
        <v>123.97000122070313</v>
      </c>
      <c r="H894">
        <f t="shared" si="26"/>
        <v>3099250.0305175781</v>
      </c>
      <c r="I894" t="str">
        <f t="shared" si="27"/>
        <v>Exception - Limit Breach</v>
      </c>
    </row>
    <row r="895" spans="1:9" x14ac:dyDescent="0.3">
      <c r="A895" t="str">
        <f>FO_Capture!A895</f>
        <v>TRD00894</v>
      </c>
      <c r="B895" t="str">
        <f>FO_Capture!B895</f>
        <v>INE007A01067</v>
      </c>
      <c r="C895" t="str">
        <f>IFERROR(VLOOKUP(FO_Capture!C895, Reference_Data!A:D, 2, FALSE), "UNKNOWN")</f>
        <v>Alpha Partners 42</v>
      </c>
      <c r="D895" t="str">
        <f>IFERROR(VLOOKUP(FO_Capture!C895, Reference_Data!A:D, 3, FALSE), "XXX")</f>
        <v>USD</v>
      </c>
      <c r="E895" t="str">
        <f>IFERROR(VLOOKUP(FO_Capture!C895, Reference_Data!A:D, 4, FALSE), "MISSING SSI")</f>
        <v>Citi A/C 416082</v>
      </c>
      <c r="F895">
        <f>FO_Capture!D895</f>
        <v>120</v>
      </c>
      <c r="G895">
        <f>FO_Capture!E895</f>
        <v>422.77999877929688</v>
      </c>
      <c r="H895">
        <f t="shared" si="26"/>
        <v>50733.599853515625</v>
      </c>
      <c r="I895" t="str">
        <f t="shared" si="27"/>
        <v>Pass - Ready for Confirmation</v>
      </c>
    </row>
    <row r="896" spans="1:9" x14ac:dyDescent="0.3">
      <c r="A896" t="str">
        <f>FO_Capture!A896</f>
        <v>TRD00895</v>
      </c>
      <c r="B896" t="str">
        <f>FO_Capture!B896</f>
        <v>INE004A01010</v>
      </c>
      <c r="C896" t="str">
        <f>IFERROR(VLOOKUP(FO_Capture!C896, Reference_Data!A:D, 2, FALSE), "UNKNOWN")</f>
        <v>Alpha Asset Management 5</v>
      </c>
      <c r="D896" t="str">
        <f>IFERROR(VLOOKUP(FO_Capture!C896, Reference_Data!A:D, 3, FALSE), "XXX")</f>
        <v>INR</v>
      </c>
      <c r="E896" t="str">
        <f>IFERROR(VLOOKUP(FO_Capture!C896, Reference_Data!A:D, 4, FALSE), "MISSING SSI")</f>
        <v>JPMorgan A/C 860462</v>
      </c>
      <c r="F896">
        <f>FO_Capture!D896</f>
        <v>150</v>
      </c>
      <c r="G896">
        <f>FO_Capture!E896</f>
        <v>184.3699951171875</v>
      </c>
      <c r="H896">
        <f t="shared" si="26"/>
        <v>27655.499267578125</v>
      </c>
      <c r="I896" t="str">
        <f t="shared" si="27"/>
        <v>Pass - Ready for Confirmation</v>
      </c>
    </row>
    <row r="897" spans="1:9" x14ac:dyDescent="0.3">
      <c r="A897" t="str">
        <f>FO_Capture!A897</f>
        <v>TRD00896</v>
      </c>
      <c r="B897" t="str">
        <f>FO_Capture!B897</f>
        <v>INE002A01076</v>
      </c>
      <c r="C897" t="str">
        <f>IFERROR(VLOOKUP(FO_Capture!C897, Reference_Data!A:D, 2, FALSE), "UNKNOWN")</f>
        <v>Alpha Capital 33</v>
      </c>
      <c r="D897" t="str">
        <f>IFERROR(VLOOKUP(FO_Capture!C897, Reference_Data!A:D, 3, FALSE), "XXX")</f>
        <v>JPY</v>
      </c>
      <c r="E897" t="str">
        <f>IFERROR(VLOOKUP(FO_Capture!C897, Reference_Data!A:D, 4, FALSE), "MISSING SSI")</f>
        <v>HSBC A/C 172861</v>
      </c>
      <c r="F897">
        <f>FO_Capture!D897</f>
        <v>460</v>
      </c>
      <c r="G897">
        <f>FO_Capture!E897</f>
        <v>33</v>
      </c>
      <c r="H897">
        <f t="shared" si="26"/>
        <v>15180</v>
      </c>
      <c r="I897" t="str">
        <f t="shared" si="27"/>
        <v>Pass - Ready for Confirmation</v>
      </c>
    </row>
    <row r="898" spans="1:9" x14ac:dyDescent="0.3">
      <c r="A898" t="str">
        <f>FO_Capture!A898</f>
        <v>TRD00897</v>
      </c>
      <c r="B898" t="str">
        <f>FO_Capture!B898</f>
        <v>INE001A01089</v>
      </c>
      <c r="C898" t="str">
        <f>IFERROR(VLOOKUP(FO_Capture!C898, Reference_Data!A:D, 2, FALSE), "UNKNOWN")</f>
        <v>Alpha Asset Management 31</v>
      </c>
      <c r="D898" t="str">
        <f>IFERROR(VLOOKUP(FO_Capture!C898, Reference_Data!A:D, 3, FALSE), "XXX")</f>
        <v>USD</v>
      </c>
      <c r="E898" t="str">
        <f>IFERROR(VLOOKUP(FO_Capture!C898, Reference_Data!A:D, 4, FALSE), "MISSING SSI")</f>
        <v>Citi A/C 194841</v>
      </c>
      <c r="F898">
        <f>FO_Capture!D898</f>
        <v>10</v>
      </c>
      <c r="G898">
        <f>FO_Capture!E898</f>
        <v>288.260009765625</v>
      </c>
      <c r="H898">
        <f t="shared" si="26"/>
        <v>2882.60009765625</v>
      </c>
      <c r="I898" t="str">
        <f t="shared" si="27"/>
        <v>Pass - Ready for Confirmation</v>
      </c>
    </row>
    <row r="899" spans="1:9" x14ac:dyDescent="0.3">
      <c r="A899" t="str">
        <f>FO_Capture!A899</f>
        <v>TRD00898</v>
      </c>
      <c r="B899" t="str">
        <f>FO_Capture!B899</f>
        <v>INE005A01026</v>
      </c>
      <c r="C899" t="str">
        <f>IFERROR(VLOOKUP(FO_Capture!C899, Reference_Data!A:D, 2, FALSE), "UNKNOWN")</f>
        <v>Alpha Capital 38</v>
      </c>
      <c r="D899" t="str">
        <f>IFERROR(VLOOKUP(FO_Capture!C899, Reference_Data!A:D, 3, FALSE), "XXX")</f>
        <v>SGD</v>
      </c>
      <c r="E899" t="str">
        <f>IFERROR(VLOOKUP(FO_Capture!C899, Reference_Data!A:D, 4, FALSE), "MISSING SSI")</f>
        <v>Deutsche Bank A/C 153521</v>
      </c>
      <c r="F899">
        <f>FO_Capture!D899</f>
        <v>150</v>
      </c>
      <c r="G899">
        <f>FO_Capture!E899</f>
        <v>215.02999877929688</v>
      </c>
      <c r="H899">
        <f t="shared" ref="H899:H962" si="28">F899 * G899</f>
        <v>32254.499816894531</v>
      </c>
      <c r="I899" t="str">
        <f t="shared" ref="I899:I962" si="29">IF(C899="UNKNOWN", "Fail - Missing Ref Data", IF(OR(F899&lt;=0, G899&lt;=0), "Fail - Invalid Price/Qty", IF(H899&gt;1000000, "Exception - Limit Breach", "Pass - Ready for Confirmation")))</f>
        <v>Pass - Ready for Confirmation</v>
      </c>
    </row>
    <row r="900" spans="1:9" x14ac:dyDescent="0.3">
      <c r="A900" t="str">
        <f>FO_Capture!A900</f>
        <v>TRD00899</v>
      </c>
      <c r="B900" t="str">
        <f>FO_Capture!B900</f>
        <v>INE004A01061</v>
      </c>
      <c r="C900" t="str">
        <f>IFERROR(VLOOKUP(FO_Capture!C900, Reference_Data!A:D, 2, FALSE), "UNKNOWN")</f>
        <v>Alpha Partners 1</v>
      </c>
      <c r="D900" t="str">
        <f>IFERROR(VLOOKUP(FO_Capture!C900, Reference_Data!A:D, 3, FALSE), "XXX")</f>
        <v>JPY</v>
      </c>
      <c r="E900" t="str">
        <f>IFERROR(VLOOKUP(FO_Capture!C900, Reference_Data!A:D, 4, FALSE), "MISSING SSI")</f>
        <v>Standard Chartered A/C 277005</v>
      </c>
      <c r="F900">
        <f>FO_Capture!D900</f>
        <v>300</v>
      </c>
      <c r="G900">
        <f>FO_Capture!E900</f>
        <v>273.51998901367188</v>
      </c>
      <c r="H900">
        <f t="shared" si="28"/>
        <v>82055.996704101563</v>
      </c>
      <c r="I900" t="str">
        <f t="shared" si="29"/>
        <v>Pass - Ready for Confirmation</v>
      </c>
    </row>
    <row r="901" spans="1:9" x14ac:dyDescent="0.3">
      <c r="A901" t="str">
        <f>FO_Capture!A901</f>
        <v>TRD00900</v>
      </c>
      <c r="B901" t="str">
        <f>FO_Capture!B901</f>
        <v>INE005A01025</v>
      </c>
      <c r="C901" t="str">
        <f>IFERROR(VLOOKUP(FO_Capture!C901, Reference_Data!A:D, 2, FALSE), "UNKNOWN")</f>
        <v>Alpha Global 46</v>
      </c>
      <c r="D901" t="str">
        <f>IFERROR(VLOOKUP(FO_Capture!C901, Reference_Data!A:D, 3, FALSE), "XXX")</f>
        <v>USD</v>
      </c>
      <c r="E901" t="str">
        <f>IFERROR(VLOOKUP(FO_Capture!C901, Reference_Data!A:D, 4, FALSE), "MISSING SSI")</f>
        <v>Citi A/C 700450</v>
      </c>
      <c r="F901">
        <f>FO_Capture!D901</f>
        <v>240</v>
      </c>
      <c r="G901">
        <f>FO_Capture!E901</f>
        <v>369.25</v>
      </c>
      <c r="H901">
        <f t="shared" si="28"/>
        <v>88620</v>
      </c>
      <c r="I901" t="str">
        <f t="shared" si="29"/>
        <v>Pass - Ready for Confirmation</v>
      </c>
    </row>
    <row r="902" spans="1:9" x14ac:dyDescent="0.3">
      <c r="A902" t="str">
        <f>FO_Capture!A902</f>
        <v>TRD00901</v>
      </c>
      <c r="B902" t="str">
        <f>FO_Capture!B902</f>
        <v>INE009A01045</v>
      </c>
      <c r="C902" t="str">
        <f>IFERROR(VLOOKUP(FO_Capture!C902, Reference_Data!A:D, 2, FALSE), "UNKNOWN")</f>
        <v>Alpha Asset Management 8</v>
      </c>
      <c r="D902" t="str">
        <f>IFERROR(VLOOKUP(FO_Capture!C902, Reference_Data!A:D, 3, FALSE), "XXX")</f>
        <v>GBP</v>
      </c>
      <c r="E902" t="str">
        <f>IFERROR(VLOOKUP(FO_Capture!C902, Reference_Data!A:D, 4, FALSE), "MISSING SSI")</f>
        <v>HDFC A/C 180445</v>
      </c>
      <c r="F902">
        <f>FO_Capture!D902</f>
        <v>350</v>
      </c>
      <c r="G902">
        <f>FO_Capture!E902</f>
        <v>103.05000305175781</v>
      </c>
      <c r="H902">
        <f t="shared" si="28"/>
        <v>36067.501068115234</v>
      </c>
      <c r="I902" t="str">
        <f t="shared" si="29"/>
        <v>Pass - Ready for Confirmation</v>
      </c>
    </row>
    <row r="903" spans="1:9" x14ac:dyDescent="0.3">
      <c r="A903" t="str">
        <f>FO_Capture!A903</f>
        <v>TRD00902</v>
      </c>
      <c r="B903" t="str">
        <f>FO_Capture!B903</f>
        <v>INE006A0106</v>
      </c>
      <c r="C903" t="str">
        <f>IFERROR(VLOOKUP(FO_Capture!C903, Reference_Data!A:D, 2, FALSE), "UNKNOWN")</f>
        <v>Alpha Asset Management 4</v>
      </c>
      <c r="D903" t="str">
        <f>IFERROR(VLOOKUP(FO_Capture!C903, Reference_Data!A:D, 3, FALSE), "XXX")</f>
        <v>JPY</v>
      </c>
      <c r="E903" t="str">
        <f>IFERROR(VLOOKUP(FO_Capture!C903, Reference_Data!A:D, 4, FALSE), "MISSING SSI")</f>
        <v>Deutsche Bank A/C 126543</v>
      </c>
      <c r="F903">
        <f>FO_Capture!D903</f>
        <v>380</v>
      </c>
      <c r="G903">
        <f>FO_Capture!E903</f>
        <v>21.059999465942383</v>
      </c>
      <c r="H903">
        <f t="shared" si="28"/>
        <v>8002.7997970581055</v>
      </c>
      <c r="I903" t="str">
        <f t="shared" si="29"/>
        <v>Pass - Ready for Confirmation</v>
      </c>
    </row>
    <row r="904" spans="1:9" x14ac:dyDescent="0.3">
      <c r="A904" t="str">
        <f>FO_Capture!A904</f>
        <v>TRD00903</v>
      </c>
      <c r="B904" t="str">
        <f>FO_Capture!B904</f>
        <v>INE006A01087</v>
      </c>
      <c r="C904" t="str">
        <f>IFERROR(VLOOKUP(FO_Capture!C904, Reference_Data!A:D, 2, FALSE), "UNKNOWN")</f>
        <v>Alpha Asset Management 8</v>
      </c>
      <c r="D904" t="str">
        <f>IFERROR(VLOOKUP(FO_Capture!C904, Reference_Data!A:D, 3, FALSE), "XXX")</f>
        <v>GBP</v>
      </c>
      <c r="E904" t="str">
        <f>IFERROR(VLOOKUP(FO_Capture!C904, Reference_Data!A:D, 4, FALSE), "MISSING SSI")</f>
        <v>HDFC A/C 180445</v>
      </c>
      <c r="F904">
        <f>FO_Capture!D904</f>
        <v>150</v>
      </c>
      <c r="G904">
        <f>FO_Capture!E904</f>
        <v>364.739990234375</v>
      </c>
      <c r="H904">
        <f t="shared" si="28"/>
        <v>54710.99853515625</v>
      </c>
      <c r="I904" t="str">
        <f t="shared" si="29"/>
        <v>Pass - Ready for Confirmation</v>
      </c>
    </row>
    <row r="905" spans="1:9" x14ac:dyDescent="0.3">
      <c r="A905" t="str">
        <f>FO_Capture!A905</f>
        <v>TRD00904</v>
      </c>
      <c r="B905" t="str">
        <f>FO_Capture!B905</f>
        <v>INE001A01027</v>
      </c>
      <c r="C905" t="str">
        <f>IFERROR(VLOOKUP(FO_Capture!C905, Reference_Data!A:D, 2, FALSE), "UNKNOWN")</f>
        <v>Alpha Partners 26</v>
      </c>
      <c r="D905" t="str">
        <f>IFERROR(VLOOKUP(FO_Capture!C905, Reference_Data!A:D, 3, FALSE), "XXX")</f>
        <v>USD</v>
      </c>
      <c r="E905" t="str">
        <f>IFERROR(VLOOKUP(FO_Capture!C905, Reference_Data!A:D, 4, FALSE), "MISSING SSI")</f>
        <v>HSBC A/C 867781</v>
      </c>
      <c r="F905">
        <f>FO_Capture!D905</f>
        <v>360</v>
      </c>
      <c r="G905">
        <f>FO_Capture!E905</f>
        <v>320.85000610351563</v>
      </c>
      <c r="H905">
        <f t="shared" si="28"/>
        <v>115506.00219726563</v>
      </c>
      <c r="I905" t="str">
        <f t="shared" si="29"/>
        <v>Pass - Ready for Confirmation</v>
      </c>
    </row>
    <row r="906" spans="1:9" x14ac:dyDescent="0.3">
      <c r="A906" t="str">
        <f>FO_Capture!A906</f>
        <v>TRD00905</v>
      </c>
      <c r="B906" t="str">
        <f>FO_Capture!B906</f>
        <v>INE004A01058</v>
      </c>
      <c r="C906" t="str">
        <f>IFERROR(VLOOKUP(FO_Capture!C906, Reference_Data!A:D, 2, FALSE), "UNKNOWN")</f>
        <v>Alpha Partners 19</v>
      </c>
      <c r="D906" t="str">
        <f>IFERROR(VLOOKUP(FO_Capture!C906, Reference_Data!A:D, 3, FALSE), "XXX")</f>
        <v>INR</v>
      </c>
      <c r="E906" t="str">
        <f>IFERROR(VLOOKUP(FO_Capture!C906, Reference_Data!A:D, 4, FALSE), "MISSING SSI")</f>
        <v>Citi A/C 543819</v>
      </c>
      <c r="F906">
        <f>FO_Capture!D906</f>
        <v>280</v>
      </c>
      <c r="G906">
        <f>FO_Capture!E906</f>
        <v>271.48001098632813</v>
      </c>
      <c r="H906">
        <f t="shared" si="28"/>
        <v>76014.403076171875</v>
      </c>
      <c r="I906" t="str">
        <f t="shared" si="29"/>
        <v>Pass - Ready for Confirmation</v>
      </c>
    </row>
    <row r="907" spans="1:9" x14ac:dyDescent="0.3">
      <c r="A907" t="str">
        <f>FO_Capture!A907</f>
        <v>TRD00906</v>
      </c>
      <c r="B907" t="str">
        <f>FO_Capture!B907</f>
        <v>INE008A01071</v>
      </c>
      <c r="C907" t="str">
        <f>IFERROR(VLOOKUP(FO_Capture!C907, Reference_Data!A:D, 2, FALSE), "UNKNOWN")</f>
        <v>Alpha Asset Management 35</v>
      </c>
      <c r="D907" t="str">
        <f>IFERROR(VLOOKUP(FO_Capture!C907, Reference_Data!A:D, 3, FALSE), "XXX")</f>
        <v>JPY</v>
      </c>
      <c r="E907" t="str">
        <f>IFERROR(VLOOKUP(FO_Capture!C907, Reference_Data!A:D, 4, FALSE), "MISSING SSI")</f>
        <v>HSBC A/C 604357</v>
      </c>
      <c r="F907">
        <f>FO_Capture!D907</f>
        <v>80</v>
      </c>
      <c r="G907">
        <f>FO_Capture!E907</f>
        <v>44.009998321533203</v>
      </c>
      <c r="H907">
        <f t="shared" si="28"/>
        <v>3520.7998657226563</v>
      </c>
      <c r="I907" t="str">
        <f t="shared" si="29"/>
        <v>Pass - Ready for Confirmation</v>
      </c>
    </row>
    <row r="908" spans="1:9" x14ac:dyDescent="0.3">
      <c r="A908" t="str">
        <f>FO_Capture!A908</f>
        <v>TRD00907</v>
      </c>
      <c r="B908" t="str">
        <f>FO_Capture!B908</f>
        <v>INE007A01054</v>
      </c>
      <c r="C908" t="str">
        <f>IFERROR(VLOOKUP(FO_Capture!C908, Reference_Data!A:D, 2, FALSE), "UNKNOWN")</f>
        <v>Alpha Holdings 23</v>
      </c>
      <c r="D908" t="str">
        <f>IFERROR(VLOOKUP(FO_Capture!C908, Reference_Data!A:D, 3, FALSE), "XXX")</f>
        <v>INR</v>
      </c>
      <c r="E908" t="str">
        <f>IFERROR(VLOOKUP(FO_Capture!C908, Reference_Data!A:D, 4, FALSE), "MISSING SSI")</f>
        <v>Deutsche Bank A/C 983712</v>
      </c>
      <c r="F908">
        <f>FO_Capture!D908</f>
        <v>480</v>
      </c>
      <c r="G908">
        <f>FO_Capture!E908</f>
        <v>161.16000366210938</v>
      </c>
      <c r="H908">
        <f t="shared" si="28"/>
        <v>77356.8017578125</v>
      </c>
      <c r="I908" t="str">
        <f t="shared" si="29"/>
        <v>Pass - Ready for Confirmation</v>
      </c>
    </row>
    <row r="909" spans="1:9" x14ac:dyDescent="0.3">
      <c r="A909" t="str">
        <f>FO_Capture!A909</f>
        <v>TRD00908</v>
      </c>
      <c r="B909" t="str">
        <f>FO_Capture!B909</f>
        <v>INE006A01048</v>
      </c>
      <c r="C909" t="str">
        <f>IFERROR(VLOOKUP(FO_Capture!C909, Reference_Data!A:D, 2, FALSE), "UNKNOWN")</f>
        <v>Alpha Partners 18</v>
      </c>
      <c r="D909" t="str">
        <f>IFERROR(VLOOKUP(FO_Capture!C909, Reference_Data!A:D, 3, FALSE), "XXX")</f>
        <v>INR</v>
      </c>
      <c r="E909" t="str">
        <f>IFERROR(VLOOKUP(FO_Capture!C909, Reference_Data!A:D, 4, FALSE), "MISSING SSI")</f>
        <v>JPMorgan A/C 704166</v>
      </c>
      <c r="F909">
        <f>FO_Capture!D909</f>
        <v>80</v>
      </c>
      <c r="G909">
        <f>FO_Capture!E909</f>
        <v>90.94000244140625</v>
      </c>
      <c r="H909">
        <f t="shared" si="28"/>
        <v>7275.2001953125</v>
      </c>
      <c r="I909" t="str">
        <f t="shared" si="29"/>
        <v>Pass - Ready for Confirmation</v>
      </c>
    </row>
    <row r="910" spans="1:9" x14ac:dyDescent="0.3">
      <c r="A910" t="str">
        <f>FO_Capture!A910</f>
        <v>TRD00909</v>
      </c>
      <c r="B910" t="str">
        <f>FO_Capture!B910</f>
        <v>INE002A01095</v>
      </c>
      <c r="C910" t="str">
        <f>IFERROR(VLOOKUP(FO_Capture!C910, Reference_Data!A:D, 2, FALSE), "UNKNOWN")</f>
        <v>Alpha Capital 11</v>
      </c>
      <c r="D910" t="str">
        <f>IFERROR(VLOOKUP(FO_Capture!C910, Reference_Data!A:D, 3, FALSE), "XXX")</f>
        <v>USD</v>
      </c>
      <c r="E910" t="str">
        <f>IFERROR(VLOOKUP(FO_Capture!C910, Reference_Data!A:D, 4, FALSE), "MISSING SSI")</f>
        <v>JPMorgan A/C 987170</v>
      </c>
      <c r="F910">
        <f>FO_Capture!D910</f>
        <v>70</v>
      </c>
      <c r="G910">
        <f>FO_Capture!E910</f>
        <v>496.67001342773438</v>
      </c>
      <c r="H910">
        <f t="shared" si="28"/>
        <v>34766.900939941406</v>
      </c>
      <c r="I910" t="str">
        <f t="shared" si="29"/>
        <v>Pass - Ready for Confirmation</v>
      </c>
    </row>
    <row r="911" spans="1:9" x14ac:dyDescent="0.3">
      <c r="A911" t="str">
        <f>FO_Capture!A911</f>
        <v>TRD00910</v>
      </c>
      <c r="B911" t="str">
        <f>FO_Capture!B911</f>
        <v>INE009A01089</v>
      </c>
      <c r="C911" t="str">
        <f>IFERROR(VLOOKUP(FO_Capture!C911, Reference_Data!A:D, 2, FALSE), "UNKNOWN")</f>
        <v>Alpha Global 25</v>
      </c>
      <c r="D911" t="str">
        <f>IFERROR(VLOOKUP(FO_Capture!C911, Reference_Data!A:D, 3, FALSE), "XXX")</f>
        <v>EUR</v>
      </c>
      <c r="E911" t="str">
        <f>IFERROR(VLOOKUP(FO_Capture!C911, Reference_Data!A:D, 4, FALSE), "MISSING SSI")</f>
        <v>Standard Chartered A/C 438949</v>
      </c>
      <c r="F911">
        <f>FO_Capture!D911</f>
        <v>10</v>
      </c>
      <c r="G911">
        <f>FO_Capture!E911</f>
        <v>487.010009765625</v>
      </c>
      <c r="H911">
        <f t="shared" si="28"/>
        <v>4870.10009765625</v>
      </c>
      <c r="I911" t="str">
        <f t="shared" si="29"/>
        <v>Pass - Ready for Confirmation</v>
      </c>
    </row>
    <row r="912" spans="1:9" x14ac:dyDescent="0.3">
      <c r="A912" t="str">
        <f>FO_Capture!A912</f>
        <v>TRD00911</v>
      </c>
      <c r="B912" t="str">
        <f>FO_Capture!B912</f>
        <v>INE006A01027</v>
      </c>
      <c r="C912" t="str">
        <f>IFERROR(VLOOKUP(FO_Capture!C912, Reference_Data!A:D, 2, FALSE), "UNKNOWN")</f>
        <v>Alpha Global 39</v>
      </c>
      <c r="D912" t="str">
        <f>IFERROR(VLOOKUP(FO_Capture!C912, Reference_Data!A:D, 3, FALSE), "XXX")</f>
        <v>SGD</v>
      </c>
      <c r="E912" t="str">
        <f>IFERROR(VLOOKUP(FO_Capture!C912, Reference_Data!A:D, 4, FALSE), "MISSING SSI")</f>
        <v>Deutsche Bank A/C 917029</v>
      </c>
      <c r="F912">
        <f>FO_Capture!D912</f>
        <v>40</v>
      </c>
      <c r="G912">
        <f>FO_Capture!E912</f>
        <v>365.91000366210938</v>
      </c>
      <c r="H912">
        <f t="shared" si="28"/>
        <v>14636.400146484375</v>
      </c>
      <c r="I912" t="str">
        <f t="shared" si="29"/>
        <v>Pass - Ready for Confirmation</v>
      </c>
    </row>
    <row r="913" spans="1:9" x14ac:dyDescent="0.3">
      <c r="A913" t="str">
        <f>FO_Capture!A913</f>
        <v>TRD00912</v>
      </c>
      <c r="B913" t="str">
        <f>FO_Capture!B913</f>
        <v>INE001A01054</v>
      </c>
      <c r="C913" t="str">
        <f>IFERROR(VLOOKUP(FO_Capture!C913, Reference_Data!A:D, 2, FALSE), "UNKNOWN")</f>
        <v>Alpha Investments 17</v>
      </c>
      <c r="D913" t="str">
        <f>IFERROR(VLOOKUP(FO_Capture!C913, Reference_Data!A:D, 3, FALSE), "XXX")</f>
        <v>USD</v>
      </c>
      <c r="E913" t="str">
        <f>IFERROR(VLOOKUP(FO_Capture!C913, Reference_Data!A:D, 4, FALSE), "MISSING SSI")</f>
        <v>HDFC A/C 113752</v>
      </c>
      <c r="F913">
        <f>FO_Capture!D913</f>
        <v>160</v>
      </c>
      <c r="G913">
        <f>FO_Capture!E913</f>
        <v>382.6300048828125</v>
      </c>
      <c r="H913">
        <f t="shared" si="28"/>
        <v>61220.80078125</v>
      </c>
      <c r="I913" t="str">
        <f t="shared" si="29"/>
        <v>Pass - Ready for Confirmation</v>
      </c>
    </row>
    <row r="914" spans="1:9" x14ac:dyDescent="0.3">
      <c r="A914" t="str">
        <f>FO_Capture!A914</f>
        <v>TRD00913</v>
      </c>
      <c r="B914" t="str">
        <f>FO_Capture!B914</f>
        <v>INE002A01021</v>
      </c>
      <c r="C914" t="str">
        <f>IFERROR(VLOOKUP(FO_Capture!C914, Reference_Data!A:D, 2, FALSE), "UNKNOWN")</f>
        <v>Alpha Quant Fund 27</v>
      </c>
      <c r="D914" t="str">
        <f>IFERROR(VLOOKUP(FO_Capture!C914, Reference_Data!A:D, 3, FALSE), "XXX")</f>
        <v>EUR</v>
      </c>
      <c r="E914" t="str">
        <f>IFERROR(VLOOKUP(FO_Capture!C914, Reference_Data!A:D, 4, FALSE), "MISSING SSI")</f>
        <v>Standard Chartered A/C 331839</v>
      </c>
      <c r="F914">
        <f>FO_Capture!D914</f>
        <v>480</v>
      </c>
      <c r="G914">
        <f>FO_Capture!E914</f>
        <v>481.760009765625</v>
      </c>
      <c r="H914">
        <f t="shared" si="28"/>
        <v>231244.8046875</v>
      </c>
      <c r="I914" t="str">
        <f t="shared" si="29"/>
        <v>Pass - Ready for Confirmation</v>
      </c>
    </row>
    <row r="915" spans="1:9" x14ac:dyDescent="0.3">
      <c r="A915" t="str">
        <f>FO_Capture!A915</f>
        <v>TRD00914</v>
      </c>
      <c r="B915" t="str">
        <f>FO_Capture!B915</f>
        <v>INE007A01026</v>
      </c>
      <c r="C915" t="str">
        <f>IFERROR(VLOOKUP(FO_Capture!C915, Reference_Data!A:D, 2, FALSE), "UNKNOWN")</f>
        <v>Alpha Global 20</v>
      </c>
      <c r="D915" t="str">
        <f>IFERROR(VLOOKUP(FO_Capture!C915, Reference_Data!A:D, 3, FALSE), "XXX")</f>
        <v>JPY</v>
      </c>
      <c r="E915" t="str">
        <f>IFERROR(VLOOKUP(FO_Capture!C915, Reference_Data!A:D, 4, FALSE), "MISSING SSI")</f>
        <v>Barclays A/C 560891</v>
      </c>
      <c r="F915">
        <f>FO_Capture!D915</f>
        <v>440</v>
      </c>
      <c r="G915">
        <f>FO_Capture!E915</f>
        <v>53.180000305175781</v>
      </c>
      <c r="H915">
        <f t="shared" si="28"/>
        <v>23399.200134277344</v>
      </c>
      <c r="I915" t="str">
        <f t="shared" si="29"/>
        <v>Pass - Ready for Confirmation</v>
      </c>
    </row>
    <row r="916" spans="1:9" x14ac:dyDescent="0.3">
      <c r="A916" t="str">
        <f>FO_Capture!A916</f>
        <v>TRD00915</v>
      </c>
      <c r="B916" t="str">
        <f>FO_Capture!B916</f>
        <v>INE001A01071</v>
      </c>
      <c r="C916" t="str">
        <f>IFERROR(VLOOKUP(FO_Capture!C916, Reference_Data!A:D, 2, FALSE), "UNKNOWN")</f>
        <v>Alpha Asset Management 4</v>
      </c>
      <c r="D916" t="str">
        <f>IFERROR(VLOOKUP(FO_Capture!C916, Reference_Data!A:D, 3, FALSE), "XXX")</f>
        <v>JPY</v>
      </c>
      <c r="E916" t="str">
        <f>IFERROR(VLOOKUP(FO_Capture!C916, Reference_Data!A:D, 4, FALSE), "MISSING SSI")</f>
        <v>Deutsche Bank A/C 126543</v>
      </c>
      <c r="F916">
        <f>FO_Capture!D916</f>
        <v>110</v>
      </c>
      <c r="G916">
        <f>FO_Capture!E916</f>
        <v>182.11000061035156</v>
      </c>
      <c r="H916">
        <f t="shared" si="28"/>
        <v>20032.100067138672</v>
      </c>
      <c r="I916" t="str">
        <f t="shared" si="29"/>
        <v>Pass - Ready for Confirmation</v>
      </c>
    </row>
    <row r="917" spans="1:9" x14ac:dyDescent="0.3">
      <c r="A917" t="str">
        <f>FO_Capture!A917</f>
        <v>TRD00916</v>
      </c>
      <c r="B917" t="str">
        <f>FO_Capture!B917</f>
        <v>INE009A01012</v>
      </c>
      <c r="C917" t="str">
        <f>IFERROR(VLOOKUP(FO_Capture!C917, Reference_Data!A:D, 2, FALSE), "UNKNOWN")</f>
        <v>Alpha Partners 19</v>
      </c>
      <c r="D917" t="str">
        <f>IFERROR(VLOOKUP(FO_Capture!C917, Reference_Data!A:D, 3, FALSE), "XXX")</f>
        <v>INR</v>
      </c>
      <c r="E917" t="str">
        <f>IFERROR(VLOOKUP(FO_Capture!C917, Reference_Data!A:D, 4, FALSE), "MISSING SSI")</f>
        <v>Citi A/C 543819</v>
      </c>
      <c r="F917">
        <f>FO_Capture!D917</f>
        <v>380</v>
      </c>
      <c r="G917">
        <f>FO_Capture!E917</f>
        <v>399.04998779296875</v>
      </c>
      <c r="H917">
        <f t="shared" si="28"/>
        <v>151638.99536132813</v>
      </c>
      <c r="I917" t="str">
        <f t="shared" si="29"/>
        <v>Pass - Ready for Confirmation</v>
      </c>
    </row>
    <row r="918" spans="1:9" x14ac:dyDescent="0.3">
      <c r="A918" t="str">
        <f>FO_Capture!A918</f>
        <v>TRD00917</v>
      </c>
      <c r="B918" t="str">
        <f>FO_Capture!B918</f>
        <v>INE009A0101</v>
      </c>
      <c r="C918" t="str">
        <f>IFERROR(VLOOKUP(FO_Capture!C918, Reference_Data!A:D, 2, FALSE), "UNKNOWN")</f>
        <v>Alpha Asset Management 13</v>
      </c>
      <c r="D918" t="str">
        <f>IFERROR(VLOOKUP(FO_Capture!C918, Reference_Data!A:D, 3, FALSE), "XXX")</f>
        <v>INR</v>
      </c>
      <c r="E918" t="str">
        <f>IFERROR(VLOOKUP(FO_Capture!C918, Reference_Data!A:D, 4, FALSE), "MISSING SSI")</f>
        <v>HSBC A/C 972195</v>
      </c>
      <c r="F918">
        <f>FO_Capture!D918</f>
        <v>25000</v>
      </c>
      <c r="G918">
        <f>FO_Capture!E918</f>
        <v>281.42001342773438</v>
      </c>
      <c r="H918">
        <f t="shared" si="28"/>
        <v>7035500.3356933594</v>
      </c>
      <c r="I918" t="str">
        <f t="shared" si="29"/>
        <v>Exception - Limit Breach</v>
      </c>
    </row>
    <row r="919" spans="1:9" x14ac:dyDescent="0.3">
      <c r="A919" t="str">
        <f>FO_Capture!A919</f>
        <v>TRD00918</v>
      </c>
      <c r="B919" t="str">
        <f>FO_Capture!B919</f>
        <v>INE008A0101</v>
      </c>
      <c r="C919" t="str">
        <f>IFERROR(VLOOKUP(FO_Capture!C919, Reference_Data!A:D, 2, FALSE), "UNKNOWN")</f>
        <v>Alpha Asset Management 32</v>
      </c>
      <c r="D919" t="str">
        <f>IFERROR(VLOOKUP(FO_Capture!C919, Reference_Data!A:D, 3, FALSE), "XXX")</f>
        <v>INR</v>
      </c>
      <c r="E919" t="str">
        <f>IFERROR(VLOOKUP(FO_Capture!C919, Reference_Data!A:D, 4, FALSE), "MISSING SSI")</f>
        <v>Barclays A/C 302646</v>
      </c>
      <c r="F919">
        <f>FO_Capture!D919</f>
        <v>280</v>
      </c>
      <c r="G919">
        <f>FO_Capture!E919</f>
        <v>149.28999328613281</v>
      </c>
      <c r="H919">
        <f t="shared" si="28"/>
        <v>41801.198120117188</v>
      </c>
      <c r="I919" t="str">
        <f t="shared" si="29"/>
        <v>Pass - Ready for Confirmation</v>
      </c>
    </row>
    <row r="920" spans="1:9" x14ac:dyDescent="0.3">
      <c r="A920" t="str">
        <f>FO_Capture!A920</f>
        <v>TRD00919</v>
      </c>
      <c r="B920" t="str">
        <f>FO_Capture!B920</f>
        <v>INE008A01070</v>
      </c>
      <c r="C920" t="str">
        <f>IFERROR(VLOOKUP(FO_Capture!C920, Reference_Data!A:D, 2, FALSE), "UNKNOWN")</f>
        <v>Alpha Holdings 23</v>
      </c>
      <c r="D920" t="str">
        <f>IFERROR(VLOOKUP(FO_Capture!C920, Reference_Data!A:D, 3, FALSE), "XXX")</f>
        <v>INR</v>
      </c>
      <c r="E920" t="str">
        <f>IFERROR(VLOOKUP(FO_Capture!C920, Reference_Data!A:D, 4, FALSE), "MISSING SSI")</f>
        <v>Deutsche Bank A/C 983712</v>
      </c>
      <c r="F920">
        <f>FO_Capture!D920</f>
        <v>230</v>
      </c>
      <c r="G920">
        <f>FO_Capture!E920</f>
        <v>454.69000244140625</v>
      </c>
      <c r="H920">
        <f t="shared" si="28"/>
        <v>104578.70056152344</v>
      </c>
      <c r="I920" t="str">
        <f t="shared" si="29"/>
        <v>Pass - Ready for Confirmation</v>
      </c>
    </row>
    <row r="921" spans="1:9" x14ac:dyDescent="0.3">
      <c r="A921" t="str">
        <f>FO_Capture!A921</f>
        <v>TRD00920</v>
      </c>
      <c r="B921" t="str">
        <f>FO_Capture!B921</f>
        <v>INE006A01030</v>
      </c>
      <c r="C921" t="str">
        <f>IFERROR(VLOOKUP(FO_Capture!C921, Reference_Data!A:D, 2, FALSE), "UNKNOWN")</f>
        <v>Alpha Asset Management 35</v>
      </c>
      <c r="D921" t="str">
        <f>IFERROR(VLOOKUP(FO_Capture!C921, Reference_Data!A:D, 3, FALSE), "XXX")</f>
        <v>JPY</v>
      </c>
      <c r="E921" t="str">
        <f>IFERROR(VLOOKUP(FO_Capture!C921, Reference_Data!A:D, 4, FALSE), "MISSING SSI")</f>
        <v>HSBC A/C 604357</v>
      </c>
      <c r="F921">
        <f>FO_Capture!D921</f>
        <v>500</v>
      </c>
      <c r="G921">
        <f>FO_Capture!E921</f>
        <v>10.380000114440918</v>
      </c>
      <c r="H921">
        <f t="shared" si="28"/>
        <v>5190.000057220459</v>
      </c>
      <c r="I921" t="str">
        <f t="shared" si="29"/>
        <v>Pass - Ready for Confirmation</v>
      </c>
    </row>
    <row r="922" spans="1:9" x14ac:dyDescent="0.3">
      <c r="A922" t="str">
        <f>FO_Capture!A922</f>
        <v>TRD00921</v>
      </c>
      <c r="B922" t="str">
        <f>FO_Capture!B922</f>
        <v>INE006A01043</v>
      </c>
      <c r="C922" t="str">
        <f>IFERROR(VLOOKUP(FO_Capture!C922, Reference_Data!A:D, 2, FALSE), "UNKNOWN")</f>
        <v>Alpha Partners 3</v>
      </c>
      <c r="D922" t="str">
        <f>IFERROR(VLOOKUP(FO_Capture!C922, Reference_Data!A:D, 3, FALSE), "XXX")</f>
        <v>USD</v>
      </c>
      <c r="E922" t="str">
        <f>IFERROR(VLOOKUP(FO_Capture!C922, Reference_Data!A:D, 4, FALSE), "MISSING SSI")</f>
        <v>Citi A/C 508769</v>
      </c>
      <c r="F922">
        <f>FO_Capture!D922</f>
        <v>350</v>
      </c>
      <c r="G922">
        <f>FO_Capture!E922</f>
        <v>230.64999389648438</v>
      </c>
      <c r="H922">
        <f t="shared" si="28"/>
        <v>80727.497863769531</v>
      </c>
      <c r="I922" t="str">
        <f t="shared" si="29"/>
        <v>Pass - Ready for Confirmation</v>
      </c>
    </row>
    <row r="923" spans="1:9" x14ac:dyDescent="0.3">
      <c r="A923" t="str">
        <f>FO_Capture!A923</f>
        <v>TRD00922</v>
      </c>
      <c r="B923" t="str">
        <f>FO_Capture!B923</f>
        <v>INE001A01055</v>
      </c>
      <c r="C923" t="str">
        <f>IFERROR(VLOOKUP(FO_Capture!C923, Reference_Data!A:D, 2, FALSE), "UNKNOWN")</f>
        <v>Alpha Asset Management 32</v>
      </c>
      <c r="D923" t="str">
        <f>IFERROR(VLOOKUP(FO_Capture!C923, Reference_Data!A:D, 3, FALSE), "XXX")</f>
        <v>INR</v>
      </c>
      <c r="E923" t="str">
        <f>IFERROR(VLOOKUP(FO_Capture!C923, Reference_Data!A:D, 4, FALSE), "MISSING SSI")</f>
        <v>Barclays A/C 302646</v>
      </c>
      <c r="F923">
        <f>FO_Capture!D923</f>
        <v>470</v>
      </c>
      <c r="G923">
        <f>FO_Capture!E923</f>
        <v>381.3800048828125</v>
      </c>
      <c r="H923">
        <f t="shared" si="28"/>
        <v>179248.60229492188</v>
      </c>
      <c r="I923" t="str">
        <f t="shared" si="29"/>
        <v>Pass - Ready for Confirmation</v>
      </c>
    </row>
    <row r="924" spans="1:9" x14ac:dyDescent="0.3">
      <c r="A924" t="str">
        <f>FO_Capture!A924</f>
        <v>TRD00923</v>
      </c>
      <c r="B924" t="str">
        <f>FO_Capture!B924</f>
        <v>INE007A01046</v>
      </c>
      <c r="C924" t="str">
        <f>IFERROR(VLOOKUP(FO_Capture!C924, Reference_Data!A:D, 2, FALSE), "UNKNOWN")</f>
        <v>Alpha Partners 26</v>
      </c>
      <c r="D924" t="str">
        <f>IFERROR(VLOOKUP(FO_Capture!C924, Reference_Data!A:D, 3, FALSE), "XXX")</f>
        <v>USD</v>
      </c>
      <c r="E924" t="str">
        <f>IFERROR(VLOOKUP(FO_Capture!C924, Reference_Data!A:D, 4, FALSE), "MISSING SSI")</f>
        <v>HSBC A/C 867781</v>
      </c>
      <c r="F924">
        <f>FO_Capture!D924</f>
        <v>130</v>
      </c>
      <c r="G924">
        <f>FO_Capture!E924</f>
        <v>330.010009765625</v>
      </c>
      <c r="H924">
        <f t="shared" si="28"/>
        <v>42901.30126953125</v>
      </c>
      <c r="I924" t="str">
        <f t="shared" si="29"/>
        <v>Pass - Ready for Confirmation</v>
      </c>
    </row>
    <row r="925" spans="1:9" x14ac:dyDescent="0.3">
      <c r="A925" t="str">
        <f>FO_Capture!A925</f>
        <v>TRD00924</v>
      </c>
      <c r="B925" t="str">
        <f>FO_Capture!B925</f>
        <v>INE009A01075</v>
      </c>
      <c r="C925" t="str">
        <f>IFERROR(VLOOKUP(FO_Capture!C925, Reference_Data!A:D, 2, FALSE), "UNKNOWN")</f>
        <v>Alpha Quant Fund 12</v>
      </c>
      <c r="D925" t="str">
        <f>IFERROR(VLOOKUP(FO_Capture!C925, Reference_Data!A:D, 3, FALSE), "XXX")</f>
        <v>EUR</v>
      </c>
      <c r="E925" t="str">
        <f>IFERROR(VLOOKUP(FO_Capture!C925, Reference_Data!A:D, 4, FALSE), "MISSING SSI")</f>
        <v>Deutsche Bank A/C 324710</v>
      </c>
      <c r="F925">
        <f>FO_Capture!D925</f>
        <v>20</v>
      </c>
      <c r="G925">
        <f>FO_Capture!E925</f>
        <v>295.510009765625</v>
      </c>
      <c r="H925">
        <f t="shared" si="28"/>
        <v>5910.2001953125</v>
      </c>
      <c r="I925" t="str">
        <f t="shared" si="29"/>
        <v>Pass - Ready for Confirmation</v>
      </c>
    </row>
    <row r="926" spans="1:9" x14ac:dyDescent="0.3">
      <c r="A926" t="str">
        <f>FO_Capture!A926</f>
        <v>TRD00925</v>
      </c>
      <c r="B926" t="str">
        <f>FO_Capture!B926</f>
        <v>INE008A01039</v>
      </c>
      <c r="C926" t="str">
        <f>IFERROR(VLOOKUP(FO_Capture!C926, Reference_Data!A:D, 2, FALSE), "UNKNOWN")</f>
        <v>Alpha Quant Fund 12</v>
      </c>
      <c r="D926" t="str">
        <f>IFERROR(VLOOKUP(FO_Capture!C926, Reference_Data!A:D, 3, FALSE), "XXX")</f>
        <v>EUR</v>
      </c>
      <c r="E926" t="str">
        <f>IFERROR(VLOOKUP(FO_Capture!C926, Reference_Data!A:D, 4, FALSE), "MISSING SSI")</f>
        <v>Deutsche Bank A/C 324710</v>
      </c>
      <c r="F926">
        <f>FO_Capture!D926</f>
        <v>440</v>
      </c>
      <c r="G926">
        <f>FO_Capture!E926</f>
        <v>98.459999084472656</v>
      </c>
      <c r="H926">
        <f t="shared" si="28"/>
        <v>43322.399597167969</v>
      </c>
      <c r="I926" t="str">
        <f t="shared" si="29"/>
        <v>Pass - Ready for Confirmation</v>
      </c>
    </row>
    <row r="927" spans="1:9" x14ac:dyDescent="0.3">
      <c r="A927" t="str">
        <f>FO_Capture!A927</f>
        <v>TRD00926</v>
      </c>
      <c r="B927" t="str">
        <f>FO_Capture!B927</f>
        <v>INE001A01013</v>
      </c>
      <c r="C927" t="str">
        <f>IFERROR(VLOOKUP(FO_Capture!C927, Reference_Data!A:D, 2, FALSE), "UNKNOWN")</f>
        <v>Alpha Holdings 23</v>
      </c>
      <c r="D927" t="str">
        <f>IFERROR(VLOOKUP(FO_Capture!C927, Reference_Data!A:D, 3, FALSE), "XXX")</f>
        <v>INR</v>
      </c>
      <c r="E927" t="str">
        <f>IFERROR(VLOOKUP(FO_Capture!C927, Reference_Data!A:D, 4, FALSE), "MISSING SSI")</f>
        <v>Deutsche Bank A/C 983712</v>
      </c>
      <c r="F927">
        <f>FO_Capture!D927</f>
        <v>100</v>
      </c>
      <c r="G927">
        <f>FO_Capture!E927</f>
        <v>410.95999145507813</v>
      </c>
      <c r="H927">
        <f t="shared" si="28"/>
        <v>41095.999145507813</v>
      </c>
      <c r="I927" t="str">
        <f t="shared" si="29"/>
        <v>Pass - Ready for Confirmation</v>
      </c>
    </row>
    <row r="928" spans="1:9" x14ac:dyDescent="0.3">
      <c r="A928" t="str">
        <f>FO_Capture!A928</f>
        <v>TRD00927</v>
      </c>
      <c r="B928" t="str">
        <f>FO_Capture!B928</f>
        <v>INE001A0108</v>
      </c>
      <c r="C928" t="str">
        <f>IFERROR(VLOOKUP(FO_Capture!C928, Reference_Data!A:D, 2, FALSE), "UNKNOWN")</f>
        <v>Alpha Investments 40</v>
      </c>
      <c r="D928" t="str">
        <f>IFERROR(VLOOKUP(FO_Capture!C928, Reference_Data!A:D, 3, FALSE), "XXX")</f>
        <v>GBP</v>
      </c>
      <c r="E928" t="str">
        <f>IFERROR(VLOOKUP(FO_Capture!C928, Reference_Data!A:D, 4, FALSE), "MISSING SSI")</f>
        <v>HDFC A/C 897530</v>
      </c>
      <c r="F928">
        <f>FO_Capture!D928</f>
        <v>310</v>
      </c>
      <c r="G928">
        <f>FO_Capture!E928</f>
        <v>506.70999145507813</v>
      </c>
      <c r="H928">
        <f t="shared" si="28"/>
        <v>157080.09735107422</v>
      </c>
      <c r="I928" t="str">
        <f t="shared" si="29"/>
        <v>Pass - Ready for Confirmation</v>
      </c>
    </row>
    <row r="929" spans="1:9" x14ac:dyDescent="0.3">
      <c r="A929" t="str">
        <f>FO_Capture!A929</f>
        <v>TRD00928</v>
      </c>
      <c r="B929" t="str">
        <f>FO_Capture!B929</f>
        <v>INE006A01015</v>
      </c>
      <c r="C929" t="str">
        <f>IFERROR(VLOOKUP(FO_Capture!C929, Reference_Data!A:D, 2, FALSE), "UNKNOWN")</f>
        <v>Alpha Investments 29</v>
      </c>
      <c r="D929" t="str">
        <f>IFERROR(VLOOKUP(FO_Capture!C929, Reference_Data!A:D, 3, FALSE), "XXX")</f>
        <v>INR</v>
      </c>
      <c r="E929" t="str">
        <f>IFERROR(VLOOKUP(FO_Capture!C929, Reference_Data!A:D, 4, FALSE), "MISSING SSI")</f>
        <v>HSBC A/C 785870</v>
      </c>
      <c r="F929">
        <f>FO_Capture!D929</f>
        <v>270</v>
      </c>
      <c r="G929">
        <f>FO_Capture!E929</f>
        <v>10.939999580383301</v>
      </c>
      <c r="H929">
        <f t="shared" si="28"/>
        <v>2953.7998867034912</v>
      </c>
      <c r="I929" t="str">
        <f t="shared" si="29"/>
        <v>Pass - Ready for Confirmation</v>
      </c>
    </row>
    <row r="930" spans="1:9" x14ac:dyDescent="0.3">
      <c r="A930" t="str">
        <f>FO_Capture!A930</f>
        <v>TRD00929</v>
      </c>
      <c r="B930" t="str">
        <f>FO_Capture!B930</f>
        <v>INE006A01060</v>
      </c>
      <c r="C930" t="str">
        <f>IFERROR(VLOOKUP(FO_Capture!C930, Reference_Data!A:D, 2, FALSE), "UNKNOWN")</f>
        <v>Alpha Asset Management 5</v>
      </c>
      <c r="D930" t="str">
        <f>IFERROR(VLOOKUP(FO_Capture!C930, Reference_Data!A:D, 3, FALSE), "XXX")</f>
        <v>INR</v>
      </c>
      <c r="E930" t="str">
        <f>IFERROR(VLOOKUP(FO_Capture!C930, Reference_Data!A:D, 4, FALSE), "MISSING SSI")</f>
        <v>JPMorgan A/C 860462</v>
      </c>
      <c r="F930">
        <f>FO_Capture!D930</f>
        <v>350</v>
      </c>
      <c r="G930">
        <f>FO_Capture!E930</f>
        <v>150.47000122070313</v>
      </c>
      <c r="H930">
        <f t="shared" si="28"/>
        <v>52664.500427246094</v>
      </c>
      <c r="I930" t="str">
        <f t="shared" si="29"/>
        <v>Pass - Ready for Confirmation</v>
      </c>
    </row>
    <row r="931" spans="1:9" x14ac:dyDescent="0.3">
      <c r="A931" t="str">
        <f>FO_Capture!A931</f>
        <v>TRD00930</v>
      </c>
      <c r="B931" t="str">
        <f>FO_Capture!B931</f>
        <v>INE002A01052</v>
      </c>
      <c r="C931" t="str">
        <f>IFERROR(VLOOKUP(FO_Capture!C931, Reference_Data!A:D, 2, FALSE), "UNKNOWN")</f>
        <v>Alpha Partners 6</v>
      </c>
      <c r="D931" t="str">
        <f>IFERROR(VLOOKUP(FO_Capture!C931, Reference_Data!A:D, 3, FALSE), "XXX")</f>
        <v>INR</v>
      </c>
      <c r="E931" t="str">
        <f>IFERROR(VLOOKUP(FO_Capture!C931, Reference_Data!A:D, 4, FALSE), "MISSING SSI")</f>
        <v>Standard Chartered A/C 441247</v>
      </c>
      <c r="F931">
        <f>FO_Capture!D931</f>
        <v>250</v>
      </c>
      <c r="G931">
        <f>FO_Capture!E931</f>
        <v>503.64999389648438</v>
      </c>
      <c r="H931">
        <f t="shared" si="28"/>
        <v>125912.49847412109</v>
      </c>
      <c r="I931" t="str">
        <f t="shared" si="29"/>
        <v>Pass - Ready for Confirmation</v>
      </c>
    </row>
    <row r="932" spans="1:9" x14ac:dyDescent="0.3">
      <c r="A932" t="str">
        <f>FO_Capture!A932</f>
        <v>TRD00931</v>
      </c>
      <c r="B932" t="str">
        <f>FO_Capture!B932</f>
        <v>INE002A01032</v>
      </c>
      <c r="C932" t="str">
        <f>IFERROR(VLOOKUP(FO_Capture!C932, Reference_Data!A:D, 2, FALSE), "UNKNOWN")</f>
        <v>Alpha Global 14</v>
      </c>
      <c r="D932" t="str">
        <f>IFERROR(VLOOKUP(FO_Capture!C932, Reference_Data!A:D, 3, FALSE), "XXX")</f>
        <v>USD</v>
      </c>
      <c r="E932" t="str">
        <f>IFERROR(VLOOKUP(FO_Capture!C932, Reference_Data!A:D, 4, FALSE), "MISSING SSI")</f>
        <v>HSBC A/C 864249</v>
      </c>
      <c r="F932">
        <f>FO_Capture!D932</f>
        <v>330</v>
      </c>
      <c r="G932">
        <f>FO_Capture!E932</f>
        <v>250.42999267578125</v>
      </c>
      <c r="H932">
        <f t="shared" si="28"/>
        <v>82641.897583007813</v>
      </c>
      <c r="I932" t="str">
        <f t="shared" si="29"/>
        <v>Pass - Ready for Confirmation</v>
      </c>
    </row>
    <row r="933" spans="1:9" x14ac:dyDescent="0.3">
      <c r="A933" t="str">
        <f>FO_Capture!A933</f>
        <v>TRD00932</v>
      </c>
      <c r="B933" t="str">
        <f>FO_Capture!B933</f>
        <v>INE003A01024</v>
      </c>
      <c r="C933" t="str">
        <f>IFERROR(VLOOKUP(FO_Capture!C933, Reference_Data!A:D, 2, FALSE), "UNKNOWN")</f>
        <v>Alpha Investments 40</v>
      </c>
      <c r="D933" t="str">
        <f>IFERROR(VLOOKUP(FO_Capture!C933, Reference_Data!A:D, 3, FALSE), "XXX")</f>
        <v>GBP</v>
      </c>
      <c r="E933" t="str">
        <f>IFERROR(VLOOKUP(FO_Capture!C933, Reference_Data!A:D, 4, FALSE), "MISSING SSI")</f>
        <v>HDFC A/C 897530</v>
      </c>
      <c r="F933">
        <f>FO_Capture!D933</f>
        <v>340</v>
      </c>
      <c r="G933">
        <f>FO_Capture!E933</f>
        <v>422.29998779296875</v>
      </c>
      <c r="H933">
        <f t="shared" si="28"/>
        <v>143581.99584960938</v>
      </c>
      <c r="I933" t="str">
        <f t="shared" si="29"/>
        <v>Pass - Ready for Confirmation</v>
      </c>
    </row>
    <row r="934" spans="1:9" x14ac:dyDescent="0.3">
      <c r="A934" t="str">
        <f>FO_Capture!A934</f>
        <v>TRD00933</v>
      </c>
      <c r="B934" t="str">
        <f>FO_Capture!B934</f>
        <v>INE005A01083</v>
      </c>
      <c r="C934" t="str">
        <f>IFERROR(VLOOKUP(FO_Capture!C934, Reference_Data!A:D, 2, FALSE), "UNKNOWN")</f>
        <v>Alpha Capital 36</v>
      </c>
      <c r="D934" t="str">
        <f>IFERROR(VLOOKUP(FO_Capture!C934, Reference_Data!A:D, 3, FALSE), "XXX")</f>
        <v>JPY</v>
      </c>
      <c r="E934" t="str">
        <f>IFERROR(VLOOKUP(FO_Capture!C934, Reference_Data!A:D, 4, FALSE), "MISSING SSI")</f>
        <v>Citi A/C 359789</v>
      </c>
      <c r="F934">
        <f>FO_Capture!D934</f>
        <v>140</v>
      </c>
      <c r="G934">
        <f>FO_Capture!E934</f>
        <v>152.30999755859375</v>
      </c>
      <c r="H934">
        <f t="shared" si="28"/>
        <v>21323.399658203125</v>
      </c>
      <c r="I934" t="str">
        <f t="shared" si="29"/>
        <v>Pass - Ready for Confirmation</v>
      </c>
    </row>
    <row r="935" spans="1:9" x14ac:dyDescent="0.3">
      <c r="A935" t="str">
        <f>FO_Capture!A935</f>
        <v>TRD00934</v>
      </c>
      <c r="B935" t="str">
        <f>FO_Capture!B935</f>
        <v>INE008A01051</v>
      </c>
      <c r="C935" t="str">
        <f>IFERROR(VLOOKUP(FO_Capture!C935, Reference_Data!A:D, 2, FALSE), "UNKNOWN")</f>
        <v>Alpha Asset Management 32</v>
      </c>
      <c r="D935" t="str">
        <f>IFERROR(VLOOKUP(FO_Capture!C935, Reference_Data!A:D, 3, FALSE), "XXX")</f>
        <v>INR</v>
      </c>
      <c r="E935" t="str">
        <f>IFERROR(VLOOKUP(FO_Capture!C935, Reference_Data!A:D, 4, FALSE), "MISSING SSI")</f>
        <v>Barclays A/C 302646</v>
      </c>
      <c r="F935">
        <f>FO_Capture!D935</f>
        <v>500</v>
      </c>
      <c r="G935">
        <f>FO_Capture!E935</f>
        <v>425.07998657226563</v>
      </c>
      <c r="H935">
        <f t="shared" si="28"/>
        <v>212539.99328613281</v>
      </c>
      <c r="I935" t="str">
        <f t="shared" si="29"/>
        <v>Pass - Ready for Confirmation</v>
      </c>
    </row>
    <row r="936" spans="1:9" x14ac:dyDescent="0.3">
      <c r="A936" t="str">
        <f>FO_Capture!A936</f>
        <v>TRD00935</v>
      </c>
      <c r="B936" t="str">
        <f>FO_Capture!B936</f>
        <v>INE006A01098</v>
      </c>
      <c r="C936" t="str">
        <f>IFERROR(VLOOKUP(FO_Capture!C936, Reference_Data!A:D, 2, FALSE), "UNKNOWN")</f>
        <v>Alpha Global 2</v>
      </c>
      <c r="D936" t="str">
        <f>IFERROR(VLOOKUP(FO_Capture!C936, Reference_Data!A:D, 3, FALSE), "XXX")</f>
        <v>GBP</v>
      </c>
      <c r="E936" t="str">
        <f>IFERROR(VLOOKUP(FO_Capture!C936, Reference_Data!A:D, 4, FALSE), "MISSING SSI")</f>
        <v>JPMorgan A/C 582379</v>
      </c>
      <c r="F936">
        <f>FO_Capture!D936</f>
        <v>290</v>
      </c>
      <c r="G936">
        <f>FO_Capture!E936</f>
        <v>326.79998779296875</v>
      </c>
      <c r="H936">
        <f t="shared" si="28"/>
        <v>94771.996459960938</v>
      </c>
      <c r="I936" t="str">
        <f t="shared" si="29"/>
        <v>Pass - Ready for Confirmation</v>
      </c>
    </row>
    <row r="937" spans="1:9" x14ac:dyDescent="0.3">
      <c r="A937" t="str">
        <f>FO_Capture!A937</f>
        <v>TRD00936</v>
      </c>
      <c r="B937" t="str">
        <f>FO_Capture!B937</f>
        <v>INE001A01082</v>
      </c>
      <c r="C937" t="str">
        <f>IFERROR(VLOOKUP(FO_Capture!C937, Reference_Data!A:D, 2, FALSE), "UNKNOWN")</f>
        <v>Alpha Global 45</v>
      </c>
      <c r="D937" t="str">
        <f>IFERROR(VLOOKUP(FO_Capture!C937, Reference_Data!A:D, 3, FALSE), "XXX")</f>
        <v>EUR</v>
      </c>
      <c r="E937" t="str">
        <f>IFERROR(VLOOKUP(FO_Capture!C937, Reference_Data!A:D, 4, FALSE), "MISSING SSI")</f>
        <v>HSBC A/C 540659</v>
      </c>
      <c r="F937">
        <f>FO_Capture!D937</f>
        <v>290</v>
      </c>
      <c r="G937">
        <f>FO_Capture!E937</f>
        <v>295.20001220703125</v>
      </c>
      <c r="H937">
        <f t="shared" si="28"/>
        <v>85608.003540039063</v>
      </c>
      <c r="I937" t="str">
        <f t="shared" si="29"/>
        <v>Pass - Ready for Confirmation</v>
      </c>
    </row>
    <row r="938" spans="1:9" x14ac:dyDescent="0.3">
      <c r="A938" t="str">
        <f>FO_Capture!A938</f>
        <v>TRD00937</v>
      </c>
      <c r="B938" t="str">
        <f>FO_Capture!B938</f>
        <v>INE009A01088</v>
      </c>
      <c r="C938" t="str">
        <f>IFERROR(VLOOKUP(FO_Capture!C938, Reference_Data!A:D, 2, FALSE), "UNKNOWN")</f>
        <v>Alpha Asset Management 5</v>
      </c>
      <c r="D938" t="str">
        <f>IFERROR(VLOOKUP(FO_Capture!C938, Reference_Data!A:D, 3, FALSE), "XXX")</f>
        <v>INR</v>
      </c>
      <c r="E938" t="str">
        <f>IFERROR(VLOOKUP(FO_Capture!C938, Reference_Data!A:D, 4, FALSE), "MISSING SSI")</f>
        <v>JPMorgan A/C 860462</v>
      </c>
      <c r="F938">
        <f>FO_Capture!D938</f>
        <v>410</v>
      </c>
      <c r="G938">
        <f>FO_Capture!E938</f>
        <v>369.60000610351563</v>
      </c>
      <c r="H938">
        <f t="shared" si="28"/>
        <v>151536.00250244141</v>
      </c>
      <c r="I938" t="str">
        <f t="shared" si="29"/>
        <v>Pass - Ready for Confirmation</v>
      </c>
    </row>
    <row r="939" spans="1:9" x14ac:dyDescent="0.3">
      <c r="A939" t="str">
        <f>FO_Capture!A939</f>
        <v>TRD00938</v>
      </c>
      <c r="B939" t="str">
        <f>FO_Capture!B939</f>
        <v>INE004A01088</v>
      </c>
      <c r="C939" t="str">
        <f>IFERROR(VLOOKUP(FO_Capture!C939, Reference_Data!A:D, 2, FALSE), "UNKNOWN")</f>
        <v>Alpha Partners 3</v>
      </c>
      <c r="D939" t="str">
        <f>IFERROR(VLOOKUP(FO_Capture!C939, Reference_Data!A:D, 3, FALSE), "XXX")</f>
        <v>USD</v>
      </c>
      <c r="E939" t="str">
        <f>IFERROR(VLOOKUP(FO_Capture!C939, Reference_Data!A:D, 4, FALSE), "MISSING SSI")</f>
        <v>Citi A/C 508769</v>
      </c>
      <c r="F939">
        <f>FO_Capture!D939</f>
        <v>420</v>
      </c>
      <c r="G939">
        <f>FO_Capture!E939</f>
        <v>440.8699951171875</v>
      </c>
      <c r="H939">
        <f t="shared" si="28"/>
        <v>185165.39794921875</v>
      </c>
      <c r="I939" t="str">
        <f t="shared" si="29"/>
        <v>Pass - Ready for Confirmation</v>
      </c>
    </row>
    <row r="940" spans="1:9" x14ac:dyDescent="0.3">
      <c r="A940" t="str">
        <f>FO_Capture!A940</f>
        <v>TRD00939</v>
      </c>
      <c r="B940" t="str">
        <f>FO_Capture!B940</f>
        <v>INE008A01085</v>
      </c>
      <c r="C940" t="str">
        <f>IFERROR(VLOOKUP(FO_Capture!C940, Reference_Data!A:D, 2, FALSE), "UNKNOWN")</f>
        <v>Alpha Asset Management 4</v>
      </c>
      <c r="D940" t="str">
        <f>IFERROR(VLOOKUP(FO_Capture!C940, Reference_Data!A:D, 3, FALSE), "XXX")</f>
        <v>JPY</v>
      </c>
      <c r="E940" t="str">
        <f>IFERROR(VLOOKUP(FO_Capture!C940, Reference_Data!A:D, 4, FALSE), "MISSING SSI")</f>
        <v>Deutsche Bank A/C 126543</v>
      </c>
      <c r="F940">
        <f>FO_Capture!D940</f>
        <v>260</v>
      </c>
      <c r="G940">
        <f>FO_Capture!E940</f>
        <v>501.42999267578125</v>
      </c>
      <c r="H940">
        <f t="shared" si="28"/>
        <v>130371.79809570313</v>
      </c>
      <c r="I940" t="str">
        <f t="shared" si="29"/>
        <v>Pass - Ready for Confirmation</v>
      </c>
    </row>
    <row r="941" spans="1:9" x14ac:dyDescent="0.3">
      <c r="A941" t="str">
        <f>FO_Capture!A941</f>
        <v>TRD00940</v>
      </c>
      <c r="B941" t="str">
        <f>FO_Capture!B941</f>
        <v>INE006A01067</v>
      </c>
      <c r="C941" t="str">
        <f>IFERROR(VLOOKUP(FO_Capture!C941, Reference_Data!A:D, 2, FALSE), "UNKNOWN")</f>
        <v>Alpha Global 45</v>
      </c>
      <c r="D941" t="str">
        <f>IFERROR(VLOOKUP(FO_Capture!C941, Reference_Data!A:D, 3, FALSE), "XXX")</f>
        <v>EUR</v>
      </c>
      <c r="E941" t="str">
        <f>IFERROR(VLOOKUP(FO_Capture!C941, Reference_Data!A:D, 4, FALSE), "MISSING SSI")</f>
        <v>HSBC A/C 540659</v>
      </c>
      <c r="F941">
        <f>FO_Capture!D941</f>
        <v>210</v>
      </c>
      <c r="G941">
        <f>FO_Capture!E941</f>
        <v>395.27999877929688</v>
      </c>
      <c r="H941">
        <f t="shared" si="28"/>
        <v>83008.799743652344</v>
      </c>
      <c r="I941" t="str">
        <f t="shared" si="29"/>
        <v>Pass - Ready for Confirmation</v>
      </c>
    </row>
    <row r="942" spans="1:9" x14ac:dyDescent="0.3">
      <c r="A942" t="str">
        <f>FO_Capture!A942</f>
        <v>TRD00941</v>
      </c>
      <c r="B942" t="str">
        <f>FO_Capture!B942</f>
        <v>INE002A01051</v>
      </c>
      <c r="C942" t="str">
        <f>IFERROR(VLOOKUP(FO_Capture!C942, Reference_Data!A:D, 2, FALSE), "UNKNOWN")</f>
        <v>Alpha Investments 15</v>
      </c>
      <c r="D942" t="str">
        <f>IFERROR(VLOOKUP(FO_Capture!C942, Reference_Data!A:D, 3, FALSE), "XXX")</f>
        <v>INR</v>
      </c>
      <c r="E942" t="str">
        <f>IFERROR(VLOOKUP(FO_Capture!C942, Reference_Data!A:D, 4, FALSE), "MISSING SSI")</f>
        <v>Deutsche Bank A/C 330518</v>
      </c>
      <c r="F942">
        <f>FO_Capture!D942</f>
        <v>220</v>
      </c>
      <c r="G942">
        <f>FO_Capture!E942</f>
        <v>67.970001220703125</v>
      </c>
      <c r="H942">
        <f t="shared" si="28"/>
        <v>14953.400268554688</v>
      </c>
      <c r="I942" t="str">
        <f t="shared" si="29"/>
        <v>Pass - Ready for Confirmation</v>
      </c>
    </row>
    <row r="943" spans="1:9" x14ac:dyDescent="0.3">
      <c r="A943" t="str">
        <f>FO_Capture!A943</f>
        <v>TRD00942</v>
      </c>
      <c r="B943" t="str">
        <f>FO_Capture!B943</f>
        <v>INE004A01041</v>
      </c>
      <c r="C943" t="str">
        <f>IFERROR(VLOOKUP(FO_Capture!C943, Reference_Data!A:D, 2, FALSE), "UNKNOWN")</f>
        <v>Alpha Holdings 21</v>
      </c>
      <c r="D943" t="str">
        <f>IFERROR(VLOOKUP(FO_Capture!C943, Reference_Data!A:D, 3, FALSE), "XXX")</f>
        <v>SGD</v>
      </c>
      <c r="E943" t="str">
        <f>IFERROR(VLOOKUP(FO_Capture!C943, Reference_Data!A:D, 4, FALSE), "MISSING SSI")</f>
        <v>HSBC A/C 562956</v>
      </c>
      <c r="F943">
        <f>FO_Capture!D943</f>
        <v>100</v>
      </c>
      <c r="G943">
        <f>FO_Capture!E943</f>
        <v>316.6400146484375</v>
      </c>
      <c r="H943">
        <f t="shared" si="28"/>
        <v>31664.00146484375</v>
      </c>
      <c r="I943" t="str">
        <f t="shared" si="29"/>
        <v>Pass - Ready for Confirmation</v>
      </c>
    </row>
    <row r="944" spans="1:9" x14ac:dyDescent="0.3">
      <c r="A944" t="str">
        <f>FO_Capture!A944</f>
        <v>TRD00943</v>
      </c>
      <c r="B944" t="str">
        <f>FO_Capture!B944</f>
        <v>INE001A01070</v>
      </c>
      <c r="C944" t="str">
        <f>IFERROR(VLOOKUP(FO_Capture!C944, Reference_Data!A:D, 2, FALSE), "UNKNOWN")</f>
        <v>Alpha Holdings 21</v>
      </c>
      <c r="D944" t="str">
        <f>IFERROR(VLOOKUP(FO_Capture!C944, Reference_Data!A:D, 3, FALSE), "XXX")</f>
        <v>SGD</v>
      </c>
      <c r="E944" t="str">
        <f>IFERROR(VLOOKUP(FO_Capture!C944, Reference_Data!A:D, 4, FALSE), "MISSING SSI")</f>
        <v>HSBC A/C 562956</v>
      </c>
      <c r="F944">
        <f>FO_Capture!D944</f>
        <v>310</v>
      </c>
      <c r="G944">
        <f>FO_Capture!E944</f>
        <v>39.950000762939453</v>
      </c>
      <c r="H944">
        <f t="shared" si="28"/>
        <v>12384.50023651123</v>
      </c>
      <c r="I944" t="str">
        <f t="shared" si="29"/>
        <v>Pass - Ready for Confirmation</v>
      </c>
    </row>
    <row r="945" spans="1:9" x14ac:dyDescent="0.3">
      <c r="A945" t="str">
        <f>FO_Capture!A945</f>
        <v>TRD00944</v>
      </c>
      <c r="B945" t="str">
        <f>FO_Capture!B945</f>
        <v>INE002A01057</v>
      </c>
      <c r="C945" t="str">
        <f>IFERROR(VLOOKUP(FO_Capture!C945, Reference_Data!A:D, 2, FALSE), "UNKNOWN")</f>
        <v>Alpha Capital 44</v>
      </c>
      <c r="D945" t="str">
        <f>IFERROR(VLOOKUP(FO_Capture!C945, Reference_Data!A:D, 3, FALSE), "XXX")</f>
        <v>INR</v>
      </c>
      <c r="E945" t="str">
        <f>IFERROR(VLOOKUP(FO_Capture!C945, Reference_Data!A:D, 4, FALSE), "MISSING SSI")</f>
        <v>Deutsche Bank A/C 428758</v>
      </c>
      <c r="F945">
        <f>FO_Capture!D945</f>
        <v>170</v>
      </c>
      <c r="G945">
        <f>FO_Capture!E945</f>
        <v>488.14999389648438</v>
      </c>
      <c r="H945">
        <f t="shared" si="28"/>
        <v>82985.498962402344</v>
      </c>
      <c r="I945" t="str">
        <f t="shared" si="29"/>
        <v>Pass - Ready for Confirmation</v>
      </c>
    </row>
    <row r="946" spans="1:9" x14ac:dyDescent="0.3">
      <c r="A946" t="str">
        <f>FO_Capture!A946</f>
        <v>TRD00945</v>
      </c>
      <c r="B946" t="str">
        <f>FO_Capture!B946</f>
        <v>INE007A01052</v>
      </c>
      <c r="C946" t="str">
        <f>IFERROR(VLOOKUP(FO_Capture!C946, Reference_Data!A:D, 2, FALSE), "UNKNOWN")</f>
        <v>Alpha Holdings 16</v>
      </c>
      <c r="D946" t="str">
        <f>IFERROR(VLOOKUP(FO_Capture!C946, Reference_Data!A:D, 3, FALSE), "XXX")</f>
        <v>USD</v>
      </c>
      <c r="E946" t="str">
        <f>IFERROR(VLOOKUP(FO_Capture!C946, Reference_Data!A:D, 4, FALSE), "MISSING SSI")</f>
        <v>Barclays A/C 197229</v>
      </c>
      <c r="F946">
        <f>FO_Capture!D946</f>
        <v>160</v>
      </c>
      <c r="G946">
        <f>FO_Capture!E946</f>
        <v>13.050000190734863</v>
      </c>
      <c r="H946">
        <f t="shared" si="28"/>
        <v>2088.0000305175781</v>
      </c>
      <c r="I946" t="str">
        <f t="shared" si="29"/>
        <v>Pass - Ready for Confirmation</v>
      </c>
    </row>
    <row r="947" spans="1:9" x14ac:dyDescent="0.3">
      <c r="A947" t="str">
        <f>FO_Capture!A947</f>
        <v>TRD00946</v>
      </c>
      <c r="B947" t="str">
        <f>FO_Capture!B947</f>
        <v>INE002A01087</v>
      </c>
      <c r="C947" t="str">
        <f>IFERROR(VLOOKUP(FO_Capture!C947, Reference_Data!A:D, 2, FALSE), "UNKNOWN")</f>
        <v>Alpha Capital 38</v>
      </c>
      <c r="D947" t="str">
        <f>IFERROR(VLOOKUP(FO_Capture!C947, Reference_Data!A:D, 3, FALSE), "XXX")</f>
        <v>SGD</v>
      </c>
      <c r="E947" t="str">
        <f>IFERROR(VLOOKUP(FO_Capture!C947, Reference_Data!A:D, 4, FALSE), "MISSING SSI")</f>
        <v>Deutsche Bank A/C 153521</v>
      </c>
      <c r="F947">
        <f>FO_Capture!D947</f>
        <v>120</v>
      </c>
      <c r="G947">
        <f>FO_Capture!E947</f>
        <v>318.01998901367188</v>
      </c>
      <c r="H947">
        <f t="shared" si="28"/>
        <v>38162.398681640625</v>
      </c>
      <c r="I947" t="str">
        <f t="shared" si="29"/>
        <v>Pass - Ready for Confirmation</v>
      </c>
    </row>
    <row r="948" spans="1:9" x14ac:dyDescent="0.3">
      <c r="A948" t="str">
        <f>FO_Capture!A948</f>
        <v>TRD00947</v>
      </c>
      <c r="B948" t="str">
        <f>FO_Capture!B948</f>
        <v>INE007A01031</v>
      </c>
      <c r="C948" t="str">
        <f>IFERROR(VLOOKUP(FO_Capture!C948, Reference_Data!A:D, 2, FALSE), "UNKNOWN")</f>
        <v>Alpha Partners 6</v>
      </c>
      <c r="D948" t="str">
        <f>IFERROR(VLOOKUP(FO_Capture!C948, Reference_Data!A:D, 3, FALSE), "XXX")</f>
        <v>INR</v>
      </c>
      <c r="E948" t="str">
        <f>IFERROR(VLOOKUP(FO_Capture!C948, Reference_Data!A:D, 4, FALSE), "MISSING SSI")</f>
        <v>Standard Chartered A/C 441247</v>
      </c>
      <c r="F948">
        <f>FO_Capture!D948</f>
        <v>30</v>
      </c>
      <c r="G948">
        <f>FO_Capture!E948</f>
        <v>207.99000549316406</v>
      </c>
      <c r="H948">
        <f t="shared" si="28"/>
        <v>6239.7001647949219</v>
      </c>
      <c r="I948" t="str">
        <f t="shared" si="29"/>
        <v>Pass - Ready for Confirmation</v>
      </c>
    </row>
    <row r="949" spans="1:9" x14ac:dyDescent="0.3">
      <c r="A949" t="str">
        <f>FO_Capture!A949</f>
        <v>TRD00948</v>
      </c>
      <c r="B949" t="str">
        <f>FO_Capture!B949</f>
        <v>INE002A01030</v>
      </c>
      <c r="C949" t="str">
        <f>IFERROR(VLOOKUP(FO_Capture!C949, Reference_Data!A:D, 2, FALSE), "UNKNOWN")</f>
        <v>Alpha Holdings 41</v>
      </c>
      <c r="D949" t="str">
        <f>IFERROR(VLOOKUP(FO_Capture!C949, Reference_Data!A:D, 3, FALSE), "XXX")</f>
        <v>JPY</v>
      </c>
      <c r="E949" t="str">
        <f>IFERROR(VLOOKUP(FO_Capture!C949, Reference_Data!A:D, 4, FALSE), "MISSING SSI")</f>
        <v>HSBC A/C 468615</v>
      </c>
      <c r="F949">
        <f>FO_Capture!D949</f>
        <v>260</v>
      </c>
      <c r="G949">
        <f>FO_Capture!E949</f>
        <v>339.45001220703125</v>
      </c>
      <c r="H949">
        <f t="shared" si="28"/>
        <v>88257.003173828125</v>
      </c>
      <c r="I949" t="str">
        <f t="shared" si="29"/>
        <v>Pass - Ready for Confirmation</v>
      </c>
    </row>
    <row r="950" spans="1:9" x14ac:dyDescent="0.3">
      <c r="A950" t="str">
        <f>FO_Capture!A950</f>
        <v>TRD00949</v>
      </c>
      <c r="B950" t="str">
        <f>FO_Capture!B950</f>
        <v>INE009A01067</v>
      </c>
      <c r="C950" t="str">
        <f>IFERROR(VLOOKUP(FO_Capture!C950, Reference_Data!A:D, 2, FALSE), "UNKNOWN")</f>
        <v>Alpha Capital 10</v>
      </c>
      <c r="D950" t="str">
        <f>IFERROR(VLOOKUP(FO_Capture!C950, Reference_Data!A:D, 3, FALSE), "XXX")</f>
        <v>USD</v>
      </c>
      <c r="E950" t="str">
        <f>IFERROR(VLOOKUP(FO_Capture!C950, Reference_Data!A:D, 4, FALSE), "MISSING SSI")</f>
        <v>HDFC A/C 543407</v>
      </c>
      <c r="F950">
        <f>FO_Capture!D950</f>
        <v>300</v>
      </c>
      <c r="G950">
        <f>FO_Capture!E950</f>
        <v>470.45999145507813</v>
      </c>
      <c r="H950">
        <f t="shared" si="28"/>
        <v>141137.99743652344</v>
      </c>
      <c r="I950" t="str">
        <f t="shared" si="29"/>
        <v>Pass - Ready for Confirmation</v>
      </c>
    </row>
    <row r="951" spans="1:9" x14ac:dyDescent="0.3">
      <c r="A951" t="str">
        <f>FO_Capture!A951</f>
        <v>TRD00950</v>
      </c>
      <c r="B951" t="str">
        <f>FO_Capture!B951</f>
        <v>INE001A0107</v>
      </c>
      <c r="C951" t="str">
        <f>IFERROR(VLOOKUP(FO_Capture!C951, Reference_Data!A:D, 2, FALSE), "UNKNOWN")</f>
        <v>Alpha Asset Management 4</v>
      </c>
      <c r="D951" t="str">
        <f>IFERROR(VLOOKUP(FO_Capture!C951, Reference_Data!A:D, 3, FALSE), "XXX")</f>
        <v>JPY</v>
      </c>
      <c r="E951" t="str">
        <f>IFERROR(VLOOKUP(FO_Capture!C951, Reference_Data!A:D, 4, FALSE), "MISSING SSI")</f>
        <v>Deutsche Bank A/C 126543</v>
      </c>
      <c r="F951">
        <f>FO_Capture!D951</f>
        <v>40</v>
      </c>
      <c r="G951">
        <f>FO_Capture!E951</f>
        <v>210.63999938964844</v>
      </c>
      <c r="H951">
        <f t="shared" si="28"/>
        <v>8425.5999755859375</v>
      </c>
      <c r="I951" t="str">
        <f t="shared" si="29"/>
        <v>Pass - Ready for Confirmation</v>
      </c>
    </row>
    <row r="952" spans="1:9" x14ac:dyDescent="0.3">
      <c r="A952" t="str">
        <f>FO_Capture!A952</f>
        <v>TRD00951</v>
      </c>
      <c r="B952" t="str">
        <f>FO_Capture!B952</f>
        <v>INE004A01046</v>
      </c>
      <c r="C952" t="str">
        <f>IFERROR(VLOOKUP(FO_Capture!C952, Reference_Data!A:D, 2, FALSE), "UNKNOWN")</f>
        <v>Alpha Capital 10</v>
      </c>
      <c r="D952" t="str">
        <f>IFERROR(VLOOKUP(FO_Capture!C952, Reference_Data!A:D, 3, FALSE), "XXX")</f>
        <v>USD</v>
      </c>
      <c r="E952" t="str">
        <f>IFERROR(VLOOKUP(FO_Capture!C952, Reference_Data!A:D, 4, FALSE), "MISSING SSI")</f>
        <v>HDFC A/C 543407</v>
      </c>
      <c r="F952">
        <f>FO_Capture!D952</f>
        <v>490</v>
      </c>
      <c r="G952">
        <f>FO_Capture!E952</f>
        <v>271.17001342773438</v>
      </c>
      <c r="H952">
        <f t="shared" si="28"/>
        <v>132873.30657958984</v>
      </c>
      <c r="I952" t="str">
        <f t="shared" si="29"/>
        <v>Pass - Ready for Confirmation</v>
      </c>
    </row>
    <row r="953" spans="1:9" x14ac:dyDescent="0.3">
      <c r="A953" t="str">
        <f>FO_Capture!A953</f>
        <v>TRD00952</v>
      </c>
      <c r="B953" t="str">
        <f>FO_Capture!B953</f>
        <v>INE001A01064</v>
      </c>
      <c r="C953" t="str">
        <f>IFERROR(VLOOKUP(FO_Capture!C953, Reference_Data!A:D, 2, FALSE), "UNKNOWN")</f>
        <v>Alpha Global 39</v>
      </c>
      <c r="D953" t="str">
        <f>IFERROR(VLOOKUP(FO_Capture!C953, Reference_Data!A:D, 3, FALSE), "XXX")</f>
        <v>SGD</v>
      </c>
      <c r="E953" t="str">
        <f>IFERROR(VLOOKUP(FO_Capture!C953, Reference_Data!A:D, 4, FALSE), "MISSING SSI")</f>
        <v>Deutsche Bank A/C 917029</v>
      </c>
      <c r="F953">
        <f>FO_Capture!D953</f>
        <v>40</v>
      </c>
      <c r="G953">
        <f>FO_Capture!E953</f>
        <v>214.78999328613281</v>
      </c>
      <c r="H953">
        <f t="shared" si="28"/>
        <v>8591.5997314453125</v>
      </c>
      <c r="I953" t="str">
        <f t="shared" si="29"/>
        <v>Pass - Ready for Confirmation</v>
      </c>
    </row>
    <row r="954" spans="1:9" x14ac:dyDescent="0.3">
      <c r="A954" t="str">
        <f>FO_Capture!A954</f>
        <v>TRD00953</v>
      </c>
      <c r="B954" t="str">
        <f>FO_Capture!B954</f>
        <v>INE003A01076</v>
      </c>
      <c r="C954" t="str">
        <f>IFERROR(VLOOKUP(FO_Capture!C954, Reference_Data!A:D, 2, FALSE), "UNKNOWN")</f>
        <v>Alpha Holdings 49</v>
      </c>
      <c r="D954" t="str">
        <f>IFERROR(VLOOKUP(FO_Capture!C954, Reference_Data!A:D, 3, FALSE), "XXX")</f>
        <v>JPY</v>
      </c>
      <c r="E954" t="str">
        <f>IFERROR(VLOOKUP(FO_Capture!C954, Reference_Data!A:D, 4, FALSE), "MISSING SSI")</f>
        <v>HDFC A/C 679335</v>
      </c>
      <c r="F954">
        <f>FO_Capture!D954</f>
        <v>230</v>
      </c>
      <c r="G954">
        <f>FO_Capture!E954</f>
        <v>205.82000732421875</v>
      </c>
      <c r="H954">
        <f t="shared" si="28"/>
        <v>47338.601684570313</v>
      </c>
      <c r="I954" t="str">
        <f t="shared" si="29"/>
        <v>Pass - Ready for Confirmation</v>
      </c>
    </row>
    <row r="955" spans="1:9" x14ac:dyDescent="0.3">
      <c r="A955" t="str">
        <f>FO_Capture!A955</f>
        <v>TRD00954</v>
      </c>
      <c r="B955" t="str">
        <f>FO_Capture!B955</f>
        <v>INE006A01076</v>
      </c>
      <c r="C955" t="str">
        <f>IFERROR(VLOOKUP(FO_Capture!C955, Reference_Data!A:D, 2, FALSE), "UNKNOWN")</f>
        <v>Alpha Partners 22</v>
      </c>
      <c r="D955" t="str">
        <f>IFERROR(VLOOKUP(FO_Capture!C955, Reference_Data!A:D, 3, FALSE), "XXX")</f>
        <v>GBP</v>
      </c>
      <c r="E955" t="str">
        <f>IFERROR(VLOOKUP(FO_Capture!C955, Reference_Data!A:D, 4, FALSE), "MISSING SSI")</f>
        <v>JPMorgan A/C 488546</v>
      </c>
      <c r="F955">
        <f>FO_Capture!D955</f>
        <v>25000</v>
      </c>
      <c r="G955">
        <f>FO_Capture!E955</f>
        <v>463.91000366210938</v>
      </c>
      <c r="H955">
        <f t="shared" si="28"/>
        <v>11597750.091552734</v>
      </c>
      <c r="I955" t="str">
        <f t="shared" si="29"/>
        <v>Exception - Limit Breach</v>
      </c>
    </row>
    <row r="956" spans="1:9" x14ac:dyDescent="0.3">
      <c r="A956" t="str">
        <f>FO_Capture!A956</f>
        <v>TRD00955</v>
      </c>
      <c r="B956" t="str">
        <f>FO_Capture!B956</f>
        <v>INE005A01032</v>
      </c>
      <c r="C956" t="str">
        <f>IFERROR(VLOOKUP(FO_Capture!C956, Reference_Data!A:D, 2, FALSE), "UNKNOWN")</f>
        <v>Alpha Quant Fund 50</v>
      </c>
      <c r="D956" t="str">
        <f>IFERROR(VLOOKUP(FO_Capture!C956, Reference_Data!A:D, 3, FALSE), "XXX")</f>
        <v>SGD</v>
      </c>
      <c r="E956" t="str">
        <f>IFERROR(VLOOKUP(FO_Capture!C956, Reference_Data!A:D, 4, FALSE), "MISSING SSI")</f>
        <v>Standard Chartered A/C 307017</v>
      </c>
      <c r="F956">
        <f>FO_Capture!D956</f>
        <v>450</v>
      </c>
      <c r="G956">
        <f>FO_Capture!E956</f>
        <v>281.16000366210938</v>
      </c>
      <c r="H956">
        <f t="shared" si="28"/>
        <v>126522.00164794922</v>
      </c>
      <c r="I956" t="str">
        <f t="shared" si="29"/>
        <v>Pass - Ready for Confirmation</v>
      </c>
    </row>
    <row r="957" spans="1:9" x14ac:dyDescent="0.3">
      <c r="A957" t="str">
        <f>FO_Capture!A957</f>
        <v>TRD00956</v>
      </c>
      <c r="B957" t="str">
        <f>FO_Capture!B957</f>
        <v>INE009A01029</v>
      </c>
      <c r="C957" t="str">
        <f>IFERROR(VLOOKUP(FO_Capture!C957, Reference_Data!A:D, 2, FALSE), "UNKNOWN")</f>
        <v>Alpha Global 2</v>
      </c>
      <c r="D957" t="str">
        <f>IFERROR(VLOOKUP(FO_Capture!C957, Reference_Data!A:D, 3, FALSE), "XXX")</f>
        <v>GBP</v>
      </c>
      <c r="E957" t="str">
        <f>IFERROR(VLOOKUP(FO_Capture!C957, Reference_Data!A:D, 4, FALSE), "MISSING SSI")</f>
        <v>JPMorgan A/C 582379</v>
      </c>
      <c r="F957">
        <f>FO_Capture!D957</f>
        <v>440</v>
      </c>
      <c r="G957">
        <f>FO_Capture!E957</f>
        <v>113.62999725341797</v>
      </c>
      <c r="H957">
        <f t="shared" si="28"/>
        <v>49997.198791503906</v>
      </c>
      <c r="I957" t="str">
        <f t="shared" si="29"/>
        <v>Pass - Ready for Confirmation</v>
      </c>
    </row>
    <row r="958" spans="1:9" x14ac:dyDescent="0.3">
      <c r="A958" t="str">
        <f>FO_Capture!A958</f>
        <v>TRD00957</v>
      </c>
      <c r="B958" t="str">
        <f>FO_Capture!B958</f>
        <v>INE007A01020</v>
      </c>
      <c r="C958" t="str">
        <f>IFERROR(VLOOKUP(FO_Capture!C958, Reference_Data!A:D, 2, FALSE), "UNKNOWN")</f>
        <v>Alpha Partners 19</v>
      </c>
      <c r="D958" t="str">
        <f>IFERROR(VLOOKUP(FO_Capture!C958, Reference_Data!A:D, 3, FALSE), "XXX")</f>
        <v>INR</v>
      </c>
      <c r="E958" t="str">
        <f>IFERROR(VLOOKUP(FO_Capture!C958, Reference_Data!A:D, 4, FALSE), "MISSING SSI")</f>
        <v>Citi A/C 543819</v>
      </c>
      <c r="F958">
        <f>FO_Capture!D958</f>
        <v>350</v>
      </c>
      <c r="G958">
        <f>FO_Capture!E958</f>
        <v>21.110000610351563</v>
      </c>
      <c r="H958">
        <f t="shared" si="28"/>
        <v>7388.5002136230469</v>
      </c>
      <c r="I958" t="str">
        <f t="shared" si="29"/>
        <v>Pass - Ready for Confirmation</v>
      </c>
    </row>
    <row r="959" spans="1:9" x14ac:dyDescent="0.3">
      <c r="A959" t="str">
        <f>FO_Capture!A959</f>
        <v>TRD00958</v>
      </c>
      <c r="B959" t="str">
        <f>FO_Capture!B959</f>
        <v>INE009A01010</v>
      </c>
      <c r="C959" t="str">
        <f>IFERROR(VLOOKUP(FO_Capture!C959, Reference_Data!A:D, 2, FALSE), "UNKNOWN")</f>
        <v>Alpha Quant Fund 34</v>
      </c>
      <c r="D959" t="str">
        <f>IFERROR(VLOOKUP(FO_Capture!C959, Reference_Data!A:D, 3, FALSE), "XXX")</f>
        <v>JPY</v>
      </c>
      <c r="E959" t="str">
        <f>IFERROR(VLOOKUP(FO_Capture!C959, Reference_Data!A:D, 4, FALSE), "MISSING SSI")</f>
        <v>Citi A/C 837378</v>
      </c>
      <c r="F959">
        <f>FO_Capture!D959</f>
        <v>120</v>
      </c>
      <c r="G959">
        <f>FO_Capture!E959</f>
        <v>446.239990234375</v>
      </c>
      <c r="H959">
        <f t="shared" si="28"/>
        <v>53548.798828125</v>
      </c>
      <c r="I959" t="str">
        <f t="shared" si="29"/>
        <v>Pass - Ready for Confirmation</v>
      </c>
    </row>
    <row r="960" spans="1:9" x14ac:dyDescent="0.3">
      <c r="A960" t="str">
        <f>FO_Capture!A960</f>
        <v>TRD00959</v>
      </c>
      <c r="B960" t="str">
        <f>FO_Capture!B960</f>
        <v>INE004A01097</v>
      </c>
      <c r="C960" t="str">
        <f>IFERROR(VLOOKUP(FO_Capture!C960, Reference_Data!A:D, 2, FALSE), "UNKNOWN")</f>
        <v>Alpha Asset Management 32</v>
      </c>
      <c r="D960" t="str">
        <f>IFERROR(VLOOKUP(FO_Capture!C960, Reference_Data!A:D, 3, FALSE), "XXX")</f>
        <v>INR</v>
      </c>
      <c r="E960" t="str">
        <f>IFERROR(VLOOKUP(FO_Capture!C960, Reference_Data!A:D, 4, FALSE), "MISSING SSI")</f>
        <v>Barclays A/C 302646</v>
      </c>
      <c r="F960">
        <f>FO_Capture!D960</f>
        <v>480</v>
      </c>
      <c r="G960">
        <f>FO_Capture!E960</f>
        <v>464.45001220703125</v>
      </c>
      <c r="H960">
        <f t="shared" si="28"/>
        <v>222936.005859375</v>
      </c>
      <c r="I960" t="str">
        <f t="shared" si="29"/>
        <v>Pass - Ready for Confirmation</v>
      </c>
    </row>
    <row r="961" spans="1:9" x14ac:dyDescent="0.3">
      <c r="A961" t="str">
        <f>FO_Capture!A961</f>
        <v>TRD00960</v>
      </c>
      <c r="B961" t="str">
        <f>FO_Capture!B961</f>
        <v>INE003A01019</v>
      </c>
      <c r="C961" t="str">
        <f>IFERROR(VLOOKUP(FO_Capture!C961, Reference_Data!A:D, 2, FALSE), "UNKNOWN")</f>
        <v>Alpha Global 25</v>
      </c>
      <c r="D961" t="str">
        <f>IFERROR(VLOOKUP(FO_Capture!C961, Reference_Data!A:D, 3, FALSE), "XXX")</f>
        <v>EUR</v>
      </c>
      <c r="E961" t="str">
        <f>IFERROR(VLOOKUP(FO_Capture!C961, Reference_Data!A:D, 4, FALSE), "MISSING SSI")</f>
        <v>Standard Chartered A/C 438949</v>
      </c>
      <c r="F961">
        <f>FO_Capture!D961</f>
        <v>190</v>
      </c>
      <c r="G961">
        <f>FO_Capture!E961</f>
        <v>34</v>
      </c>
      <c r="H961">
        <f t="shared" si="28"/>
        <v>6460</v>
      </c>
      <c r="I961" t="str">
        <f t="shared" si="29"/>
        <v>Pass - Ready for Confirmation</v>
      </c>
    </row>
    <row r="962" spans="1:9" x14ac:dyDescent="0.3">
      <c r="A962" t="str">
        <f>FO_Capture!A962</f>
        <v>TRD00961</v>
      </c>
      <c r="B962" t="str">
        <f>FO_Capture!B962</f>
        <v>INE002A01098</v>
      </c>
      <c r="C962" t="str">
        <f>IFERROR(VLOOKUP(FO_Capture!C962, Reference_Data!A:D, 2, FALSE), "UNKNOWN")</f>
        <v>Alpha Quant Fund 24</v>
      </c>
      <c r="D962" t="str">
        <f>IFERROR(VLOOKUP(FO_Capture!C962, Reference_Data!A:D, 3, FALSE), "XXX")</f>
        <v>SGD</v>
      </c>
      <c r="E962" t="str">
        <f>IFERROR(VLOOKUP(FO_Capture!C962, Reference_Data!A:D, 4, FALSE), "MISSING SSI")</f>
        <v>JPMorgan A/C 603587</v>
      </c>
      <c r="F962">
        <f>FO_Capture!D962</f>
        <v>300</v>
      </c>
      <c r="G962">
        <f>FO_Capture!E962</f>
        <v>245.96000671386719</v>
      </c>
      <c r="H962">
        <f t="shared" si="28"/>
        <v>73788.002014160156</v>
      </c>
      <c r="I962" t="str">
        <f t="shared" si="29"/>
        <v>Pass - Ready for Confirmation</v>
      </c>
    </row>
    <row r="963" spans="1:9" x14ac:dyDescent="0.3">
      <c r="A963" t="str">
        <f>FO_Capture!A963</f>
        <v>TRD00962</v>
      </c>
      <c r="B963" t="str">
        <f>FO_Capture!B963</f>
        <v>INE002A0100</v>
      </c>
      <c r="C963" t="str">
        <f>IFERROR(VLOOKUP(FO_Capture!C963, Reference_Data!A:D, 2, FALSE), "UNKNOWN")</f>
        <v>Alpha Partners 18</v>
      </c>
      <c r="D963" t="str">
        <f>IFERROR(VLOOKUP(FO_Capture!C963, Reference_Data!A:D, 3, FALSE), "XXX")</f>
        <v>INR</v>
      </c>
      <c r="E963" t="str">
        <f>IFERROR(VLOOKUP(FO_Capture!C963, Reference_Data!A:D, 4, FALSE), "MISSING SSI")</f>
        <v>JPMorgan A/C 704166</v>
      </c>
      <c r="F963">
        <f>FO_Capture!D963</f>
        <v>410</v>
      </c>
      <c r="G963">
        <f>FO_Capture!E963</f>
        <v>74.19000244140625</v>
      </c>
      <c r="H963">
        <f t="shared" ref="H963:H1026" si="30">F963 * G963</f>
        <v>30417.901000976563</v>
      </c>
      <c r="I963" t="str">
        <f t="shared" ref="I963:I1026" si="31">IF(C963="UNKNOWN", "Fail - Missing Ref Data", IF(OR(F963&lt;=0, G963&lt;=0), "Fail - Invalid Price/Qty", IF(H963&gt;1000000, "Exception - Limit Breach", "Pass - Ready for Confirmation")))</f>
        <v>Pass - Ready for Confirmation</v>
      </c>
    </row>
    <row r="964" spans="1:9" x14ac:dyDescent="0.3">
      <c r="A964" t="str">
        <f>FO_Capture!A964</f>
        <v>TRD00963</v>
      </c>
      <c r="B964" t="str">
        <f>FO_Capture!B964</f>
        <v>INE007A01075</v>
      </c>
      <c r="C964" t="str">
        <f>IFERROR(VLOOKUP(FO_Capture!C964, Reference_Data!A:D, 2, FALSE), "UNKNOWN")</f>
        <v>Alpha Capital 44</v>
      </c>
      <c r="D964" t="str">
        <f>IFERROR(VLOOKUP(FO_Capture!C964, Reference_Data!A:D, 3, FALSE), "XXX")</f>
        <v>INR</v>
      </c>
      <c r="E964" t="str">
        <f>IFERROR(VLOOKUP(FO_Capture!C964, Reference_Data!A:D, 4, FALSE), "MISSING SSI")</f>
        <v>Deutsche Bank A/C 428758</v>
      </c>
      <c r="F964">
        <f>FO_Capture!D964</f>
        <v>390</v>
      </c>
      <c r="G964">
        <f>FO_Capture!E964</f>
        <v>125.40000152587891</v>
      </c>
      <c r="H964">
        <f t="shared" si="30"/>
        <v>48906.000595092773</v>
      </c>
      <c r="I964" t="str">
        <f t="shared" si="31"/>
        <v>Pass - Ready for Confirmation</v>
      </c>
    </row>
    <row r="965" spans="1:9" x14ac:dyDescent="0.3">
      <c r="A965" t="str">
        <f>FO_Capture!A965</f>
        <v>TRD00964</v>
      </c>
      <c r="B965" t="str">
        <f>FO_Capture!B965</f>
        <v>INE009A01019</v>
      </c>
      <c r="C965" t="str">
        <f>IFERROR(VLOOKUP(FO_Capture!C965, Reference_Data!A:D, 2, FALSE), "UNKNOWN")</f>
        <v>Alpha Investments 17</v>
      </c>
      <c r="D965" t="str">
        <f>IFERROR(VLOOKUP(FO_Capture!C965, Reference_Data!A:D, 3, FALSE), "XXX")</f>
        <v>USD</v>
      </c>
      <c r="E965" t="str">
        <f>IFERROR(VLOOKUP(FO_Capture!C965, Reference_Data!A:D, 4, FALSE), "MISSING SSI")</f>
        <v>HDFC A/C 113752</v>
      </c>
      <c r="F965">
        <f>FO_Capture!D965</f>
        <v>170</v>
      </c>
      <c r="G965">
        <f>FO_Capture!E965</f>
        <v>389.07000732421875</v>
      </c>
      <c r="H965">
        <f t="shared" si="30"/>
        <v>66141.901245117188</v>
      </c>
      <c r="I965" t="str">
        <f t="shared" si="31"/>
        <v>Pass - Ready for Confirmation</v>
      </c>
    </row>
    <row r="966" spans="1:9" x14ac:dyDescent="0.3">
      <c r="A966" t="str">
        <f>FO_Capture!A966</f>
        <v>TRD00965</v>
      </c>
      <c r="B966" t="str">
        <f>FO_Capture!B966</f>
        <v>INE003A01010</v>
      </c>
      <c r="C966" t="str">
        <f>IFERROR(VLOOKUP(FO_Capture!C966, Reference_Data!A:D, 2, FALSE), "UNKNOWN")</f>
        <v>Alpha Partners 1</v>
      </c>
      <c r="D966" t="str">
        <f>IFERROR(VLOOKUP(FO_Capture!C966, Reference_Data!A:D, 3, FALSE), "XXX")</f>
        <v>JPY</v>
      </c>
      <c r="E966" t="str">
        <f>IFERROR(VLOOKUP(FO_Capture!C966, Reference_Data!A:D, 4, FALSE), "MISSING SSI")</f>
        <v>Standard Chartered A/C 277005</v>
      </c>
      <c r="F966">
        <f>FO_Capture!D966</f>
        <v>460</v>
      </c>
      <c r="G966">
        <f>FO_Capture!E966</f>
        <v>487.52999877929688</v>
      </c>
      <c r="H966">
        <f t="shared" si="30"/>
        <v>224263.79943847656</v>
      </c>
      <c r="I966" t="str">
        <f t="shared" si="31"/>
        <v>Pass - Ready for Confirmation</v>
      </c>
    </row>
    <row r="967" spans="1:9" x14ac:dyDescent="0.3">
      <c r="A967" t="str">
        <f>FO_Capture!A967</f>
        <v>TRD00966</v>
      </c>
      <c r="B967" t="str">
        <f>FO_Capture!B967</f>
        <v>INE005A01069</v>
      </c>
      <c r="C967" t="str">
        <f>IFERROR(VLOOKUP(FO_Capture!C967, Reference_Data!A:D, 2, FALSE), "UNKNOWN")</f>
        <v>Alpha Capital 38</v>
      </c>
      <c r="D967" t="str">
        <f>IFERROR(VLOOKUP(FO_Capture!C967, Reference_Data!A:D, 3, FALSE), "XXX")</f>
        <v>SGD</v>
      </c>
      <c r="E967" t="str">
        <f>IFERROR(VLOOKUP(FO_Capture!C967, Reference_Data!A:D, 4, FALSE), "MISSING SSI")</f>
        <v>Deutsche Bank A/C 153521</v>
      </c>
      <c r="F967">
        <f>FO_Capture!D967</f>
        <v>500</v>
      </c>
      <c r="G967">
        <f>FO_Capture!E967</f>
        <v>425.89999389648438</v>
      </c>
      <c r="H967">
        <f t="shared" si="30"/>
        <v>212949.99694824219</v>
      </c>
      <c r="I967" t="str">
        <f t="shared" si="31"/>
        <v>Pass - Ready for Confirmation</v>
      </c>
    </row>
    <row r="968" spans="1:9" x14ac:dyDescent="0.3">
      <c r="A968" t="str">
        <f>FO_Capture!A968</f>
        <v>TRD00967</v>
      </c>
      <c r="B968" t="str">
        <f>FO_Capture!B968</f>
        <v>INE009A0106</v>
      </c>
      <c r="C968" t="str">
        <f>IFERROR(VLOOKUP(FO_Capture!C968, Reference_Data!A:D, 2, FALSE), "UNKNOWN")</f>
        <v>Alpha Partners 18</v>
      </c>
      <c r="D968" t="str">
        <f>IFERROR(VLOOKUP(FO_Capture!C968, Reference_Data!A:D, 3, FALSE), "XXX")</f>
        <v>INR</v>
      </c>
      <c r="E968" t="str">
        <f>IFERROR(VLOOKUP(FO_Capture!C968, Reference_Data!A:D, 4, FALSE), "MISSING SSI")</f>
        <v>JPMorgan A/C 704166</v>
      </c>
      <c r="F968">
        <f>FO_Capture!D968</f>
        <v>330</v>
      </c>
      <c r="G968">
        <f>FO_Capture!E968</f>
        <v>342.1300048828125</v>
      </c>
      <c r="H968">
        <f t="shared" si="30"/>
        <v>112902.90161132813</v>
      </c>
      <c r="I968" t="str">
        <f t="shared" si="31"/>
        <v>Pass - Ready for Confirmation</v>
      </c>
    </row>
    <row r="969" spans="1:9" x14ac:dyDescent="0.3">
      <c r="A969" t="str">
        <f>FO_Capture!A969</f>
        <v>TRD00968</v>
      </c>
      <c r="B969" t="str">
        <f>FO_Capture!B969</f>
        <v>INE006A01068</v>
      </c>
      <c r="C969" t="str">
        <f>IFERROR(VLOOKUP(FO_Capture!C969, Reference_Data!A:D, 2, FALSE), "UNKNOWN")</f>
        <v>Alpha Capital 10</v>
      </c>
      <c r="D969" t="str">
        <f>IFERROR(VLOOKUP(FO_Capture!C969, Reference_Data!A:D, 3, FALSE), "XXX")</f>
        <v>USD</v>
      </c>
      <c r="E969" t="str">
        <f>IFERROR(VLOOKUP(FO_Capture!C969, Reference_Data!A:D, 4, FALSE), "MISSING SSI")</f>
        <v>HDFC A/C 543407</v>
      </c>
      <c r="F969">
        <f>FO_Capture!D969</f>
        <v>20</v>
      </c>
      <c r="G969">
        <f>FO_Capture!E969</f>
        <v>256.95999145507813</v>
      </c>
      <c r="H969">
        <f t="shared" si="30"/>
        <v>5139.1998291015625</v>
      </c>
      <c r="I969" t="str">
        <f t="shared" si="31"/>
        <v>Pass - Ready for Confirmation</v>
      </c>
    </row>
    <row r="970" spans="1:9" x14ac:dyDescent="0.3">
      <c r="A970" t="str">
        <f>FO_Capture!A970</f>
        <v>TRD00969</v>
      </c>
      <c r="B970" t="str">
        <f>FO_Capture!B970</f>
        <v>INE005A01094</v>
      </c>
      <c r="C970" t="str">
        <f>IFERROR(VLOOKUP(FO_Capture!C970, Reference_Data!A:D, 2, FALSE), "UNKNOWN")</f>
        <v>Alpha Asset Management 31</v>
      </c>
      <c r="D970" t="str">
        <f>IFERROR(VLOOKUP(FO_Capture!C970, Reference_Data!A:D, 3, FALSE), "XXX")</f>
        <v>USD</v>
      </c>
      <c r="E970" t="str">
        <f>IFERROR(VLOOKUP(FO_Capture!C970, Reference_Data!A:D, 4, FALSE), "MISSING SSI")</f>
        <v>Citi A/C 194841</v>
      </c>
      <c r="F970">
        <f>FO_Capture!D970</f>
        <v>450</v>
      </c>
      <c r="G970">
        <f>FO_Capture!E970</f>
        <v>323.95001220703125</v>
      </c>
      <c r="H970">
        <f t="shared" si="30"/>
        <v>145777.50549316406</v>
      </c>
      <c r="I970" t="str">
        <f t="shared" si="31"/>
        <v>Pass - Ready for Confirmation</v>
      </c>
    </row>
    <row r="971" spans="1:9" x14ac:dyDescent="0.3">
      <c r="A971" t="str">
        <f>FO_Capture!A971</f>
        <v>TRD00970</v>
      </c>
      <c r="B971" t="str">
        <f>FO_Capture!B971</f>
        <v>INE005A01059</v>
      </c>
      <c r="C971" t="str">
        <f>IFERROR(VLOOKUP(FO_Capture!C971, Reference_Data!A:D, 2, FALSE), "UNKNOWN")</f>
        <v>Alpha Global 25</v>
      </c>
      <c r="D971" t="str">
        <f>IFERROR(VLOOKUP(FO_Capture!C971, Reference_Data!A:D, 3, FALSE), "XXX")</f>
        <v>EUR</v>
      </c>
      <c r="E971" t="str">
        <f>IFERROR(VLOOKUP(FO_Capture!C971, Reference_Data!A:D, 4, FALSE), "MISSING SSI")</f>
        <v>Standard Chartered A/C 438949</v>
      </c>
      <c r="F971">
        <f>FO_Capture!D971</f>
        <v>20</v>
      </c>
      <c r="G971">
        <f>FO_Capture!E971</f>
        <v>79.5</v>
      </c>
      <c r="H971">
        <f t="shared" si="30"/>
        <v>1590</v>
      </c>
      <c r="I971" t="str">
        <f t="shared" si="31"/>
        <v>Pass - Ready for Confirmation</v>
      </c>
    </row>
    <row r="972" spans="1:9" x14ac:dyDescent="0.3">
      <c r="A972" t="str">
        <f>FO_Capture!A972</f>
        <v>TRD00971</v>
      </c>
      <c r="B972" t="str">
        <f>FO_Capture!B972</f>
        <v>INE006A01030</v>
      </c>
      <c r="C972" t="str">
        <f>IFERROR(VLOOKUP(FO_Capture!C972, Reference_Data!A:D, 2, FALSE), "UNKNOWN")</f>
        <v>Alpha Capital 38</v>
      </c>
      <c r="D972" t="str">
        <f>IFERROR(VLOOKUP(FO_Capture!C972, Reference_Data!A:D, 3, FALSE), "XXX")</f>
        <v>SGD</v>
      </c>
      <c r="E972" t="str">
        <f>IFERROR(VLOOKUP(FO_Capture!C972, Reference_Data!A:D, 4, FALSE), "MISSING SSI")</f>
        <v>Deutsche Bank A/C 153521</v>
      </c>
      <c r="F972">
        <f>FO_Capture!D972</f>
        <v>420</v>
      </c>
      <c r="G972">
        <f>FO_Capture!E972</f>
        <v>192.77000427246094</v>
      </c>
      <c r="H972">
        <f t="shared" si="30"/>
        <v>80963.401794433594</v>
      </c>
      <c r="I972" t="str">
        <f t="shared" si="31"/>
        <v>Pass - Ready for Confirmation</v>
      </c>
    </row>
    <row r="973" spans="1:9" x14ac:dyDescent="0.3">
      <c r="A973" t="str">
        <f>FO_Capture!A973</f>
        <v>TRD00972</v>
      </c>
      <c r="B973" t="str">
        <f>FO_Capture!B973</f>
        <v>INE006A01010</v>
      </c>
      <c r="C973" t="str">
        <f>IFERROR(VLOOKUP(FO_Capture!C973, Reference_Data!A:D, 2, FALSE), "UNKNOWN")</f>
        <v>Alpha Capital 38</v>
      </c>
      <c r="D973" t="str">
        <f>IFERROR(VLOOKUP(FO_Capture!C973, Reference_Data!A:D, 3, FALSE), "XXX")</f>
        <v>SGD</v>
      </c>
      <c r="E973" t="str">
        <f>IFERROR(VLOOKUP(FO_Capture!C973, Reference_Data!A:D, 4, FALSE), "MISSING SSI")</f>
        <v>Deutsche Bank A/C 153521</v>
      </c>
      <c r="F973">
        <f>FO_Capture!D973</f>
        <v>390</v>
      </c>
      <c r="G973">
        <f>FO_Capture!E973</f>
        <v>215.78999328613281</v>
      </c>
      <c r="H973">
        <f t="shared" si="30"/>
        <v>84158.097381591797</v>
      </c>
      <c r="I973" t="str">
        <f t="shared" si="31"/>
        <v>Pass - Ready for Confirmation</v>
      </c>
    </row>
    <row r="974" spans="1:9" x14ac:dyDescent="0.3">
      <c r="A974" t="str">
        <f>FO_Capture!A974</f>
        <v>TRD00973</v>
      </c>
      <c r="B974" t="str">
        <f>FO_Capture!B974</f>
        <v>INE005A01092</v>
      </c>
      <c r="C974" t="str">
        <f>IFERROR(VLOOKUP(FO_Capture!C974, Reference_Data!A:D, 2, FALSE), "UNKNOWN")</f>
        <v>Alpha Partners 48</v>
      </c>
      <c r="D974" t="str">
        <f>IFERROR(VLOOKUP(FO_Capture!C974, Reference_Data!A:D, 3, FALSE), "XXX")</f>
        <v>SGD</v>
      </c>
      <c r="E974" t="str">
        <f>IFERROR(VLOOKUP(FO_Capture!C974, Reference_Data!A:D, 4, FALSE), "MISSING SSI")</f>
        <v>JPMorgan A/C 391364</v>
      </c>
      <c r="F974">
        <f>FO_Capture!D974</f>
        <v>440</v>
      </c>
      <c r="G974">
        <f>FO_Capture!E974</f>
        <v>333.35000610351563</v>
      </c>
      <c r="H974">
        <f t="shared" si="30"/>
        <v>146674.00268554688</v>
      </c>
      <c r="I974" t="str">
        <f t="shared" si="31"/>
        <v>Pass - Ready for Confirmation</v>
      </c>
    </row>
    <row r="975" spans="1:9" x14ac:dyDescent="0.3">
      <c r="A975" t="str">
        <f>FO_Capture!A975</f>
        <v>TRD00974</v>
      </c>
      <c r="B975" t="str">
        <f>FO_Capture!B975</f>
        <v>INE007A01011</v>
      </c>
      <c r="C975" t="str">
        <f>IFERROR(VLOOKUP(FO_Capture!C975, Reference_Data!A:D, 2, FALSE), "UNKNOWN")</f>
        <v>Alpha Global 14</v>
      </c>
      <c r="D975" t="str">
        <f>IFERROR(VLOOKUP(FO_Capture!C975, Reference_Data!A:D, 3, FALSE), "XXX")</f>
        <v>USD</v>
      </c>
      <c r="E975" t="str">
        <f>IFERROR(VLOOKUP(FO_Capture!C975, Reference_Data!A:D, 4, FALSE), "MISSING SSI")</f>
        <v>HSBC A/C 864249</v>
      </c>
      <c r="F975">
        <f>FO_Capture!D975</f>
        <v>130</v>
      </c>
      <c r="G975">
        <f>FO_Capture!E975</f>
        <v>113.08999633789063</v>
      </c>
      <c r="H975">
        <f t="shared" si="30"/>
        <v>14701.699523925781</v>
      </c>
      <c r="I975" t="str">
        <f t="shared" si="31"/>
        <v>Pass - Ready for Confirmation</v>
      </c>
    </row>
    <row r="976" spans="1:9" x14ac:dyDescent="0.3">
      <c r="A976" t="str">
        <f>FO_Capture!A976</f>
        <v>TRD00975</v>
      </c>
      <c r="B976" t="str">
        <f>FO_Capture!B976</f>
        <v>INE003A01087</v>
      </c>
      <c r="C976" t="str">
        <f>IFERROR(VLOOKUP(FO_Capture!C976, Reference_Data!A:D, 2, FALSE), "UNKNOWN")</f>
        <v>Alpha Asset Management 35</v>
      </c>
      <c r="D976" t="str">
        <f>IFERROR(VLOOKUP(FO_Capture!C976, Reference_Data!A:D, 3, FALSE), "XXX")</f>
        <v>JPY</v>
      </c>
      <c r="E976" t="str">
        <f>IFERROR(VLOOKUP(FO_Capture!C976, Reference_Data!A:D, 4, FALSE), "MISSING SSI")</f>
        <v>HSBC A/C 604357</v>
      </c>
      <c r="F976">
        <f>FO_Capture!D976</f>
        <v>320</v>
      </c>
      <c r="G976">
        <f>FO_Capture!E976</f>
        <v>255.44999694824219</v>
      </c>
      <c r="H976">
        <f t="shared" si="30"/>
        <v>81743.9990234375</v>
      </c>
      <c r="I976" t="str">
        <f t="shared" si="31"/>
        <v>Pass - Ready for Confirmation</v>
      </c>
    </row>
    <row r="977" spans="1:9" x14ac:dyDescent="0.3">
      <c r="A977" t="str">
        <f>FO_Capture!A977</f>
        <v>TRD00976</v>
      </c>
      <c r="B977" t="str">
        <f>FO_Capture!B977</f>
        <v>INE006A01081</v>
      </c>
      <c r="C977" t="str">
        <f>IFERROR(VLOOKUP(FO_Capture!C977, Reference_Data!A:D, 2, FALSE), "UNKNOWN")</f>
        <v>Alpha Quant Fund 34</v>
      </c>
      <c r="D977" t="str">
        <f>IFERROR(VLOOKUP(FO_Capture!C977, Reference_Data!A:D, 3, FALSE), "XXX")</f>
        <v>JPY</v>
      </c>
      <c r="E977" t="str">
        <f>IFERROR(VLOOKUP(FO_Capture!C977, Reference_Data!A:D, 4, FALSE), "MISSING SSI")</f>
        <v>Citi A/C 837378</v>
      </c>
      <c r="F977">
        <f>FO_Capture!D977</f>
        <v>400</v>
      </c>
      <c r="G977">
        <f>FO_Capture!E977</f>
        <v>343.67999267578125</v>
      </c>
      <c r="H977">
        <f t="shared" si="30"/>
        <v>137471.9970703125</v>
      </c>
      <c r="I977" t="str">
        <f t="shared" si="31"/>
        <v>Pass - Ready for Confirmation</v>
      </c>
    </row>
    <row r="978" spans="1:9" x14ac:dyDescent="0.3">
      <c r="A978" t="str">
        <f>FO_Capture!A978</f>
        <v>TRD00977</v>
      </c>
      <c r="B978" t="str">
        <f>FO_Capture!B978</f>
        <v>INE007A01045</v>
      </c>
      <c r="C978" t="str">
        <f>IFERROR(VLOOKUP(FO_Capture!C978, Reference_Data!A:D, 2, FALSE), "UNKNOWN")</f>
        <v>Alpha Quant Fund 34</v>
      </c>
      <c r="D978" t="str">
        <f>IFERROR(VLOOKUP(FO_Capture!C978, Reference_Data!A:D, 3, FALSE), "XXX")</f>
        <v>JPY</v>
      </c>
      <c r="E978" t="str">
        <f>IFERROR(VLOOKUP(FO_Capture!C978, Reference_Data!A:D, 4, FALSE), "MISSING SSI")</f>
        <v>Citi A/C 837378</v>
      </c>
      <c r="F978">
        <f>FO_Capture!D978</f>
        <v>40</v>
      </c>
      <c r="G978">
        <f>FO_Capture!E978</f>
        <v>93.849998474121094</v>
      </c>
      <c r="H978">
        <f t="shared" si="30"/>
        <v>3753.9999389648438</v>
      </c>
      <c r="I978" t="str">
        <f t="shared" si="31"/>
        <v>Pass - Ready for Confirmation</v>
      </c>
    </row>
    <row r="979" spans="1:9" x14ac:dyDescent="0.3">
      <c r="A979" t="str">
        <f>FO_Capture!A979</f>
        <v>TRD00978</v>
      </c>
      <c r="B979" t="str">
        <f>FO_Capture!B979</f>
        <v>INE006A01064</v>
      </c>
      <c r="C979" t="str">
        <f>IFERROR(VLOOKUP(FO_Capture!C979, Reference_Data!A:D, 2, FALSE), "UNKNOWN")</f>
        <v>Alpha Partners 37</v>
      </c>
      <c r="D979" t="str">
        <f>IFERROR(VLOOKUP(FO_Capture!C979, Reference_Data!A:D, 3, FALSE), "XXX")</f>
        <v>JPY</v>
      </c>
      <c r="E979" t="str">
        <f>IFERROR(VLOOKUP(FO_Capture!C979, Reference_Data!A:D, 4, FALSE), "MISSING SSI")</f>
        <v>HSBC A/C 994063</v>
      </c>
      <c r="F979">
        <f>FO_Capture!D979</f>
        <v>460</v>
      </c>
      <c r="G979">
        <f>FO_Capture!E979</f>
        <v>104.81999969482422</v>
      </c>
      <c r="H979">
        <f t="shared" si="30"/>
        <v>48217.199859619141</v>
      </c>
      <c r="I979" t="str">
        <f t="shared" si="31"/>
        <v>Pass - Ready for Confirmation</v>
      </c>
    </row>
    <row r="980" spans="1:9" x14ac:dyDescent="0.3">
      <c r="A980" t="str">
        <f>FO_Capture!A980</f>
        <v>TRD00979</v>
      </c>
      <c r="B980" t="str">
        <f>FO_Capture!B980</f>
        <v>INE004A01020</v>
      </c>
      <c r="C980" t="str">
        <f>IFERROR(VLOOKUP(FO_Capture!C980, Reference_Data!A:D, 2, FALSE), "UNKNOWN")</f>
        <v>Alpha Capital 44</v>
      </c>
      <c r="D980" t="str">
        <f>IFERROR(VLOOKUP(FO_Capture!C980, Reference_Data!A:D, 3, FALSE), "XXX")</f>
        <v>INR</v>
      </c>
      <c r="E980" t="str">
        <f>IFERROR(VLOOKUP(FO_Capture!C980, Reference_Data!A:D, 4, FALSE), "MISSING SSI")</f>
        <v>Deutsche Bank A/C 428758</v>
      </c>
      <c r="F980">
        <f>FO_Capture!D980</f>
        <v>170</v>
      </c>
      <c r="G980">
        <f>FO_Capture!E980</f>
        <v>108.30000305175781</v>
      </c>
      <c r="H980">
        <f t="shared" si="30"/>
        <v>18411.000518798828</v>
      </c>
      <c r="I980" t="str">
        <f t="shared" si="31"/>
        <v>Pass - Ready for Confirmation</v>
      </c>
    </row>
    <row r="981" spans="1:9" x14ac:dyDescent="0.3">
      <c r="A981" t="str">
        <f>FO_Capture!A981</f>
        <v>TRD00980</v>
      </c>
      <c r="B981" t="str">
        <f>FO_Capture!B981</f>
        <v>INE002A01027</v>
      </c>
      <c r="C981" t="str">
        <f>IFERROR(VLOOKUP(FO_Capture!C981, Reference_Data!A:D, 2, FALSE), "UNKNOWN")</f>
        <v>Alpha Global 30</v>
      </c>
      <c r="D981" t="str">
        <f>IFERROR(VLOOKUP(FO_Capture!C981, Reference_Data!A:D, 3, FALSE), "XXX")</f>
        <v>JPY</v>
      </c>
      <c r="E981" t="str">
        <f>IFERROR(VLOOKUP(FO_Capture!C981, Reference_Data!A:D, 4, FALSE), "MISSING SSI")</f>
        <v>Deutsche Bank A/C 917262</v>
      </c>
      <c r="F981">
        <f>FO_Capture!D981</f>
        <v>210</v>
      </c>
      <c r="G981">
        <f>FO_Capture!E981</f>
        <v>218.77000427246094</v>
      </c>
      <c r="H981">
        <f t="shared" si="30"/>
        <v>45941.700897216797</v>
      </c>
      <c r="I981" t="str">
        <f t="shared" si="31"/>
        <v>Pass - Ready for Confirmation</v>
      </c>
    </row>
    <row r="982" spans="1:9" x14ac:dyDescent="0.3">
      <c r="A982" t="str">
        <f>FO_Capture!A982</f>
        <v>TRD00981</v>
      </c>
      <c r="B982" t="str">
        <f>FO_Capture!B982</f>
        <v>INE006A01092</v>
      </c>
      <c r="C982" t="str">
        <f>IFERROR(VLOOKUP(FO_Capture!C982, Reference_Data!A:D, 2, FALSE), "UNKNOWN")</f>
        <v>Alpha Holdings 23</v>
      </c>
      <c r="D982" t="str">
        <f>IFERROR(VLOOKUP(FO_Capture!C982, Reference_Data!A:D, 3, FALSE), "XXX")</f>
        <v>INR</v>
      </c>
      <c r="E982" t="str">
        <f>IFERROR(VLOOKUP(FO_Capture!C982, Reference_Data!A:D, 4, FALSE), "MISSING SSI")</f>
        <v>Deutsche Bank A/C 983712</v>
      </c>
      <c r="F982">
        <f>FO_Capture!D982</f>
        <v>410</v>
      </c>
      <c r="G982">
        <f>FO_Capture!E982</f>
        <v>183.57000732421875</v>
      </c>
      <c r="H982">
        <f t="shared" si="30"/>
        <v>75263.703002929688</v>
      </c>
      <c r="I982" t="str">
        <f t="shared" si="31"/>
        <v>Pass - Ready for Confirmation</v>
      </c>
    </row>
    <row r="983" spans="1:9" x14ac:dyDescent="0.3">
      <c r="A983" t="str">
        <f>FO_Capture!A983</f>
        <v>TRD00982</v>
      </c>
      <c r="B983" t="str">
        <f>FO_Capture!B983</f>
        <v>INE008A01061</v>
      </c>
      <c r="C983" t="str">
        <f>IFERROR(VLOOKUP(FO_Capture!C983, Reference_Data!A:D, 2, FALSE), "UNKNOWN")</f>
        <v>Alpha Quant Fund 27</v>
      </c>
      <c r="D983" t="str">
        <f>IFERROR(VLOOKUP(FO_Capture!C983, Reference_Data!A:D, 3, FALSE), "XXX")</f>
        <v>EUR</v>
      </c>
      <c r="E983" t="str">
        <f>IFERROR(VLOOKUP(FO_Capture!C983, Reference_Data!A:D, 4, FALSE), "MISSING SSI")</f>
        <v>Standard Chartered A/C 331839</v>
      </c>
      <c r="F983">
        <f>FO_Capture!D983</f>
        <v>160</v>
      </c>
      <c r="G983">
        <f>FO_Capture!E983</f>
        <v>132.80000305175781</v>
      </c>
      <c r="H983">
        <f t="shared" si="30"/>
        <v>21248.00048828125</v>
      </c>
      <c r="I983" t="str">
        <f t="shared" si="31"/>
        <v>Pass - Ready for Confirmation</v>
      </c>
    </row>
    <row r="984" spans="1:9" x14ac:dyDescent="0.3">
      <c r="A984" t="str">
        <f>FO_Capture!A984</f>
        <v>TRD00983</v>
      </c>
      <c r="B984" t="str">
        <f>FO_Capture!B984</f>
        <v>INE006A01067</v>
      </c>
      <c r="C984" t="str">
        <f>IFERROR(VLOOKUP(FO_Capture!C984, Reference_Data!A:D, 2, FALSE), "UNKNOWN")</f>
        <v>Alpha Global 46</v>
      </c>
      <c r="D984" t="str">
        <f>IFERROR(VLOOKUP(FO_Capture!C984, Reference_Data!A:D, 3, FALSE), "XXX")</f>
        <v>USD</v>
      </c>
      <c r="E984" t="str">
        <f>IFERROR(VLOOKUP(FO_Capture!C984, Reference_Data!A:D, 4, FALSE), "MISSING SSI")</f>
        <v>Citi A/C 700450</v>
      </c>
      <c r="F984">
        <f>FO_Capture!D984</f>
        <v>100</v>
      </c>
      <c r="G984">
        <f>FO_Capture!E984</f>
        <v>329.42001342773438</v>
      </c>
      <c r="H984">
        <f t="shared" si="30"/>
        <v>32942.001342773438</v>
      </c>
      <c r="I984" t="str">
        <f t="shared" si="31"/>
        <v>Pass - Ready for Confirmation</v>
      </c>
    </row>
    <row r="985" spans="1:9" x14ac:dyDescent="0.3">
      <c r="A985" t="str">
        <f>FO_Capture!A985</f>
        <v>TRD00984</v>
      </c>
      <c r="B985" t="str">
        <f>FO_Capture!B985</f>
        <v>INE007A01084</v>
      </c>
      <c r="C985" t="str">
        <f>IFERROR(VLOOKUP(FO_Capture!C985, Reference_Data!A:D, 2, FALSE), "UNKNOWN")</f>
        <v>Alpha Capital 9</v>
      </c>
      <c r="D985" t="str">
        <f>IFERROR(VLOOKUP(FO_Capture!C985, Reference_Data!A:D, 3, FALSE), "XXX")</f>
        <v>JPY</v>
      </c>
      <c r="E985" t="str">
        <f>IFERROR(VLOOKUP(FO_Capture!C985, Reference_Data!A:D, 4, FALSE), "MISSING SSI")</f>
        <v>Citi A/C 744145</v>
      </c>
      <c r="F985">
        <f>FO_Capture!D985</f>
        <v>450</v>
      </c>
      <c r="G985">
        <f>FO_Capture!E985</f>
        <v>419.17999267578125</v>
      </c>
      <c r="H985">
        <f t="shared" si="30"/>
        <v>188630.99670410156</v>
      </c>
      <c r="I985" t="str">
        <f t="shared" si="31"/>
        <v>Pass - Ready for Confirmation</v>
      </c>
    </row>
    <row r="986" spans="1:9" x14ac:dyDescent="0.3">
      <c r="A986" t="str">
        <f>FO_Capture!A986</f>
        <v>TRD00985</v>
      </c>
      <c r="B986" t="str">
        <f>FO_Capture!B986</f>
        <v>INE009A01075</v>
      </c>
      <c r="C986" t="str">
        <f>IFERROR(VLOOKUP(FO_Capture!C986, Reference_Data!A:D, 2, FALSE), "UNKNOWN")</f>
        <v>Alpha Holdings 47</v>
      </c>
      <c r="D986" t="str">
        <f>IFERROR(VLOOKUP(FO_Capture!C986, Reference_Data!A:D, 3, FALSE), "XXX")</f>
        <v>GBP</v>
      </c>
      <c r="E986" t="str">
        <f>IFERROR(VLOOKUP(FO_Capture!C986, Reference_Data!A:D, 4, FALSE), "MISSING SSI")</f>
        <v>Citi A/C 703401</v>
      </c>
      <c r="F986">
        <f>FO_Capture!D986</f>
        <v>190</v>
      </c>
      <c r="G986">
        <f>FO_Capture!E986</f>
        <v>180.6300048828125</v>
      </c>
      <c r="H986">
        <f t="shared" si="30"/>
        <v>34319.700927734375</v>
      </c>
      <c r="I986" t="str">
        <f t="shared" si="31"/>
        <v>Pass - Ready for Confirmation</v>
      </c>
    </row>
    <row r="987" spans="1:9" x14ac:dyDescent="0.3">
      <c r="A987" t="str">
        <f>FO_Capture!A987</f>
        <v>TRD00986</v>
      </c>
      <c r="B987" t="str">
        <f>FO_Capture!B987</f>
        <v>INE009A01040</v>
      </c>
      <c r="C987" t="str">
        <f>IFERROR(VLOOKUP(FO_Capture!C987, Reference_Data!A:D, 2, FALSE), "UNKNOWN")</f>
        <v>Alpha Holdings 16</v>
      </c>
      <c r="D987" t="str">
        <f>IFERROR(VLOOKUP(FO_Capture!C987, Reference_Data!A:D, 3, FALSE), "XXX")</f>
        <v>USD</v>
      </c>
      <c r="E987" t="str">
        <f>IFERROR(VLOOKUP(FO_Capture!C987, Reference_Data!A:D, 4, FALSE), "MISSING SSI")</f>
        <v>Barclays A/C 197229</v>
      </c>
      <c r="F987">
        <f>FO_Capture!D987</f>
        <v>350</v>
      </c>
      <c r="G987">
        <f>FO_Capture!E987</f>
        <v>275.16000366210938</v>
      </c>
      <c r="H987">
        <f t="shared" si="30"/>
        <v>96306.001281738281</v>
      </c>
      <c r="I987" t="str">
        <f t="shared" si="31"/>
        <v>Pass - Ready for Confirmation</v>
      </c>
    </row>
    <row r="988" spans="1:9" x14ac:dyDescent="0.3">
      <c r="A988" t="str">
        <f>FO_Capture!A988</f>
        <v>TRD00987</v>
      </c>
      <c r="B988" t="str">
        <f>FO_Capture!B988</f>
        <v>INE004A01070</v>
      </c>
      <c r="C988" t="str">
        <f>IFERROR(VLOOKUP(FO_Capture!C988, Reference_Data!A:D, 2, FALSE), "UNKNOWN")</f>
        <v>Alpha Quant Fund 24</v>
      </c>
      <c r="D988" t="str">
        <f>IFERROR(VLOOKUP(FO_Capture!C988, Reference_Data!A:D, 3, FALSE), "XXX")</f>
        <v>SGD</v>
      </c>
      <c r="E988" t="str">
        <f>IFERROR(VLOOKUP(FO_Capture!C988, Reference_Data!A:D, 4, FALSE), "MISSING SSI")</f>
        <v>JPMorgan A/C 603587</v>
      </c>
      <c r="F988">
        <f>FO_Capture!D988</f>
        <v>260</v>
      </c>
      <c r="G988">
        <f>FO_Capture!E988</f>
        <v>496.95999145507813</v>
      </c>
      <c r="H988">
        <f t="shared" si="30"/>
        <v>129209.59777832031</v>
      </c>
      <c r="I988" t="str">
        <f t="shared" si="31"/>
        <v>Pass - Ready for Confirmation</v>
      </c>
    </row>
    <row r="989" spans="1:9" x14ac:dyDescent="0.3">
      <c r="A989" t="str">
        <f>FO_Capture!A989</f>
        <v>TRD00988</v>
      </c>
      <c r="B989" t="str">
        <f>FO_Capture!B989</f>
        <v>INE008A01095</v>
      </c>
      <c r="C989" t="str">
        <f>IFERROR(VLOOKUP(FO_Capture!C989, Reference_Data!A:D, 2, FALSE), "UNKNOWN")</f>
        <v>Alpha Asset Management 4</v>
      </c>
      <c r="D989" t="str">
        <f>IFERROR(VLOOKUP(FO_Capture!C989, Reference_Data!A:D, 3, FALSE), "XXX")</f>
        <v>JPY</v>
      </c>
      <c r="E989" t="str">
        <f>IFERROR(VLOOKUP(FO_Capture!C989, Reference_Data!A:D, 4, FALSE), "MISSING SSI")</f>
        <v>Deutsche Bank A/C 126543</v>
      </c>
      <c r="F989">
        <f>FO_Capture!D989</f>
        <v>260</v>
      </c>
      <c r="G989">
        <f>FO_Capture!E989</f>
        <v>23.030000686645508</v>
      </c>
      <c r="H989">
        <f t="shared" si="30"/>
        <v>5987.800178527832</v>
      </c>
      <c r="I989" t="str">
        <f t="shared" si="31"/>
        <v>Pass - Ready for Confirmation</v>
      </c>
    </row>
    <row r="990" spans="1:9" x14ac:dyDescent="0.3">
      <c r="A990" t="str">
        <f>FO_Capture!A990</f>
        <v>TRD00989</v>
      </c>
      <c r="B990" t="str">
        <f>FO_Capture!B990</f>
        <v>INE009A01034</v>
      </c>
      <c r="C990" t="str">
        <f>IFERROR(VLOOKUP(FO_Capture!C990, Reference_Data!A:D, 2, FALSE), "UNKNOWN")</f>
        <v>Alpha Capital 38</v>
      </c>
      <c r="D990" t="str">
        <f>IFERROR(VLOOKUP(FO_Capture!C990, Reference_Data!A:D, 3, FALSE), "XXX")</f>
        <v>SGD</v>
      </c>
      <c r="E990" t="str">
        <f>IFERROR(VLOOKUP(FO_Capture!C990, Reference_Data!A:D, 4, FALSE), "MISSING SSI")</f>
        <v>Deutsche Bank A/C 153521</v>
      </c>
      <c r="F990">
        <f>FO_Capture!D990</f>
        <v>10</v>
      </c>
      <c r="G990">
        <f>FO_Capture!E990</f>
        <v>163.16999816894531</v>
      </c>
      <c r="H990">
        <f t="shared" si="30"/>
        <v>1631.6999816894531</v>
      </c>
      <c r="I990" t="str">
        <f t="shared" si="31"/>
        <v>Pass - Ready for Confirmation</v>
      </c>
    </row>
    <row r="991" spans="1:9" x14ac:dyDescent="0.3">
      <c r="A991" t="str">
        <f>FO_Capture!A991</f>
        <v>TRD00990</v>
      </c>
      <c r="B991" t="str">
        <f>FO_Capture!B991</f>
        <v>INE003A01044</v>
      </c>
      <c r="C991" t="str">
        <f>IFERROR(VLOOKUP(FO_Capture!C991, Reference_Data!A:D, 2, FALSE), "UNKNOWN")</f>
        <v>Alpha Capital 38</v>
      </c>
      <c r="D991" t="str">
        <f>IFERROR(VLOOKUP(FO_Capture!C991, Reference_Data!A:D, 3, FALSE), "XXX")</f>
        <v>SGD</v>
      </c>
      <c r="E991" t="str">
        <f>IFERROR(VLOOKUP(FO_Capture!C991, Reference_Data!A:D, 4, FALSE), "MISSING SSI")</f>
        <v>Deutsche Bank A/C 153521</v>
      </c>
      <c r="F991">
        <f>FO_Capture!D991</f>
        <v>200</v>
      </c>
      <c r="G991">
        <f>FO_Capture!E991</f>
        <v>110.02999877929688</v>
      </c>
      <c r="H991">
        <f t="shared" si="30"/>
        <v>22005.999755859375</v>
      </c>
      <c r="I991" t="str">
        <f t="shared" si="31"/>
        <v>Pass - Ready for Confirmation</v>
      </c>
    </row>
    <row r="992" spans="1:9" x14ac:dyDescent="0.3">
      <c r="A992" t="str">
        <f>FO_Capture!A992</f>
        <v>TRD00991</v>
      </c>
      <c r="B992" t="str">
        <f>FO_Capture!B992</f>
        <v>INE002A01071</v>
      </c>
      <c r="C992" t="str">
        <f>IFERROR(VLOOKUP(FO_Capture!C992, Reference_Data!A:D, 2, FALSE), "UNKNOWN")</f>
        <v>Alpha Quant Fund 12</v>
      </c>
      <c r="D992" t="str">
        <f>IFERROR(VLOOKUP(FO_Capture!C992, Reference_Data!A:D, 3, FALSE), "XXX")</f>
        <v>EUR</v>
      </c>
      <c r="E992" t="str">
        <f>IFERROR(VLOOKUP(FO_Capture!C992, Reference_Data!A:D, 4, FALSE), "MISSING SSI")</f>
        <v>Deutsche Bank A/C 324710</v>
      </c>
      <c r="F992">
        <f>FO_Capture!D992</f>
        <v>290</v>
      </c>
      <c r="G992">
        <f>FO_Capture!E992</f>
        <v>189.03999328613281</v>
      </c>
      <c r="H992">
        <f t="shared" si="30"/>
        <v>54821.598052978516</v>
      </c>
      <c r="I992" t="str">
        <f t="shared" si="31"/>
        <v>Pass - Ready for Confirmation</v>
      </c>
    </row>
    <row r="993" spans="1:9" x14ac:dyDescent="0.3">
      <c r="A993" t="str">
        <f>FO_Capture!A993</f>
        <v>TRD00992</v>
      </c>
      <c r="B993" t="str">
        <f>FO_Capture!B993</f>
        <v>INE002A0102</v>
      </c>
      <c r="C993" t="str">
        <f>IFERROR(VLOOKUP(FO_Capture!C993, Reference_Data!A:D, 2, FALSE), "UNKNOWN")</f>
        <v>Alpha Holdings 47</v>
      </c>
      <c r="D993" t="str">
        <f>IFERROR(VLOOKUP(FO_Capture!C993, Reference_Data!A:D, 3, FALSE), "XXX")</f>
        <v>GBP</v>
      </c>
      <c r="E993" t="str">
        <f>IFERROR(VLOOKUP(FO_Capture!C993, Reference_Data!A:D, 4, FALSE), "MISSING SSI")</f>
        <v>Citi A/C 703401</v>
      </c>
      <c r="F993">
        <f>FO_Capture!D993</f>
        <v>290</v>
      </c>
      <c r="G993">
        <f>FO_Capture!E993</f>
        <v>108.44000244140625</v>
      </c>
      <c r="H993">
        <f t="shared" si="30"/>
        <v>31447.600708007813</v>
      </c>
      <c r="I993" t="str">
        <f t="shared" si="31"/>
        <v>Pass - Ready for Confirmation</v>
      </c>
    </row>
    <row r="994" spans="1:9" x14ac:dyDescent="0.3">
      <c r="A994" t="str">
        <f>FO_Capture!A994</f>
        <v>TRD00993</v>
      </c>
      <c r="B994" t="str">
        <f>FO_Capture!B994</f>
        <v>INE004A01011</v>
      </c>
      <c r="C994" t="str">
        <f>IFERROR(VLOOKUP(FO_Capture!C994, Reference_Data!A:D, 2, FALSE), "UNKNOWN")</f>
        <v>Alpha Global 30</v>
      </c>
      <c r="D994" t="str">
        <f>IFERROR(VLOOKUP(FO_Capture!C994, Reference_Data!A:D, 3, FALSE), "XXX")</f>
        <v>JPY</v>
      </c>
      <c r="E994" t="str">
        <f>IFERROR(VLOOKUP(FO_Capture!C994, Reference_Data!A:D, 4, FALSE), "MISSING SSI")</f>
        <v>Deutsche Bank A/C 917262</v>
      </c>
      <c r="F994">
        <f>FO_Capture!D994</f>
        <v>30</v>
      </c>
      <c r="G994">
        <f>FO_Capture!E994</f>
        <v>209.30999755859375</v>
      </c>
      <c r="H994">
        <f t="shared" si="30"/>
        <v>6279.2999267578125</v>
      </c>
      <c r="I994" t="str">
        <f t="shared" si="31"/>
        <v>Pass - Ready for Confirmation</v>
      </c>
    </row>
    <row r="995" spans="1:9" x14ac:dyDescent="0.3">
      <c r="A995" t="str">
        <f>FO_Capture!A995</f>
        <v>TRD00994</v>
      </c>
      <c r="B995" t="str">
        <f>FO_Capture!B995</f>
        <v>INE005A01012</v>
      </c>
      <c r="C995" t="str">
        <f>IFERROR(VLOOKUP(FO_Capture!C995, Reference_Data!A:D, 2, FALSE), "UNKNOWN")</f>
        <v>Alpha Quant Fund 24</v>
      </c>
      <c r="D995" t="str">
        <f>IFERROR(VLOOKUP(FO_Capture!C995, Reference_Data!A:D, 3, FALSE), "XXX")</f>
        <v>SGD</v>
      </c>
      <c r="E995" t="str">
        <f>IFERROR(VLOOKUP(FO_Capture!C995, Reference_Data!A:D, 4, FALSE), "MISSING SSI")</f>
        <v>JPMorgan A/C 603587</v>
      </c>
      <c r="F995">
        <f>FO_Capture!D995</f>
        <v>320</v>
      </c>
      <c r="G995">
        <f>FO_Capture!E995</f>
        <v>215.52999877929688</v>
      </c>
      <c r="H995">
        <f t="shared" si="30"/>
        <v>68969.599609375</v>
      </c>
      <c r="I995" t="str">
        <f t="shared" si="31"/>
        <v>Pass - Ready for Confirmation</v>
      </c>
    </row>
    <row r="996" spans="1:9" x14ac:dyDescent="0.3">
      <c r="A996" t="str">
        <f>FO_Capture!A996</f>
        <v>TRD00995</v>
      </c>
      <c r="B996" t="str">
        <f>FO_Capture!B996</f>
        <v>INE006A0108</v>
      </c>
      <c r="C996" t="str">
        <f>IFERROR(VLOOKUP(FO_Capture!C996, Reference_Data!A:D, 2, FALSE), "UNKNOWN")</f>
        <v>Alpha Partners 42</v>
      </c>
      <c r="D996" t="str">
        <f>IFERROR(VLOOKUP(FO_Capture!C996, Reference_Data!A:D, 3, FALSE), "XXX")</f>
        <v>USD</v>
      </c>
      <c r="E996" t="str">
        <f>IFERROR(VLOOKUP(FO_Capture!C996, Reference_Data!A:D, 4, FALSE), "MISSING SSI")</f>
        <v>Citi A/C 416082</v>
      </c>
      <c r="F996">
        <f>FO_Capture!D996</f>
        <v>320</v>
      </c>
      <c r="G996">
        <f>FO_Capture!E996</f>
        <v>483.76998901367188</v>
      </c>
      <c r="H996">
        <f t="shared" si="30"/>
        <v>154806.396484375</v>
      </c>
      <c r="I996" t="str">
        <f t="shared" si="31"/>
        <v>Pass - Ready for Confirmation</v>
      </c>
    </row>
    <row r="997" spans="1:9" x14ac:dyDescent="0.3">
      <c r="A997" t="str">
        <f>FO_Capture!A997</f>
        <v>TRD00996</v>
      </c>
      <c r="B997" t="str">
        <f>FO_Capture!B997</f>
        <v>INE001A01042</v>
      </c>
      <c r="C997" t="str">
        <f>IFERROR(VLOOKUP(FO_Capture!C997, Reference_Data!A:D, 2, FALSE), "UNKNOWN")</f>
        <v>Alpha Holdings 23</v>
      </c>
      <c r="D997" t="str">
        <f>IFERROR(VLOOKUP(FO_Capture!C997, Reference_Data!A:D, 3, FALSE), "XXX")</f>
        <v>INR</v>
      </c>
      <c r="E997" t="str">
        <f>IFERROR(VLOOKUP(FO_Capture!C997, Reference_Data!A:D, 4, FALSE), "MISSING SSI")</f>
        <v>Deutsche Bank A/C 983712</v>
      </c>
      <c r="F997">
        <f>FO_Capture!D997</f>
        <v>180</v>
      </c>
      <c r="G997">
        <f>FO_Capture!E997</f>
        <v>253.55000305175781</v>
      </c>
      <c r="H997">
        <f t="shared" si="30"/>
        <v>45639.000549316406</v>
      </c>
      <c r="I997" t="str">
        <f t="shared" si="31"/>
        <v>Pass - Ready for Confirmation</v>
      </c>
    </row>
    <row r="998" spans="1:9" x14ac:dyDescent="0.3">
      <c r="A998" t="str">
        <f>FO_Capture!A998</f>
        <v>TRD00997</v>
      </c>
      <c r="B998" t="str">
        <f>FO_Capture!B998</f>
        <v>INE008A01044</v>
      </c>
      <c r="C998" t="str">
        <f>IFERROR(VLOOKUP(FO_Capture!C998, Reference_Data!A:D, 2, FALSE), "UNKNOWN")</f>
        <v>Alpha Partners 6</v>
      </c>
      <c r="D998" t="str">
        <f>IFERROR(VLOOKUP(FO_Capture!C998, Reference_Data!A:D, 3, FALSE), "XXX")</f>
        <v>INR</v>
      </c>
      <c r="E998" t="str">
        <f>IFERROR(VLOOKUP(FO_Capture!C998, Reference_Data!A:D, 4, FALSE), "MISSING SSI")</f>
        <v>Standard Chartered A/C 441247</v>
      </c>
      <c r="F998">
        <f>FO_Capture!D998</f>
        <v>360</v>
      </c>
      <c r="G998">
        <f>FO_Capture!E998</f>
        <v>397.17999267578125</v>
      </c>
      <c r="H998">
        <f t="shared" si="30"/>
        <v>142984.79736328125</v>
      </c>
      <c r="I998" t="str">
        <f t="shared" si="31"/>
        <v>Pass - Ready for Confirmation</v>
      </c>
    </row>
    <row r="999" spans="1:9" x14ac:dyDescent="0.3">
      <c r="A999" t="str">
        <f>FO_Capture!A999</f>
        <v>TRD00998</v>
      </c>
      <c r="B999" t="str">
        <f>FO_Capture!B999</f>
        <v>INE002A01084</v>
      </c>
      <c r="C999" t="str">
        <f>IFERROR(VLOOKUP(FO_Capture!C999, Reference_Data!A:D, 2, FALSE), "UNKNOWN")</f>
        <v>Alpha Capital 9</v>
      </c>
      <c r="D999" t="str">
        <f>IFERROR(VLOOKUP(FO_Capture!C999, Reference_Data!A:D, 3, FALSE), "XXX")</f>
        <v>JPY</v>
      </c>
      <c r="E999" t="str">
        <f>IFERROR(VLOOKUP(FO_Capture!C999, Reference_Data!A:D, 4, FALSE), "MISSING SSI")</f>
        <v>Citi A/C 744145</v>
      </c>
      <c r="F999">
        <f>FO_Capture!D999</f>
        <v>380</v>
      </c>
      <c r="G999">
        <f>FO_Capture!E999</f>
        <v>169.77999877929688</v>
      </c>
      <c r="H999">
        <f t="shared" si="30"/>
        <v>64516.399536132813</v>
      </c>
      <c r="I999" t="str">
        <f t="shared" si="31"/>
        <v>Pass - Ready for Confirmation</v>
      </c>
    </row>
    <row r="1000" spans="1:9" x14ac:dyDescent="0.3">
      <c r="A1000" t="str">
        <f>FO_Capture!A1000</f>
        <v>TRD00999</v>
      </c>
      <c r="B1000" t="str">
        <f>FO_Capture!B1000</f>
        <v>INE003A01023</v>
      </c>
      <c r="C1000" t="str">
        <f>IFERROR(VLOOKUP(FO_Capture!C1000, Reference_Data!A:D, 2, FALSE), "UNKNOWN")</f>
        <v>Alpha Holdings 47</v>
      </c>
      <c r="D1000" t="str">
        <f>IFERROR(VLOOKUP(FO_Capture!C1000, Reference_Data!A:D, 3, FALSE), "XXX")</f>
        <v>GBP</v>
      </c>
      <c r="E1000" t="str">
        <f>IFERROR(VLOOKUP(FO_Capture!C1000, Reference_Data!A:D, 4, FALSE), "MISSING SSI")</f>
        <v>Citi A/C 703401</v>
      </c>
      <c r="F1000">
        <f>FO_Capture!D1000</f>
        <v>500</v>
      </c>
      <c r="G1000">
        <f>FO_Capture!E1000</f>
        <v>459.29000854492188</v>
      </c>
      <c r="H1000">
        <f t="shared" si="30"/>
        <v>229645.00427246094</v>
      </c>
      <c r="I1000" t="str">
        <f t="shared" si="31"/>
        <v>Pass - Ready for Confirmation</v>
      </c>
    </row>
    <row r="1001" spans="1:9" x14ac:dyDescent="0.3">
      <c r="A1001" t="str">
        <f>FO_Capture!A1001</f>
        <v>TRD01000</v>
      </c>
      <c r="B1001" t="str">
        <f>FO_Capture!B1001</f>
        <v>INE001A01057</v>
      </c>
      <c r="C1001" t="str">
        <f>IFERROR(VLOOKUP(FO_Capture!C1001, Reference_Data!A:D, 2, FALSE), "UNKNOWN")</f>
        <v>Alpha Quant Fund 12</v>
      </c>
      <c r="D1001" t="str">
        <f>IFERROR(VLOOKUP(FO_Capture!C1001, Reference_Data!A:D, 3, FALSE), "XXX")</f>
        <v>EUR</v>
      </c>
      <c r="E1001" t="str">
        <f>IFERROR(VLOOKUP(FO_Capture!C1001, Reference_Data!A:D, 4, FALSE), "MISSING SSI")</f>
        <v>Deutsche Bank A/C 324710</v>
      </c>
      <c r="F1001">
        <f>FO_Capture!D1001</f>
        <v>60</v>
      </c>
      <c r="G1001">
        <f>FO_Capture!E1001</f>
        <v>36.479999542236328</v>
      </c>
      <c r="H1001">
        <f t="shared" si="30"/>
        <v>2188.7999725341797</v>
      </c>
      <c r="I1001" t="str">
        <f t="shared" si="31"/>
        <v>Pass - Ready for Confirmation</v>
      </c>
    </row>
    <row r="1002" spans="1:9" x14ac:dyDescent="0.3">
      <c r="A1002" t="str">
        <f>FO_Capture!A1002</f>
        <v>TRD01001</v>
      </c>
      <c r="B1002" t="str">
        <f>FO_Capture!B1002</f>
        <v>INE005A01075</v>
      </c>
      <c r="C1002" t="str">
        <f>IFERROR(VLOOKUP(FO_Capture!C1002, Reference_Data!A:D, 2, FALSE), "UNKNOWN")</f>
        <v>Alpha Partners 48</v>
      </c>
      <c r="D1002" t="str">
        <f>IFERROR(VLOOKUP(FO_Capture!C1002, Reference_Data!A:D, 3, FALSE), "XXX")</f>
        <v>SGD</v>
      </c>
      <c r="E1002" t="str">
        <f>IFERROR(VLOOKUP(FO_Capture!C1002, Reference_Data!A:D, 4, FALSE), "MISSING SSI")</f>
        <v>JPMorgan A/C 391364</v>
      </c>
      <c r="F1002">
        <f>FO_Capture!D1002</f>
        <v>170</v>
      </c>
      <c r="G1002">
        <f>FO_Capture!E1002</f>
        <v>304.8900146484375</v>
      </c>
      <c r="H1002">
        <f t="shared" si="30"/>
        <v>51831.302490234375</v>
      </c>
      <c r="I1002" t="str">
        <f t="shared" si="31"/>
        <v>Pass - Ready for Confirmation</v>
      </c>
    </row>
    <row r="1003" spans="1:9" x14ac:dyDescent="0.3">
      <c r="A1003" t="str">
        <f>FO_Capture!A1003</f>
        <v>TRD01002</v>
      </c>
      <c r="B1003" t="str">
        <f>FO_Capture!B1003</f>
        <v>INE007A0103</v>
      </c>
      <c r="C1003" t="str">
        <f>IFERROR(VLOOKUP(FO_Capture!C1003, Reference_Data!A:D, 2, FALSE), "UNKNOWN")</f>
        <v>Alpha Quant Fund 24</v>
      </c>
      <c r="D1003" t="str">
        <f>IFERROR(VLOOKUP(FO_Capture!C1003, Reference_Data!A:D, 3, FALSE), "XXX")</f>
        <v>SGD</v>
      </c>
      <c r="E1003" t="str">
        <f>IFERROR(VLOOKUP(FO_Capture!C1003, Reference_Data!A:D, 4, FALSE), "MISSING SSI")</f>
        <v>JPMorgan A/C 603587</v>
      </c>
      <c r="F1003">
        <f>FO_Capture!D1003</f>
        <v>490</v>
      </c>
      <c r="G1003">
        <f>FO_Capture!E1003</f>
        <v>50.909999847412109</v>
      </c>
      <c r="H1003">
        <f t="shared" si="30"/>
        <v>24945.899925231934</v>
      </c>
      <c r="I1003" t="str">
        <f t="shared" si="31"/>
        <v>Pass - Ready for Confirmation</v>
      </c>
    </row>
    <row r="1004" spans="1:9" x14ac:dyDescent="0.3">
      <c r="A1004" t="str">
        <f>FO_Capture!A1004</f>
        <v>TRD01003</v>
      </c>
      <c r="B1004" t="str">
        <f>FO_Capture!B1004</f>
        <v>INE005A01056</v>
      </c>
      <c r="C1004" t="str">
        <f>IFERROR(VLOOKUP(FO_Capture!C1004, Reference_Data!A:D, 2, FALSE), "UNKNOWN")</f>
        <v>Alpha Capital 9</v>
      </c>
      <c r="D1004" t="str">
        <f>IFERROR(VLOOKUP(FO_Capture!C1004, Reference_Data!A:D, 3, FALSE), "XXX")</f>
        <v>JPY</v>
      </c>
      <c r="E1004" t="str">
        <f>IFERROR(VLOOKUP(FO_Capture!C1004, Reference_Data!A:D, 4, FALSE), "MISSING SSI")</f>
        <v>Citi A/C 744145</v>
      </c>
      <c r="F1004">
        <f>FO_Capture!D1004</f>
        <v>470</v>
      </c>
      <c r="G1004">
        <f>FO_Capture!E1004</f>
        <v>193.72999572753906</v>
      </c>
      <c r="H1004">
        <f t="shared" si="30"/>
        <v>91053.097991943359</v>
      </c>
      <c r="I1004" t="str">
        <f t="shared" si="31"/>
        <v>Pass - Ready for Confirmation</v>
      </c>
    </row>
    <row r="1005" spans="1:9" x14ac:dyDescent="0.3">
      <c r="A1005" t="str">
        <f>FO_Capture!A1005</f>
        <v>TRD01004</v>
      </c>
      <c r="B1005" t="str">
        <f>FO_Capture!B1005</f>
        <v>INE008A01089</v>
      </c>
      <c r="C1005" t="str">
        <f>IFERROR(VLOOKUP(FO_Capture!C1005, Reference_Data!A:D, 2, FALSE), "UNKNOWN")</f>
        <v>Alpha Holdings 49</v>
      </c>
      <c r="D1005" t="str">
        <f>IFERROR(VLOOKUP(FO_Capture!C1005, Reference_Data!A:D, 3, FALSE), "XXX")</f>
        <v>JPY</v>
      </c>
      <c r="E1005" t="str">
        <f>IFERROR(VLOOKUP(FO_Capture!C1005, Reference_Data!A:D, 4, FALSE), "MISSING SSI")</f>
        <v>HDFC A/C 679335</v>
      </c>
      <c r="F1005">
        <f>FO_Capture!D1005</f>
        <v>70</v>
      </c>
      <c r="G1005">
        <f>FO_Capture!E1005</f>
        <v>35.340000152587891</v>
      </c>
      <c r="H1005">
        <f t="shared" si="30"/>
        <v>2473.8000106811523</v>
      </c>
      <c r="I1005" t="str">
        <f t="shared" si="31"/>
        <v>Pass - Ready for Confirmation</v>
      </c>
    </row>
    <row r="1006" spans="1:9" x14ac:dyDescent="0.3">
      <c r="A1006" t="str">
        <f>FO_Capture!A1006</f>
        <v>TRD01005</v>
      </c>
      <c r="B1006" t="str">
        <f>FO_Capture!B1006</f>
        <v>INE003A01046</v>
      </c>
      <c r="C1006" t="str">
        <f>IFERROR(VLOOKUP(FO_Capture!C1006, Reference_Data!A:D, 2, FALSE), "UNKNOWN")</f>
        <v>Alpha Investments 40</v>
      </c>
      <c r="D1006" t="str">
        <f>IFERROR(VLOOKUP(FO_Capture!C1006, Reference_Data!A:D, 3, FALSE), "XXX")</f>
        <v>GBP</v>
      </c>
      <c r="E1006" t="str">
        <f>IFERROR(VLOOKUP(FO_Capture!C1006, Reference_Data!A:D, 4, FALSE), "MISSING SSI")</f>
        <v>HDFC A/C 897530</v>
      </c>
      <c r="F1006">
        <f>FO_Capture!D1006</f>
        <v>90</v>
      </c>
      <c r="G1006">
        <f>FO_Capture!E1006</f>
        <v>10.569999694824219</v>
      </c>
      <c r="H1006">
        <f t="shared" si="30"/>
        <v>951.29997253417969</v>
      </c>
      <c r="I1006" t="str">
        <f t="shared" si="31"/>
        <v>Pass - Ready for Confirmation</v>
      </c>
    </row>
    <row r="1007" spans="1:9" x14ac:dyDescent="0.3">
      <c r="A1007" t="str">
        <f>FO_Capture!A1007</f>
        <v>TRD01006</v>
      </c>
      <c r="B1007" t="str">
        <f>FO_Capture!B1007</f>
        <v>INE008A0108</v>
      </c>
      <c r="C1007" t="str">
        <f>IFERROR(VLOOKUP(FO_Capture!C1007, Reference_Data!A:D, 2, FALSE), "UNKNOWN")</f>
        <v>Alpha Partners 3</v>
      </c>
      <c r="D1007" t="str">
        <f>IFERROR(VLOOKUP(FO_Capture!C1007, Reference_Data!A:D, 3, FALSE), "XXX")</f>
        <v>USD</v>
      </c>
      <c r="E1007" t="str">
        <f>IFERROR(VLOOKUP(FO_Capture!C1007, Reference_Data!A:D, 4, FALSE), "MISSING SSI")</f>
        <v>Citi A/C 508769</v>
      </c>
      <c r="F1007">
        <f>FO_Capture!D1007</f>
        <v>320</v>
      </c>
      <c r="G1007">
        <f>FO_Capture!E1007</f>
        <v>437.04998779296875</v>
      </c>
      <c r="H1007">
        <f t="shared" si="30"/>
        <v>139855.99609375</v>
      </c>
      <c r="I1007" t="str">
        <f t="shared" si="31"/>
        <v>Pass - Ready for Confirmation</v>
      </c>
    </row>
    <row r="1008" spans="1:9" x14ac:dyDescent="0.3">
      <c r="A1008" t="str">
        <f>FO_Capture!A1008</f>
        <v>TRD01007</v>
      </c>
      <c r="B1008" t="str">
        <f>FO_Capture!B1008</f>
        <v>INE001A01048</v>
      </c>
      <c r="C1008" t="str">
        <f>IFERROR(VLOOKUP(FO_Capture!C1008, Reference_Data!A:D, 2, FALSE), "UNKNOWN")</f>
        <v>UNKNOWN</v>
      </c>
      <c r="D1008" t="str">
        <f>IFERROR(VLOOKUP(FO_Capture!C1008, Reference_Data!A:D, 3, FALSE), "XXX")</f>
        <v>XXX</v>
      </c>
      <c r="E1008" t="str">
        <f>IFERROR(VLOOKUP(FO_Capture!C1008, Reference_Data!A:D, 4, FALSE), "MISSING SSI")</f>
        <v>MISSING SSI</v>
      </c>
      <c r="F1008">
        <f>FO_Capture!D1008</f>
        <v>120</v>
      </c>
      <c r="G1008">
        <f>FO_Capture!E1008</f>
        <v>370.22000122070313</v>
      </c>
      <c r="H1008">
        <f t="shared" si="30"/>
        <v>44426.400146484375</v>
      </c>
      <c r="I1008" t="str">
        <f t="shared" si="31"/>
        <v>Fail - Missing Ref Data</v>
      </c>
    </row>
    <row r="1009" spans="1:9" x14ac:dyDescent="0.3">
      <c r="A1009" t="str">
        <f>FO_Capture!A1009</f>
        <v>TRD01008</v>
      </c>
      <c r="B1009" t="str">
        <f>FO_Capture!B1009</f>
        <v>INE005A01076</v>
      </c>
      <c r="C1009" t="str">
        <f>IFERROR(VLOOKUP(FO_Capture!C1009, Reference_Data!A:D, 2, FALSE), "UNKNOWN")</f>
        <v>Alpha Investments 15</v>
      </c>
      <c r="D1009" t="str">
        <f>IFERROR(VLOOKUP(FO_Capture!C1009, Reference_Data!A:D, 3, FALSE), "XXX")</f>
        <v>INR</v>
      </c>
      <c r="E1009" t="str">
        <f>IFERROR(VLOOKUP(FO_Capture!C1009, Reference_Data!A:D, 4, FALSE), "MISSING SSI")</f>
        <v>Deutsche Bank A/C 330518</v>
      </c>
      <c r="F1009">
        <f>FO_Capture!D1009</f>
        <v>470</v>
      </c>
      <c r="G1009">
        <f>FO_Capture!E1009</f>
        <v>372.70999145507813</v>
      </c>
      <c r="H1009">
        <f t="shared" si="30"/>
        <v>175173.69598388672</v>
      </c>
      <c r="I1009" t="str">
        <f t="shared" si="31"/>
        <v>Pass - Ready for Confirmation</v>
      </c>
    </row>
    <row r="1010" spans="1:9" x14ac:dyDescent="0.3">
      <c r="A1010" t="str">
        <f>FO_Capture!A1010</f>
        <v>TRD01009</v>
      </c>
      <c r="B1010" t="str">
        <f>FO_Capture!B1010</f>
        <v>INE006A01046</v>
      </c>
      <c r="C1010" t="str">
        <f>IFERROR(VLOOKUP(FO_Capture!C1010, Reference_Data!A:D, 2, FALSE), "UNKNOWN")</f>
        <v>Alpha Holdings 23</v>
      </c>
      <c r="D1010" t="str">
        <f>IFERROR(VLOOKUP(FO_Capture!C1010, Reference_Data!A:D, 3, FALSE), "XXX")</f>
        <v>INR</v>
      </c>
      <c r="E1010" t="str">
        <f>IFERROR(VLOOKUP(FO_Capture!C1010, Reference_Data!A:D, 4, FALSE), "MISSING SSI")</f>
        <v>Deutsche Bank A/C 983712</v>
      </c>
      <c r="F1010">
        <f>FO_Capture!D1010</f>
        <v>320</v>
      </c>
      <c r="G1010">
        <f>FO_Capture!E1010</f>
        <v>258.73001098632813</v>
      </c>
      <c r="H1010">
        <f t="shared" si="30"/>
        <v>82793.603515625</v>
      </c>
      <c r="I1010" t="str">
        <f t="shared" si="31"/>
        <v>Pass - Ready for Confirmation</v>
      </c>
    </row>
    <row r="1011" spans="1:9" x14ac:dyDescent="0.3">
      <c r="A1011" t="str">
        <f>FO_Capture!A1011</f>
        <v>TRD01010</v>
      </c>
      <c r="B1011" t="str">
        <f>FO_Capture!B1011</f>
        <v>INE002A01084</v>
      </c>
      <c r="C1011" t="str">
        <f>IFERROR(VLOOKUP(FO_Capture!C1011, Reference_Data!A:D, 2, FALSE), "UNKNOWN")</f>
        <v>Alpha Holdings 41</v>
      </c>
      <c r="D1011" t="str">
        <f>IFERROR(VLOOKUP(FO_Capture!C1011, Reference_Data!A:D, 3, FALSE), "XXX")</f>
        <v>JPY</v>
      </c>
      <c r="E1011" t="str">
        <f>IFERROR(VLOOKUP(FO_Capture!C1011, Reference_Data!A:D, 4, FALSE), "MISSING SSI")</f>
        <v>HSBC A/C 468615</v>
      </c>
      <c r="F1011">
        <f>FO_Capture!D1011</f>
        <v>440</v>
      </c>
      <c r="G1011">
        <f>FO_Capture!E1011</f>
        <v>495.29998779296875</v>
      </c>
      <c r="H1011">
        <f t="shared" si="30"/>
        <v>217931.99462890625</v>
      </c>
      <c r="I1011" t="str">
        <f t="shared" si="31"/>
        <v>Pass - Ready for Confirmation</v>
      </c>
    </row>
    <row r="1012" spans="1:9" x14ac:dyDescent="0.3">
      <c r="A1012" t="str">
        <f>FO_Capture!A1012</f>
        <v>TRD01011</v>
      </c>
      <c r="B1012" t="str">
        <f>FO_Capture!B1012</f>
        <v>INE008A01032</v>
      </c>
      <c r="C1012" t="str">
        <f>IFERROR(VLOOKUP(FO_Capture!C1012, Reference_Data!A:D, 2, FALSE), "UNKNOWN")</f>
        <v>Alpha Global 2</v>
      </c>
      <c r="D1012" t="str">
        <f>IFERROR(VLOOKUP(FO_Capture!C1012, Reference_Data!A:D, 3, FALSE), "XXX")</f>
        <v>GBP</v>
      </c>
      <c r="E1012" t="str">
        <f>IFERROR(VLOOKUP(FO_Capture!C1012, Reference_Data!A:D, 4, FALSE), "MISSING SSI")</f>
        <v>JPMorgan A/C 582379</v>
      </c>
      <c r="F1012">
        <f>FO_Capture!D1012</f>
        <v>140</v>
      </c>
      <c r="G1012">
        <f>FO_Capture!E1012</f>
        <v>338.54998779296875</v>
      </c>
      <c r="H1012">
        <f t="shared" si="30"/>
        <v>47396.998291015625</v>
      </c>
      <c r="I1012" t="str">
        <f t="shared" si="31"/>
        <v>Pass - Ready for Confirmation</v>
      </c>
    </row>
    <row r="1013" spans="1:9" x14ac:dyDescent="0.3">
      <c r="A1013" t="str">
        <f>FO_Capture!A1013</f>
        <v>TRD01012</v>
      </c>
      <c r="B1013" t="str">
        <f>FO_Capture!B1013</f>
        <v>INE005A01049</v>
      </c>
      <c r="C1013" t="str">
        <f>IFERROR(VLOOKUP(FO_Capture!C1013, Reference_Data!A:D, 2, FALSE), "UNKNOWN")</f>
        <v>Alpha Investments 29</v>
      </c>
      <c r="D1013" t="str">
        <f>IFERROR(VLOOKUP(FO_Capture!C1013, Reference_Data!A:D, 3, FALSE), "XXX")</f>
        <v>INR</v>
      </c>
      <c r="E1013" t="str">
        <f>IFERROR(VLOOKUP(FO_Capture!C1013, Reference_Data!A:D, 4, FALSE), "MISSING SSI")</f>
        <v>HSBC A/C 785870</v>
      </c>
      <c r="F1013">
        <f>FO_Capture!D1013</f>
        <v>90</v>
      </c>
      <c r="G1013">
        <f>FO_Capture!E1013</f>
        <v>83.620002746582031</v>
      </c>
      <c r="H1013">
        <f t="shared" si="30"/>
        <v>7525.8002471923828</v>
      </c>
      <c r="I1013" t="str">
        <f t="shared" si="31"/>
        <v>Pass - Ready for Confirmation</v>
      </c>
    </row>
    <row r="1014" spans="1:9" x14ac:dyDescent="0.3">
      <c r="A1014" t="str">
        <f>FO_Capture!A1014</f>
        <v>TRD01013</v>
      </c>
      <c r="B1014" t="str">
        <f>FO_Capture!B1014</f>
        <v>INE009A01068</v>
      </c>
      <c r="C1014" t="str">
        <f>IFERROR(VLOOKUP(FO_Capture!C1014, Reference_Data!A:D, 2, FALSE), "UNKNOWN")</f>
        <v>Alpha Investments 15</v>
      </c>
      <c r="D1014" t="str">
        <f>IFERROR(VLOOKUP(FO_Capture!C1014, Reference_Data!A:D, 3, FALSE), "XXX")</f>
        <v>INR</v>
      </c>
      <c r="E1014" t="str">
        <f>IFERROR(VLOOKUP(FO_Capture!C1014, Reference_Data!A:D, 4, FALSE), "MISSING SSI")</f>
        <v>Deutsche Bank A/C 330518</v>
      </c>
      <c r="F1014">
        <f>FO_Capture!D1014</f>
        <v>500</v>
      </c>
      <c r="G1014">
        <f>FO_Capture!E1014</f>
        <v>314.760009765625</v>
      </c>
      <c r="H1014">
        <f t="shared" si="30"/>
        <v>157380.0048828125</v>
      </c>
      <c r="I1014" t="str">
        <f t="shared" si="31"/>
        <v>Pass - Ready for Confirmation</v>
      </c>
    </row>
    <row r="1015" spans="1:9" x14ac:dyDescent="0.3">
      <c r="A1015" t="str">
        <f>FO_Capture!A1015</f>
        <v>TRD01014</v>
      </c>
      <c r="B1015" t="str">
        <f>FO_Capture!B1015</f>
        <v>INE003A01040</v>
      </c>
      <c r="C1015" t="str">
        <f>IFERROR(VLOOKUP(FO_Capture!C1015, Reference_Data!A:D, 2, FALSE), "UNKNOWN")</f>
        <v>Alpha Holdings 41</v>
      </c>
      <c r="D1015" t="str">
        <f>IFERROR(VLOOKUP(FO_Capture!C1015, Reference_Data!A:D, 3, FALSE), "XXX")</f>
        <v>JPY</v>
      </c>
      <c r="E1015" t="str">
        <f>IFERROR(VLOOKUP(FO_Capture!C1015, Reference_Data!A:D, 4, FALSE), "MISSING SSI")</f>
        <v>HSBC A/C 468615</v>
      </c>
      <c r="F1015">
        <f>FO_Capture!D1015</f>
        <v>430</v>
      </c>
      <c r="G1015">
        <f>FO_Capture!E1015</f>
        <v>155.25</v>
      </c>
      <c r="H1015">
        <f t="shared" si="30"/>
        <v>66757.5</v>
      </c>
      <c r="I1015" t="str">
        <f t="shared" si="31"/>
        <v>Pass - Ready for Confirmation</v>
      </c>
    </row>
    <row r="1016" spans="1:9" x14ac:dyDescent="0.3">
      <c r="A1016" t="str">
        <f>FO_Capture!A1016</f>
        <v>TRD01015</v>
      </c>
      <c r="B1016" t="str">
        <f>FO_Capture!B1016</f>
        <v>INE001A01087</v>
      </c>
      <c r="C1016" t="str">
        <f>IFERROR(VLOOKUP(FO_Capture!C1016, Reference_Data!A:D, 2, FALSE), "UNKNOWN")</f>
        <v>Alpha Asset Management 5</v>
      </c>
      <c r="D1016" t="str">
        <f>IFERROR(VLOOKUP(FO_Capture!C1016, Reference_Data!A:D, 3, FALSE), "XXX")</f>
        <v>INR</v>
      </c>
      <c r="E1016" t="str">
        <f>IFERROR(VLOOKUP(FO_Capture!C1016, Reference_Data!A:D, 4, FALSE), "MISSING SSI")</f>
        <v>JPMorgan A/C 860462</v>
      </c>
      <c r="F1016">
        <f>FO_Capture!D1016</f>
        <v>470</v>
      </c>
      <c r="G1016">
        <f>FO_Capture!E1016</f>
        <v>17.440000534057617</v>
      </c>
      <c r="H1016">
        <f t="shared" si="30"/>
        <v>8196.8002510070801</v>
      </c>
      <c r="I1016" t="str">
        <f t="shared" si="31"/>
        <v>Pass - Ready for Confirmation</v>
      </c>
    </row>
    <row r="1017" spans="1:9" x14ac:dyDescent="0.3">
      <c r="A1017" t="str">
        <f>FO_Capture!A1017</f>
        <v>TRD01016</v>
      </c>
      <c r="B1017" t="str">
        <f>FO_Capture!B1017</f>
        <v>INE004A01051</v>
      </c>
      <c r="C1017" t="str">
        <f>IFERROR(VLOOKUP(FO_Capture!C1017, Reference_Data!A:D, 2, FALSE), "UNKNOWN")</f>
        <v>Alpha Holdings 49</v>
      </c>
      <c r="D1017" t="str">
        <f>IFERROR(VLOOKUP(FO_Capture!C1017, Reference_Data!A:D, 3, FALSE), "XXX")</f>
        <v>JPY</v>
      </c>
      <c r="E1017" t="str">
        <f>IFERROR(VLOOKUP(FO_Capture!C1017, Reference_Data!A:D, 4, FALSE), "MISSING SSI")</f>
        <v>HDFC A/C 679335</v>
      </c>
      <c r="F1017">
        <f>FO_Capture!D1017</f>
        <v>60</v>
      </c>
      <c r="G1017">
        <f>FO_Capture!E1017</f>
        <v>352.760009765625</v>
      </c>
      <c r="H1017">
        <f t="shared" si="30"/>
        <v>21165.6005859375</v>
      </c>
      <c r="I1017" t="str">
        <f t="shared" si="31"/>
        <v>Pass - Ready for Confirmation</v>
      </c>
    </row>
    <row r="1018" spans="1:9" x14ac:dyDescent="0.3">
      <c r="A1018" t="str">
        <f>FO_Capture!A1018</f>
        <v>TRD01017</v>
      </c>
      <c r="B1018" t="str">
        <f>FO_Capture!B1018</f>
        <v>INE002A01045</v>
      </c>
      <c r="C1018" t="str">
        <f>IFERROR(VLOOKUP(FO_Capture!C1018, Reference_Data!A:D, 2, FALSE), "UNKNOWN")</f>
        <v>Alpha Global 28</v>
      </c>
      <c r="D1018" t="str">
        <f>IFERROR(VLOOKUP(FO_Capture!C1018, Reference_Data!A:D, 3, FALSE), "XXX")</f>
        <v>USD</v>
      </c>
      <c r="E1018" t="str">
        <f>IFERROR(VLOOKUP(FO_Capture!C1018, Reference_Data!A:D, 4, FALSE), "MISSING SSI")</f>
        <v>HDFC A/C 638209</v>
      </c>
      <c r="F1018">
        <f>FO_Capture!D1018</f>
        <v>220</v>
      </c>
      <c r="G1018">
        <f>FO_Capture!E1018</f>
        <v>401.67001342773438</v>
      </c>
      <c r="H1018">
        <f t="shared" si="30"/>
        <v>88367.402954101563</v>
      </c>
      <c r="I1018" t="str">
        <f t="shared" si="31"/>
        <v>Pass - Ready for Confirmation</v>
      </c>
    </row>
    <row r="1019" spans="1:9" x14ac:dyDescent="0.3">
      <c r="A1019" t="str">
        <f>FO_Capture!A1019</f>
        <v>TRD01018</v>
      </c>
      <c r="B1019" t="str">
        <f>FO_Capture!B1019</f>
        <v>INE004A0102</v>
      </c>
      <c r="C1019" t="str">
        <f>IFERROR(VLOOKUP(FO_Capture!C1019, Reference_Data!A:D, 2, FALSE), "UNKNOWN")</f>
        <v>Alpha Investments 40</v>
      </c>
      <c r="D1019" t="str">
        <f>IFERROR(VLOOKUP(FO_Capture!C1019, Reference_Data!A:D, 3, FALSE), "XXX")</f>
        <v>GBP</v>
      </c>
      <c r="E1019" t="str">
        <f>IFERROR(VLOOKUP(FO_Capture!C1019, Reference_Data!A:D, 4, FALSE), "MISSING SSI")</f>
        <v>HDFC A/C 897530</v>
      </c>
      <c r="F1019">
        <f>FO_Capture!D1019</f>
        <v>250</v>
      </c>
      <c r="G1019">
        <f>FO_Capture!E1019</f>
        <v>443.73001098632813</v>
      </c>
      <c r="H1019">
        <f t="shared" si="30"/>
        <v>110932.50274658203</v>
      </c>
      <c r="I1019" t="str">
        <f t="shared" si="31"/>
        <v>Pass - Ready for Confirmation</v>
      </c>
    </row>
    <row r="1020" spans="1:9" x14ac:dyDescent="0.3">
      <c r="A1020" t="str">
        <f>FO_Capture!A1020</f>
        <v>TRD01019</v>
      </c>
      <c r="B1020" t="str">
        <f>FO_Capture!B1020</f>
        <v>INE008A01024</v>
      </c>
      <c r="C1020" t="str">
        <f>IFERROR(VLOOKUP(FO_Capture!C1020, Reference_Data!A:D, 2, FALSE), "UNKNOWN")</f>
        <v>Alpha Quant Fund 50</v>
      </c>
      <c r="D1020" t="str">
        <f>IFERROR(VLOOKUP(FO_Capture!C1020, Reference_Data!A:D, 3, FALSE), "XXX")</f>
        <v>SGD</v>
      </c>
      <c r="E1020" t="str">
        <f>IFERROR(VLOOKUP(FO_Capture!C1020, Reference_Data!A:D, 4, FALSE), "MISSING SSI")</f>
        <v>Standard Chartered A/C 307017</v>
      </c>
      <c r="F1020">
        <f>FO_Capture!D1020</f>
        <v>50</v>
      </c>
      <c r="G1020">
        <f>FO_Capture!E1020</f>
        <v>47.529998779296875</v>
      </c>
      <c r="H1020">
        <f t="shared" si="30"/>
        <v>2376.4999389648438</v>
      </c>
      <c r="I1020" t="str">
        <f t="shared" si="31"/>
        <v>Pass - Ready for Confirmation</v>
      </c>
    </row>
    <row r="1021" spans="1:9" x14ac:dyDescent="0.3">
      <c r="A1021" t="str">
        <f>FO_Capture!A1021</f>
        <v>TRD01020</v>
      </c>
      <c r="B1021" t="str">
        <f>FO_Capture!B1021</f>
        <v>INE005A01036</v>
      </c>
      <c r="C1021" t="str">
        <f>IFERROR(VLOOKUP(FO_Capture!C1021, Reference_Data!A:D, 2, FALSE), "UNKNOWN")</f>
        <v>Alpha Global 14</v>
      </c>
      <c r="D1021" t="str">
        <f>IFERROR(VLOOKUP(FO_Capture!C1021, Reference_Data!A:D, 3, FALSE), "XXX")</f>
        <v>USD</v>
      </c>
      <c r="E1021" t="str">
        <f>IFERROR(VLOOKUP(FO_Capture!C1021, Reference_Data!A:D, 4, FALSE), "MISSING SSI")</f>
        <v>HSBC A/C 864249</v>
      </c>
      <c r="F1021">
        <f>FO_Capture!D1021</f>
        <v>350</v>
      </c>
      <c r="G1021">
        <f>FO_Capture!E1021</f>
        <v>320.75</v>
      </c>
      <c r="H1021">
        <f t="shared" si="30"/>
        <v>112262.5</v>
      </c>
      <c r="I1021" t="str">
        <f t="shared" si="31"/>
        <v>Pass - Ready for Confirmation</v>
      </c>
    </row>
    <row r="1022" spans="1:9" x14ac:dyDescent="0.3">
      <c r="A1022" t="str">
        <f>FO_Capture!A1022</f>
        <v>TRD01021</v>
      </c>
      <c r="B1022" t="str">
        <f>FO_Capture!B1022</f>
        <v>INE005A01030</v>
      </c>
      <c r="C1022" t="str">
        <f>IFERROR(VLOOKUP(FO_Capture!C1022, Reference_Data!A:D, 2, FALSE), "UNKNOWN")</f>
        <v>Alpha Global 2</v>
      </c>
      <c r="D1022" t="str">
        <f>IFERROR(VLOOKUP(FO_Capture!C1022, Reference_Data!A:D, 3, FALSE), "XXX")</f>
        <v>GBP</v>
      </c>
      <c r="E1022" t="str">
        <f>IFERROR(VLOOKUP(FO_Capture!C1022, Reference_Data!A:D, 4, FALSE), "MISSING SSI")</f>
        <v>JPMorgan A/C 582379</v>
      </c>
      <c r="F1022">
        <f>FO_Capture!D1022</f>
        <v>410</v>
      </c>
      <c r="G1022">
        <f>FO_Capture!E1022</f>
        <v>160.10000610351563</v>
      </c>
      <c r="H1022">
        <f t="shared" si="30"/>
        <v>65641.002502441406</v>
      </c>
      <c r="I1022" t="str">
        <f t="shared" si="31"/>
        <v>Pass - Ready for Confirmation</v>
      </c>
    </row>
    <row r="1023" spans="1:9" x14ac:dyDescent="0.3">
      <c r="A1023" t="str">
        <f>FO_Capture!A1023</f>
        <v>TRD01022</v>
      </c>
      <c r="B1023" t="str">
        <f>FO_Capture!B1023</f>
        <v>INE007A01022</v>
      </c>
      <c r="C1023" t="str">
        <f>IFERROR(VLOOKUP(FO_Capture!C1023, Reference_Data!A:D, 2, FALSE), "UNKNOWN")</f>
        <v>Alpha Investments 29</v>
      </c>
      <c r="D1023" t="str">
        <f>IFERROR(VLOOKUP(FO_Capture!C1023, Reference_Data!A:D, 3, FALSE), "XXX")</f>
        <v>INR</v>
      </c>
      <c r="E1023" t="str">
        <f>IFERROR(VLOOKUP(FO_Capture!C1023, Reference_Data!A:D, 4, FALSE), "MISSING SSI")</f>
        <v>HSBC A/C 785870</v>
      </c>
      <c r="F1023">
        <f>FO_Capture!D1023</f>
        <v>360</v>
      </c>
      <c r="G1023">
        <f>FO_Capture!E1023</f>
        <v>501.3800048828125</v>
      </c>
      <c r="H1023">
        <f t="shared" si="30"/>
        <v>180496.8017578125</v>
      </c>
      <c r="I1023" t="str">
        <f t="shared" si="31"/>
        <v>Pass - Ready for Confirmation</v>
      </c>
    </row>
    <row r="1024" spans="1:9" x14ac:dyDescent="0.3">
      <c r="A1024" t="str">
        <f>FO_Capture!A1024</f>
        <v>TRD01023</v>
      </c>
      <c r="B1024" t="str">
        <f>FO_Capture!B1024</f>
        <v>INE002A01095</v>
      </c>
      <c r="C1024" t="str">
        <f>IFERROR(VLOOKUP(FO_Capture!C1024, Reference_Data!A:D, 2, FALSE), "UNKNOWN")</f>
        <v>Alpha Partners 26</v>
      </c>
      <c r="D1024" t="str">
        <f>IFERROR(VLOOKUP(FO_Capture!C1024, Reference_Data!A:D, 3, FALSE), "XXX")</f>
        <v>USD</v>
      </c>
      <c r="E1024" t="str">
        <f>IFERROR(VLOOKUP(FO_Capture!C1024, Reference_Data!A:D, 4, FALSE), "MISSING SSI")</f>
        <v>HSBC A/C 867781</v>
      </c>
      <c r="F1024">
        <f>FO_Capture!D1024</f>
        <v>350</v>
      </c>
      <c r="G1024">
        <f>FO_Capture!E1024</f>
        <v>69.449996948242188</v>
      </c>
      <c r="H1024">
        <f t="shared" si="30"/>
        <v>24307.498931884766</v>
      </c>
      <c r="I1024" t="str">
        <f t="shared" si="31"/>
        <v>Pass - Ready for Confirmation</v>
      </c>
    </row>
    <row r="1025" spans="1:9" x14ac:dyDescent="0.3">
      <c r="A1025" t="str">
        <f>FO_Capture!A1025</f>
        <v>TRD01024</v>
      </c>
      <c r="B1025" t="str">
        <f>FO_Capture!B1025</f>
        <v>INE009A01055</v>
      </c>
      <c r="C1025" t="str">
        <f>IFERROR(VLOOKUP(FO_Capture!C1025, Reference_Data!A:D, 2, FALSE), "UNKNOWN")</f>
        <v>Alpha Quant Fund 12</v>
      </c>
      <c r="D1025" t="str">
        <f>IFERROR(VLOOKUP(FO_Capture!C1025, Reference_Data!A:D, 3, FALSE), "XXX")</f>
        <v>EUR</v>
      </c>
      <c r="E1025" t="str">
        <f>IFERROR(VLOOKUP(FO_Capture!C1025, Reference_Data!A:D, 4, FALSE), "MISSING SSI")</f>
        <v>Deutsche Bank A/C 324710</v>
      </c>
      <c r="F1025">
        <f>FO_Capture!D1025</f>
        <v>390</v>
      </c>
      <c r="G1025">
        <f>FO_Capture!E1025</f>
        <v>128.21000671386719</v>
      </c>
      <c r="H1025">
        <f t="shared" si="30"/>
        <v>50001.902618408203</v>
      </c>
      <c r="I1025" t="str">
        <f t="shared" si="31"/>
        <v>Pass - Ready for Confirmation</v>
      </c>
    </row>
    <row r="1026" spans="1:9" x14ac:dyDescent="0.3">
      <c r="A1026" t="str">
        <f>FO_Capture!A1026</f>
        <v>TRD01025</v>
      </c>
      <c r="B1026" t="str">
        <f>FO_Capture!B1026</f>
        <v>INE009A01076</v>
      </c>
      <c r="C1026" t="str">
        <f>IFERROR(VLOOKUP(FO_Capture!C1026, Reference_Data!A:D, 2, FALSE), "UNKNOWN")</f>
        <v>UNKNOWN</v>
      </c>
      <c r="D1026" t="str">
        <f>IFERROR(VLOOKUP(FO_Capture!C1026, Reference_Data!A:D, 3, FALSE), "XXX")</f>
        <v>XXX</v>
      </c>
      <c r="E1026" t="str">
        <f>IFERROR(VLOOKUP(FO_Capture!C1026, Reference_Data!A:D, 4, FALSE), "MISSING SSI")</f>
        <v>MISSING SSI</v>
      </c>
      <c r="F1026">
        <f>FO_Capture!D1026</f>
        <v>440</v>
      </c>
      <c r="G1026">
        <f>FO_Capture!E1026</f>
        <v>52.560001373291016</v>
      </c>
      <c r="H1026">
        <f t="shared" si="30"/>
        <v>23126.400604248047</v>
      </c>
      <c r="I1026" t="str">
        <f t="shared" si="31"/>
        <v>Fail - Missing Ref Data</v>
      </c>
    </row>
    <row r="1027" spans="1:9" x14ac:dyDescent="0.3">
      <c r="A1027" t="str">
        <f>FO_Capture!A1027</f>
        <v>TRD01026</v>
      </c>
      <c r="B1027" t="str">
        <f>FO_Capture!B1027</f>
        <v>INE004A01046</v>
      </c>
      <c r="C1027" t="str">
        <f>IFERROR(VLOOKUP(FO_Capture!C1027, Reference_Data!A:D, 2, FALSE), "UNKNOWN")</f>
        <v>Alpha Partners 26</v>
      </c>
      <c r="D1027" t="str">
        <f>IFERROR(VLOOKUP(FO_Capture!C1027, Reference_Data!A:D, 3, FALSE), "XXX")</f>
        <v>USD</v>
      </c>
      <c r="E1027" t="str">
        <f>IFERROR(VLOOKUP(FO_Capture!C1027, Reference_Data!A:D, 4, FALSE), "MISSING SSI")</f>
        <v>HSBC A/C 867781</v>
      </c>
      <c r="F1027">
        <f>FO_Capture!D1027</f>
        <v>25000</v>
      </c>
      <c r="G1027">
        <f>FO_Capture!E1027</f>
        <v>171.94000244140625</v>
      </c>
      <c r="H1027">
        <f t="shared" ref="H1027:H1090" si="32">F1027 * G1027</f>
        <v>4298500.0610351563</v>
      </c>
      <c r="I1027" t="str">
        <f t="shared" ref="I1027:I1090" si="33">IF(C1027="UNKNOWN", "Fail - Missing Ref Data", IF(OR(F1027&lt;=0, G1027&lt;=0), "Fail - Invalid Price/Qty", IF(H1027&gt;1000000, "Exception - Limit Breach", "Pass - Ready for Confirmation")))</f>
        <v>Exception - Limit Breach</v>
      </c>
    </row>
    <row r="1028" spans="1:9" x14ac:dyDescent="0.3">
      <c r="A1028" t="str">
        <f>FO_Capture!A1028</f>
        <v>TRD01027</v>
      </c>
      <c r="B1028" t="str">
        <f>FO_Capture!B1028</f>
        <v>INE004A01090</v>
      </c>
      <c r="C1028" t="str">
        <f>IFERROR(VLOOKUP(FO_Capture!C1028, Reference_Data!A:D, 2, FALSE), "UNKNOWN")</f>
        <v>Alpha Global 28</v>
      </c>
      <c r="D1028" t="str">
        <f>IFERROR(VLOOKUP(FO_Capture!C1028, Reference_Data!A:D, 3, FALSE), "XXX")</f>
        <v>USD</v>
      </c>
      <c r="E1028" t="str">
        <f>IFERROR(VLOOKUP(FO_Capture!C1028, Reference_Data!A:D, 4, FALSE), "MISSING SSI")</f>
        <v>HDFC A/C 638209</v>
      </c>
      <c r="F1028">
        <f>FO_Capture!D1028</f>
        <v>340</v>
      </c>
      <c r="G1028">
        <f>FO_Capture!E1028</f>
        <v>265.1099853515625</v>
      </c>
      <c r="H1028">
        <f t="shared" si="32"/>
        <v>90137.39501953125</v>
      </c>
      <c r="I1028" t="str">
        <f t="shared" si="33"/>
        <v>Pass - Ready for Confirmation</v>
      </c>
    </row>
    <row r="1029" spans="1:9" x14ac:dyDescent="0.3">
      <c r="A1029" t="str">
        <f>FO_Capture!A1029</f>
        <v>TRD01028</v>
      </c>
      <c r="B1029" t="str">
        <f>FO_Capture!B1029</f>
        <v>INE006A01042</v>
      </c>
      <c r="C1029" t="str">
        <f>IFERROR(VLOOKUP(FO_Capture!C1029, Reference_Data!A:D, 2, FALSE), "UNKNOWN")</f>
        <v>Alpha Asset Management 32</v>
      </c>
      <c r="D1029" t="str">
        <f>IFERROR(VLOOKUP(FO_Capture!C1029, Reference_Data!A:D, 3, FALSE), "XXX")</f>
        <v>INR</v>
      </c>
      <c r="E1029" t="str">
        <f>IFERROR(VLOOKUP(FO_Capture!C1029, Reference_Data!A:D, 4, FALSE), "MISSING SSI")</f>
        <v>Barclays A/C 302646</v>
      </c>
      <c r="F1029">
        <f>FO_Capture!D1029</f>
        <v>480</v>
      </c>
      <c r="G1029">
        <f>FO_Capture!E1029</f>
        <v>43.979999542236328</v>
      </c>
      <c r="H1029">
        <f t="shared" si="32"/>
        <v>21110.399780273438</v>
      </c>
      <c r="I1029" t="str">
        <f t="shared" si="33"/>
        <v>Pass - Ready for Confirmation</v>
      </c>
    </row>
    <row r="1030" spans="1:9" x14ac:dyDescent="0.3">
      <c r="A1030" t="str">
        <f>FO_Capture!A1030</f>
        <v>TRD01029</v>
      </c>
      <c r="B1030" t="str">
        <f>FO_Capture!B1030</f>
        <v>INE003A01080</v>
      </c>
      <c r="C1030" t="str">
        <f>IFERROR(VLOOKUP(FO_Capture!C1030, Reference_Data!A:D, 2, FALSE), "UNKNOWN")</f>
        <v>Alpha Partners 19</v>
      </c>
      <c r="D1030" t="str">
        <f>IFERROR(VLOOKUP(FO_Capture!C1030, Reference_Data!A:D, 3, FALSE), "XXX")</f>
        <v>INR</v>
      </c>
      <c r="E1030" t="str">
        <f>IFERROR(VLOOKUP(FO_Capture!C1030, Reference_Data!A:D, 4, FALSE), "MISSING SSI")</f>
        <v>Citi A/C 543819</v>
      </c>
      <c r="F1030">
        <f>FO_Capture!D1030</f>
        <v>60</v>
      </c>
      <c r="G1030">
        <f>FO_Capture!E1030</f>
        <v>309.57998657226563</v>
      </c>
      <c r="H1030">
        <f t="shared" si="32"/>
        <v>18574.799194335938</v>
      </c>
      <c r="I1030" t="str">
        <f t="shared" si="33"/>
        <v>Pass - Ready for Confirmation</v>
      </c>
    </row>
    <row r="1031" spans="1:9" x14ac:dyDescent="0.3">
      <c r="A1031" t="str">
        <f>FO_Capture!A1031</f>
        <v>TRD01030</v>
      </c>
      <c r="B1031" t="str">
        <f>FO_Capture!B1031</f>
        <v>INE002A01048</v>
      </c>
      <c r="C1031" t="str">
        <f>IFERROR(VLOOKUP(FO_Capture!C1031, Reference_Data!A:D, 2, FALSE), "UNKNOWN")</f>
        <v>Alpha Quant Fund 27</v>
      </c>
      <c r="D1031" t="str">
        <f>IFERROR(VLOOKUP(FO_Capture!C1031, Reference_Data!A:D, 3, FALSE), "XXX")</f>
        <v>EUR</v>
      </c>
      <c r="E1031" t="str">
        <f>IFERROR(VLOOKUP(FO_Capture!C1031, Reference_Data!A:D, 4, FALSE), "MISSING SSI")</f>
        <v>Standard Chartered A/C 331839</v>
      </c>
      <c r="F1031">
        <f>FO_Capture!D1031</f>
        <v>500</v>
      </c>
      <c r="G1031">
        <f>FO_Capture!E1031</f>
        <v>89.510002136230469</v>
      </c>
      <c r="H1031">
        <f t="shared" si="32"/>
        <v>44755.001068115234</v>
      </c>
      <c r="I1031" t="str">
        <f t="shared" si="33"/>
        <v>Pass - Ready for Confirmation</v>
      </c>
    </row>
    <row r="1032" spans="1:9" x14ac:dyDescent="0.3">
      <c r="A1032" t="str">
        <f>FO_Capture!A1032</f>
        <v>TRD01031</v>
      </c>
      <c r="B1032" t="str">
        <f>FO_Capture!B1032</f>
        <v>INE005A01094</v>
      </c>
      <c r="C1032" t="str">
        <f>IFERROR(VLOOKUP(FO_Capture!C1032, Reference_Data!A:D, 2, FALSE), "UNKNOWN")</f>
        <v>Alpha Global 28</v>
      </c>
      <c r="D1032" t="str">
        <f>IFERROR(VLOOKUP(FO_Capture!C1032, Reference_Data!A:D, 3, FALSE), "XXX")</f>
        <v>USD</v>
      </c>
      <c r="E1032" t="str">
        <f>IFERROR(VLOOKUP(FO_Capture!C1032, Reference_Data!A:D, 4, FALSE), "MISSING SSI")</f>
        <v>HDFC A/C 638209</v>
      </c>
      <c r="F1032">
        <f>FO_Capture!D1032</f>
        <v>200</v>
      </c>
      <c r="G1032">
        <f>FO_Capture!E1032</f>
        <v>387.89999389648438</v>
      </c>
      <c r="H1032">
        <f t="shared" si="32"/>
        <v>77579.998779296875</v>
      </c>
      <c r="I1032" t="str">
        <f t="shared" si="33"/>
        <v>Pass - Ready for Confirmation</v>
      </c>
    </row>
    <row r="1033" spans="1:9" x14ac:dyDescent="0.3">
      <c r="A1033" t="str">
        <f>FO_Capture!A1033</f>
        <v>TRD01032</v>
      </c>
      <c r="B1033" t="str">
        <f>FO_Capture!B1033</f>
        <v>INE007A01027</v>
      </c>
      <c r="C1033" t="str">
        <f>IFERROR(VLOOKUP(FO_Capture!C1033, Reference_Data!A:D, 2, FALSE), "UNKNOWN")</f>
        <v>Alpha Capital 7</v>
      </c>
      <c r="D1033" t="str">
        <f>IFERROR(VLOOKUP(FO_Capture!C1033, Reference_Data!A:D, 3, FALSE), "XXX")</f>
        <v>INR</v>
      </c>
      <c r="E1033" t="str">
        <f>IFERROR(VLOOKUP(FO_Capture!C1033, Reference_Data!A:D, 4, FALSE), "MISSING SSI")</f>
        <v>Standard Chartered A/C 682134</v>
      </c>
      <c r="F1033">
        <f>FO_Capture!D1033</f>
        <v>340</v>
      </c>
      <c r="G1033">
        <f>FO_Capture!E1033</f>
        <v>435.48001098632813</v>
      </c>
      <c r="H1033">
        <f t="shared" si="32"/>
        <v>148063.20373535156</v>
      </c>
      <c r="I1033" t="str">
        <f t="shared" si="33"/>
        <v>Pass - Ready for Confirmation</v>
      </c>
    </row>
    <row r="1034" spans="1:9" x14ac:dyDescent="0.3">
      <c r="A1034" t="str">
        <f>FO_Capture!A1034</f>
        <v>TRD01033</v>
      </c>
      <c r="B1034" t="str">
        <f>FO_Capture!B1034</f>
        <v>INE002A01062</v>
      </c>
      <c r="C1034" t="str">
        <f>IFERROR(VLOOKUP(FO_Capture!C1034, Reference_Data!A:D, 2, FALSE), "UNKNOWN")</f>
        <v>Alpha Capital 33</v>
      </c>
      <c r="D1034" t="str">
        <f>IFERROR(VLOOKUP(FO_Capture!C1034, Reference_Data!A:D, 3, FALSE), "XXX")</f>
        <v>JPY</v>
      </c>
      <c r="E1034" t="str">
        <f>IFERROR(VLOOKUP(FO_Capture!C1034, Reference_Data!A:D, 4, FALSE), "MISSING SSI")</f>
        <v>HSBC A/C 172861</v>
      </c>
      <c r="F1034">
        <f>FO_Capture!D1034</f>
        <v>100</v>
      </c>
      <c r="G1034">
        <f>FO_Capture!E1034</f>
        <v>439.51998901367188</v>
      </c>
      <c r="H1034">
        <f t="shared" si="32"/>
        <v>43951.998901367188</v>
      </c>
      <c r="I1034" t="str">
        <f t="shared" si="33"/>
        <v>Pass - Ready for Confirmation</v>
      </c>
    </row>
    <row r="1035" spans="1:9" x14ac:dyDescent="0.3">
      <c r="A1035" t="str">
        <f>FO_Capture!A1035</f>
        <v>TRD01034</v>
      </c>
      <c r="B1035" t="str">
        <f>FO_Capture!B1035</f>
        <v>INE008A01071</v>
      </c>
      <c r="C1035" t="str">
        <f>IFERROR(VLOOKUP(FO_Capture!C1035, Reference_Data!A:D, 2, FALSE), "UNKNOWN")</f>
        <v>Alpha Quant Fund 34</v>
      </c>
      <c r="D1035" t="str">
        <f>IFERROR(VLOOKUP(FO_Capture!C1035, Reference_Data!A:D, 3, FALSE), "XXX")</f>
        <v>JPY</v>
      </c>
      <c r="E1035" t="str">
        <f>IFERROR(VLOOKUP(FO_Capture!C1035, Reference_Data!A:D, 4, FALSE), "MISSING SSI")</f>
        <v>Citi A/C 837378</v>
      </c>
      <c r="F1035">
        <f>FO_Capture!D1035</f>
        <v>420</v>
      </c>
      <c r="G1035">
        <f>FO_Capture!E1035</f>
        <v>333.8599853515625</v>
      </c>
      <c r="H1035">
        <f t="shared" si="32"/>
        <v>140221.19384765625</v>
      </c>
      <c r="I1035" t="str">
        <f t="shared" si="33"/>
        <v>Pass - Ready for Confirmation</v>
      </c>
    </row>
    <row r="1036" spans="1:9" x14ac:dyDescent="0.3">
      <c r="A1036" t="str">
        <f>FO_Capture!A1036</f>
        <v>TRD01035</v>
      </c>
      <c r="B1036" t="str">
        <f>FO_Capture!B1036</f>
        <v>INE008A01036</v>
      </c>
      <c r="C1036" t="str">
        <f>IFERROR(VLOOKUP(FO_Capture!C1036, Reference_Data!A:D, 2, FALSE), "UNKNOWN")</f>
        <v>Alpha Global 25</v>
      </c>
      <c r="D1036" t="str">
        <f>IFERROR(VLOOKUP(FO_Capture!C1036, Reference_Data!A:D, 3, FALSE), "XXX")</f>
        <v>EUR</v>
      </c>
      <c r="E1036" t="str">
        <f>IFERROR(VLOOKUP(FO_Capture!C1036, Reference_Data!A:D, 4, FALSE), "MISSING SSI")</f>
        <v>Standard Chartered A/C 438949</v>
      </c>
      <c r="F1036">
        <f>FO_Capture!D1036</f>
        <v>250</v>
      </c>
      <c r="G1036">
        <f>FO_Capture!E1036</f>
        <v>28.889999389648438</v>
      </c>
      <c r="H1036">
        <f t="shared" si="32"/>
        <v>7222.4998474121094</v>
      </c>
      <c r="I1036" t="str">
        <f t="shared" si="33"/>
        <v>Pass - Ready for Confirmation</v>
      </c>
    </row>
    <row r="1037" spans="1:9" x14ac:dyDescent="0.3">
      <c r="A1037" t="str">
        <f>FO_Capture!A1037</f>
        <v>TRD01036</v>
      </c>
      <c r="B1037" t="str">
        <f>FO_Capture!B1037</f>
        <v>INE001A01095</v>
      </c>
      <c r="C1037" t="str">
        <f>IFERROR(VLOOKUP(FO_Capture!C1037, Reference_Data!A:D, 2, FALSE), "UNKNOWN")</f>
        <v>Alpha Investments 29</v>
      </c>
      <c r="D1037" t="str">
        <f>IFERROR(VLOOKUP(FO_Capture!C1037, Reference_Data!A:D, 3, FALSE), "XXX")</f>
        <v>INR</v>
      </c>
      <c r="E1037" t="str">
        <f>IFERROR(VLOOKUP(FO_Capture!C1037, Reference_Data!A:D, 4, FALSE), "MISSING SSI")</f>
        <v>HSBC A/C 785870</v>
      </c>
      <c r="F1037">
        <f>FO_Capture!D1037</f>
        <v>290</v>
      </c>
      <c r="G1037">
        <f>FO_Capture!E1037</f>
        <v>161.58000183105469</v>
      </c>
      <c r="H1037">
        <f t="shared" si="32"/>
        <v>46858.200531005859</v>
      </c>
      <c r="I1037" t="str">
        <f t="shared" si="33"/>
        <v>Pass - Ready for Confirmation</v>
      </c>
    </row>
    <row r="1038" spans="1:9" x14ac:dyDescent="0.3">
      <c r="A1038" t="str">
        <f>FO_Capture!A1038</f>
        <v>TRD01037</v>
      </c>
      <c r="B1038" t="str">
        <f>FO_Capture!B1038</f>
        <v>INE003A01095</v>
      </c>
      <c r="C1038" t="str">
        <f>IFERROR(VLOOKUP(FO_Capture!C1038, Reference_Data!A:D, 2, FALSE), "UNKNOWN")</f>
        <v>Alpha Capital 7</v>
      </c>
      <c r="D1038" t="str">
        <f>IFERROR(VLOOKUP(FO_Capture!C1038, Reference_Data!A:D, 3, FALSE), "XXX")</f>
        <v>INR</v>
      </c>
      <c r="E1038" t="str">
        <f>IFERROR(VLOOKUP(FO_Capture!C1038, Reference_Data!A:D, 4, FALSE), "MISSING SSI")</f>
        <v>Standard Chartered A/C 682134</v>
      </c>
      <c r="F1038">
        <f>FO_Capture!D1038</f>
        <v>260</v>
      </c>
      <c r="G1038">
        <f>FO_Capture!E1038</f>
        <v>345.45999145507813</v>
      </c>
      <c r="H1038">
        <f t="shared" si="32"/>
        <v>89819.597778320313</v>
      </c>
      <c r="I1038" t="str">
        <f t="shared" si="33"/>
        <v>Pass - Ready for Confirmation</v>
      </c>
    </row>
    <row r="1039" spans="1:9" x14ac:dyDescent="0.3">
      <c r="A1039" t="str">
        <f>FO_Capture!A1039</f>
        <v>TRD01038</v>
      </c>
      <c r="B1039" t="str">
        <f>FO_Capture!B1039</f>
        <v>INE002A01041</v>
      </c>
      <c r="C1039" t="str">
        <f>IFERROR(VLOOKUP(FO_Capture!C1039, Reference_Data!A:D, 2, FALSE), "UNKNOWN")</f>
        <v>Alpha Quant Fund 27</v>
      </c>
      <c r="D1039" t="str">
        <f>IFERROR(VLOOKUP(FO_Capture!C1039, Reference_Data!A:D, 3, FALSE), "XXX")</f>
        <v>EUR</v>
      </c>
      <c r="E1039" t="str">
        <f>IFERROR(VLOOKUP(FO_Capture!C1039, Reference_Data!A:D, 4, FALSE), "MISSING SSI")</f>
        <v>Standard Chartered A/C 331839</v>
      </c>
      <c r="F1039">
        <f>FO_Capture!D1039</f>
        <v>110</v>
      </c>
      <c r="G1039">
        <f>FO_Capture!E1039</f>
        <v>420.6099853515625</v>
      </c>
      <c r="H1039">
        <f t="shared" si="32"/>
        <v>46267.098388671875</v>
      </c>
      <c r="I1039" t="str">
        <f t="shared" si="33"/>
        <v>Pass - Ready for Confirmation</v>
      </c>
    </row>
    <row r="1040" spans="1:9" x14ac:dyDescent="0.3">
      <c r="A1040" t="str">
        <f>FO_Capture!A1040</f>
        <v>TRD01039</v>
      </c>
      <c r="B1040" t="str">
        <f>FO_Capture!B1040</f>
        <v>INE004A01044</v>
      </c>
      <c r="C1040" t="str">
        <f>IFERROR(VLOOKUP(FO_Capture!C1040, Reference_Data!A:D, 2, FALSE), "UNKNOWN")</f>
        <v>Alpha Global 45</v>
      </c>
      <c r="D1040" t="str">
        <f>IFERROR(VLOOKUP(FO_Capture!C1040, Reference_Data!A:D, 3, FALSE), "XXX")</f>
        <v>EUR</v>
      </c>
      <c r="E1040" t="str">
        <f>IFERROR(VLOOKUP(FO_Capture!C1040, Reference_Data!A:D, 4, FALSE), "MISSING SSI")</f>
        <v>HSBC A/C 540659</v>
      </c>
      <c r="F1040">
        <f>FO_Capture!D1040</f>
        <v>340</v>
      </c>
      <c r="G1040">
        <f>FO_Capture!E1040</f>
        <v>203.69000244140625</v>
      </c>
      <c r="H1040">
        <f t="shared" si="32"/>
        <v>69254.600830078125</v>
      </c>
      <c r="I1040" t="str">
        <f t="shared" si="33"/>
        <v>Pass - Ready for Confirmation</v>
      </c>
    </row>
    <row r="1041" spans="1:9" x14ac:dyDescent="0.3">
      <c r="A1041" t="str">
        <f>FO_Capture!A1041</f>
        <v>TRD01040</v>
      </c>
      <c r="B1041" t="str">
        <f>FO_Capture!B1041</f>
        <v>INE004A01074</v>
      </c>
      <c r="C1041" t="str">
        <f>IFERROR(VLOOKUP(FO_Capture!C1041, Reference_Data!A:D, 2, FALSE), "UNKNOWN")</f>
        <v>Alpha Global 25</v>
      </c>
      <c r="D1041" t="str">
        <f>IFERROR(VLOOKUP(FO_Capture!C1041, Reference_Data!A:D, 3, FALSE), "XXX")</f>
        <v>EUR</v>
      </c>
      <c r="E1041" t="str">
        <f>IFERROR(VLOOKUP(FO_Capture!C1041, Reference_Data!A:D, 4, FALSE), "MISSING SSI")</f>
        <v>Standard Chartered A/C 438949</v>
      </c>
      <c r="F1041">
        <f>FO_Capture!D1041</f>
        <v>170</v>
      </c>
      <c r="G1041">
        <f>FO_Capture!E1041</f>
        <v>237.89999389648438</v>
      </c>
      <c r="H1041">
        <f t="shared" si="32"/>
        <v>40442.998962402344</v>
      </c>
      <c r="I1041" t="str">
        <f t="shared" si="33"/>
        <v>Pass - Ready for Confirmation</v>
      </c>
    </row>
    <row r="1042" spans="1:9" x14ac:dyDescent="0.3">
      <c r="A1042" t="str">
        <f>FO_Capture!A1042</f>
        <v>TRD01041</v>
      </c>
      <c r="B1042" t="str">
        <f>FO_Capture!B1042</f>
        <v>INE005A01010</v>
      </c>
      <c r="C1042" t="str">
        <f>IFERROR(VLOOKUP(FO_Capture!C1042, Reference_Data!A:D, 2, FALSE), "UNKNOWN")</f>
        <v>Alpha Partners 18</v>
      </c>
      <c r="D1042" t="str">
        <f>IFERROR(VLOOKUP(FO_Capture!C1042, Reference_Data!A:D, 3, FALSE), "XXX")</f>
        <v>INR</v>
      </c>
      <c r="E1042" t="str">
        <f>IFERROR(VLOOKUP(FO_Capture!C1042, Reference_Data!A:D, 4, FALSE), "MISSING SSI")</f>
        <v>JPMorgan A/C 704166</v>
      </c>
      <c r="F1042">
        <f>FO_Capture!D1042</f>
        <v>360</v>
      </c>
      <c r="G1042">
        <f>FO_Capture!E1042</f>
        <v>43.020000457763672</v>
      </c>
      <c r="H1042">
        <f t="shared" si="32"/>
        <v>15487.200164794922</v>
      </c>
      <c r="I1042" t="str">
        <f t="shared" si="33"/>
        <v>Pass - Ready for Confirmation</v>
      </c>
    </row>
    <row r="1043" spans="1:9" x14ac:dyDescent="0.3">
      <c r="A1043" t="str">
        <f>FO_Capture!A1043</f>
        <v>TRD01042</v>
      </c>
      <c r="B1043" t="str">
        <f>FO_Capture!B1043</f>
        <v>INE001A01086</v>
      </c>
      <c r="C1043" t="str">
        <f>IFERROR(VLOOKUP(FO_Capture!C1043, Reference_Data!A:D, 2, FALSE), "UNKNOWN")</f>
        <v>Alpha Capital 33</v>
      </c>
      <c r="D1043" t="str">
        <f>IFERROR(VLOOKUP(FO_Capture!C1043, Reference_Data!A:D, 3, FALSE), "XXX")</f>
        <v>JPY</v>
      </c>
      <c r="E1043" t="str">
        <f>IFERROR(VLOOKUP(FO_Capture!C1043, Reference_Data!A:D, 4, FALSE), "MISSING SSI")</f>
        <v>HSBC A/C 172861</v>
      </c>
      <c r="F1043">
        <f>FO_Capture!D1043</f>
        <v>390</v>
      </c>
      <c r="G1043">
        <f>FO_Capture!E1043</f>
        <v>365.39999389648438</v>
      </c>
      <c r="H1043">
        <f t="shared" si="32"/>
        <v>142505.99761962891</v>
      </c>
      <c r="I1043" t="str">
        <f t="shared" si="33"/>
        <v>Pass - Ready for Confirmation</v>
      </c>
    </row>
    <row r="1044" spans="1:9" x14ac:dyDescent="0.3">
      <c r="A1044" t="str">
        <f>FO_Capture!A1044</f>
        <v>TRD01043</v>
      </c>
      <c r="B1044" t="str">
        <f>FO_Capture!B1044</f>
        <v>INE001A01047</v>
      </c>
      <c r="C1044" t="str">
        <f>IFERROR(VLOOKUP(FO_Capture!C1044, Reference_Data!A:D, 2, FALSE), "UNKNOWN")</f>
        <v>Alpha Investments 15</v>
      </c>
      <c r="D1044" t="str">
        <f>IFERROR(VLOOKUP(FO_Capture!C1044, Reference_Data!A:D, 3, FALSE), "XXX")</f>
        <v>INR</v>
      </c>
      <c r="E1044" t="str">
        <f>IFERROR(VLOOKUP(FO_Capture!C1044, Reference_Data!A:D, 4, FALSE), "MISSING SSI")</f>
        <v>Deutsche Bank A/C 330518</v>
      </c>
      <c r="F1044">
        <f>FO_Capture!D1044</f>
        <v>280</v>
      </c>
      <c r="G1044">
        <f>FO_Capture!E1044</f>
        <v>427.92001342773438</v>
      </c>
      <c r="H1044">
        <f t="shared" si="32"/>
        <v>119817.60375976563</v>
      </c>
      <c r="I1044" t="str">
        <f t="shared" si="33"/>
        <v>Pass - Ready for Confirmation</v>
      </c>
    </row>
    <row r="1045" spans="1:9" x14ac:dyDescent="0.3">
      <c r="A1045" t="str">
        <f>FO_Capture!A1045</f>
        <v>TRD01044</v>
      </c>
      <c r="B1045" t="str">
        <f>FO_Capture!B1045</f>
        <v>INE007A01092</v>
      </c>
      <c r="C1045" t="str">
        <f>IFERROR(VLOOKUP(FO_Capture!C1045, Reference_Data!A:D, 2, FALSE), "UNKNOWN")</f>
        <v>Alpha Partners 22</v>
      </c>
      <c r="D1045" t="str">
        <f>IFERROR(VLOOKUP(FO_Capture!C1045, Reference_Data!A:D, 3, FALSE), "XXX")</f>
        <v>GBP</v>
      </c>
      <c r="E1045" t="str">
        <f>IFERROR(VLOOKUP(FO_Capture!C1045, Reference_Data!A:D, 4, FALSE), "MISSING SSI")</f>
        <v>JPMorgan A/C 488546</v>
      </c>
      <c r="F1045">
        <f>FO_Capture!D1045</f>
        <v>310</v>
      </c>
      <c r="G1045">
        <f>FO_Capture!E1045</f>
        <v>180.05999755859375</v>
      </c>
      <c r="H1045">
        <f t="shared" si="32"/>
        <v>55818.599243164063</v>
      </c>
      <c r="I1045" t="str">
        <f t="shared" si="33"/>
        <v>Pass - Ready for Confirmation</v>
      </c>
    </row>
    <row r="1046" spans="1:9" x14ac:dyDescent="0.3">
      <c r="A1046" t="str">
        <f>FO_Capture!A1046</f>
        <v>TRD01045</v>
      </c>
      <c r="B1046" t="str">
        <f>FO_Capture!B1046</f>
        <v>INE008A01033</v>
      </c>
      <c r="C1046" t="str">
        <f>IFERROR(VLOOKUP(FO_Capture!C1046, Reference_Data!A:D, 2, FALSE), "UNKNOWN")</f>
        <v>Alpha Partners 42</v>
      </c>
      <c r="D1046" t="str">
        <f>IFERROR(VLOOKUP(FO_Capture!C1046, Reference_Data!A:D, 3, FALSE), "XXX")</f>
        <v>USD</v>
      </c>
      <c r="E1046" t="str">
        <f>IFERROR(VLOOKUP(FO_Capture!C1046, Reference_Data!A:D, 4, FALSE), "MISSING SSI")</f>
        <v>Citi A/C 416082</v>
      </c>
      <c r="F1046">
        <f>FO_Capture!D1046</f>
        <v>230</v>
      </c>
      <c r="G1046">
        <f>FO_Capture!E1046</f>
        <v>47.840000152587891</v>
      </c>
      <c r="H1046">
        <f t="shared" si="32"/>
        <v>11003.200035095215</v>
      </c>
      <c r="I1046" t="str">
        <f t="shared" si="33"/>
        <v>Pass - Ready for Confirmation</v>
      </c>
    </row>
    <row r="1047" spans="1:9" x14ac:dyDescent="0.3">
      <c r="A1047" t="str">
        <f>FO_Capture!A1047</f>
        <v>TRD01046</v>
      </c>
      <c r="B1047" t="str">
        <f>FO_Capture!B1047</f>
        <v>INE003A01035</v>
      </c>
      <c r="C1047" t="str">
        <f>IFERROR(VLOOKUP(FO_Capture!C1047, Reference_Data!A:D, 2, FALSE), "UNKNOWN")</f>
        <v>Alpha Quant Fund 27</v>
      </c>
      <c r="D1047" t="str">
        <f>IFERROR(VLOOKUP(FO_Capture!C1047, Reference_Data!A:D, 3, FALSE), "XXX")</f>
        <v>EUR</v>
      </c>
      <c r="E1047" t="str">
        <f>IFERROR(VLOOKUP(FO_Capture!C1047, Reference_Data!A:D, 4, FALSE), "MISSING SSI")</f>
        <v>Standard Chartered A/C 331839</v>
      </c>
      <c r="F1047">
        <f>FO_Capture!D1047</f>
        <v>90</v>
      </c>
      <c r="G1047">
        <f>FO_Capture!E1047</f>
        <v>183.83999633789063</v>
      </c>
      <c r="H1047">
        <f t="shared" si="32"/>
        <v>16545.599670410156</v>
      </c>
      <c r="I1047" t="str">
        <f t="shared" si="33"/>
        <v>Pass - Ready for Confirmation</v>
      </c>
    </row>
    <row r="1048" spans="1:9" x14ac:dyDescent="0.3">
      <c r="A1048" t="str">
        <f>FO_Capture!A1048</f>
        <v>TRD01047</v>
      </c>
      <c r="B1048" t="str">
        <f>FO_Capture!B1048</f>
        <v>INE007A01072</v>
      </c>
      <c r="C1048" t="str">
        <f>IFERROR(VLOOKUP(FO_Capture!C1048, Reference_Data!A:D, 2, FALSE), "UNKNOWN")</f>
        <v>Alpha Quant Fund 12</v>
      </c>
      <c r="D1048" t="str">
        <f>IFERROR(VLOOKUP(FO_Capture!C1048, Reference_Data!A:D, 3, FALSE), "XXX")</f>
        <v>EUR</v>
      </c>
      <c r="E1048" t="str">
        <f>IFERROR(VLOOKUP(FO_Capture!C1048, Reference_Data!A:D, 4, FALSE), "MISSING SSI")</f>
        <v>Deutsche Bank A/C 324710</v>
      </c>
      <c r="F1048">
        <f>FO_Capture!D1048</f>
        <v>420</v>
      </c>
      <c r="G1048">
        <f>FO_Capture!E1048</f>
        <v>217.22000122070313</v>
      </c>
      <c r="H1048">
        <f t="shared" si="32"/>
        <v>91232.400512695313</v>
      </c>
      <c r="I1048" t="str">
        <f t="shared" si="33"/>
        <v>Pass - Ready for Confirmation</v>
      </c>
    </row>
    <row r="1049" spans="1:9" x14ac:dyDescent="0.3">
      <c r="A1049" t="str">
        <f>FO_Capture!A1049</f>
        <v>TRD01048</v>
      </c>
      <c r="B1049" t="str">
        <f>FO_Capture!B1049</f>
        <v>INE008A01078</v>
      </c>
      <c r="C1049" t="str">
        <f>IFERROR(VLOOKUP(FO_Capture!C1049, Reference_Data!A:D, 2, FALSE), "UNKNOWN")</f>
        <v>Alpha Global 45</v>
      </c>
      <c r="D1049" t="str">
        <f>IFERROR(VLOOKUP(FO_Capture!C1049, Reference_Data!A:D, 3, FALSE), "XXX")</f>
        <v>EUR</v>
      </c>
      <c r="E1049" t="str">
        <f>IFERROR(VLOOKUP(FO_Capture!C1049, Reference_Data!A:D, 4, FALSE), "MISSING SSI")</f>
        <v>HSBC A/C 540659</v>
      </c>
      <c r="F1049">
        <f>FO_Capture!D1049</f>
        <v>20</v>
      </c>
      <c r="G1049">
        <f>FO_Capture!E1049</f>
        <v>503.69000244140625</v>
      </c>
      <c r="H1049">
        <f t="shared" si="32"/>
        <v>10073.800048828125</v>
      </c>
      <c r="I1049" t="str">
        <f t="shared" si="33"/>
        <v>Pass - Ready for Confirmation</v>
      </c>
    </row>
    <row r="1050" spans="1:9" x14ac:dyDescent="0.3">
      <c r="A1050" t="str">
        <f>FO_Capture!A1050</f>
        <v>TRD01049</v>
      </c>
      <c r="B1050" t="str">
        <f>FO_Capture!B1050</f>
        <v>INE001A01092</v>
      </c>
      <c r="C1050" t="str">
        <f>IFERROR(VLOOKUP(FO_Capture!C1050, Reference_Data!A:D, 2, FALSE), "UNKNOWN")</f>
        <v>Alpha Partners 6</v>
      </c>
      <c r="D1050" t="str">
        <f>IFERROR(VLOOKUP(FO_Capture!C1050, Reference_Data!A:D, 3, FALSE), "XXX")</f>
        <v>INR</v>
      </c>
      <c r="E1050" t="str">
        <f>IFERROR(VLOOKUP(FO_Capture!C1050, Reference_Data!A:D, 4, FALSE), "MISSING SSI")</f>
        <v>Standard Chartered A/C 441247</v>
      </c>
      <c r="F1050">
        <f>FO_Capture!D1050</f>
        <v>25000</v>
      </c>
      <c r="G1050">
        <f>FO_Capture!E1050</f>
        <v>206.72999572753906</v>
      </c>
      <c r="H1050">
        <f t="shared" si="32"/>
        <v>5168249.8931884766</v>
      </c>
      <c r="I1050" t="str">
        <f t="shared" si="33"/>
        <v>Exception - Limit Breach</v>
      </c>
    </row>
    <row r="1051" spans="1:9" x14ac:dyDescent="0.3">
      <c r="A1051" t="str">
        <f>FO_Capture!A1051</f>
        <v>TRD01050</v>
      </c>
      <c r="B1051" t="str">
        <f>FO_Capture!B1051</f>
        <v>INE007A01081</v>
      </c>
      <c r="C1051" t="str">
        <f>IFERROR(VLOOKUP(FO_Capture!C1051, Reference_Data!A:D, 2, FALSE), "UNKNOWN")</f>
        <v>Alpha Global 28</v>
      </c>
      <c r="D1051" t="str">
        <f>IFERROR(VLOOKUP(FO_Capture!C1051, Reference_Data!A:D, 3, FALSE), "XXX")</f>
        <v>USD</v>
      </c>
      <c r="E1051" t="str">
        <f>IFERROR(VLOOKUP(FO_Capture!C1051, Reference_Data!A:D, 4, FALSE), "MISSING SSI")</f>
        <v>HDFC A/C 638209</v>
      </c>
      <c r="F1051">
        <f>FO_Capture!D1051</f>
        <v>310</v>
      </c>
      <c r="G1051">
        <f>FO_Capture!E1051</f>
        <v>30.559999465942383</v>
      </c>
      <c r="H1051">
        <f t="shared" si="32"/>
        <v>9473.5998344421387</v>
      </c>
      <c r="I1051" t="str">
        <f t="shared" si="33"/>
        <v>Pass - Ready for Confirmation</v>
      </c>
    </row>
    <row r="1052" spans="1:9" x14ac:dyDescent="0.3">
      <c r="A1052" t="str">
        <f>FO_Capture!A1052</f>
        <v>TRD01051</v>
      </c>
      <c r="B1052" t="str">
        <f>FO_Capture!B1052</f>
        <v>INE007A01030</v>
      </c>
      <c r="C1052" t="str">
        <f>IFERROR(VLOOKUP(FO_Capture!C1052, Reference_Data!A:D, 2, FALSE), "UNKNOWN")</f>
        <v>Alpha Asset Management 35</v>
      </c>
      <c r="D1052" t="str">
        <f>IFERROR(VLOOKUP(FO_Capture!C1052, Reference_Data!A:D, 3, FALSE), "XXX")</f>
        <v>JPY</v>
      </c>
      <c r="E1052" t="str">
        <f>IFERROR(VLOOKUP(FO_Capture!C1052, Reference_Data!A:D, 4, FALSE), "MISSING SSI")</f>
        <v>HSBC A/C 604357</v>
      </c>
      <c r="F1052">
        <f>FO_Capture!D1052</f>
        <v>290</v>
      </c>
      <c r="G1052">
        <f>FO_Capture!E1052</f>
        <v>67.970001220703125</v>
      </c>
      <c r="H1052">
        <f t="shared" si="32"/>
        <v>19711.300354003906</v>
      </c>
      <c r="I1052" t="str">
        <f t="shared" si="33"/>
        <v>Pass - Ready for Confirmation</v>
      </c>
    </row>
    <row r="1053" spans="1:9" x14ac:dyDescent="0.3">
      <c r="A1053" t="str">
        <f>FO_Capture!A1053</f>
        <v>TRD01052</v>
      </c>
      <c r="B1053" t="str">
        <f>FO_Capture!B1053</f>
        <v>INE002A01077</v>
      </c>
      <c r="C1053" t="str">
        <f>IFERROR(VLOOKUP(FO_Capture!C1053, Reference_Data!A:D, 2, FALSE), "UNKNOWN")</f>
        <v>Alpha Asset Management 13</v>
      </c>
      <c r="D1053" t="str">
        <f>IFERROR(VLOOKUP(FO_Capture!C1053, Reference_Data!A:D, 3, FALSE), "XXX")</f>
        <v>INR</v>
      </c>
      <c r="E1053" t="str">
        <f>IFERROR(VLOOKUP(FO_Capture!C1053, Reference_Data!A:D, 4, FALSE), "MISSING SSI")</f>
        <v>HSBC A/C 972195</v>
      </c>
      <c r="F1053">
        <f>FO_Capture!D1053</f>
        <v>250</v>
      </c>
      <c r="G1053">
        <f>FO_Capture!E1053</f>
        <v>148.28999328613281</v>
      </c>
      <c r="H1053">
        <f t="shared" si="32"/>
        <v>37072.498321533203</v>
      </c>
      <c r="I1053" t="str">
        <f t="shared" si="33"/>
        <v>Pass - Ready for Confirmation</v>
      </c>
    </row>
    <row r="1054" spans="1:9" x14ac:dyDescent="0.3">
      <c r="A1054" t="str">
        <f>FO_Capture!A1054</f>
        <v>TRD01053</v>
      </c>
      <c r="B1054" t="str">
        <f>FO_Capture!B1054</f>
        <v>INE004A01019</v>
      </c>
      <c r="C1054" t="str">
        <f>IFERROR(VLOOKUP(FO_Capture!C1054, Reference_Data!A:D, 2, FALSE), "UNKNOWN")</f>
        <v>Alpha Global 30</v>
      </c>
      <c r="D1054" t="str">
        <f>IFERROR(VLOOKUP(FO_Capture!C1054, Reference_Data!A:D, 3, FALSE), "XXX")</f>
        <v>JPY</v>
      </c>
      <c r="E1054" t="str">
        <f>IFERROR(VLOOKUP(FO_Capture!C1054, Reference_Data!A:D, 4, FALSE), "MISSING SSI")</f>
        <v>Deutsche Bank A/C 917262</v>
      </c>
      <c r="F1054">
        <f>FO_Capture!D1054</f>
        <v>160</v>
      </c>
      <c r="G1054">
        <f>FO_Capture!E1054</f>
        <v>108.69000244140625</v>
      </c>
      <c r="H1054">
        <f t="shared" si="32"/>
        <v>17390.400390625</v>
      </c>
      <c r="I1054" t="str">
        <f t="shared" si="33"/>
        <v>Pass - Ready for Confirmation</v>
      </c>
    </row>
    <row r="1055" spans="1:9" x14ac:dyDescent="0.3">
      <c r="A1055" t="str">
        <f>FO_Capture!A1055</f>
        <v>TRD01054</v>
      </c>
      <c r="B1055" t="str">
        <f>FO_Capture!B1055</f>
        <v>INE001A01059</v>
      </c>
      <c r="C1055" t="str">
        <f>IFERROR(VLOOKUP(FO_Capture!C1055, Reference_Data!A:D, 2, FALSE), "UNKNOWN")</f>
        <v>Alpha Investments 15</v>
      </c>
      <c r="D1055" t="str">
        <f>IFERROR(VLOOKUP(FO_Capture!C1055, Reference_Data!A:D, 3, FALSE), "XXX")</f>
        <v>INR</v>
      </c>
      <c r="E1055" t="str">
        <f>IFERROR(VLOOKUP(FO_Capture!C1055, Reference_Data!A:D, 4, FALSE), "MISSING SSI")</f>
        <v>Deutsche Bank A/C 330518</v>
      </c>
      <c r="F1055">
        <f>FO_Capture!D1055</f>
        <v>400</v>
      </c>
      <c r="G1055">
        <f>FO_Capture!E1055</f>
        <v>44.130001068115234</v>
      </c>
      <c r="H1055">
        <f t="shared" si="32"/>
        <v>17652.000427246094</v>
      </c>
      <c r="I1055" t="str">
        <f t="shared" si="33"/>
        <v>Pass - Ready for Confirmation</v>
      </c>
    </row>
    <row r="1056" spans="1:9" x14ac:dyDescent="0.3">
      <c r="A1056" t="str">
        <f>FO_Capture!A1056</f>
        <v>TRD01055</v>
      </c>
      <c r="B1056" t="str">
        <f>FO_Capture!B1056</f>
        <v>INE009A01070</v>
      </c>
      <c r="C1056" t="str">
        <f>IFERROR(VLOOKUP(FO_Capture!C1056, Reference_Data!A:D, 2, FALSE), "UNKNOWN")</f>
        <v>Alpha Global 39</v>
      </c>
      <c r="D1056" t="str">
        <f>IFERROR(VLOOKUP(FO_Capture!C1056, Reference_Data!A:D, 3, FALSE), "XXX")</f>
        <v>SGD</v>
      </c>
      <c r="E1056" t="str">
        <f>IFERROR(VLOOKUP(FO_Capture!C1056, Reference_Data!A:D, 4, FALSE), "MISSING SSI")</f>
        <v>Deutsche Bank A/C 917029</v>
      </c>
      <c r="F1056">
        <f>FO_Capture!D1056</f>
        <v>30</v>
      </c>
      <c r="G1056">
        <f>FO_Capture!E1056</f>
        <v>57.389999389648438</v>
      </c>
      <c r="H1056">
        <f t="shared" si="32"/>
        <v>1721.6999816894531</v>
      </c>
      <c r="I1056" t="str">
        <f t="shared" si="33"/>
        <v>Pass - Ready for Confirmation</v>
      </c>
    </row>
    <row r="1057" spans="1:9" x14ac:dyDescent="0.3">
      <c r="A1057" t="str">
        <f>FO_Capture!A1057</f>
        <v>TRD01056</v>
      </c>
      <c r="B1057" t="str">
        <f>FO_Capture!B1057</f>
        <v>INE001A01037</v>
      </c>
      <c r="C1057" t="str">
        <f>IFERROR(VLOOKUP(FO_Capture!C1057, Reference_Data!A:D, 2, FALSE), "UNKNOWN")</f>
        <v>Alpha Quant Fund 34</v>
      </c>
      <c r="D1057" t="str">
        <f>IFERROR(VLOOKUP(FO_Capture!C1057, Reference_Data!A:D, 3, FALSE), "XXX")</f>
        <v>JPY</v>
      </c>
      <c r="E1057" t="str">
        <f>IFERROR(VLOOKUP(FO_Capture!C1057, Reference_Data!A:D, 4, FALSE), "MISSING SSI")</f>
        <v>Citi A/C 837378</v>
      </c>
      <c r="F1057">
        <f>FO_Capture!D1057</f>
        <v>500</v>
      </c>
      <c r="G1057">
        <f>FO_Capture!E1057</f>
        <v>509.07998657226563</v>
      </c>
      <c r="H1057">
        <f t="shared" si="32"/>
        <v>254539.99328613281</v>
      </c>
      <c r="I1057" t="str">
        <f t="shared" si="33"/>
        <v>Pass - Ready for Confirmation</v>
      </c>
    </row>
    <row r="1058" spans="1:9" x14ac:dyDescent="0.3">
      <c r="A1058" t="str">
        <f>FO_Capture!A1058</f>
        <v>TRD01057</v>
      </c>
      <c r="B1058" t="str">
        <f>FO_Capture!B1058</f>
        <v>INE007A0109</v>
      </c>
      <c r="C1058" t="str">
        <f>IFERROR(VLOOKUP(FO_Capture!C1058, Reference_Data!A:D, 2, FALSE), "UNKNOWN")</f>
        <v>Alpha Holdings 21</v>
      </c>
      <c r="D1058" t="str">
        <f>IFERROR(VLOOKUP(FO_Capture!C1058, Reference_Data!A:D, 3, FALSE), "XXX")</f>
        <v>SGD</v>
      </c>
      <c r="E1058" t="str">
        <f>IFERROR(VLOOKUP(FO_Capture!C1058, Reference_Data!A:D, 4, FALSE), "MISSING SSI")</f>
        <v>HSBC A/C 562956</v>
      </c>
      <c r="F1058">
        <f>FO_Capture!D1058</f>
        <v>440</v>
      </c>
      <c r="G1058">
        <f>FO_Capture!E1058</f>
        <v>267.60000610351563</v>
      </c>
      <c r="H1058">
        <f t="shared" si="32"/>
        <v>117744.00268554688</v>
      </c>
      <c r="I1058" t="str">
        <f t="shared" si="33"/>
        <v>Pass - Ready for Confirmation</v>
      </c>
    </row>
    <row r="1059" spans="1:9" x14ac:dyDescent="0.3">
      <c r="A1059" t="str">
        <f>FO_Capture!A1059</f>
        <v>TRD01058</v>
      </c>
      <c r="B1059" t="str">
        <f>FO_Capture!B1059</f>
        <v>INE001A01048</v>
      </c>
      <c r="C1059" t="str">
        <f>IFERROR(VLOOKUP(FO_Capture!C1059, Reference_Data!A:D, 2, FALSE), "UNKNOWN")</f>
        <v>Alpha Quant Fund 34</v>
      </c>
      <c r="D1059" t="str">
        <f>IFERROR(VLOOKUP(FO_Capture!C1059, Reference_Data!A:D, 3, FALSE), "XXX")</f>
        <v>JPY</v>
      </c>
      <c r="E1059" t="str">
        <f>IFERROR(VLOOKUP(FO_Capture!C1059, Reference_Data!A:D, 4, FALSE), "MISSING SSI")</f>
        <v>Citi A/C 837378</v>
      </c>
      <c r="F1059">
        <f>FO_Capture!D1059</f>
        <v>400</v>
      </c>
      <c r="G1059">
        <f>FO_Capture!E1059</f>
        <v>459.17999267578125</v>
      </c>
      <c r="H1059">
        <f t="shared" si="32"/>
        <v>183671.9970703125</v>
      </c>
      <c r="I1059" t="str">
        <f t="shared" si="33"/>
        <v>Pass - Ready for Confirmation</v>
      </c>
    </row>
    <row r="1060" spans="1:9" x14ac:dyDescent="0.3">
      <c r="A1060" t="str">
        <f>FO_Capture!A1060</f>
        <v>TRD01059</v>
      </c>
      <c r="B1060" t="str">
        <f>FO_Capture!B1060</f>
        <v>INE001A01083</v>
      </c>
      <c r="C1060" t="str">
        <f>IFERROR(VLOOKUP(FO_Capture!C1060, Reference_Data!A:D, 2, FALSE), "UNKNOWN")</f>
        <v>Alpha Global 45</v>
      </c>
      <c r="D1060" t="str">
        <f>IFERROR(VLOOKUP(FO_Capture!C1060, Reference_Data!A:D, 3, FALSE), "XXX")</f>
        <v>EUR</v>
      </c>
      <c r="E1060" t="str">
        <f>IFERROR(VLOOKUP(FO_Capture!C1060, Reference_Data!A:D, 4, FALSE), "MISSING SSI")</f>
        <v>HSBC A/C 540659</v>
      </c>
      <c r="F1060">
        <f>FO_Capture!D1060</f>
        <v>80</v>
      </c>
      <c r="G1060">
        <f>FO_Capture!E1060</f>
        <v>217.83999633789063</v>
      </c>
      <c r="H1060">
        <f t="shared" si="32"/>
        <v>17427.19970703125</v>
      </c>
      <c r="I1060" t="str">
        <f t="shared" si="33"/>
        <v>Pass - Ready for Confirmation</v>
      </c>
    </row>
    <row r="1061" spans="1:9" x14ac:dyDescent="0.3">
      <c r="A1061" t="str">
        <f>FO_Capture!A1061</f>
        <v>TRD01060</v>
      </c>
      <c r="B1061" t="str">
        <f>FO_Capture!B1061</f>
        <v>INE003A01054</v>
      </c>
      <c r="C1061" t="str">
        <f>IFERROR(VLOOKUP(FO_Capture!C1061, Reference_Data!A:D, 2, FALSE), "UNKNOWN")</f>
        <v>Alpha Holdings 41</v>
      </c>
      <c r="D1061" t="str">
        <f>IFERROR(VLOOKUP(FO_Capture!C1061, Reference_Data!A:D, 3, FALSE), "XXX")</f>
        <v>JPY</v>
      </c>
      <c r="E1061" t="str">
        <f>IFERROR(VLOOKUP(FO_Capture!C1061, Reference_Data!A:D, 4, FALSE), "MISSING SSI")</f>
        <v>HSBC A/C 468615</v>
      </c>
      <c r="F1061">
        <f>FO_Capture!D1061</f>
        <v>100</v>
      </c>
      <c r="G1061">
        <f>FO_Capture!E1061</f>
        <v>435.42999267578125</v>
      </c>
      <c r="H1061">
        <f t="shared" si="32"/>
        <v>43542.999267578125</v>
      </c>
      <c r="I1061" t="str">
        <f t="shared" si="33"/>
        <v>Pass - Ready for Confirmation</v>
      </c>
    </row>
    <row r="1062" spans="1:9" x14ac:dyDescent="0.3">
      <c r="A1062" t="str">
        <f>FO_Capture!A1062</f>
        <v>TRD01061</v>
      </c>
      <c r="B1062" t="str">
        <f>FO_Capture!B1062</f>
        <v>INE008A01067</v>
      </c>
      <c r="C1062" t="str">
        <f>IFERROR(VLOOKUP(FO_Capture!C1062, Reference_Data!A:D, 2, FALSE), "UNKNOWN")</f>
        <v>Alpha Capital 44</v>
      </c>
      <c r="D1062" t="str">
        <f>IFERROR(VLOOKUP(FO_Capture!C1062, Reference_Data!A:D, 3, FALSE), "XXX")</f>
        <v>INR</v>
      </c>
      <c r="E1062" t="str">
        <f>IFERROR(VLOOKUP(FO_Capture!C1062, Reference_Data!A:D, 4, FALSE), "MISSING SSI")</f>
        <v>Deutsche Bank A/C 428758</v>
      </c>
      <c r="F1062">
        <f>FO_Capture!D1062</f>
        <v>240</v>
      </c>
      <c r="G1062">
        <f>FO_Capture!E1062</f>
        <v>11.600000381469727</v>
      </c>
      <c r="H1062">
        <f t="shared" si="32"/>
        <v>2784.0000915527344</v>
      </c>
      <c r="I1062" t="str">
        <f t="shared" si="33"/>
        <v>Pass - Ready for Confirmation</v>
      </c>
    </row>
    <row r="1063" spans="1:9" x14ac:dyDescent="0.3">
      <c r="A1063" t="str">
        <f>FO_Capture!A1063</f>
        <v>TRD01062</v>
      </c>
      <c r="B1063" t="str">
        <f>FO_Capture!B1063</f>
        <v>INE008A01041</v>
      </c>
      <c r="C1063" t="str">
        <f>IFERROR(VLOOKUP(FO_Capture!C1063, Reference_Data!A:D, 2, FALSE), "UNKNOWN")</f>
        <v>Alpha Partners 42</v>
      </c>
      <c r="D1063" t="str">
        <f>IFERROR(VLOOKUP(FO_Capture!C1063, Reference_Data!A:D, 3, FALSE), "XXX")</f>
        <v>USD</v>
      </c>
      <c r="E1063" t="str">
        <f>IFERROR(VLOOKUP(FO_Capture!C1063, Reference_Data!A:D, 4, FALSE), "MISSING SSI")</f>
        <v>Citi A/C 416082</v>
      </c>
      <c r="F1063">
        <f>FO_Capture!D1063</f>
        <v>200</v>
      </c>
      <c r="G1063">
        <f>FO_Capture!E1063</f>
        <v>103.83999633789063</v>
      </c>
      <c r="H1063">
        <f t="shared" si="32"/>
        <v>20767.999267578125</v>
      </c>
      <c r="I1063" t="str">
        <f t="shared" si="33"/>
        <v>Pass - Ready for Confirmation</v>
      </c>
    </row>
    <row r="1064" spans="1:9" x14ac:dyDescent="0.3">
      <c r="A1064" t="str">
        <f>FO_Capture!A1064</f>
        <v>TRD01063</v>
      </c>
      <c r="B1064" t="str">
        <f>FO_Capture!B1064</f>
        <v>INE009A01059</v>
      </c>
      <c r="C1064" t="str">
        <f>IFERROR(VLOOKUP(FO_Capture!C1064, Reference_Data!A:D, 2, FALSE), "UNKNOWN")</f>
        <v>Alpha Capital 11</v>
      </c>
      <c r="D1064" t="str">
        <f>IFERROR(VLOOKUP(FO_Capture!C1064, Reference_Data!A:D, 3, FALSE), "XXX")</f>
        <v>USD</v>
      </c>
      <c r="E1064" t="str">
        <f>IFERROR(VLOOKUP(FO_Capture!C1064, Reference_Data!A:D, 4, FALSE), "MISSING SSI")</f>
        <v>JPMorgan A/C 987170</v>
      </c>
      <c r="F1064">
        <f>FO_Capture!D1064</f>
        <v>340</v>
      </c>
      <c r="G1064">
        <f>FO_Capture!E1064</f>
        <v>377.42001342773438</v>
      </c>
      <c r="H1064">
        <f t="shared" si="32"/>
        <v>128322.80456542969</v>
      </c>
      <c r="I1064" t="str">
        <f t="shared" si="33"/>
        <v>Pass - Ready for Confirmation</v>
      </c>
    </row>
    <row r="1065" spans="1:9" x14ac:dyDescent="0.3">
      <c r="A1065" t="str">
        <f>FO_Capture!A1065</f>
        <v>TRD01064</v>
      </c>
      <c r="B1065" t="str">
        <f>FO_Capture!B1065</f>
        <v>INE006A01020</v>
      </c>
      <c r="C1065" t="str">
        <f>IFERROR(VLOOKUP(FO_Capture!C1065, Reference_Data!A:D, 2, FALSE), "UNKNOWN")</f>
        <v>Alpha Investments 40</v>
      </c>
      <c r="D1065" t="str">
        <f>IFERROR(VLOOKUP(FO_Capture!C1065, Reference_Data!A:D, 3, FALSE), "XXX")</f>
        <v>GBP</v>
      </c>
      <c r="E1065" t="str">
        <f>IFERROR(VLOOKUP(FO_Capture!C1065, Reference_Data!A:D, 4, FALSE), "MISSING SSI")</f>
        <v>HDFC A/C 897530</v>
      </c>
      <c r="F1065">
        <f>FO_Capture!D1065</f>
        <v>440</v>
      </c>
      <c r="G1065">
        <f>FO_Capture!E1065</f>
        <v>255.44000244140625</v>
      </c>
      <c r="H1065">
        <f t="shared" si="32"/>
        <v>112393.60107421875</v>
      </c>
      <c r="I1065" t="str">
        <f t="shared" si="33"/>
        <v>Pass - Ready for Confirmation</v>
      </c>
    </row>
    <row r="1066" spans="1:9" x14ac:dyDescent="0.3">
      <c r="A1066" t="str">
        <f>FO_Capture!A1066</f>
        <v>TRD01065</v>
      </c>
      <c r="B1066" t="str">
        <f>FO_Capture!B1066</f>
        <v>INE008A01084</v>
      </c>
      <c r="C1066" t="str">
        <f>IFERROR(VLOOKUP(FO_Capture!C1066, Reference_Data!A:D, 2, FALSE), "UNKNOWN")</f>
        <v>Alpha Asset Management 5</v>
      </c>
      <c r="D1066" t="str">
        <f>IFERROR(VLOOKUP(FO_Capture!C1066, Reference_Data!A:D, 3, FALSE), "XXX")</f>
        <v>INR</v>
      </c>
      <c r="E1066" t="str">
        <f>IFERROR(VLOOKUP(FO_Capture!C1066, Reference_Data!A:D, 4, FALSE), "MISSING SSI")</f>
        <v>JPMorgan A/C 860462</v>
      </c>
      <c r="F1066">
        <f>FO_Capture!D1066</f>
        <v>430</v>
      </c>
      <c r="G1066">
        <f>FO_Capture!E1066</f>
        <v>168.80999755859375</v>
      </c>
      <c r="H1066">
        <f t="shared" si="32"/>
        <v>72588.298950195313</v>
      </c>
      <c r="I1066" t="str">
        <f t="shared" si="33"/>
        <v>Pass - Ready for Confirmation</v>
      </c>
    </row>
    <row r="1067" spans="1:9" x14ac:dyDescent="0.3">
      <c r="A1067" t="str">
        <f>FO_Capture!A1067</f>
        <v>TRD01066</v>
      </c>
      <c r="B1067" t="str">
        <f>FO_Capture!B1067</f>
        <v>INE004A01028</v>
      </c>
      <c r="C1067" t="str">
        <f>IFERROR(VLOOKUP(FO_Capture!C1067, Reference_Data!A:D, 2, FALSE), "UNKNOWN")</f>
        <v>Alpha Holdings 47</v>
      </c>
      <c r="D1067" t="str">
        <f>IFERROR(VLOOKUP(FO_Capture!C1067, Reference_Data!A:D, 3, FALSE), "XXX")</f>
        <v>GBP</v>
      </c>
      <c r="E1067" t="str">
        <f>IFERROR(VLOOKUP(FO_Capture!C1067, Reference_Data!A:D, 4, FALSE), "MISSING SSI")</f>
        <v>Citi A/C 703401</v>
      </c>
      <c r="F1067">
        <f>FO_Capture!D1067</f>
        <v>180</v>
      </c>
      <c r="G1067">
        <f>FO_Capture!E1067</f>
        <v>306.25</v>
      </c>
      <c r="H1067">
        <f t="shared" si="32"/>
        <v>55125</v>
      </c>
      <c r="I1067" t="str">
        <f t="shared" si="33"/>
        <v>Pass - Ready for Confirmation</v>
      </c>
    </row>
    <row r="1068" spans="1:9" x14ac:dyDescent="0.3">
      <c r="A1068" t="str">
        <f>FO_Capture!A1068</f>
        <v>TRD01067</v>
      </c>
      <c r="B1068" t="str">
        <f>FO_Capture!B1068</f>
        <v>INE008A01089</v>
      </c>
      <c r="C1068" t="str">
        <f>IFERROR(VLOOKUP(FO_Capture!C1068, Reference_Data!A:D, 2, FALSE), "UNKNOWN")</f>
        <v>Alpha Global 45</v>
      </c>
      <c r="D1068" t="str">
        <f>IFERROR(VLOOKUP(FO_Capture!C1068, Reference_Data!A:D, 3, FALSE), "XXX")</f>
        <v>EUR</v>
      </c>
      <c r="E1068" t="str">
        <f>IFERROR(VLOOKUP(FO_Capture!C1068, Reference_Data!A:D, 4, FALSE), "MISSING SSI")</f>
        <v>HSBC A/C 540659</v>
      </c>
      <c r="F1068">
        <f>FO_Capture!D1068</f>
        <v>200</v>
      </c>
      <c r="G1068">
        <f>FO_Capture!E1068</f>
        <v>364.27999877929688</v>
      </c>
      <c r="H1068">
        <f t="shared" si="32"/>
        <v>72855.999755859375</v>
      </c>
      <c r="I1068" t="str">
        <f t="shared" si="33"/>
        <v>Pass - Ready for Confirmation</v>
      </c>
    </row>
    <row r="1069" spans="1:9" x14ac:dyDescent="0.3">
      <c r="A1069" t="str">
        <f>FO_Capture!A1069</f>
        <v>TRD01068</v>
      </c>
      <c r="B1069" t="str">
        <f>FO_Capture!B1069</f>
        <v>INE004A01025</v>
      </c>
      <c r="C1069" t="str">
        <f>IFERROR(VLOOKUP(FO_Capture!C1069, Reference_Data!A:D, 2, FALSE), "UNKNOWN")</f>
        <v>Alpha Investments 40</v>
      </c>
      <c r="D1069" t="str">
        <f>IFERROR(VLOOKUP(FO_Capture!C1069, Reference_Data!A:D, 3, FALSE), "XXX")</f>
        <v>GBP</v>
      </c>
      <c r="E1069" t="str">
        <f>IFERROR(VLOOKUP(FO_Capture!C1069, Reference_Data!A:D, 4, FALSE), "MISSING SSI")</f>
        <v>HDFC A/C 897530</v>
      </c>
      <c r="F1069">
        <f>FO_Capture!D1069</f>
        <v>410</v>
      </c>
      <c r="G1069">
        <f>FO_Capture!E1069</f>
        <v>297.26998901367188</v>
      </c>
      <c r="H1069">
        <f t="shared" si="32"/>
        <v>121880.69549560547</v>
      </c>
      <c r="I1069" t="str">
        <f t="shared" si="33"/>
        <v>Pass - Ready for Confirmation</v>
      </c>
    </row>
    <row r="1070" spans="1:9" x14ac:dyDescent="0.3">
      <c r="A1070" t="str">
        <f>FO_Capture!A1070</f>
        <v>TRD01069</v>
      </c>
      <c r="B1070" t="str">
        <f>FO_Capture!B1070</f>
        <v>INE007A01050</v>
      </c>
      <c r="C1070" t="str">
        <f>IFERROR(VLOOKUP(FO_Capture!C1070, Reference_Data!A:D, 2, FALSE), "UNKNOWN")</f>
        <v>Alpha Asset Management 13</v>
      </c>
      <c r="D1070" t="str">
        <f>IFERROR(VLOOKUP(FO_Capture!C1070, Reference_Data!A:D, 3, FALSE), "XXX")</f>
        <v>INR</v>
      </c>
      <c r="E1070" t="str">
        <f>IFERROR(VLOOKUP(FO_Capture!C1070, Reference_Data!A:D, 4, FALSE), "MISSING SSI")</f>
        <v>HSBC A/C 972195</v>
      </c>
      <c r="F1070">
        <f>FO_Capture!D1070</f>
        <v>430</v>
      </c>
      <c r="G1070">
        <f>FO_Capture!E1070</f>
        <v>67.349998474121094</v>
      </c>
      <c r="H1070">
        <f t="shared" si="32"/>
        <v>28960.49934387207</v>
      </c>
      <c r="I1070" t="str">
        <f t="shared" si="33"/>
        <v>Pass - Ready for Confirmation</v>
      </c>
    </row>
    <row r="1071" spans="1:9" x14ac:dyDescent="0.3">
      <c r="A1071" t="str">
        <f>FO_Capture!A1071</f>
        <v>TRD01070</v>
      </c>
      <c r="B1071" t="str">
        <f>FO_Capture!B1071</f>
        <v>INE008A01098</v>
      </c>
      <c r="C1071" t="str">
        <f>IFERROR(VLOOKUP(FO_Capture!C1071, Reference_Data!A:D, 2, FALSE), "UNKNOWN")</f>
        <v>Alpha Capital 7</v>
      </c>
      <c r="D1071" t="str">
        <f>IFERROR(VLOOKUP(FO_Capture!C1071, Reference_Data!A:D, 3, FALSE), "XXX")</f>
        <v>INR</v>
      </c>
      <c r="E1071" t="str">
        <f>IFERROR(VLOOKUP(FO_Capture!C1071, Reference_Data!A:D, 4, FALSE), "MISSING SSI")</f>
        <v>Standard Chartered A/C 682134</v>
      </c>
      <c r="F1071">
        <f>FO_Capture!D1071</f>
        <v>250</v>
      </c>
      <c r="G1071">
        <f>FO_Capture!E1071</f>
        <v>394.51998901367188</v>
      </c>
      <c r="H1071">
        <f t="shared" si="32"/>
        <v>98629.997253417969</v>
      </c>
      <c r="I1071" t="str">
        <f t="shared" si="33"/>
        <v>Pass - Ready for Confirmation</v>
      </c>
    </row>
    <row r="1072" spans="1:9" x14ac:dyDescent="0.3">
      <c r="A1072" t="str">
        <f>FO_Capture!A1072</f>
        <v>TRD01071</v>
      </c>
      <c r="B1072" t="str">
        <f>FO_Capture!B1072</f>
        <v>INE006A01065</v>
      </c>
      <c r="C1072" t="str">
        <f>IFERROR(VLOOKUP(FO_Capture!C1072, Reference_Data!A:D, 2, FALSE), "UNKNOWN")</f>
        <v>Alpha Asset Management 4</v>
      </c>
      <c r="D1072" t="str">
        <f>IFERROR(VLOOKUP(FO_Capture!C1072, Reference_Data!A:D, 3, FALSE), "XXX")</f>
        <v>JPY</v>
      </c>
      <c r="E1072" t="str">
        <f>IFERROR(VLOOKUP(FO_Capture!C1072, Reference_Data!A:D, 4, FALSE), "MISSING SSI")</f>
        <v>Deutsche Bank A/C 126543</v>
      </c>
      <c r="F1072">
        <f>FO_Capture!D1072</f>
        <v>50</v>
      </c>
      <c r="G1072">
        <f>FO_Capture!E1072</f>
        <v>506.54000854492188</v>
      </c>
      <c r="H1072">
        <f t="shared" si="32"/>
        <v>25327.000427246094</v>
      </c>
      <c r="I1072" t="str">
        <f t="shared" si="33"/>
        <v>Pass - Ready for Confirmation</v>
      </c>
    </row>
    <row r="1073" spans="1:9" x14ac:dyDescent="0.3">
      <c r="A1073" t="str">
        <f>FO_Capture!A1073</f>
        <v>TRD01072</v>
      </c>
      <c r="B1073" t="str">
        <f>FO_Capture!B1073</f>
        <v>INE004A01059</v>
      </c>
      <c r="C1073" t="str">
        <f>IFERROR(VLOOKUP(FO_Capture!C1073, Reference_Data!A:D, 2, FALSE), "UNKNOWN")</f>
        <v>Alpha Holdings 49</v>
      </c>
      <c r="D1073" t="str">
        <f>IFERROR(VLOOKUP(FO_Capture!C1073, Reference_Data!A:D, 3, FALSE), "XXX")</f>
        <v>JPY</v>
      </c>
      <c r="E1073" t="str">
        <f>IFERROR(VLOOKUP(FO_Capture!C1073, Reference_Data!A:D, 4, FALSE), "MISSING SSI")</f>
        <v>HDFC A/C 679335</v>
      </c>
      <c r="F1073">
        <f>FO_Capture!D1073</f>
        <v>410</v>
      </c>
      <c r="G1073">
        <f>FO_Capture!E1073</f>
        <v>389.010009765625</v>
      </c>
      <c r="H1073">
        <f t="shared" si="32"/>
        <v>159494.10400390625</v>
      </c>
      <c r="I1073" t="str">
        <f t="shared" si="33"/>
        <v>Pass - Ready for Confirmation</v>
      </c>
    </row>
    <row r="1074" spans="1:9" x14ac:dyDescent="0.3">
      <c r="A1074" t="str">
        <f>FO_Capture!A1074</f>
        <v>TRD01073</v>
      </c>
      <c r="B1074" t="str">
        <f>FO_Capture!B1074</f>
        <v>INE006A01057</v>
      </c>
      <c r="C1074" t="str">
        <f>IFERROR(VLOOKUP(FO_Capture!C1074, Reference_Data!A:D, 2, FALSE), "UNKNOWN")</f>
        <v>Alpha Global 25</v>
      </c>
      <c r="D1074" t="str">
        <f>IFERROR(VLOOKUP(FO_Capture!C1074, Reference_Data!A:D, 3, FALSE), "XXX")</f>
        <v>EUR</v>
      </c>
      <c r="E1074" t="str">
        <f>IFERROR(VLOOKUP(FO_Capture!C1074, Reference_Data!A:D, 4, FALSE), "MISSING SSI")</f>
        <v>Standard Chartered A/C 438949</v>
      </c>
      <c r="F1074">
        <f>FO_Capture!D1074</f>
        <v>100</v>
      </c>
      <c r="G1074">
        <f>FO_Capture!E1074</f>
        <v>35.349998474121094</v>
      </c>
      <c r="H1074">
        <f t="shared" si="32"/>
        <v>3534.9998474121094</v>
      </c>
      <c r="I1074" t="str">
        <f t="shared" si="33"/>
        <v>Pass - Ready for Confirmation</v>
      </c>
    </row>
    <row r="1075" spans="1:9" x14ac:dyDescent="0.3">
      <c r="A1075" t="str">
        <f>FO_Capture!A1075</f>
        <v>TRD01074</v>
      </c>
      <c r="B1075" t="str">
        <f>FO_Capture!B1075</f>
        <v>INE009A01044</v>
      </c>
      <c r="C1075" t="str">
        <f>IFERROR(VLOOKUP(FO_Capture!C1075, Reference_Data!A:D, 2, FALSE), "UNKNOWN")</f>
        <v>Alpha Global 30</v>
      </c>
      <c r="D1075" t="str">
        <f>IFERROR(VLOOKUP(FO_Capture!C1075, Reference_Data!A:D, 3, FALSE), "XXX")</f>
        <v>JPY</v>
      </c>
      <c r="E1075" t="str">
        <f>IFERROR(VLOOKUP(FO_Capture!C1075, Reference_Data!A:D, 4, FALSE), "MISSING SSI")</f>
        <v>Deutsche Bank A/C 917262</v>
      </c>
      <c r="F1075">
        <f>FO_Capture!D1075</f>
        <v>280</v>
      </c>
      <c r="G1075">
        <f>FO_Capture!E1075</f>
        <v>196.77999877929688</v>
      </c>
      <c r="H1075">
        <f t="shared" si="32"/>
        <v>55098.399658203125</v>
      </c>
      <c r="I1075" t="str">
        <f t="shared" si="33"/>
        <v>Pass - Ready for Confirmation</v>
      </c>
    </row>
    <row r="1076" spans="1:9" x14ac:dyDescent="0.3">
      <c r="A1076" t="str">
        <f>FO_Capture!A1076</f>
        <v>TRD01075</v>
      </c>
      <c r="B1076" t="str">
        <f>FO_Capture!B1076</f>
        <v>INE004A01075</v>
      </c>
      <c r="C1076" t="str">
        <f>IFERROR(VLOOKUP(FO_Capture!C1076, Reference_Data!A:D, 2, FALSE), "UNKNOWN")</f>
        <v>Alpha Holdings 47</v>
      </c>
      <c r="D1076" t="str">
        <f>IFERROR(VLOOKUP(FO_Capture!C1076, Reference_Data!A:D, 3, FALSE), "XXX")</f>
        <v>GBP</v>
      </c>
      <c r="E1076" t="str">
        <f>IFERROR(VLOOKUP(FO_Capture!C1076, Reference_Data!A:D, 4, FALSE), "MISSING SSI")</f>
        <v>Citi A/C 703401</v>
      </c>
      <c r="F1076">
        <f>FO_Capture!D1076</f>
        <v>280</v>
      </c>
      <c r="G1076">
        <f>FO_Capture!E1076</f>
        <v>132.30999755859375</v>
      </c>
      <c r="H1076">
        <f t="shared" si="32"/>
        <v>37046.79931640625</v>
      </c>
      <c r="I1076" t="str">
        <f t="shared" si="33"/>
        <v>Pass - Ready for Confirmation</v>
      </c>
    </row>
    <row r="1077" spans="1:9" x14ac:dyDescent="0.3">
      <c r="A1077" t="str">
        <f>FO_Capture!A1077</f>
        <v>TRD01076</v>
      </c>
      <c r="B1077" t="str">
        <f>FO_Capture!B1077</f>
        <v>INE007A01015</v>
      </c>
      <c r="C1077" t="str">
        <f>IFERROR(VLOOKUP(FO_Capture!C1077, Reference_Data!A:D, 2, FALSE), "UNKNOWN")</f>
        <v>Alpha Quant Fund 24</v>
      </c>
      <c r="D1077" t="str">
        <f>IFERROR(VLOOKUP(FO_Capture!C1077, Reference_Data!A:D, 3, FALSE), "XXX")</f>
        <v>SGD</v>
      </c>
      <c r="E1077" t="str">
        <f>IFERROR(VLOOKUP(FO_Capture!C1077, Reference_Data!A:D, 4, FALSE), "MISSING SSI")</f>
        <v>JPMorgan A/C 603587</v>
      </c>
      <c r="F1077">
        <f>FO_Capture!D1077</f>
        <v>330</v>
      </c>
      <c r="G1077">
        <f>FO_Capture!E1077</f>
        <v>358.80999755859375</v>
      </c>
      <c r="H1077">
        <f t="shared" si="32"/>
        <v>118407.29919433594</v>
      </c>
      <c r="I1077" t="str">
        <f t="shared" si="33"/>
        <v>Pass - Ready for Confirmation</v>
      </c>
    </row>
    <row r="1078" spans="1:9" x14ac:dyDescent="0.3">
      <c r="A1078" t="str">
        <f>FO_Capture!A1078</f>
        <v>TRD01077</v>
      </c>
      <c r="B1078" t="str">
        <f>FO_Capture!B1078</f>
        <v>INE005A01093</v>
      </c>
      <c r="C1078" t="str">
        <f>IFERROR(VLOOKUP(FO_Capture!C1078, Reference_Data!A:D, 2, FALSE), "UNKNOWN")</f>
        <v>Alpha Quant Fund 50</v>
      </c>
      <c r="D1078" t="str">
        <f>IFERROR(VLOOKUP(FO_Capture!C1078, Reference_Data!A:D, 3, FALSE), "XXX")</f>
        <v>SGD</v>
      </c>
      <c r="E1078" t="str">
        <f>IFERROR(VLOOKUP(FO_Capture!C1078, Reference_Data!A:D, 4, FALSE), "MISSING SSI")</f>
        <v>Standard Chartered A/C 307017</v>
      </c>
      <c r="F1078">
        <f>FO_Capture!D1078</f>
        <v>360</v>
      </c>
      <c r="G1078">
        <f>FO_Capture!E1078</f>
        <v>400.94000244140625</v>
      </c>
      <c r="H1078">
        <f t="shared" si="32"/>
        <v>144338.40087890625</v>
      </c>
      <c r="I1078" t="str">
        <f t="shared" si="33"/>
        <v>Pass - Ready for Confirmation</v>
      </c>
    </row>
    <row r="1079" spans="1:9" x14ac:dyDescent="0.3">
      <c r="A1079" t="str">
        <f>FO_Capture!A1079</f>
        <v>TRD01078</v>
      </c>
      <c r="B1079" t="str">
        <f>FO_Capture!B1079</f>
        <v>INE001A01056</v>
      </c>
      <c r="C1079" t="str">
        <f>IFERROR(VLOOKUP(FO_Capture!C1079, Reference_Data!A:D, 2, FALSE), "UNKNOWN")</f>
        <v>Alpha Partners 22</v>
      </c>
      <c r="D1079" t="str">
        <f>IFERROR(VLOOKUP(FO_Capture!C1079, Reference_Data!A:D, 3, FALSE), "XXX")</f>
        <v>GBP</v>
      </c>
      <c r="E1079" t="str">
        <f>IFERROR(VLOOKUP(FO_Capture!C1079, Reference_Data!A:D, 4, FALSE), "MISSING SSI")</f>
        <v>JPMorgan A/C 488546</v>
      </c>
      <c r="F1079">
        <f>FO_Capture!D1079</f>
        <v>180</v>
      </c>
      <c r="G1079">
        <f>FO_Capture!E1079</f>
        <v>41.150001525878906</v>
      </c>
      <c r="H1079">
        <f t="shared" si="32"/>
        <v>7407.0002746582031</v>
      </c>
      <c r="I1079" t="str">
        <f t="shared" si="33"/>
        <v>Pass - Ready for Confirmation</v>
      </c>
    </row>
    <row r="1080" spans="1:9" x14ac:dyDescent="0.3">
      <c r="A1080" t="str">
        <f>FO_Capture!A1080</f>
        <v>TRD01079</v>
      </c>
      <c r="B1080" t="str">
        <f>FO_Capture!B1080</f>
        <v>INE001A01011</v>
      </c>
      <c r="C1080" t="str">
        <f>IFERROR(VLOOKUP(FO_Capture!C1080, Reference_Data!A:D, 2, FALSE), "UNKNOWN")</f>
        <v>Alpha Global 30</v>
      </c>
      <c r="D1080" t="str">
        <f>IFERROR(VLOOKUP(FO_Capture!C1080, Reference_Data!A:D, 3, FALSE), "XXX")</f>
        <v>JPY</v>
      </c>
      <c r="E1080" t="str">
        <f>IFERROR(VLOOKUP(FO_Capture!C1080, Reference_Data!A:D, 4, FALSE), "MISSING SSI")</f>
        <v>Deutsche Bank A/C 917262</v>
      </c>
      <c r="F1080">
        <f>FO_Capture!D1080</f>
        <v>280</v>
      </c>
      <c r="G1080">
        <f>FO_Capture!E1080</f>
        <v>69.730003356933594</v>
      </c>
      <c r="H1080">
        <f t="shared" si="32"/>
        <v>19524.400939941406</v>
      </c>
      <c r="I1080" t="str">
        <f t="shared" si="33"/>
        <v>Pass - Ready for Confirmation</v>
      </c>
    </row>
    <row r="1081" spans="1:9" x14ac:dyDescent="0.3">
      <c r="A1081" t="str">
        <f>FO_Capture!A1081</f>
        <v>TRD01080</v>
      </c>
      <c r="B1081" t="str">
        <f>FO_Capture!B1081</f>
        <v>INE005A01080</v>
      </c>
      <c r="C1081" t="str">
        <f>IFERROR(VLOOKUP(FO_Capture!C1081, Reference_Data!A:D, 2, FALSE), "UNKNOWN")</f>
        <v>Alpha Quant Fund 24</v>
      </c>
      <c r="D1081" t="str">
        <f>IFERROR(VLOOKUP(FO_Capture!C1081, Reference_Data!A:D, 3, FALSE), "XXX")</f>
        <v>SGD</v>
      </c>
      <c r="E1081" t="str">
        <f>IFERROR(VLOOKUP(FO_Capture!C1081, Reference_Data!A:D, 4, FALSE), "MISSING SSI")</f>
        <v>JPMorgan A/C 603587</v>
      </c>
      <c r="F1081">
        <f>FO_Capture!D1081</f>
        <v>50</v>
      </c>
      <c r="G1081">
        <f>FO_Capture!E1081</f>
        <v>34.790000915527344</v>
      </c>
      <c r="H1081">
        <f t="shared" si="32"/>
        <v>1739.5000457763672</v>
      </c>
      <c r="I1081" t="str">
        <f t="shared" si="33"/>
        <v>Pass - Ready for Confirmation</v>
      </c>
    </row>
    <row r="1082" spans="1:9" x14ac:dyDescent="0.3">
      <c r="A1082" t="str">
        <f>FO_Capture!A1082</f>
        <v>TRD01081</v>
      </c>
      <c r="B1082" t="str">
        <f>FO_Capture!B1082</f>
        <v>INE004A01051</v>
      </c>
      <c r="C1082" t="str">
        <f>IFERROR(VLOOKUP(FO_Capture!C1082, Reference_Data!A:D, 2, FALSE), "UNKNOWN")</f>
        <v>Alpha Capital 44</v>
      </c>
      <c r="D1082" t="str">
        <f>IFERROR(VLOOKUP(FO_Capture!C1082, Reference_Data!A:D, 3, FALSE), "XXX")</f>
        <v>INR</v>
      </c>
      <c r="E1082" t="str">
        <f>IFERROR(VLOOKUP(FO_Capture!C1082, Reference_Data!A:D, 4, FALSE), "MISSING SSI")</f>
        <v>Deutsche Bank A/C 428758</v>
      </c>
      <c r="F1082">
        <f>FO_Capture!D1082</f>
        <v>80</v>
      </c>
      <c r="G1082">
        <f>FO_Capture!E1082</f>
        <v>492.23001098632813</v>
      </c>
      <c r="H1082">
        <f t="shared" si="32"/>
        <v>39378.40087890625</v>
      </c>
      <c r="I1082" t="str">
        <f t="shared" si="33"/>
        <v>Pass - Ready for Confirmation</v>
      </c>
    </row>
    <row r="1083" spans="1:9" x14ac:dyDescent="0.3">
      <c r="A1083" t="str">
        <f>FO_Capture!A1083</f>
        <v>TRD01082</v>
      </c>
      <c r="B1083" t="str">
        <f>FO_Capture!B1083</f>
        <v>INE009A01024</v>
      </c>
      <c r="C1083" t="str">
        <f>IFERROR(VLOOKUP(FO_Capture!C1083, Reference_Data!A:D, 2, FALSE), "UNKNOWN")</f>
        <v>Alpha Investments 43</v>
      </c>
      <c r="D1083" t="str">
        <f>IFERROR(VLOOKUP(FO_Capture!C1083, Reference_Data!A:D, 3, FALSE), "XXX")</f>
        <v>EUR</v>
      </c>
      <c r="E1083" t="str">
        <f>IFERROR(VLOOKUP(FO_Capture!C1083, Reference_Data!A:D, 4, FALSE), "MISSING SSI")</f>
        <v>Citi A/C 714496</v>
      </c>
      <c r="F1083">
        <f>FO_Capture!D1083</f>
        <v>320</v>
      </c>
      <c r="G1083">
        <f>FO_Capture!E1083</f>
        <v>255.75999450683594</v>
      </c>
      <c r="H1083">
        <f t="shared" si="32"/>
        <v>81843.1982421875</v>
      </c>
      <c r="I1083" t="str">
        <f t="shared" si="33"/>
        <v>Pass - Ready for Confirmation</v>
      </c>
    </row>
    <row r="1084" spans="1:9" x14ac:dyDescent="0.3">
      <c r="A1084" t="str">
        <f>FO_Capture!A1084</f>
        <v>TRD01083</v>
      </c>
      <c r="B1084" t="str">
        <f>FO_Capture!B1084</f>
        <v>INE008A01063</v>
      </c>
      <c r="C1084" t="str">
        <f>IFERROR(VLOOKUP(FO_Capture!C1084, Reference_Data!A:D, 2, FALSE), "UNKNOWN")</f>
        <v>Alpha Asset Management 13</v>
      </c>
      <c r="D1084" t="str">
        <f>IFERROR(VLOOKUP(FO_Capture!C1084, Reference_Data!A:D, 3, FALSE), "XXX")</f>
        <v>INR</v>
      </c>
      <c r="E1084" t="str">
        <f>IFERROR(VLOOKUP(FO_Capture!C1084, Reference_Data!A:D, 4, FALSE), "MISSING SSI")</f>
        <v>HSBC A/C 972195</v>
      </c>
      <c r="F1084">
        <f>FO_Capture!D1084</f>
        <v>440</v>
      </c>
      <c r="G1084">
        <f>FO_Capture!E1084</f>
        <v>146.92999267578125</v>
      </c>
      <c r="H1084">
        <f t="shared" si="32"/>
        <v>64649.19677734375</v>
      </c>
      <c r="I1084" t="str">
        <f t="shared" si="33"/>
        <v>Pass - Ready for Confirmation</v>
      </c>
    </row>
    <row r="1085" spans="1:9" x14ac:dyDescent="0.3">
      <c r="A1085" t="str">
        <f>FO_Capture!A1085</f>
        <v>TRD01084</v>
      </c>
      <c r="B1085" t="str">
        <f>FO_Capture!B1085</f>
        <v>INE006A01048</v>
      </c>
      <c r="C1085" t="str">
        <f>IFERROR(VLOOKUP(FO_Capture!C1085, Reference_Data!A:D, 2, FALSE), "UNKNOWN")</f>
        <v>Alpha Partners 6</v>
      </c>
      <c r="D1085" t="str">
        <f>IFERROR(VLOOKUP(FO_Capture!C1085, Reference_Data!A:D, 3, FALSE), "XXX")</f>
        <v>INR</v>
      </c>
      <c r="E1085" t="str">
        <f>IFERROR(VLOOKUP(FO_Capture!C1085, Reference_Data!A:D, 4, FALSE), "MISSING SSI")</f>
        <v>Standard Chartered A/C 441247</v>
      </c>
      <c r="F1085">
        <f>FO_Capture!D1085</f>
        <v>470</v>
      </c>
      <c r="G1085">
        <f>FO_Capture!E1085</f>
        <v>245.07000732421875</v>
      </c>
      <c r="H1085">
        <f t="shared" si="32"/>
        <v>115182.90344238281</v>
      </c>
      <c r="I1085" t="str">
        <f t="shared" si="33"/>
        <v>Pass - Ready for Confirmation</v>
      </c>
    </row>
    <row r="1086" spans="1:9" x14ac:dyDescent="0.3">
      <c r="A1086" t="str">
        <f>FO_Capture!A1086</f>
        <v>TRD01085</v>
      </c>
      <c r="B1086" t="str">
        <f>FO_Capture!B1086</f>
        <v>INE003A01021</v>
      </c>
      <c r="C1086" t="str">
        <f>IFERROR(VLOOKUP(FO_Capture!C1086, Reference_Data!A:D, 2, FALSE), "UNKNOWN")</f>
        <v>Alpha Investments 17</v>
      </c>
      <c r="D1086" t="str">
        <f>IFERROR(VLOOKUP(FO_Capture!C1086, Reference_Data!A:D, 3, FALSE), "XXX")</f>
        <v>USD</v>
      </c>
      <c r="E1086" t="str">
        <f>IFERROR(VLOOKUP(FO_Capture!C1086, Reference_Data!A:D, 4, FALSE), "MISSING SSI")</f>
        <v>HDFC A/C 113752</v>
      </c>
      <c r="F1086">
        <f>FO_Capture!D1086</f>
        <v>150</v>
      </c>
      <c r="G1086">
        <f>FO_Capture!E1086</f>
        <v>137.35000610351563</v>
      </c>
      <c r="H1086">
        <f t="shared" si="32"/>
        <v>20602.500915527344</v>
      </c>
      <c r="I1086" t="str">
        <f t="shared" si="33"/>
        <v>Pass - Ready for Confirmation</v>
      </c>
    </row>
    <row r="1087" spans="1:9" x14ac:dyDescent="0.3">
      <c r="A1087" t="str">
        <f>FO_Capture!A1087</f>
        <v>TRD01086</v>
      </c>
      <c r="B1087" t="str">
        <f>FO_Capture!B1087</f>
        <v>INE008A01039</v>
      </c>
      <c r="C1087" t="str">
        <f>IFERROR(VLOOKUP(FO_Capture!C1087, Reference_Data!A:D, 2, FALSE), "UNKNOWN")</f>
        <v>Alpha Partners 1</v>
      </c>
      <c r="D1087" t="str">
        <f>IFERROR(VLOOKUP(FO_Capture!C1087, Reference_Data!A:D, 3, FALSE), "XXX")</f>
        <v>JPY</v>
      </c>
      <c r="E1087" t="str">
        <f>IFERROR(VLOOKUP(FO_Capture!C1087, Reference_Data!A:D, 4, FALSE), "MISSING SSI")</f>
        <v>Standard Chartered A/C 277005</v>
      </c>
      <c r="F1087">
        <f>FO_Capture!D1087</f>
        <v>110</v>
      </c>
      <c r="G1087">
        <f>FO_Capture!E1087</f>
        <v>168.74000549316406</v>
      </c>
      <c r="H1087">
        <f t="shared" si="32"/>
        <v>18561.400604248047</v>
      </c>
      <c r="I1087" t="str">
        <f t="shared" si="33"/>
        <v>Pass - Ready for Confirmation</v>
      </c>
    </row>
    <row r="1088" spans="1:9" x14ac:dyDescent="0.3">
      <c r="A1088" t="str">
        <f>FO_Capture!A1088</f>
        <v>TRD01087</v>
      </c>
      <c r="B1088" t="str">
        <f>FO_Capture!B1088</f>
        <v>INE007A01023</v>
      </c>
      <c r="C1088" t="str">
        <f>IFERROR(VLOOKUP(FO_Capture!C1088, Reference_Data!A:D, 2, FALSE), "UNKNOWN")</f>
        <v>Alpha Global 2</v>
      </c>
      <c r="D1088" t="str">
        <f>IFERROR(VLOOKUP(FO_Capture!C1088, Reference_Data!A:D, 3, FALSE), "XXX")</f>
        <v>GBP</v>
      </c>
      <c r="E1088" t="str">
        <f>IFERROR(VLOOKUP(FO_Capture!C1088, Reference_Data!A:D, 4, FALSE), "MISSING SSI")</f>
        <v>JPMorgan A/C 582379</v>
      </c>
      <c r="F1088">
        <f>FO_Capture!D1088</f>
        <v>150</v>
      </c>
      <c r="G1088">
        <f>FO_Capture!E1088</f>
        <v>192.00999450683594</v>
      </c>
      <c r="H1088">
        <f t="shared" si="32"/>
        <v>28801.499176025391</v>
      </c>
      <c r="I1088" t="str">
        <f t="shared" si="33"/>
        <v>Pass - Ready for Confirmation</v>
      </c>
    </row>
    <row r="1089" spans="1:9" x14ac:dyDescent="0.3">
      <c r="A1089" t="str">
        <f>FO_Capture!A1089</f>
        <v>TRD01088</v>
      </c>
      <c r="B1089" t="str">
        <f>FO_Capture!B1089</f>
        <v>INE003A0108</v>
      </c>
      <c r="C1089" t="str">
        <f>IFERROR(VLOOKUP(FO_Capture!C1089, Reference_Data!A:D, 2, FALSE), "UNKNOWN")</f>
        <v>Alpha Global 28</v>
      </c>
      <c r="D1089" t="str">
        <f>IFERROR(VLOOKUP(FO_Capture!C1089, Reference_Data!A:D, 3, FALSE), "XXX")</f>
        <v>USD</v>
      </c>
      <c r="E1089" t="str">
        <f>IFERROR(VLOOKUP(FO_Capture!C1089, Reference_Data!A:D, 4, FALSE), "MISSING SSI")</f>
        <v>HDFC A/C 638209</v>
      </c>
      <c r="F1089">
        <f>FO_Capture!D1089</f>
        <v>480</v>
      </c>
      <c r="G1089">
        <f>FO_Capture!E1089</f>
        <v>317.77999877929688</v>
      </c>
      <c r="H1089">
        <f t="shared" si="32"/>
        <v>152534.3994140625</v>
      </c>
      <c r="I1089" t="str">
        <f t="shared" si="33"/>
        <v>Pass - Ready for Confirmation</v>
      </c>
    </row>
    <row r="1090" spans="1:9" x14ac:dyDescent="0.3">
      <c r="A1090" t="str">
        <f>FO_Capture!A1090</f>
        <v>TRD01089</v>
      </c>
      <c r="B1090" t="str">
        <f>FO_Capture!B1090</f>
        <v>INE003A01092</v>
      </c>
      <c r="C1090" t="str">
        <f>IFERROR(VLOOKUP(FO_Capture!C1090, Reference_Data!A:D, 2, FALSE), "UNKNOWN")</f>
        <v>Alpha Global 25</v>
      </c>
      <c r="D1090" t="str">
        <f>IFERROR(VLOOKUP(FO_Capture!C1090, Reference_Data!A:D, 3, FALSE), "XXX")</f>
        <v>EUR</v>
      </c>
      <c r="E1090" t="str">
        <f>IFERROR(VLOOKUP(FO_Capture!C1090, Reference_Data!A:D, 4, FALSE), "MISSING SSI")</f>
        <v>Standard Chartered A/C 438949</v>
      </c>
      <c r="F1090">
        <f>FO_Capture!D1090</f>
        <v>480</v>
      </c>
      <c r="G1090">
        <f>FO_Capture!E1090</f>
        <v>164.42999267578125</v>
      </c>
      <c r="H1090">
        <f t="shared" si="32"/>
        <v>78926.396484375</v>
      </c>
      <c r="I1090" t="str">
        <f t="shared" si="33"/>
        <v>Pass - Ready for Confirmation</v>
      </c>
    </row>
    <row r="1091" spans="1:9" x14ac:dyDescent="0.3">
      <c r="A1091" t="str">
        <f>FO_Capture!A1091</f>
        <v>TRD01090</v>
      </c>
      <c r="B1091" t="str">
        <f>FO_Capture!B1091</f>
        <v>INE007A01090</v>
      </c>
      <c r="C1091" t="str">
        <f>IFERROR(VLOOKUP(FO_Capture!C1091, Reference_Data!A:D, 2, FALSE), "UNKNOWN")</f>
        <v>Alpha Global 2</v>
      </c>
      <c r="D1091" t="str">
        <f>IFERROR(VLOOKUP(FO_Capture!C1091, Reference_Data!A:D, 3, FALSE), "XXX")</f>
        <v>GBP</v>
      </c>
      <c r="E1091" t="str">
        <f>IFERROR(VLOOKUP(FO_Capture!C1091, Reference_Data!A:D, 4, FALSE), "MISSING SSI")</f>
        <v>JPMorgan A/C 582379</v>
      </c>
      <c r="F1091">
        <f>FO_Capture!D1091</f>
        <v>440</v>
      </c>
      <c r="G1091">
        <f>FO_Capture!E1091</f>
        <v>108.19999694824219</v>
      </c>
      <c r="H1091">
        <f t="shared" ref="H1091:H1154" si="34">F1091 * G1091</f>
        <v>47607.998657226563</v>
      </c>
      <c r="I1091" t="str">
        <f t="shared" ref="I1091:I1154" si="35">IF(C1091="UNKNOWN", "Fail - Missing Ref Data", IF(OR(F1091&lt;=0, G1091&lt;=0), "Fail - Invalid Price/Qty", IF(H1091&gt;1000000, "Exception - Limit Breach", "Pass - Ready for Confirmation")))</f>
        <v>Pass - Ready for Confirmation</v>
      </c>
    </row>
    <row r="1092" spans="1:9" x14ac:dyDescent="0.3">
      <c r="A1092" t="str">
        <f>FO_Capture!A1092</f>
        <v>TRD01091</v>
      </c>
      <c r="B1092" t="str">
        <f>FO_Capture!B1092</f>
        <v>INE006A01079</v>
      </c>
      <c r="C1092" t="str">
        <f>IFERROR(VLOOKUP(FO_Capture!C1092, Reference_Data!A:D, 2, FALSE), "UNKNOWN")</f>
        <v>Alpha Partners 6</v>
      </c>
      <c r="D1092" t="str">
        <f>IFERROR(VLOOKUP(FO_Capture!C1092, Reference_Data!A:D, 3, FALSE), "XXX")</f>
        <v>INR</v>
      </c>
      <c r="E1092" t="str">
        <f>IFERROR(VLOOKUP(FO_Capture!C1092, Reference_Data!A:D, 4, FALSE), "MISSING SSI")</f>
        <v>Standard Chartered A/C 441247</v>
      </c>
      <c r="F1092">
        <f>FO_Capture!D1092</f>
        <v>310</v>
      </c>
      <c r="G1092">
        <f>FO_Capture!E1092</f>
        <v>33.119998931884766</v>
      </c>
      <c r="H1092">
        <f t="shared" si="34"/>
        <v>10267.199668884277</v>
      </c>
      <c r="I1092" t="str">
        <f t="shared" si="35"/>
        <v>Pass - Ready for Confirmation</v>
      </c>
    </row>
    <row r="1093" spans="1:9" x14ac:dyDescent="0.3">
      <c r="A1093" t="str">
        <f>FO_Capture!A1093</f>
        <v>TRD01092</v>
      </c>
      <c r="B1093" t="str">
        <f>FO_Capture!B1093</f>
        <v>INE003A01050</v>
      </c>
      <c r="C1093" t="str">
        <f>IFERROR(VLOOKUP(FO_Capture!C1093, Reference_Data!A:D, 2, FALSE), "UNKNOWN")</f>
        <v>Alpha Partners 48</v>
      </c>
      <c r="D1093" t="str">
        <f>IFERROR(VLOOKUP(FO_Capture!C1093, Reference_Data!A:D, 3, FALSE), "XXX")</f>
        <v>SGD</v>
      </c>
      <c r="E1093" t="str">
        <f>IFERROR(VLOOKUP(FO_Capture!C1093, Reference_Data!A:D, 4, FALSE), "MISSING SSI")</f>
        <v>JPMorgan A/C 391364</v>
      </c>
      <c r="F1093">
        <f>FO_Capture!D1093</f>
        <v>470</v>
      </c>
      <c r="G1093">
        <f>FO_Capture!E1093</f>
        <v>81.029998779296875</v>
      </c>
      <c r="H1093">
        <f t="shared" si="34"/>
        <v>38084.099426269531</v>
      </c>
      <c r="I1093" t="str">
        <f t="shared" si="35"/>
        <v>Pass - Ready for Confirmation</v>
      </c>
    </row>
    <row r="1094" spans="1:9" x14ac:dyDescent="0.3">
      <c r="A1094" t="str">
        <f>FO_Capture!A1094</f>
        <v>TRD01093</v>
      </c>
      <c r="B1094" t="str">
        <f>FO_Capture!B1094</f>
        <v>INE004A01057</v>
      </c>
      <c r="C1094" t="str">
        <f>IFERROR(VLOOKUP(FO_Capture!C1094, Reference_Data!A:D, 2, FALSE), "UNKNOWN")</f>
        <v>Alpha Partners 26</v>
      </c>
      <c r="D1094" t="str">
        <f>IFERROR(VLOOKUP(FO_Capture!C1094, Reference_Data!A:D, 3, FALSE), "XXX")</f>
        <v>USD</v>
      </c>
      <c r="E1094" t="str">
        <f>IFERROR(VLOOKUP(FO_Capture!C1094, Reference_Data!A:D, 4, FALSE), "MISSING SSI")</f>
        <v>HSBC A/C 867781</v>
      </c>
      <c r="F1094">
        <f>FO_Capture!D1094</f>
        <v>440</v>
      </c>
      <c r="G1094">
        <f>FO_Capture!E1094</f>
        <v>401.60000610351563</v>
      </c>
      <c r="H1094">
        <f t="shared" si="34"/>
        <v>176704.00268554688</v>
      </c>
      <c r="I1094" t="str">
        <f t="shared" si="35"/>
        <v>Pass - Ready for Confirmation</v>
      </c>
    </row>
    <row r="1095" spans="1:9" x14ac:dyDescent="0.3">
      <c r="A1095" t="str">
        <f>FO_Capture!A1095</f>
        <v>TRD01094</v>
      </c>
      <c r="B1095" t="str">
        <f>FO_Capture!B1095</f>
        <v>INE005A01071</v>
      </c>
      <c r="C1095" t="str">
        <f>IFERROR(VLOOKUP(FO_Capture!C1095, Reference_Data!A:D, 2, FALSE), "UNKNOWN")</f>
        <v>Alpha Asset Management 4</v>
      </c>
      <c r="D1095" t="str">
        <f>IFERROR(VLOOKUP(FO_Capture!C1095, Reference_Data!A:D, 3, FALSE), "XXX")</f>
        <v>JPY</v>
      </c>
      <c r="E1095" t="str">
        <f>IFERROR(VLOOKUP(FO_Capture!C1095, Reference_Data!A:D, 4, FALSE), "MISSING SSI")</f>
        <v>Deutsche Bank A/C 126543</v>
      </c>
      <c r="F1095">
        <f>FO_Capture!D1095</f>
        <v>180</v>
      </c>
      <c r="G1095">
        <f>FO_Capture!E1095</f>
        <v>402.27999877929688</v>
      </c>
      <c r="H1095">
        <f t="shared" si="34"/>
        <v>72410.399780273438</v>
      </c>
      <c r="I1095" t="str">
        <f t="shared" si="35"/>
        <v>Pass - Ready for Confirmation</v>
      </c>
    </row>
    <row r="1096" spans="1:9" x14ac:dyDescent="0.3">
      <c r="A1096" t="str">
        <f>FO_Capture!A1096</f>
        <v>TRD01095</v>
      </c>
      <c r="B1096" t="str">
        <f>FO_Capture!B1096</f>
        <v>INE006A01025</v>
      </c>
      <c r="C1096" t="str">
        <f>IFERROR(VLOOKUP(FO_Capture!C1096, Reference_Data!A:D, 2, FALSE), "UNKNOWN")</f>
        <v>Alpha Asset Management 32</v>
      </c>
      <c r="D1096" t="str">
        <f>IFERROR(VLOOKUP(FO_Capture!C1096, Reference_Data!A:D, 3, FALSE), "XXX")</f>
        <v>INR</v>
      </c>
      <c r="E1096" t="str">
        <f>IFERROR(VLOOKUP(FO_Capture!C1096, Reference_Data!A:D, 4, FALSE), "MISSING SSI")</f>
        <v>Barclays A/C 302646</v>
      </c>
      <c r="F1096">
        <f>FO_Capture!D1096</f>
        <v>300</v>
      </c>
      <c r="G1096">
        <f>FO_Capture!E1096</f>
        <v>498.3699951171875</v>
      </c>
      <c r="H1096">
        <f t="shared" si="34"/>
        <v>149510.99853515625</v>
      </c>
      <c r="I1096" t="str">
        <f t="shared" si="35"/>
        <v>Pass - Ready for Confirmation</v>
      </c>
    </row>
    <row r="1097" spans="1:9" x14ac:dyDescent="0.3">
      <c r="A1097" t="str">
        <f>FO_Capture!A1097</f>
        <v>TRD01096</v>
      </c>
      <c r="B1097" t="str">
        <f>FO_Capture!B1097</f>
        <v>INE008A01066</v>
      </c>
      <c r="C1097" t="str">
        <f>IFERROR(VLOOKUP(FO_Capture!C1097, Reference_Data!A:D, 2, FALSE), "UNKNOWN")</f>
        <v>Alpha Holdings 23</v>
      </c>
      <c r="D1097" t="str">
        <f>IFERROR(VLOOKUP(FO_Capture!C1097, Reference_Data!A:D, 3, FALSE), "XXX")</f>
        <v>INR</v>
      </c>
      <c r="E1097" t="str">
        <f>IFERROR(VLOOKUP(FO_Capture!C1097, Reference_Data!A:D, 4, FALSE), "MISSING SSI")</f>
        <v>Deutsche Bank A/C 983712</v>
      </c>
      <c r="F1097">
        <f>FO_Capture!D1097</f>
        <v>320</v>
      </c>
      <c r="G1097">
        <f>FO_Capture!E1097</f>
        <v>362.97000122070313</v>
      </c>
      <c r="H1097">
        <f t="shared" si="34"/>
        <v>116150.400390625</v>
      </c>
      <c r="I1097" t="str">
        <f t="shared" si="35"/>
        <v>Pass - Ready for Confirmation</v>
      </c>
    </row>
    <row r="1098" spans="1:9" x14ac:dyDescent="0.3">
      <c r="A1098" t="str">
        <f>FO_Capture!A1098</f>
        <v>TRD01097</v>
      </c>
      <c r="B1098" t="str">
        <f>FO_Capture!B1098</f>
        <v>INE006A0106</v>
      </c>
      <c r="C1098" t="str">
        <f>IFERROR(VLOOKUP(FO_Capture!C1098, Reference_Data!A:D, 2, FALSE), "UNKNOWN")</f>
        <v>Alpha Investments 29</v>
      </c>
      <c r="D1098" t="str">
        <f>IFERROR(VLOOKUP(FO_Capture!C1098, Reference_Data!A:D, 3, FALSE), "XXX")</f>
        <v>INR</v>
      </c>
      <c r="E1098" t="str">
        <f>IFERROR(VLOOKUP(FO_Capture!C1098, Reference_Data!A:D, 4, FALSE), "MISSING SSI")</f>
        <v>HSBC A/C 785870</v>
      </c>
      <c r="F1098">
        <f>FO_Capture!D1098</f>
        <v>430</v>
      </c>
      <c r="G1098">
        <f>FO_Capture!E1098</f>
        <v>176.97000122070313</v>
      </c>
      <c r="H1098">
        <f t="shared" si="34"/>
        <v>76097.100524902344</v>
      </c>
      <c r="I1098" t="str">
        <f t="shared" si="35"/>
        <v>Pass - Ready for Confirmation</v>
      </c>
    </row>
    <row r="1099" spans="1:9" x14ac:dyDescent="0.3">
      <c r="A1099" t="str">
        <f>FO_Capture!A1099</f>
        <v>TRD01098</v>
      </c>
      <c r="B1099" t="str">
        <f>FO_Capture!B1099</f>
        <v>INE004A01070</v>
      </c>
      <c r="C1099" t="str">
        <f>IFERROR(VLOOKUP(FO_Capture!C1099, Reference_Data!A:D, 2, FALSE), "UNKNOWN")</f>
        <v>Alpha Holdings 16</v>
      </c>
      <c r="D1099" t="str">
        <f>IFERROR(VLOOKUP(FO_Capture!C1099, Reference_Data!A:D, 3, FALSE), "XXX")</f>
        <v>USD</v>
      </c>
      <c r="E1099" t="str">
        <f>IFERROR(VLOOKUP(FO_Capture!C1099, Reference_Data!A:D, 4, FALSE), "MISSING SSI")</f>
        <v>Barclays A/C 197229</v>
      </c>
      <c r="F1099">
        <f>FO_Capture!D1099</f>
        <v>240</v>
      </c>
      <c r="G1099">
        <f>FO_Capture!E1099</f>
        <v>379.10000610351563</v>
      </c>
      <c r="H1099">
        <f t="shared" si="34"/>
        <v>90984.00146484375</v>
      </c>
      <c r="I1099" t="str">
        <f t="shared" si="35"/>
        <v>Pass - Ready for Confirmation</v>
      </c>
    </row>
    <row r="1100" spans="1:9" x14ac:dyDescent="0.3">
      <c r="A1100" t="str">
        <f>FO_Capture!A1100</f>
        <v>TRD01099</v>
      </c>
      <c r="B1100" t="str">
        <f>FO_Capture!B1100</f>
        <v>INE008A01049</v>
      </c>
      <c r="C1100" t="str">
        <f>IFERROR(VLOOKUP(FO_Capture!C1100, Reference_Data!A:D, 2, FALSE), "UNKNOWN")</f>
        <v>Alpha Capital 38</v>
      </c>
      <c r="D1100" t="str">
        <f>IFERROR(VLOOKUP(FO_Capture!C1100, Reference_Data!A:D, 3, FALSE), "XXX")</f>
        <v>SGD</v>
      </c>
      <c r="E1100" t="str">
        <f>IFERROR(VLOOKUP(FO_Capture!C1100, Reference_Data!A:D, 4, FALSE), "MISSING SSI")</f>
        <v>Deutsche Bank A/C 153521</v>
      </c>
      <c r="F1100">
        <f>FO_Capture!D1100</f>
        <v>20</v>
      </c>
      <c r="G1100">
        <f>FO_Capture!E1100</f>
        <v>415.89999389648438</v>
      </c>
      <c r="H1100">
        <f t="shared" si="34"/>
        <v>8317.9998779296875</v>
      </c>
      <c r="I1100" t="str">
        <f t="shared" si="35"/>
        <v>Pass - Ready for Confirmation</v>
      </c>
    </row>
    <row r="1101" spans="1:9" x14ac:dyDescent="0.3">
      <c r="A1101" t="str">
        <f>FO_Capture!A1101</f>
        <v>TRD01100</v>
      </c>
      <c r="B1101" t="str">
        <f>FO_Capture!B1101</f>
        <v>INE009A01046</v>
      </c>
      <c r="C1101" t="str">
        <f>IFERROR(VLOOKUP(FO_Capture!C1101, Reference_Data!A:D, 2, FALSE), "UNKNOWN")</f>
        <v>Alpha Capital 11</v>
      </c>
      <c r="D1101" t="str">
        <f>IFERROR(VLOOKUP(FO_Capture!C1101, Reference_Data!A:D, 3, FALSE), "XXX")</f>
        <v>USD</v>
      </c>
      <c r="E1101" t="str">
        <f>IFERROR(VLOOKUP(FO_Capture!C1101, Reference_Data!A:D, 4, FALSE), "MISSING SSI")</f>
        <v>JPMorgan A/C 987170</v>
      </c>
      <c r="F1101">
        <f>FO_Capture!D1101</f>
        <v>430</v>
      </c>
      <c r="G1101">
        <f>FO_Capture!E1101</f>
        <v>491.70001220703125</v>
      </c>
      <c r="H1101">
        <f t="shared" si="34"/>
        <v>211431.00524902344</v>
      </c>
      <c r="I1101" t="str">
        <f t="shared" si="35"/>
        <v>Pass - Ready for Confirmation</v>
      </c>
    </row>
    <row r="1102" spans="1:9" x14ac:dyDescent="0.3">
      <c r="A1102" t="str">
        <f>FO_Capture!A1102</f>
        <v>TRD01101</v>
      </c>
      <c r="B1102" t="str">
        <f>FO_Capture!B1102</f>
        <v>INE001A01029</v>
      </c>
      <c r="C1102" t="str">
        <f>IFERROR(VLOOKUP(FO_Capture!C1102, Reference_Data!A:D, 2, FALSE), "UNKNOWN")</f>
        <v>Alpha Holdings 41</v>
      </c>
      <c r="D1102" t="str">
        <f>IFERROR(VLOOKUP(FO_Capture!C1102, Reference_Data!A:D, 3, FALSE), "XXX")</f>
        <v>JPY</v>
      </c>
      <c r="E1102" t="str">
        <f>IFERROR(VLOOKUP(FO_Capture!C1102, Reference_Data!A:D, 4, FALSE), "MISSING SSI")</f>
        <v>HSBC A/C 468615</v>
      </c>
      <c r="F1102">
        <f>FO_Capture!D1102</f>
        <v>350</v>
      </c>
      <c r="G1102">
        <f>FO_Capture!E1102</f>
        <v>318.67001342773438</v>
      </c>
      <c r="H1102">
        <f t="shared" si="34"/>
        <v>111534.50469970703</v>
      </c>
      <c r="I1102" t="str">
        <f t="shared" si="35"/>
        <v>Pass - Ready for Confirmation</v>
      </c>
    </row>
    <row r="1103" spans="1:9" x14ac:dyDescent="0.3">
      <c r="A1103" t="str">
        <f>FO_Capture!A1103</f>
        <v>TRD01102</v>
      </c>
      <c r="B1103" t="str">
        <f>FO_Capture!B1103</f>
        <v>INE003A01079</v>
      </c>
      <c r="C1103" t="str">
        <f>IFERROR(VLOOKUP(FO_Capture!C1103, Reference_Data!A:D, 2, FALSE), "UNKNOWN")</f>
        <v>Alpha Global 46</v>
      </c>
      <c r="D1103" t="str">
        <f>IFERROR(VLOOKUP(FO_Capture!C1103, Reference_Data!A:D, 3, FALSE), "XXX")</f>
        <v>USD</v>
      </c>
      <c r="E1103" t="str">
        <f>IFERROR(VLOOKUP(FO_Capture!C1103, Reference_Data!A:D, 4, FALSE), "MISSING SSI")</f>
        <v>Citi A/C 700450</v>
      </c>
      <c r="F1103">
        <f>FO_Capture!D1103</f>
        <v>10</v>
      </c>
      <c r="G1103">
        <f>FO_Capture!E1103</f>
        <v>366.77999877929688</v>
      </c>
      <c r="H1103">
        <f t="shared" si="34"/>
        <v>3667.7999877929688</v>
      </c>
      <c r="I1103" t="str">
        <f t="shared" si="35"/>
        <v>Pass - Ready for Confirmation</v>
      </c>
    </row>
    <row r="1104" spans="1:9" x14ac:dyDescent="0.3">
      <c r="A1104" t="str">
        <f>FO_Capture!A1104</f>
        <v>TRD01103</v>
      </c>
      <c r="B1104" t="str">
        <f>FO_Capture!B1104</f>
        <v>INE003A01043</v>
      </c>
      <c r="C1104" t="str">
        <f>IFERROR(VLOOKUP(FO_Capture!C1104, Reference_Data!A:D, 2, FALSE), "UNKNOWN")</f>
        <v>Alpha Capital 33</v>
      </c>
      <c r="D1104" t="str">
        <f>IFERROR(VLOOKUP(FO_Capture!C1104, Reference_Data!A:D, 3, FALSE), "XXX")</f>
        <v>JPY</v>
      </c>
      <c r="E1104" t="str">
        <f>IFERROR(VLOOKUP(FO_Capture!C1104, Reference_Data!A:D, 4, FALSE), "MISSING SSI")</f>
        <v>HSBC A/C 172861</v>
      </c>
      <c r="F1104">
        <f>FO_Capture!D1104</f>
        <v>350</v>
      </c>
      <c r="G1104">
        <f>FO_Capture!E1104</f>
        <v>113.81999969482422</v>
      </c>
      <c r="H1104">
        <f t="shared" si="34"/>
        <v>39836.999893188477</v>
      </c>
      <c r="I1104" t="str">
        <f t="shared" si="35"/>
        <v>Pass - Ready for Confirmation</v>
      </c>
    </row>
    <row r="1105" spans="1:9" x14ac:dyDescent="0.3">
      <c r="A1105" t="str">
        <f>FO_Capture!A1105</f>
        <v>TRD01104</v>
      </c>
      <c r="B1105" t="str">
        <f>FO_Capture!B1105</f>
        <v>INE007A01080</v>
      </c>
      <c r="C1105" t="str">
        <f>IFERROR(VLOOKUP(FO_Capture!C1105, Reference_Data!A:D, 2, FALSE), "UNKNOWN")</f>
        <v>Alpha Holdings 21</v>
      </c>
      <c r="D1105" t="str">
        <f>IFERROR(VLOOKUP(FO_Capture!C1105, Reference_Data!A:D, 3, FALSE), "XXX")</f>
        <v>SGD</v>
      </c>
      <c r="E1105" t="str">
        <f>IFERROR(VLOOKUP(FO_Capture!C1105, Reference_Data!A:D, 4, FALSE), "MISSING SSI")</f>
        <v>HSBC A/C 562956</v>
      </c>
      <c r="F1105">
        <f>FO_Capture!D1105</f>
        <v>200</v>
      </c>
      <c r="G1105">
        <f>FO_Capture!E1105</f>
        <v>295.3599853515625</v>
      </c>
      <c r="H1105">
        <f t="shared" si="34"/>
        <v>59071.9970703125</v>
      </c>
      <c r="I1105" t="str">
        <f t="shared" si="35"/>
        <v>Pass - Ready for Confirmation</v>
      </c>
    </row>
    <row r="1106" spans="1:9" x14ac:dyDescent="0.3">
      <c r="A1106" t="str">
        <f>FO_Capture!A1106</f>
        <v>TRD01105</v>
      </c>
      <c r="B1106" t="str">
        <f>FO_Capture!B1106</f>
        <v>INE006A01017</v>
      </c>
      <c r="C1106" t="str">
        <f>IFERROR(VLOOKUP(FO_Capture!C1106, Reference_Data!A:D, 2, FALSE), "UNKNOWN")</f>
        <v>Alpha Global 20</v>
      </c>
      <c r="D1106" t="str">
        <f>IFERROR(VLOOKUP(FO_Capture!C1106, Reference_Data!A:D, 3, FALSE), "XXX")</f>
        <v>JPY</v>
      </c>
      <c r="E1106" t="str">
        <f>IFERROR(VLOOKUP(FO_Capture!C1106, Reference_Data!A:D, 4, FALSE), "MISSING SSI")</f>
        <v>Barclays A/C 560891</v>
      </c>
      <c r="F1106">
        <f>FO_Capture!D1106</f>
        <v>70</v>
      </c>
      <c r="G1106">
        <f>FO_Capture!E1106</f>
        <v>154.83999633789063</v>
      </c>
      <c r="H1106">
        <f t="shared" si="34"/>
        <v>10838.799743652344</v>
      </c>
      <c r="I1106" t="str">
        <f t="shared" si="35"/>
        <v>Pass - Ready for Confirmation</v>
      </c>
    </row>
    <row r="1107" spans="1:9" x14ac:dyDescent="0.3">
      <c r="A1107" t="str">
        <f>FO_Capture!A1107</f>
        <v>TRD01106</v>
      </c>
      <c r="B1107" t="str">
        <f>FO_Capture!B1107</f>
        <v>INE002A01087</v>
      </c>
      <c r="C1107" t="str">
        <f>IFERROR(VLOOKUP(FO_Capture!C1107, Reference_Data!A:D, 2, FALSE), "UNKNOWN")</f>
        <v>Alpha Quant Fund 50</v>
      </c>
      <c r="D1107" t="str">
        <f>IFERROR(VLOOKUP(FO_Capture!C1107, Reference_Data!A:D, 3, FALSE), "XXX")</f>
        <v>SGD</v>
      </c>
      <c r="E1107" t="str">
        <f>IFERROR(VLOOKUP(FO_Capture!C1107, Reference_Data!A:D, 4, FALSE), "MISSING SSI")</f>
        <v>Standard Chartered A/C 307017</v>
      </c>
      <c r="F1107">
        <f>FO_Capture!D1107</f>
        <v>370</v>
      </c>
      <c r="G1107">
        <f>FO_Capture!E1107</f>
        <v>193.46000671386719</v>
      </c>
      <c r="H1107">
        <f t="shared" si="34"/>
        <v>71580.202484130859</v>
      </c>
      <c r="I1107" t="str">
        <f t="shared" si="35"/>
        <v>Pass - Ready for Confirmation</v>
      </c>
    </row>
    <row r="1108" spans="1:9" x14ac:dyDescent="0.3">
      <c r="A1108" t="str">
        <f>FO_Capture!A1108</f>
        <v>TRD01107</v>
      </c>
      <c r="B1108" t="str">
        <f>FO_Capture!B1108</f>
        <v>INE008A01097</v>
      </c>
      <c r="C1108" t="str">
        <f>IFERROR(VLOOKUP(FO_Capture!C1108, Reference_Data!A:D, 2, FALSE), "UNKNOWN")</f>
        <v>Alpha Holdings 23</v>
      </c>
      <c r="D1108" t="str">
        <f>IFERROR(VLOOKUP(FO_Capture!C1108, Reference_Data!A:D, 3, FALSE), "XXX")</f>
        <v>INR</v>
      </c>
      <c r="E1108" t="str">
        <f>IFERROR(VLOOKUP(FO_Capture!C1108, Reference_Data!A:D, 4, FALSE), "MISSING SSI")</f>
        <v>Deutsche Bank A/C 983712</v>
      </c>
      <c r="F1108">
        <f>FO_Capture!D1108</f>
        <v>180</v>
      </c>
      <c r="G1108">
        <f>FO_Capture!E1108</f>
        <v>420.25</v>
      </c>
      <c r="H1108">
        <f t="shared" si="34"/>
        <v>75645</v>
      </c>
      <c r="I1108" t="str">
        <f t="shared" si="35"/>
        <v>Pass - Ready for Confirmation</v>
      </c>
    </row>
    <row r="1109" spans="1:9" x14ac:dyDescent="0.3">
      <c r="A1109" t="str">
        <f>FO_Capture!A1109</f>
        <v>TRD01108</v>
      </c>
      <c r="B1109" t="str">
        <f>FO_Capture!B1109</f>
        <v>INE009A01061</v>
      </c>
      <c r="C1109" t="str">
        <f>IFERROR(VLOOKUP(FO_Capture!C1109, Reference_Data!A:D, 2, FALSE), "UNKNOWN")</f>
        <v>Alpha Capital 10</v>
      </c>
      <c r="D1109" t="str">
        <f>IFERROR(VLOOKUP(FO_Capture!C1109, Reference_Data!A:D, 3, FALSE), "XXX")</f>
        <v>USD</v>
      </c>
      <c r="E1109" t="str">
        <f>IFERROR(VLOOKUP(FO_Capture!C1109, Reference_Data!A:D, 4, FALSE), "MISSING SSI")</f>
        <v>HDFC A/C 543407</v>
      </c>
      <c r="F1109">
        <f>FO_Capture!D1109</f>
        <v>-50</v>
      </c>
      <c r="G1109">
        <f>FO_Capture!E1109</f>
        <v>175.00999450683594</v>
      </c>
      <c r="H1109">
        <f t="shared" si="34"/>
        <v>-8750.4997253417969</v>
      </c>
      <c r="I1109" t="str">
        <f t="shared" si="35"/>
        <v>Fail - Invalid Price/Qty</v>
      </c>
    </row>
    <row r="1110" spans="1:9" x14ac:dyDescent="0.3">
      <c r="A1110" t="str">
        <f>FO_Capture!A1110</f>
        <v>TRD01109</v>
      </c>
      <c r="B1110" t="str">
        <f>FO_Capture!B1110</f>
        <v>INE009A01018</v>
      </c>
      <c r="C1110" t="str">
        <f>IFERROR(VLOOKUP(FO_Capture!C1110, Reference_Data!A:D, 2, FALSE), "UNKNOWN")</f>
        <v>Alpha Asset Management 31</v>
      </c>
      <c r="D1110" t="str">
        <f>IFERROR(VLOOKUP(FO_Capture!C1110, Reference_Data!A:D, 3, FALSE), "XXX")</f>
        <v>USD</v>
      </c>
      <c r="E1110" t="str">
        <f>IFERROR(VLOOKUP(FO_Capture!C1110, Reference_Data!A:D, 4, FALSE), "MISSING SSI")</f>
        <v>Citi A/C 194841</v>
      </c>
      <c r="F1110">
        <f>FO_Capture!D1110</f>
        <v>170</v>
      </c>
      <c r="G1110">
        <f>FO_Capture!E1110</f>
        <v>221.55000305175781</v>
      </c>
      <c r="H1110">
        <f t="shared" si="34"/>
        <v>37663.500518798828</v>
      </c>
      <c r="I1110" t="str">
        <f t="shared" si="35"/>
        <v>Pass - Ready for Confirmation</v>
      </c>
    </row>
    <row r="1111" spans="1:9" x14ac:dyDescent="0.3">
      <c r="A1111" t="str">
        <f>FO_Capture!A1111</f>
        <v>TRD01110</v>
      </c>
      <c r="B1111" t="str">
        <f>FO_Capture!B1111</f>
        <v>INE009A0100</v>
      </c>
      <c r="C1111" t="str">
        <f>IFERROR(VLOOKUP(FO_Capture!C1111, Reference_Data!A:D, 2, FALSE), "UNKNOWN")</f>
        <v>Alpha Capital 44</v>
      </c>
      <c r="D1111" t="str">
        <f>IFERROR(VLOOKUP(FO_Capture!C1111, Reference_Data!A:D, 3, FALSE), "XXX")</f>
        <v>INR</v>
      </c>
      <c r="E1111" t="str">
        <f>IFERROR(VLOOKUP(FO_Capture!C1111, Reference_Data!A:D, 4, FALSE), "MISSING SSI")</f>
        <v>Deutsche Bank A/C 428758</v>
      </c>
      <c r="F1111">
        <f>FO_Capture!D1111</f>
        <v>250</v>
      </c>
      <c r="G1111">
        <f>FO_Capture!E1111</f>
        <v>191.30999755859375</v>
      </c>
      <c r="H1111">
        <f t="shared" si="34"/>
        <v>47827.499389648438</v>
      </c>
      <c r="I1111" t="str">
        <f t="shared" si="35"/>
        <v>Pass - Ready for Confirmation</v>
      </c>
    </row>
    <row r="1112" spans="1:9" x14ac:dyDescent="0.3">
      <c r="A1112" t="str">
        <f>FO_Capture!A1112</f>
        <v>TRD01111</v>
      </c>
      <c r="B1112" t="str">
        <f>FO_Capture!B1112</f>
        <v>INE004A01035</v>
      </c>
      <c r="C1112" t="str">
        <f>IFERROR(VLOOKUP(FO_Capture!C1112, Reference_Data!A:D, 2, FALSE), "UNKNOWN")</f>
        <v>Alpha Global 2</v>
      </c>
      <c r="D1112" t="str">
        <f>IFERROR(VLOOKUP(FO_Capture!C1112, Reference_Data!A:D, 3, FALSE), "XXX")</f>
        <v>GBP</v>
      </c>
      <c r="E1112" t="str">
        <f>IFERROR(VLOOKUP(FO_Capture!C1112, Reference_Data!A:D, 4, FALSE), "MISSING SSI")</f>
        <v>JPMorgan A/C 582379</v>
      </c>
      <c r="F1112">
        <f>FO_Capture!D1112</f>
        <v>100</v>
      </c>
      <c r="G1112">
        <f>FO_Capture!E1112</f>
        <v>255.44000244140625</v>
      </c>
      <c r="H1112">
        <f t="shared" si="34"/>
        <v>25544.000244140625</v>
      </c>
      <c r="I1112" t="str">
        <f t="shared" si="35"/>
        <v>Pass - Ready for Confirmation</v>
      </c>
    </row>
    <row r="1113" spans="1:9" x14ac:dyDescent="0.3">
      <c r="A1113" t="str">
        <f>FO_Capture!A1113</f>
        <v>TRD01112</v>
      </c>
      <c r="B1113" t="str">
        <f>FO_Capture!B1113</f>
        <v>INE008A01030</v>
      </c>
      <c r="C1113" t="str">
        <f>IFERROR(VLOOKUP(FO_Capture!C1113, Reference_Data!A:D, 2, FALSE), "UNKNOWN")</f>
        <v>Alpha Global 39</v>
      </c>
      <c r="D1113" t="str">
        <f>IFERROR(VLOOKUP(FO_Capture!C1113, Reference_Data!A:D, 3, FALSE), "XXX")</f>
        <v>SGD</v>
      </c>
      <c r="E1113" t="str">
        <f>IFERROR(VLOOKUP(FO_Capture!C1113, Reference_Data!A:D, 4, FALSE), "MISSING SSI")</f>
        <v>Deutsche Bank A/C 917029</v>
      </c>
      <c r="F1113">
        <f>FO_Capture!D1113</f>
        <v>180</v>
      </c>
      <c r="G1113">
        <f>FO_Capture!E1113</f>
        <v>280.3900146484375</v>
      </c>
      <c r="H1113">
        <f t="shared" si="34"/>
        <v>50470.20263671875</v>
      </c>
      <c r="I1113" t="str">
        <f t="shared" si="35"/>
        <v>Pass - Ready for Confirmation</v>
      </c>
    </row>
    <row r="1114" spans="1:9" x14ac:dyDescent="0.3">
      <c r="A1114" t="str">
        <f>FO_Capture!A1114</f>
        <v>TRD01113</v>
      </c>
      <c r="B1114" t="str">
        <f>FO_Capture!B1114</f>
        <v>INE005A01045</v>
      </c>
      <c r="C1114" t="str">
        <f>IFERROR(VLOOKUP(FO_Capture!C1114, Reference_Data!A:D, 2, FALSE), "UNKNOWN")</f>
        <v>Alpha Global 25</v>
      </c>
      <c r="D1114" t="str">
        <f>IFERROR(VLOOKUP(FO_Capture!C1114, Reference_Data!A:D, 3, FALSE), "XXX")</f>
        <v>EUR</v>
      </c>
      <c r="E1114" t="str">
        <f>IFERROR(VLOOKUP(FO_Capture!C1114, Reference_Data!A:D, 4, FALSE), "MISSING SSI")</f>
        <v>Standard Chartered A/C 438949</v>
      </c>
      <c r="F1114">
        <f>FO_Capture!D1114</f>
        <v>320</v>
      </c>
      <c r="G1114">
        <f>FO_Capture!E1114</f>
        <v>77.94000244140625</v>
      </c>
      <c r="H1114">
        <f t="shared" si="34"/>
        <v>24940.80078125</v>
      </c>
      <c r="I1114" t="str">
        <f t="shared" si="35"/>
        <v>Pass - Ready for Confirmation</v>
      </c>
    </row>
    <row r="1115" spans="1:9" x14ac:dyDescent="0.3">
      <c r="A1115" t="str">
        <f>FO_Capture!A1115</f>
        <v>TRD01114</v>
      </c>
      <c r="B1115" t="str">
        <f>FO_Capture!B1115</f>
        <v>INE009A01042</v>
      </c>
      <c r="C1115" t="str">
        <f>IFERROR(VLOOKUP(FO_Capture!C1115, Reference_Data!A:D, 2, FALSE), "UNKNOWN")</f>
        <v>Alpha Asset Management 35</v>
      </c>
      <c r="D1115" t="str">
        <f>IFERROR(VLOOKUP(FO_Capture!C1115, Reference_Data!A:D, 3, FALSE), "XXX")</f>
        <v>JPY</v>
      </c>
      <c r="E1115" t="str">
        <f>IFERROR(VLOOKUP(FO_Capture!C1115, Reference_Data!A:D, 4, FALSE), "MISSING SSI")</f>
        <v>HSBC A/C 604357</v>
      </c>
      <c r="F1115">
        <f>FO_Capture!D1115</f>
        <v>410</v>
      </c>
      <c r="G1115">
        <f>FO_Capture!E1115</f>
        <v>155.14999389648438</v>
      </c>
      <c r="H1115">
        <f t="shared" si="34"/>
        <v>63611.497497558594</v>
      </c>
      <c r="I1115" t="str">
        <f t="shared" si="35"/>
        <v>Pass - Ready for Confirmation</v>
      </c>
    </row>
    <row r="1116" spans="1:9" x14ac:dyDescent="0.3">
      <c r="A1116" t="str">
        <f>FO_Capture!A1116</f>
        <v>TRD01115</v>
      </c>
      <c r="B1116" t="str">
        <f>FO_Capture!B1116</f>
        <v>INE008A01032</v>
      </c>
      <c r="C1116" t="str">
        <f>IFERROR(VLOOKUP(FO_Capture!C1116, Reference_Data!A:D, 2, FALSE), "UNKNOWN")</f>
        <v>Alpha Global 25</v>
      </c>
      <c r="D1116" t="str">
        <f>IFERROR(VLOOKUP(FO_Capture!C1116, Reference_Data!A:D, 3, FALSE), "XXX")</f>
        <v>EUR</v>
      </c>
      <c r="E1116" t="str">
        <f>IFERROR(VLOOKUP(FO_Capture!C1116, Reference_Data!A:D, 4, FALSE), "MISSING SSI")</f>
        <v>Standard Chartered A/C 438949</v>
      </c>
      <c r="F1116">
        <f>FO_Capture!D1116</f>
        <v>230</v>
      </c>
      <c r="G1116">
        <f>FO_Capture!E1116</f>
        <v>464.42999267578125</v>
      </c>
      <c r="H1116">
        <f t="shared" si="34"/>
        <v>106818.89831542969</v>
      </c>
      <c r="I1116" t="str">
        <f t="shared" si="35"/>
        <v>Pass - Ready for Confirmation</v>
      </c>
    </row>
    <row r="1117" spans="1:9" x14ac:dyDescent="0.3">
      <c r="A1117" t="str">
        <f>FO_Capture!A1117</f>
        <v>TRD01116</v>
      </c>
      <c r="B1117" t="str">
        <f>FO_Capture!B1117</f>
        <v>INE008A01031</v>
      </c>
      <c r="C1117" t="str">
        <f>IFERROR(VLOOKUP(FO_Capture!C1117, Reference_Data!A:D, 2, FALSE), "UNKNOWN")</f>
        <v>Alpha Capital 11</v>
      </c>
      <c r="D1117" t="str">
        <f>IFERROR(VLOOKUP(FO_Capture!C1117, Reference_Data!A:D, 3, FALSE), "XXX")</f>
        <v>USD</v>
      </c>
      <c r="E1117" t="str">
        <f>IFERROR(VLOOKUP(FO_Capture!C1117, Reference_Data!A:D, 4, FALSE), "MISSING SSI")</f>
        <v>JPMorgan A/C 987170</v>
      </c>
      <c r="F1117">
        <f>FO_Capture!D1117</f>
        <v>150</v>
      </c>
      <c r="G1117">
        <f>FO_Capture!E1117</f>
        <v>153.47000122070313</v>
      </c>
      <c r="H1117">
        <f t="shared" si="34"/>
        <v>23020.500183105469</v>
      </c>
      <c r="I1117" t="str">
        <f t="shared" si="35"/>
        <v>Pass - Ready for Confirmation</v>
      </c>
    </row>
    <row r="1118" spans="1:9" x14ac:dyDescent="0.3">
      <c r="A1118" t="str">
        <f>FO_Capture!A1118</f>
        <v>TRD01117</v>
      </c>
      <c r="B1118" t="str">
        <f>FO_Capture!B1118</f>
        <v>INE006A0105</v>
      </c>
      <c r="C1118" t="str">
        <f>IFERROR(VLOOKUP(FO_Capture!C1118, Reference_Data!A:D, 2, FALSE), "UNKNOWN")</f>
        <v>Alpha Capital 38</v>
      </c>
      <c r="D1118" t="str">
        <f>IFERROR(VLOOKUP(FO_Capture!C1118, Reference_Data!A:D, 3, FALSE), "XXX")</f>
        <v>SGD</v>
      </c>
      <c r="E1118" t="str">
        <f>IFERROR(VLOOKUP(FO_Capture!C1118, Reference_Data!A:D, 4, FALSE), "MISSING SSI")</f>
        <v>Deutsche Bank A/C 153521</v>
      </c>
      <c r="F1118">
        <f>FO_Capture!D1118</f>
        <v>380</v>
      </c>
      <c r="G1118">
        <f>FO_Capture!E1118</f>
        <v>315.30999755859375</v>
      </c>
      <c r="H1118">
        <f t="shared" si="34"/>
        <v>119817.79907226563</v>
      </c>
      <c r="I1118" t="str">
        <f t="shared" si="35"/>
        <v>Pass - Ready for Confirmation</v>
      </c>
    </row>
    <row r="1119" spans="1:9" x14ac:dyDescent="0.3">
      <c r="A1119" t="str">
        <f>FO_Capture!A1119</f>
        <v>TRD01118</v>
      </c>
      <c r="B1119" t="str">
        <f>FO_Capture!B1119</f>
        <v>INE009A01020</v>
      </c>
      <c r="C1119" t="str">
        <f>IFERROR(VLOOKUP(FO_Capture!C1119, Reference_Data!A:D, 2, FALSE), "UNKNOWN")</f>
        <v>Alpha Capital 11</v>
      </c>
      <c r="D1119" t="str">
        <f>IFERROR(VLOOKUP(FO_Capture!C1119, Reference_Data!A:D, 3, FALSE), "XXX")</f>
        <v>USD</v>
      </c>
      <c r="E1119" t="str">
        <f>IFERROR(VLOOKUP(FO_Capture!C1119, Reference_Data!A:D, 4, FALSE), "MISSING SSI")</f>
        <v>JPMorgan A/C 987170</v>
      </c>
      <c r="F1119">
        <f>FO_Capture!D1119</f>
        <v>250</v>
      </c>
      <c r="G1119">
        <f>FO_Capture!E1119</f>
        <v>238.25</v>
      </c>
      <c r="H1119">
        <f t="shared" si="34"/>
        <v>59562.5</v>
      </c>
      <c r="I1119" t="str">
        <f t="shared" si="35"/>
        <v>Pass - Ready for Confirmation</v>
      </c>
    </row>
    <row r="1120" spans="1:9" x14ac:dyDescent="0.3">
      <c r="A1120" t="str">
        <f>FO_Capture!A1120</f>
        <v>TRD01119</v>
      </c>
      <c r="B1120" t="str">
        <f>FO_Capture!B1120</f>
        <v>INE008A01094</v>
      </c>
      <c r="C1120" t="str">
        <f>IFERROR(VLOOKUP(FO_Capture!C1120, Reference_Data!A:D, 2, FALSE), "UNKNOWN")</f>
        <v>Alpha Global 14</v>
      </c>
      <c r="D1120" t="str">
        <f>IFERROR(VLOOKUP(FO_Capture!C1120, Reference_Data!A:D, 3, FALSE), "XXX")</f>
        <v>USD</v>
      </c>
      <c r="E1120" t="str">
        <f>IFERROR(VLOOKUP(FO_Capture!C1120, Reference_Data!A:D, 4, FALSE), "MISSING SSI")</f>
        <v>HSBC A/C 864249</v>
      </c>
      <c r="F1120">
        <f>FO_Capture!D1120</f>
        <v>420</v>
      </c>
      <c r="G1120">
        <f>FO_Capture!E1120</f>
        <v>155.96000671386719</v>
      </c>
      <c r="H1120">
        <f t="shared" si="34"/>
        <v>65503.202819824219</v>
      </c>
      <c r="I1120" t="str">
        <f t="shared" si="35"/>
        <v>Pass - Ready for Confirmation</v>
      </c>
    </row>
    <row r="1121" spans="1:9" x14ac:dyDescent="0.3">
      <c r="A1121" t="str">
        <f>FO_Capture!A1121</f>
        <v>TRD01120</v>
      </c>
      <c r="B1121" t="str">
        <f>FO_Capture!B1121</f>
        <v>INE003A01051</v>
      </c>
      <c r="C1121" t="str">
        <f>IFERROR(VLOOKUP(FO_Capture!C1121, Reference_Data!A:D, 2, FALSE), "UNKNOWN")</f>
        <v>Alpha Holdings 41</v>
      </c>
      <c r="D1121" t="str">
        <f>IFERROR(VLOOKUP(FO_Capture!C1121, Reference_Data!A:D, 3, FALSE), "XXX")</f>
        <v>JPY</v>
      </c>
      <c r="E1121" t="str">
        <f>IFERROR(VLOOKUP(FO_Capture!C1121, Reference_Data!A:D, 4, FALSE), "MISSING SSI")</f>
        <v>HSBC A/C 468615</v>
      </c>
      <c r="F1121">
        <f>FO_Capture!D1121</f>
        <v>170</v>
      </c>
      <c r="G1121">
        <f>FO_Capture!E1121</f>
        <v>497.3800048828125</v>
      </c>
      <c r="H1121">
        <f t="shared" si="34"/>
        <v>84554.600830078125</v>
      </c>
      <c r="I1121" t="str">
        <f t="shared" si="35"/>
        <v>Pass - Ready for Confirmation</v>
      </c>
    </row>
    <row r="1122" spans="1:9" x14ac:dyDescent="0.3">
      <c r="A1122" t="str">
        <f>FO_Capture!A1122</f>
        <v>TRD01121</v>
      </c>
      <c r="B1122" t="str">
        <f>FO_Capture!B1122</f>
        <v>INE002A01061</v>
      </c>
      <c r="C1122" t="str">
        <f>IFERROR(VLOOKUP(FO_Capture!C1122, Reference_Data!A:D, 2, FALSE), "UNKNOWN")</f>
        <v>Alpha Investments 15</v>
      </c>
      <c r="D1122" t="str">
        <f>IFERROR(VLOOKUP(FO_Capture!C1122, Reference_Data!A:D, 3, FALSE), "XXX")</f>
        <v>INR</v>
      </c>
      <c r="E1122" t="str">
        <f>IFERROR(VLOOKUP(FO_Capture!C1122, Reference_Data!A:D, 4, FALSE), "MISSING SSI")</f>
        <v>Deutsche Bank A/C 330518</v>
      </c>
      <c r="F1122">
        <f>FO_Capture!D1122</f>
        <v>130</v>
      </c>
      <c r="G1122">
        <f>FO_Capture!E1122</f>
        <v>136.77999877929688</v>
      </c>
      <c r="H1122">
        <f t="shared" si="34"/>
        <v>17781.399841308594</v>
      </c>
      <c r="I1122" t="str">
        <f t="shared" si="35"/>
        <v>Pass - Ready for Confirmation</v>
      </c>
    </row>
    <row r="1123" spans="1:9" x14ac:dyDescent="0.3">
      <c r="A1123" t="str">
        <f>FO_Capture!A1123</f>
        <v>TRD01122</v>
      </c>
      <c r="B1123" t="str">
        <f>FO_Capture!B1123</f>
        <v>INE007A01098</v>
      </c>
      <c r="C1123" t="str">
        <f>IFERROR(VLOOKUP(FO_Capture!C1123, Reference_Data!A:D, 2, FALSE), "UNKNOWN")</f>
        <v>Alpha Partners 18</v>
      </c>
      <c r="D1123" t="str">
        <f>IFERROR(VLOOKUP(FO_Capture!C1123, Reference_Data!A:D, 3, FALSE), "XXX")</f>
        <v>INR</v>
      </c>
      <c r="E1123" t="str">
        <f>IFERROR(VLOOKUP(FO_Capture!C1123, Reference_Data!A:D, 4, FALSE), "MISSING SSI")</f>
        <v>JPMorgan A/C 704166</v>
      </c>
      <c r="F1123">
        <f>FO_Capture!D1123</f>
        <v>20</v>
      </c>
      <c r="G1123">
        <f>FO_Capture!E1123</f>
        <v>143.75</v>
      </c>
      <c r="H1123">
        <f t="shared" si="34"/>
        <v>2875</v>
      </c>
      <c r="I1123" t="str">
        <f t="shared" si="35"/>
        <v>Pass - Ready for Confirmation</v>
      </c>
    </row>
    <row r="1124" spans="1:9" x14ac:dyDescent="0.3">
      <c r="A1124" t="str">
        <f>FO_Capture!A1124</f>
        <v>TRD01123</v>
      </c>
      <c r="B1124" t="str">
        <f>FO_Capture!B1124</f>
        <v>INE002A01087</v>
      </c>
      <c r="C1124" t="str">
        <f>IFERROR(VLOOKUP(FO_Capture!C1124, Reference_Data!A:D, 2, FALSE), "UNKNOWN")</f>
        <v>Alpha Investments 15</v>
      </c>
      <c r="D1124" t="str">
        <f>IFERROR(VLOOKUP(FO_Capture!C1124, Reference_Data!A:D, 3, FALSE), "XXX")</f>
        <v>INR</v>
      </c>
      <c r="E1124" t="str">
        <f>IFERROR(VLOOKUP(FO_Capture!C1124, Reference_Data!A:D, 4, FALSE), "MISSING SSI")</f>
        <v>Deutsche Bank A/C 330518</v>
      </c>
      <c r="F1124">
        <f>FO_Capture!D1124</f>
        <v>420</v>
      </c>
      <c r="G1124">
        <f>FO_Capture!E1124</f>
        <v>33.159999847412109</v>
      </c>
      <c r="H1124">
        <f t="shared" si="34"/>
        <v>13927.199935913086</v>
      </c>
      <c r="I1124" t="str">
        <f t="shared" si="35"/>
        <v>Pass - Ready for Confirmation</v>
      </c>
    </row>
    <row r="1125" spans="1:9" x14ac:dyDescent="0.3">
      <c r="A1125" t="str">
        <f>FO_Capture!A1125</f>
        <v>TRD01124</v>
      </c>
      <c r="B1125" t="str">
        <f>FO_Capture!B1125</f>
        <v>INE007A01056</v>
      </c>
      <c r="C1125" t="str">
        <f>IFERROR(VLOOKUP(FO_Capture!C1125, Reference_Data!A:D, 2, FALSE), "UNKNOWN")</f>
        <v>Alpha Global 25</v>
      </c>
      <c r="D1125" t="str">
        <f>IFERROR(VLOOKUP(FO_Capture!C1125, Reference_Data!A:D, 3, FALSE), "XXX")</f>
        <v>EUR</v>
      </c>
      <c r="E1125" t="str">
        <f>IFERROR(VLOOKUP(FO_Capture!C1125, Reference_Data!A:D, 4, FALSE), "MISSING SSI")</f>
        <v>Standard Chartered A/C 438949</v>
      </c>
      <c r="F1125">
        <f>FO_Capture!D1125</f>
        <v>10</v>
      </c>
      <c r="G1125">
        <f>FO_Capture!E1125</f>
        <v>15.239999771118164</v>
      </c>
      <c r="H1125">
        <f t="shared" si="34"/>
        <v>152.39999771118164</v>
      </c>
      <c r="I1125" t="str">
        <f t="shared" si="35"/>
        <v>Pass - Ready for Confirmation</v>
      </c>
    </row>
    <row r="1126" spans="1:9" x14ac:dyDescent="0.3">
      <c r="A1126" t="str">
        <f>FO_Capture!A1126</f>
        <v>TRD01125</v>
      </c>
      <c r="B1126" t="str">
        <f>FO_Capture!B1126</f>
        <v>INE008A01081</v>
      </c>
      <c r="C1126" t="str">
        <f>IFERROR(VLOOKUP(FO_Capture!C1126, Reference_Data!A:D, 2, FALSE), "UNKNOWN")</f>
        <v>Alpha Partners 1</v>
      </c>
      <c r="D1126" t="str">
        <f>IFERROR(VLOOKUP(FO_Capture!C1126, Reference_Data!A:D, 3, FALSE), "XXX")</f>
        <v>JPY</v>
      </c>
      <c r="E1126" t="str">
        <f>IFERROR(VLOOKUP(FO_Capture!C1126, Reference_Data!A:D, 4, FALSE), "MISSING SSI")</f>
        <v>Standard Chartered A/C 277005</v>
      </c>
      <c r="F1126">
        <f>FO_Capture!D1126</f>
        <v>320</v>
      </c>
      <c r="G1126">
        <f>FO_Capture!E1126</f>
        <v>245.49000549316406</v>
      </c>
      <c r="H1126">
        <f t="shared" si="34"/>
        <v>78556.8017578125</v>
      </c>
      <c r="I1126" t="str">
        <f t="shared" si="35"/>
        <v>Pass - Ready for Confirmation</v>
      </c>
    </row>
    <row r="1127" spans="1:9" x14ac:dyDescent="0.3">
      <c r="A1127" t="str">
        <f>FO_Capture!A1127</f>
        <v>TRD01126</v>
      </c>
      <c r="B1127" t="str">
        <f>FO_Capture!B1127</f>
        <v>INE009A01044</v>
      </c>
      <c r="C1127" t="str">
        <f>IFERROR(VLOOKUP(FO_Capture!C1127, Reference_Data!A:D, 2, FALSE), "UNKNOWN")</f>
        <v>Alpha Global 2</v>
      </c>
      <c r="D1127" t="str">
        <f>IFERROR(VLOOKUP(FO_Capture!C1127, Reference_Data!A:D, 3, FALSE), "XXX")</f>
        <v>GBP</v>
      </c>
      <c r="E1127" t="str">
        <f>IFERROR(VLOOKUP(FO_Capture!C1127, Reference_Data!A:D, 4, FALSE), "MISSING SSI")</f>
        <v>JPMorgan A/C 582379</v>
      </c>
      <c r="F1127">
        <f>FO_Capture!D1127</f>
        <v>480</v>
      </c>
      <c r="G1127">
        <f>FO_Capture!E1127</f>
        <v>74.75</v>
      </c>
      <c r="H1127">
        <f t="shared" si="34"/>
        <v>35880</v>
      </c>
      <c r="I1127" t="str">
        <f t="shared" si="35"/>
        <v>Pass - Ready for Confirmation</v>
      </c>
    </row>
    <row r="1128" spans="1:9" x14ac:dyDescent="0.3">
      <c r="A1128" t="str">
        <f>FO_Capture!A1128</f>
        <v>TRD01127</v>
      </c>
      <c r="B1128" t="str">
        <f>FO_Capture!B1128</f>
        <v>INE005A01076</v>
      </c>
      <c r="C1128" t="str">
        <f>IFERROR(VLOOKUP(FO_Capture!C1128, Reference_Data!A:D, 2, FALSE), "UNKNOWN")</f>
        <v>Alpha Partners 22</v>
      </c>
      <c r="D1128" t="str">
        <f>IFERROR(VLOOKUP(FO_Capture!C1128, Reference_Data!A:D, 3, FALSE), "XXX")</f>
        <v>GBP</v>
      </c>
      <c r="E1128" t="str">
        <f>IFERROR(VLOOKUP(FO_Capture!C1128, Reference_Data!A:D, 4, FALSE), "MISSING SSI")</f>
        <v>JPMorgan A/C 488546</v>
      </c>
      <c r="F1128">
        <f>FO_Capture!D1128</f>
        <v>490</v>
      </c>
      <c r="G1128">
        <f>FO_Capture!E1128</f>
        <v>299.16000366210938</v>
      </c>
      <c r="H1128">
        <f t="shared" si="34"/>
        <v>146588.40179443359</v>
      </c>
      <c r="I1128" t="str">
        <f t="shared" si="35"/>
        <v>Pass - Ready for Confirmation</v>
      </c>
    </row>
    <row r="1129" spans="1:9" x14ac:dyDescent="0.3">
      <c r="A1129" t="str">
        <f>FO_Capture!A1129</f>
        <v>TRD01128</v>
      </c>
      <c r="B1129" t="str">
        <f>FO_Capture!B1129</f>
        <v>INE002A01010</v>
      </c>
      <c r="C1129" t="str">
        <f>IFERROR(VLOOKUP(FO_Capture!C1129, Reference_Data!A:D, 2, FALSE), "UNKNOWN")</f>
        <v>Alpha Asset Management 8</v>
      </c>
      <c r="D1129" t="str">
        <f>IFERROR(VLOOKUP(FO_Capture!C1129, Reference_Data!A:D, 3, FALSE), "XXX")</f>
        <v>GBP</v>
      </c>
      <c r="E1129" t="str">
        <f>IFERROR(VLOOKUP(FO_Capture!C1129, Reference_Data!A:D, 4, FALSE), "MISSING SSI")</f>
        <v>HDFC A/C 180445</v>
      </c>
      <c r="F1129">
        <f>FO_Capture!D1129</f>
        <v>420</v>
      </c>
      <c r="G1129">
        <f>FO_Capture!E1129</f>
        <v>410.17001342773438</v>
      </c>
      <c r="H1129">
        <f t="shared" si="34"/>
        <v>172271.40563964844</v>
      </c>
      <c r="I1129" t="str">
        <f t="shared" si="35"/>
        <v>Pass - Ready for Confirmation</v>
      </c>
    </row>
    <row r="1130" spans="1:9" x14ac:dyDescent="0.3">
      <c r="A1130" t="str">
        <f>FO_Capture!A1130</f>
        <v>TRD01129</v>
      </c>
      <c r="B1130" t="str">
        <f>FO_Capture!B1130</f>
        <v>INE006A01030</v>
      </c>
      <c r="C1130" t="str">
        <f>IFERROR(VLOOKUP(FO_Capture!C1130, Reference_Data!A:D, 2, FALSE), "UNKNOWN")</f>
        <v>Alpha Holdings 41</v>
      </c>
      <c r="D1130" t="str">
        <f>IFERROR(VLOOKUP(FO_Capture!C1130, Reference_Data!A:D, 3, FALSE), "XXX")</f>
        <v>JPY</v>
      </c>
      <c r="E1130" t="str">
        <f>IFERROR(VLOOKUP(FO_Capture!C1130, Reference_Data!A:D, 4, FALSE), "MISSING SSI")</f>
        <v>HSBC A/C 468615</v>
      </c>
      <c r="F1130">
        <f>FO_Capture!D1130</f>
        <v>220</v>
      </c>
      <c r="G1130">
        <f>FO_Capture!E1130</f>
        <v>344.55999755859375</v>
      </c>
      <c r="H1130">
        <f t="shared" si="34"/>
        <v>75803.199462890625</v>
      </c>
      <c r="I1130" t="str">
        <f t="shared" si="35"/>
        <v>Pass - Ready for Confirmation</v>
      </c>
    </row>
    <row r="1131" spans="1:9" x14ac:dyDescent="0.3">
      <c r="A1131" t="str">
        <f>FO_Capture!A1131</f>
        <v>TRD01130</v>
      </c>
      <c r="B1131" t="str">
        <f>FO_Capture!B1131</f>
        <v>INE006A01023</v>
      </c>
      <c r="C1131" t="str">
        <f>IFERROR(VLOOKUP(FO_Capture!C1131, Reference_Data!A:D, 2, FALSE), "UNKNOWN")</f>
        <v>Alpha Asset Management 8</v>
      </c>
      <c r="D1131" t="str">
        <f>IFERROR(VLOOKUP(FO_Capture!C1131, Reference_Data!A:D, 3, FALSE), "XXX")</f>
        <v>GBP</v>
      </c>
      <c r="E1131" t="str">
        <f>IFERROR(VLOOKUP(FO_Capture!C1131, Reference_Data!A:D, 4, FALSE), "MISSING SSI")</f>
        <v>HDFC A/C 180445</v>
      </c>
      <c r="F1131">
        <f>FO_Capture!D1131</f>
        <v>420</v>
      </c>
      <c r="G1131">
        <f>FO_Capture!E1131</f>
        <v>234.38999938964844</v>
      </c>
      <c r="H1131">
        <f t="shared" si="34"/>
        <v>98443.799743652344</v>
      </c>
      <c r="I1131" t="str">
        <f t="shared" si="35"/>
        <v>Pass - Ready for Confirmation</v>
      </c>
    </row>
    <row r="1132" spans="1:9" x14ac:dyDescent="0.3">
      <c r="A1132" t="str">
        <f>FO_Capture!A1132</f>
        <v>TRD01131</v>
      </c>
      <c r="B1132" t="str">
        <f>FO_Capture!B1132</f>
        <v>INE008A01027</v>
      </c>
      <c r="C1132" t="str">
        <f>IFERROR(VLOOKUP(FO_Capture!C1132, Reference_Data!A:D, 2, FALSE), "UNKNOWN")</f>
        <v>Alpha Asset Management 31</v>
      </c>
      <c r="D1132" t="str">
        <f>IFERROR(VLOOKUP(FO_Capture!C1132, Reference_Data!A:D, 3, FALSE), "XXX")</f>
        <v>USD</v>
      </c>
      <c r="E1132" t="str">
        <f>IFERROR(VLOOKUP(FO_Capture!C1132, Reference_Data!A:D, 4, FALSE), "MISSING SSI")</f>
        <v>Citi A/C 194841</v>
      </c>
      <c r="F1132">
        <f>FO_Capture!D1132</f>
        <v>410</v>
      </c>
      <c r="G1132">
        <f>FO_Capture!E1132</f>
        <v>157.07000732421875</v>
      </c>
      <c r="H1132">
        <f t="shared" si="34"/>
        <v>64398.703002929688</v>
      </c>
      <c r="I1132" t="str">
        <f t="shared" si="35"/>
        <v>Pass - Ready for Confirmation</v>
      </c>
    </row>
    <row r="1133" spans="1:9" x14ac:dyDescent="0.3">
      <c r="A1133" t="str">
        <f>FO_Capture!A1133</f>
        <v>TRD01132</v>
      </c>
      <c r="B1133" t="str">
        <f>FO_Capture!B1133</f>
        <v>INE004A01079</v>
      </c>
      <c r="C1133" t="str">
        <f>IFERROR(VLOOKUP(FO_Capture!C1133, Reference_Data!A:D, 2, FALSE), "UNKNOWN")</f>
        <v>Alpha Asset Management 35</v>
      </c>
      <c r="D1133" t="str">
        <f>IFERROR(VLOOKUP(FO_Capture!C1133, Reference_Data!A:D, 3, FALSE), "XXX")</f>
        <v>JPY</v>
      </c>
      <c r="E1133" t="str">
        <f>IFERROR(VLOOKUP(FO_Capture!C1133, Reference_Data!A:D, 4, FALSE), "MISSING SSI")</f>
        <v>HSBC A/C 604357</v>
      </c>
      <c r="F1133">
        <f>FO_Capture!D1133</f>
        <v>190</v>
      </c>
      <c r="G1133">
        <f>FO_Capture!E1133</f>
        <v>385.30999755859375</v>
      </c>
      <c r="H1133">
        <f t="shared" si="34"/>
        <v>73208.899536132813</v>
      </c>
      <c r="I1133" t="str">
        <f t="shared" si="35"/>
        <v>Pass - Ready for Confirmation</v>
      </c>
    </row>
    <row r="1134" spans="1:9" x14ac:dyDescent="0.3">
      <c r="A1134" t="str">
        <f>FO_Capture!A1134</f>
        <v>TRD01133</v>
      </c>
      <c r="B1134" t="str">
        <f>FO_Capture!B1134</f>
        <v>INE001A01073</v>
      </c>
      <c r="C1134" t="str">
        <f>IFERROR(VLOOKUP(FO_Capture!C1134, Reference_Data!A:D, 2, FALSE), "UNKNOWN")</f>
        <v>Alpha Global 30</v>
      </c>
      <c r="D1134" t="str">
        <f>IFERROR(VLOOKUP(FO_Capture!C1134, Reference_Data!A:D, 3, FALSE), "XXX")</f>
        <v>JPY</v>
      </c>
      <c r="E1134" t="str">
        <f>IFERROR(VLOOKUP(FO_Capture!C1134, Reference_Data!A:D, 4, FALSE), "MISSING SSI")</f>
        <v>Deutsche Bank A/C 917262</v>
      </c>
      <c r="F1134">
        <f>FO_Capture!D1134</f>
        <v>100</v>
      </c>
      <c r="G1134">
        <f>FO_Capture!E1134</f>
        <v>137.10000610351563</v>
      </c>
      <c r="H1134">
        <f t="shared" si="34"/>
        <v>13710.000610351563</v>
      </c>
      <c r="I1134" t="str">
        <f t="shared" si="35"/>
        <v>Pass - Ready for Confirmation</v>
      </c>
    </row>
    <row r="1135" spans="1:9" x14ac:dyDescent="0.3">
      <c r="A1135" t="str">
        <f>FO_Capture!A1135</f>
        <v>TRD01134</v>
      </c>
      <c r="B1135" t="str">
        <f>FO_Capture!B1135</f>
        <v>INE002A0101</v>
      </c>
      <c r="C1135" t="str">
        <f>IFERROR(VLOOKUP(FO_Capture!C1135, Reference_Data!A:D, 2, FALSE), "UNKNOWN")</f>
        <v>Alpha Asset Management 32</v>
      </c>
      <c r="D1135" t="str">
        <f>IFERROR(VLOOKUP(FO_Capture!C1135, Reference_Data!A:D, 3, FALSE), "XXX")</f>
        <v>INR</v>
      </c>
      <c r="E1135" t="str">
        <f>IFERROR(VLOOKUP(FO_Capture!C1135, Reference_Data!A:D, 4, FALSE), "MISSING SSI")</f>
        <v>Barclays A/C 302646</v>
      </c>
      <c r="F1135">
        <f>FO_Capture!D1135</f>
        <v>80</v>
      </c>
      <c r="G1135">
        <f>FO_Capture!E1135</f>
        <v>325.79998779296875</v>
      </c>
      <c r="H1135">
        <f t="shared" si="34"/>
        <v>26063.9990234375</v>
      </c>
      <c r="I1135" t="str">
        <f t="shared" si="35"/>
        <v>Pass - Ready for Confirmation</v>
      </c>
    </row>
    <row r="1136" spans="1:9" x14ac:dyDescent="0.3">
      <c r="A1136" t="str">
        <f>FO_Capture!A1136</f>
        <v>TRD01135</v>
      </c>
      <c r="B1136" t="str">
        <f>FO_Capture!B1136</f>
        <v>INE007A0104</v>
      </c>
      <c r="C1136" t="str">
        <f>IFERROR(VLOOKUP(FO_Capture!C1136, Reference_Data!A:D, 2, FALSE), "UNKNOWN")</f>
        <v>Alpha Partners 37</v>
      </c>
      <c r="D1136" t="str">
        <f>IFERROR(VLOOKUP(FO_Capture!C1136, Reference_Data!A:D, 3, FALSE), "XXX")</f>
        <v>JPY</v>
      </c>
      <c r="E1136" t="str">
        <f>IFERROR(VLOOKUP(FO_Capture!C1136, Reference_Data!A:D, 4, FALSE), "MISSING SSI")</f>
        <v>HSBC A/C 994063</v>
      </c>
      <c r="F1136">
        <f>FO_Capture!D1136</f>
        <v>440</v>
      </c>
      <c r="G1136">
        <f>FO_Capture!E1136</f>
        <v>310.02999877929688</v>
      </c>
      <c r="H1136">
        <f t="shared" si="34"/>
        <v>136413.19946289063</v>
      </c>
      <c r="I1136" t="str">
        <f t="shared" si="35"/>
        <v>Pass - Ready for Confirmation</v>
      </c>
    </row>
    <row r="1137" spans="1:9" x14ac:dyDescent="0.3">
      <c r="A1137" t="str">
        <f>FO_Capture!A1137</f>
        <v>TRD01136</v>
      </c>
      <c r="B1137" t="str">
        <f>FO_Capture!B1137</f>
        <v>INE009A01030</v>
      </c>
      <c r="C1137" t="str">
        <f>IFERROR(VLOOKUP(FO_Capture!C1137, Reference_Data!A:D, 2, FALSE), "UNKNOWN")</f>
        <v>Alpha Partners 3</v>
      </c>
      <c r="D1137" t="str">
        <f>IFERROR(VLOOKUP(FO_Capture!C1137, Reference_Data!A:D, 3, FALSE), "XXX")</f>
        <v>USD</v>
      </c>
      <c r="E1137" t="str">
        <f>IFERROR(VLOOKUP(FO_Capture!C1137, Reference_Data!A:D, 4, FALSE), "MISSING SSI")</f>
        <v>Citi A/C 508769</v>
      </c>
      <c r="F1137">
        <f>FO_Capture!D1137</f>
        <v>25000</v>
      </c>
      <c r="G1137">
        <f>FO_Capture!E1137</f>
        <v>75.519996643066406</v>
      </c>
      <c r="H1137">
        <f t="shared" si="34"/>
        <v>1887999.9160766602</v>
      </c>
      <c r="I1137" t="str">
        <f t="shared" si="35"/>
        <v>Exception - Limit Breach</v>
      </c>
    </row>
    <row r="1138" spans="1:9" x14ac:dyDescent="0.3">
      <c r="A1138" t="str">
        <f>FO_Capture!A1138</f>
        <v>TRD01137</v>
      </c>
      <c r="B1138" t="str">
        <f>FO_Capture!B1138</f>
        <v>INE003A01015</v>
      </c>
      <c r="C1138" t="str">
        <f>IFERROR(VLOOKUP(FO_Capture!C1138, Reference_Data!A:D, 2, FALSE), "UNKNOWN")</f>
        <v>Alpha Partners 26</v>
      </c>
      <c r="D1138" t="str">
        <f>IFERROR(VLOOKUP(FO_Capture!C1138, Reference_Data!A:D, 3, FALSE), "XXX")</f>
        <v>USD</v>
      </c>
      <c r="E1138" t="str">
        <f>IFERROR(VLOOKUP(FO_Capture!C1138, Reference_Data!A:D, 4, FALSE), "MISSING SSI")</f>
        <v>HSBC A/C 867781</v>
      </c>
      <c r="F1138">
        <f>FO_Capture!D1138</f>
        <v>25000</v>
      </c>
      <c r="G1138">
        <f>FO_Capture!E1138</f>
        <v>469.79000854492188</v>
      </c>
      <c r="H1138">
        <f t="shared" si="34"/>
        <v>11744750.213623047</v>
      </c>
      <c r="I1138" t="str">
        <f t="shared" si="35"/>
        <v>Exception - Limit Breach</v>
      </c>
    </row>
    <row r="1139" spans="1:9" x14ac:dyDescent="0.3">
      <c r="A1139" t="str">
        <f>FO_Capture!A1139</f>
        <v>TRD01138</v>
      </c>
      <c r="B1139" t="str">
        <f>FO_Capture!B1139</f>
        <v>INE004A01062</v>
      </c>
      <c r="C1139" t="str">
        <f>IFERROR(VLOOKUP(FO_Capture!C1139, Reference_Data!A:D, 2, FALSE), "UNKNOWN")</f>
        <v>Alpha Holdings 21</v>
      </c>
      <c r="D1139" t="str">
        <f>IFERROR(VLOOKUP(FO_Capture!C1139, Reference_Data!A:D, 3, FALSE), "XXX")</f>
        <v>SGD</v>
      </c>
      <c r="E1139" t="str">
        <f>IFERROR(VLOOKUP(FO_Capture!C1139, Reference_Data!A:D, 4, FALSE), "MISSING SSI")</f>
        <v>HSBC A/C 562956</v>
      </c>
      <c r="F1139">
        <f>FO_Capture!D1139</f>
        <v>370</v>
      </c>
      <c r="G1139">
        <f>FO_Capture!E1139</f>
        <v>289.52999877929688</v>
      </c>
      <c r="H1139">
        <f t="shared" si="34"/>
        <v>107126.09954833984</v>
      </c>
      <c r="I1139" t="str">
        <f t="shared" si="35"/>
        <v>Pass - Ready for Confirmation</v>
      </c>
    </row>
    <row r="1140" spans="1:9" x14ac:dyDescent="0.3">
      <c r="A1140" t="str">
        <f>FO_Capture!A1140</f>
        <v>TRD01139</v>
      </c>
      <c r="B1140" t="str">
        <f>FO_Capture!B1140</f>
        <v>INE005A0108</v>
      </c>
      <c r="C1140" t="str">
        <f>IFERROR(VLOOKUP(FO_Capture!C1140, Reference_Data!A:D, 2, FALSE), "UNKNOWN")</f>
        <v>Alpha Capital 38</v>
      </c>
      <c r="D1140" t="str">
        <f>IFERROR(VLOOKUP(FO_Capture!C1140, Reference_Data!A:D, 3, FALSE), "XXX")</f>
        <v>SGD</v>
      </c>
      <c r="E1140" t="str">
        <f>IFERROR(VLOOKUP(FO_Capture!C1140, Reference_Data!A:D, 4, FALSE), "MISSING SSI")</f>
        <v>Deutsche Bank A/C 153521</v>
      </c>
      <c r="F1140">
        <f>FO_Capture!D1140</f>
        <v>360</v>
      </c>
      <c r="G1140">
        <f>FO_Capture!E1140</f>
        <v>315.39999389648438</v>
      </c>
      <c r="H1140">
        <f t="shared" si="34"/>
        <v>113543.99780273438</v>
      </c>
      <c r="I1140" t="str">
        <f t="shared" si="35"/>
        <v>Pass - Ready for Confirmation</v>
      </c>
    </row>
    <row r="1141" spans="1:9" x14ac:dyDescent="0.3">
      <c r="A1141" t="str">
        <f>FO_Capture!A1141</f>
        <v>TRD01140</v>
      </c>
      <c r="B1141" t="str">
        <f>FO_Capture!B1141</f>
        <v>INE007A01089</v>
      </c>
      <c r="C1141" t="str">
        <f>IFERROR(VLOOKUP(FO_Capture!C1141, Reference_Data!A:D, 2, FALSE), "UNKNOWN")</f>
        <v>Alpha Investments 15</v>
      </c>
      <c r="D1141" t="str">
        <f>IFERROR(VLOOKUP(FO_Capture!C1141, Reference_Data!A:D, 3, FALSE), "XXX")</f>
        <v>INR</v>
      </c>
      <c r="E1141" t="str">
        <f>IFERROR(VLOOKUP(FO_Capture!C1141, Reference_Data!A:D, 4, FALSE), "MISSING SSI")</f>
        <v>Deutsche Bank A/C 330518</v>
      </c>
      <c r="F1141">
        <f>FO_Capture!D1141</f>
        <v>250</v>
      </c>
      <c r="G1141">
        <f>FO_Capture!E1141</f>
        <v>29.079999923706055</v>
      </c>
      <c r="H1141">
        <f t="shared" si="34"/>
        <v>7269.9999809265137</v>
      </c>
      <c r="I1141" t="str">
        <f t="shared" si="35"/>
        <v>Pass - Ready for Confirmation</v>
      </c>
    </row>
    <row r="1142" spans="1:9" x14ac:dyDescent="0.3">
      <c r="A1142" t="str">
        <f>FO_Capture!A1142</f>
        <v>TRD01141</v>
      </c>
      <c r="B1142" t="str">
        <f>FO_Capture!B1142</f>
        <v>INE006A01074</v>
      </c>
      <c r="C1142" t="str">
        <f>IFERROR(VLOOKUP(FO_Capture!C1142, Reference_Data!A:D, 2, FALSE), "UNKNOWN")</f>
        <v>Alpha Asset Management 4</v>
      </c>
      <c r="D1142" t="str">
        <f>IFERROR(VLOOKUP(FO_Capture!C1142, Reference_Data!A:D, 3, FALSE), "XXX")</f>
        <v>JPY</v>
      </c>
      <c r="E1142" t="str">
        <f>IFERROR(VLOOKUP(FO_Capture!C1142, Reference_Data!A:D, 4, FALSE), "MISSING SSI")</f>
        <v>Deutsche Bank A/C 126543</v>
      </c>
      <c r="F1142">
        <f>FO_Capture!D1142</f>
        <v>320</v>
      </c>
      <c r="G1142">
        <f>FO_Capture!E1142</f>
        <v>295.07000732421875</v>
      </c>
      <c r="H1142">
        <f t="shared" si="34"/>
        <v>94422.40234375</v>
      </c>
      <c r="I1142" t="str">
        <f t="shared" si="35"/>
        <v>Pass - Ready for Confirmation</v>
      </c>
    </row>
    <row r="1143" spans="1:9" x14ac:dyDescent="0.3">
      <c r="A1143" t="str">
        <f>FO_Capture!A1143</f>
        <v>TRD01142</v>
      </c>
      <c r="B1143" t="str">
        <f>FO_Capture!B1143</f>
        <v>INE007A01020</v>
      </c>
      <c r="C1143" t="str">
        <f>IFERROR(VLOOKUP(FO_Capture!C1143, Reference_Data!A:D, 2, FALSE), "UNKNOWN")</f>
        <v>Alpha Capital 7</v>
      </c>
      <c r="D1143" t="str">
        <f>IFERROR(VLOOKUP(FO_Capture!C1143, Reference_Data!A:D, 3, FALSE), "XXX")</f>
        <v>INR</v>
      </c>
      <c r="E1143" t="str">
        <f>IFERROR(VLOOKUP(FO_Capture!C1143, Reference_Data!A:D, 4, FALSE), "MISSING SSI")</f>
        <v>Standard Chartered A/C 682134</v>
      </c>
      <c r="F1143">
        <f>FO_Capture!D1143</f>
        <v>160</v>
      </c>
      <c r="G1143">
        <f>FO_Capture!E1143</f>
        <v>110.69999694824219</v>
      </c>
      <c r="H1143">
        <f t="shared" si="34"/>
        <v>17711.99951171875</v>
      </c>
      <c r="I1143" t="str">
        <f t="shared" si="35"/>
        <v>Pass - Ready for Confirmation</v>
      </c>
    </row>
    <row r="1144" spans="1:9" x14ac:dyDescent="0.3">
      <c r="A1144" t="str">
        <f>FO_Capture!A1144</f>
        <v>TRD01143</v>
      </c>
      <c r="B1144" t="str">
        <f>FO_Capture!B1144</f>
        <v>INE003A01021</v>
      </c>
      <c r="C1144" t="str">
        <f>IFERROR(VLOOKUP(FO_Capture!C1144, Reference_Data!A:D, 2, FALSE), "UNKNOWN")</f>
        <v>Alpha Global 2</v>
      </c>
      <c r="D1144" t="str">
        <f>IFERROR(VLOOKUP(FO_Capture!C1144, Reference_Data!A:D, 3, FALSE), "XXX")</f>
        <v>GBP</v>
      </c>
      <c r="E1144" t="str">
        <f>IFERROR(VLOOKUP(FO_Capture!C1144, Reference_Data!A:D, 4, FALSE), "MISSING SSI")</f>
        <v>JPMorgan A/C 582379</v>
      </c>
      <c r="F1144">
        <f>FO_Capture!D1144</f>
        <v>390</v>
      </c>
      <c r="G1144">
        <f>FO_Capture!E1144</f>
        <v>356.07998657226563</v>
      </c>
      <c r="H1144">
        <f t="shared" si="34"/>
        <v>138871.19476318359</v>
      </c>
      <c r="I1144" t="str">
        <f t="shared" si="35"/>
        <v>Pass - Ready for Confirmation</v>
      </c>
    </row>
    <row r="1145" spans="1:9" x14ac:dyDescent="0.3">
      <c r="A1145" t="str">
        <f>FO_Capture!A1145</f>
        <v>TRD01144</v>
      </c>
      <c r="B1145" t="str">
        <f>FO_Capture!B1145</f>
        <v>INE008A01060</v>
      </c>
      <c r="C1145" t="str">
        <f>IFERROR(VLOOKUP(FO_Capture!C1145, Reference_Data!A:D, 2, FALSE), "UNKNOWN")</f>
        <v>Alpha Global 20</v>
      </c>
      <c r="D1145" t="str">
        <f>IFERROR(VLOOKUP(FO_Capture!C1145, Reference_Data!A:D, 3, FALSE), "XXX")</f>
        <v>JPY</v>
      </c>
      <c r="E1145" t="str">
        <f>IFERROR(VLOOKUP(FO_Capture!C1145, Reference_Data!A:D, 4, FALSE), "MISSING SSI")</f>
        <v>Barclays A/C 560891</v>
      </c>
      <c r="F1145">
        <f>FO_Capture!D1145</f>
        <v>420</v>
      </c>
      <c r="G1145">
        <f>FO_Capture!E1145</f>
        <v>44.150001525878906</v>
      </c>
      <c r="H1145">
        <f t="shared" si="34"/>
        <v>18543.000640869141</v>
      </c>
      <c r="I1145" t="str">
        <f t="shared" si="35"/>
        <v>Pass - Ready for Confirmation</v>
      </c>
    </row>
    <row r="1146" spans="1:9" x14ac:dyDescent="0.3">
      <c r="A1146" t="str">
        <f>FO_Capture!A1146</f>
        <v>TRD01145</v>
      </c>
      <c r="B1146" t="str">
        <f>FO_Capture!B1146</f>
        <v>INE005A01062</v>
      </c>
      <c r="C1146" t="str">
        <f>IFERROR(VLOOKUP(FO_Capture!C1146, Reference_Data!A:D, 2, FALSE), "UNKNOWN")</f>
        <v>Alpha Global 14</v>
      </c>
      <c r="D1146" t="str">
        <f>IFERROR(VLOOKUP(FO_Capture!C1146, Reference_Data!A:D, 3, FALSE), "XXX")</f>
        <v>USD</v>
      </c>
      <c r="E1146" t="str">
        <f>IFERROR(VLOOKUP(FO_Capture!C1146, Reference_Data!A:D, 4, FALSE), "MISSING SSI")</f>
        <v>HSBC A/C 864249</v>
      </c>
      <c r="F1146">
        <f>FO_Capture!D1146</f>
        <v>25000</v>
      </c>
      <c r="G1146">
        <f>FO_Capture!E1146</f>
        <v>209.22999572753906</v>
      </c>
      <c r="H1146">
        <f t="shared" si="34"/>
        <v>5230749.8931884766</v>
      </c>
      <c r="I1146" t="str">
        <f t="shared" si="35"/>
        <v>Exception - Limit Breach</v>
      </c>
    </row>
    <row r="1147" spans="1:9" x14ac:dyDescent="0.3">
      <c r="A1147" t="str">
        <f>FO_Capture!A1147</f>
        <v>TRD01146</v>
      </c>
      <c r="B1147" t="str">
        <f>FO_Capture!B1147</f>
        <v>INE002A01049</v>
      </c>
      <c r="C1147" t="str">
        <f>IFERROR(VLOOKUP(FO_Capture!C1147, Reference_Data!A:D, 2, FALSE), "UNKNOWN")</f>
        <v>Alpha Global 28</v>
      </c>
      <c r="D1147" t="str">
        <f>IFERROR(VLOOKUP(FO_Capture!C1147, Reference_Data!A:D, 3, FALSE), "XXX")</f>
        <v>USD</v>
      </c>
      <c r="E1147" t="str">
        <f>IFERROR(VLOOKUP(FO_Capture!C1147, Reference_Data!A:D, 4, FALSE), "MISSING SSI")</f>
        <v>HDFC A/C 638209</v>
      </c>
      <c r="F1147">
        <f>FO_Capture!D1147</f>
        <v>70</v>
      </c>
      <c r="G1147">
        <f>FO_Capture!E1147</f>
        <v>489.60000610351563</v>
      </c>
      <c r="H1147">
        <f t="shared" si="34"/>
        <v>34272.000427246094</v>
      </c>
      <c r="I1147" t="str">
        <f t="shared" si="35"/>
        <v>Pass - Ready for Confirmation</v>
      </c>
    </row>
    <row r="1148" spans="1:9" x14ac:dyDescent="0.3">
      <c r="A1148" t="str">
        <f>FO_Capture!A1148</f>
        <v>TRD01147</v>
      </c>
      <c r="B1148" t="str">
        <f>FO_Capture!B1148</f>
        <v>INE009A01023</v>
      </c>
      <c r="C1148" t="str">
        <f>IFERROR(VLOOKUP(FO_Capture!C1148, Reference_Data!A:D, 2, FALSE), "UNKNOWN")</f>
        <v>Alpha Investments 15</v>
      </c>
      <c r="D1148" t="str">
        <f>IFERROR(VLOOKUP(FO_Capture!C1148, Reference_Data!A:D, 3, FALSE), "XXX")</f>
        <v>INR</v>
      </c>
      <c r="E1148" t="str">
        <f>IFERROR(VLOOKUP(FO_Capture!C1148, Reference_Data!A:D, 4, FALSE), "MISSING SSI")</f>
        <v>Deutsche Bank A/C 330518</v>
      </c>
      <c r="F1148">
        <f>FO_Capture!D1148</f>
        <v>430</v>
      </c>
      <c r="G1148">
        <f>FO_Capture!E1148</f>
        <v>44.349998474121094</v>
      </c>
      <c r="H1148">
        <f t="shared" si="34"/>
        <v>19070.49934387207</v>
      </c>
      <c r="I1148" t="str">
        <f t="shared" si="35"/>
        <v>Pass - Ready for Confirmation</v>
      </c>
    </row>
    <row r="1149" spans="1:9" x14ac:dyDescent="0.3">
      <c r="A1149" t="str">
        <f>FO_Capture!A1149</f>
        <v>TRD01148</v>
      </c>
      <c r="B1149" t="str">
        <f>FO_Capture!B1149</f>
        <v>INE003A01067</v>
      </c>
      <c r="C1149" t="str">
        <f>IFERROR(VLOOKUP(FO_Capture!C1149, Reference_Data!A:D, 2, FALSE), "UNKNOWN")</f>
        <v>Alpha Global 28</v>
      </c>
      <c r="D1149" t="str">
        <f>IFERROR(VLOOKUP(FO_Capture!C1149, Reference_Data!A:D, 3, FALSE), "XXX")</f>
        <v>USD</v>
      </c>
      <c r="E1149" t="str">
        <f>IFERROR(VLOOKUP(FO_Capture!C1149, Reference_Data!A:D, 4, FALSE), "MISSING SSI")</f>
        <v>HDFC A/C 638209</v>
      </c>
      <c r="F1149">
        <f>FO_Capture!D1149</f>
        <v>470</v>
      </c>
      <c r="G1149">
        <f>FO_Capture!E1149</f>
        <v>442.10000610351563</v>
      </c>
      <c r="H1149">
        <f t="shared" si="34"/>
        <v>207787.00286865234</v>
      </c>
      <c r="I1149" t="str">
        <f t="shared" si="35"/>
        <v>Pass - Ready for Confirmation</v>
      </c>
    </row>
    <row r="1150" spans="1:9" x14ac:dyDescent="0.3">
      <c r="A1150" t="str">
        <f>FO_Capture!A1150</f>
        <v>TRD01149</v>
      </c>
      <c r="B1150" t="str">
        <f>FO_Capture!B1150</f>
        <v>INE003A0109</v>
      </c>
      <c r="C1150" t="str">
        <f>IFERROR(VLOOKUP(FO_Capture!C1150, Reference_Data!A:D, 2, FALSE), "UNKNOWN")</f>
        <v>Alpha Partners 22</v>
      </c>
      <c r="D1150" t="str">
        <f>IFERROR(VLOOKUP(FO_Capture!C1150, Reference_Data!A:D, 3, FALSE), "XXX")</f>
        <v>GBP</v>
      </c>
      <c r="E1150" t="str">
        <f>IFERROR(VLOOKUP(FO_Capture!C1150, Reference_Data!A:D, 4, FALSE), "MISSING SSI")</f>
        <v>JPMorgan A/C 488546</v>
      </c>
      <c r="F1150">
        <f>FO_Capture!D1150</f>
        <v>410</v>
      </c>
      <c r="G1150">
        <f>FO_Capture!E1150</f>
        <v>290.5</v>
      </c>
      <c r="H1150">
        <f t="shared" si="34"/>
        <v>119105</v>
      </c>
      <c r="I1150" t="str">
        <f t="shared" si="35"/>
        <v>Pass - Ready for Confirmation</v>
      </c>
    </row>
    <row r="1151" spans="1:9" x14ac:dyDescent="0.3">
      <c r="A1151" t="str">
        <f>FO_Capture!A1151</f>
        <v>TRD01150</v>
      </c>
      <c r="B1151" t="str">
        <f>FO_Capture!B1151</f>
        <v>INE007A01038</v>
      </c>
      <c r="C1151" t="str">
        <f>IFERROR(VLOOKUP(FO_Capture!C1151, Reference_Data!A:D, 2, FALSE), "UNKNOWN")</f>
        <v>Alpha Global 20</v>
      </c>
      <c r="D1151" t="str">
        <f>IFERROR(VLOOKUP(FO_Capture!C1151, Reference_Data!A:D, 3, FALSE), "XXX")</f>
        <v>JPY</v>
      </c>
      <c r="E1151" t="str">
        <f>IFERROR(VLOOKUP(FO_Capture!C1151, Reference_Data!A:D, 4, FALSE), "MISSING SSI")</f>
        <v>Barclays A/C 560891</v>
      </c>
      <c r="F1151">
        <f>FO_Capture!D1151</f>
        <v>20</v>
      </c>
      <c r="G1151">
        <f>FO_Capture!E1151</f>
        <v>486.29998779296875</v>
      </c>
      <c r="H1151">
        <f t="shared" si="34"/>
        <v>9725.999755859375</v>
      </c>
      <c r="I1151" t="str">
        <f t="shared" si="35"/>
        <v>Pass - Ready for Confirmation</v>
      </c>
    </row>
    <row r="1152" spans="1:9" x14ac:dyDescent="0.3">
      <c r="A1152" t="str">
        <f>FO_Capture!A1152</f>
        <v>TRD01151</v>
      </c>
      <c r="B1152" t="str">
        <f>FO_Capture!B1152</f>
        <v>INE008A01071</v>
      </c>
      <c r="C1152" t="str">
        <f>IFERROR(VLOOKUP(FO_Capture!C1152, Reference_Data!A:D, 2, FALSE), "UNKNOWN")</f>
        <v>Alpha Quant Fund 34</v>
      </c>
      <c r="D1152" t="str">
        <f>IFERROR(VLOOKUP(FO_Capture!C1152, Reference_Data!A:D, 3, FALSE), "XXX")</f>
        <v>JPY</v>
      </c>
      <c r="E1152" t="str">
        <f>IFERROR(VLOOKUP(FO_Capture!C1152, Reference_Data!A:D, 4, FALSE), "MISSING SSI")</f>
        <v>Citi A/C 837378</v>
      </c>
      <c r="F1152">
        <f>FO_Capture!D1152</f>
        <v>420</v>
      </c>
      <c r="G1152">
        <f>FO_Capture!E1152</f>
        <v>465.27999877929688</v>
      </c>
      <c r="H1152">
        <f t="shared" si="34"/>
        <v>195417.59948730469</v>
      </c>
      <c r="I1152" t="str">
        <f t="shared" si="35"/>
        <v>Pass - Ready for Confirmation</v>
      </c>
    </row>
    <row r="1153" spans="1:9" x14ac:dyDescent="0.3">
      <c r="A1153" t="str">
        <f>FO_Capture!A1153</f>
        <v>TRD01152</v>
      </c>
      <c r="B1153" t="str">
        <f>FO_Capture!B1153</f>
        <v>INE005A01092</v>
      </c>
      <c r="C1153" t="str">
        <f>IFERROR(VLOOKUP(FO_Capture!C1153, Reference_Data!A:D, 2, FALSE), "UNKNOWN")</f>
        <v>Alpha Global 46</v>
      </c>
      <c r="D1153" t="str">
        <f>IFERROR(VLOOKUP(FO_Capture!C1153, Reference_Data!A:D, 3, FALSE), "XXX")</f>
        <v>USD</v>
      </c>
      <c r="E1153" t="str">
        <f>IFERROR(VLOOKUP(FO_Capture!C1153, Reference_Data!A:D, 4, FALSE), "MISSING SSI")</f>
        <v>Citi A/C 700450</v>
      </c>
      <c r="F1153">
        <f>FO_Capture!D1153</f>
        <v>270</v>
      </c>
      <c r="G1153">
        <f>FO_Capture!E1153</f>
        <v>452.29000854492188</v>
      </c>
      <c r="H1153">
        <f t="shared" si="34"/>
        <v>122118.30230712891</v>
      </c>
      <c r="I1153" t="str">
        <f t="shared" si="35"/>
        <v>Pass - Ready for Confirmation</v>
      </c>
    </row>
    <row r="1154" spans="1:9" x14ac:dyDescent="0.3">
      <c r="A1154" t="str">
        <f>FO_Capture!A1154</f>
        <v>TRD01153</v>
      </c>
      <c r="B1154" t="str">
        <f>FO_Capture!B1154</f>
        <v>INE007A0107</v>
      </c>
      <c r="C1154" t="str">
        <f>IFERROR(VLOOKUP(FO_Capture!C1154, Reference_Data!A:D, 2, FALSE), "UNKNOWN")</f>
        <v>Alpha Global 25</v>
      </c>
      <c r="D1154" t="str">
        <f>IFERROR(VLOOKUP(FO_Capture!C1154, Reference_Data!A:D, 3, FALSE), "XXX")</f>
        <v>EUR</v>
      </c>
      <c r="E1154" t="str">
        <f>IFERROR(VLOOKUP(FO_Capture!C1154, Reference_Data!A:D, 4, FALSE), "MISSING SSI")</f>
        <v>Standard Chartered A/C 438949</v>
      </c>
      <c r="F1154">
        <f>FO_Capture!D1154</f>
        <v>25000</v>
      </c>
      <c r="G1154">
        <f>FO_Capture!E1154</f>
        <v>88.569999694824219</v>
      </c>
      <c r="H1154">
        <f t="shared" si="34"/>
        <v>2214249.9923706055</v>
      </c>
      <c r="I1154" t="str">
        <f t="shared" si="35"/>
        <v>Exception - Limit Breach</v>
      </c>
    </row>
    <row r="1155" spans="1:9" x14ac:dyDescent="0.3">
      <c r="A1155" t="str">
        <f>FO_Capture!A1155</f>
        <v>TRD01154</v>
      </c>
      <c r="B1155" t="str">
        <f>FO_Capture!B1155</f>
        <v>INE004A01054</v>
      </c>
      <c r="C1155" t="str">
        <f>IFERROR(VLOOKUP(FO_Capture!C1155, Reference_Data!A:D, 2, FALSE), "UNKNOWN")</f>
        <v>Alpha Capital 11</v>
      </c>
      <c r="D1155" t="str">
        <f>IFERROR(VLOOKUP(FO_Capture!C1155, Reference_Data!A:D, 3, FALSE), "XXX")</f>
        <v>USD</v>
      </c>
      <c r="E1155" t="str">
        <f>IFERROR(VLOOKUP(FO_Capture!C1155, Reference_Data!A:D, 4, FALSE), "MISSING SSI")</f>
        <v>JPMorgan A/C 987170</v>
      </c>
      <c r="F1155">
        <f>FO_Capture!D1155</f>
        <v>410</v>
      </c>
      <c r="G1155">
        <f>FO_Capture!E1155</f>
        <v>416.489990234375</v>
      </c>
      <c r="H1155">
        <f t="shared" ref="H1155:H1218" si="36">F1155 * G1155</f>
        <v>170760.89599609375</v>
      </c>
      <c r="I1155" t="str">
        <f t="shared" ref="I1155:I1218" si="37">IF(C1155="UNKNOWN", "Fail - Missing Ref Data", IF(OR(F1155&lt;=0, G1155&lt;=0), "Fail - Invalid Price/Qty", IF(H1155&gt;1000000, "Exception - Limit Breach", "Pass - Ready for Confirmation")))</f>
        <v>Pass - Ready for Confirmation</v>
      </c>
    </row>
    <row r="1156" spans="1:9" x14ac:dyDescent="0.3">
      <c r="A1156" t="str">
        <f>FO_Capture!A1156</f>
        <v>TRD01155</v>
      </c>
      <c r="B1156" t="str">
        <f>FO_Capture!B1156</f>
        <v>INE006A01014</v>
      </c>
      <c r="C1156" t="str">
        <f>IFERROR(VLOOKUP(FO_Capture!C1156, Reference_Data!A:D, 2, FALSE), "UNKNOWN")</f>
        <v>Alpha Capital 36</v>
      </c>
      <c r="D1156" t="str">
        <f>IFERROR(VLOOKUP(FO_Capture!C1156, Reference_Data!A:D, 3, FALSE), "XXX")</f>
        <v>JPY</v>
      </c>
      <c r="E1156" t="str">
        <f>IFERROR(VLOOKUP(FO_Capture!C1156, Reference_Data!A:D, 4, FALSE), "MISSING SSI")</f>
        <v>Citi A/C 359789</v>
      </c>
      <c r="F1156">
        <f>FO_Capture!D1156</f>
        <v>110</v>
      </c>
      <c r="G1156">
        <f>FO_Capture!E1156</f>
        <v>149.67999267578125</v>
      </c>
      <c r="H1156">
        <f t="shared" si="36"/>
        <v>16464.799194335938</v>
      </c>
      <c r="I1156" t="str">
        <f t="shared" si="37"/>
        <v>Pass - Ready for Confirmation</v>
      </c>
    </row>
    <row r="1157" spans="1:9" x14ac:dyDescent="0.3">
      <c r="A1157" t="str">
        <f>FO_Capture!A1157</f>
        <v>TRD01156</v>
      </c>
      <c r="B1157" t="str">
        <f>FO_Capture!B1157</f>
        <v>INE006A01042</v>
      </c>
      <c r="C1157" t="str">
        <f>IFERROR(VLOOKUP(FO_Capture!C1157, Reference_Data!A:D, 2, FALSE), "UNKNOWN")</f>
        <v>Alpha Capital 10</v>
      </c>
      <c r="D1157" t="str">
        <f>IFERROR(VLOOKUP(FO_Capture!C1157, Reference_Data!A:D, 3, FALSE), "XXX")</f>
        <v>USD</v>
      </c>
      <c r="E1157" t="str">
        <f>IFERROR(VLOOKUP(FO_Capture!C1157, Reference_Data!A:D, 4, FALSE), "MISSING SSI")</f>
        <v>HDFC A/C 543407</v>
      </c>
      <c r="F1157">
        <f>FO_Capture!D1157</f>
        <v>210</v>
      </c>
      <c r="G1157">
        <f>FO_Capture!E1157</f>
        <v>244.44999694824219</v>
      </c>
      <c r="H1157">
        <f t="shared" si="36"/>
        <v>51334.499359130859</v>
      </c>
      <c r="I1157" t="str">
        <f t="shared" si="37"/>
        <v>Pass - Ready for Confirmation</v>
      </c>
    </row>
    <row r="1158" spans="1:9" x14ac:dyDescent="0.3">
      <c r="A1158" t="str">
        <f>FO_Capture!A1158</f>
        <v>TRD01157</v>
      </c>
      <c r="B1158" t="str">
        <f>FO_Capture!B1158</f>
        <v>INE002A01063</v>
      </c>
      <c r="C1158" t="str">
        <f>IFERROR(VLOOKUP(FO_Capture!C1158, Reference_Data!A:D, 2, FALSE), "UNKNOWN")</f>
        <v>Alpha Investments 29</v>
      </c>
      <c r="D1158" t="str">
        <f>IFERROR(VLOOKUP(FO_Capture!C1158, Reference_Data!A:D, 3, FALSE), "XXX")</f>
        <v>INR</v>
      </c>
      <c r="E1158" t="str">
        <f>IFERROR(VLOOKUP(FO_Capture!C1158, Reference_Data!A:D, 4, FALSE), "MISSING SSI")</f>
        <v>HSBC A/C 785870</v>
      </c>
      <c r="F1158">
        <f>FO_Capture!D1158</f>
        <v>30</v>
      </c>
      <c r="G1158">
        <f>FO_Capture!E1158</f>
        <v>477.42001342773438</v>
      </c>
      <c r="H1158">
        <f t="shared" si="36"/>
        <v>14322.600402832031</v>
      </c>
      <c r="I1158" t="str">
        <f t="shared" si="37"/>
        <v>Pass - Ready for Confirmation</v>
      </c>
    </row>
    <row r="1159" spans="1:9" x14ac:dyDescent="0.3">
      <c r="A1159" t="str">
        <f>FO_Capture!A1159</f>
        <v>TRD01158</v>
      </c>
      <c r="B1159" t="str">
        <f>FO_Capture!B1159</f>
        <v>INE002A01073</v>
      </c>
      <c r="C1159" t="str">
        <f>IFERROR(VLOOKUP(FO_Capture!C1159, Reference_Data!A:D, 2, FALSE), "UNKNOWN")</f>
        <v>Alpha Capital 33</v>
      </c>
      <c r="D1159" t="str">
        <f>IFERROR(VLOOKUP(FO_Capture!C1159, Reference_Data!A:D, 3, FALSE), "XXX")</f>
        <v>JPY</v>
      </c>
      <c r="E1159" t="str">
        <f>IFERROR(VLOOKUP(FO_Capture!C1159, Reference_Data!A:D, 4, FALSE), "MISSING SSI")</f>
        <v>HSBC A/C 172861</v>
      </c>
      <c r="F1159">
        <f>FO_Capture!D1159</f>
        <v>360</v>
      </c>
      <c r="G1159">
        <f>FO_Capture!E1159</f>
        <v>195.5</v>
      </c>
      <c r="H1159">
        <f t="shared" si="36"/>
        <v>70380</v>
      </c>
      <c r="I1159" t="str">
        <f t="shared" si="37"/>
        <v>Pass - Ready for Confirmation</v>
      </c>
    </row>
    <row r="1160" spans="1:9" x14ac:dyDescent="0.3">
      <c r="A1160" t="str">
        <f>FO_Capture!A1160</f>
        <v>TRD01159</v>
      </c>
      <c r="B1160" t="str">
        <f>FO_Capture!B1160</f>
        <v>INE001A01097</v>
      </c>
      <c r="C1160" t="str">
        <f>IFERROR(VLOOKUP(FO_Capture!C1160, Reference_Data!A:D, 2, FALSE), "UNKNOWN")</f>
        <v>Alpha Asset Management 31</v>
      </c>
      <c r="D1160" t="str">
        <f>IFERROR(VLOOKUP(FO_Capture!C1160, Reference_Data!A:D, 3, FALSE), "XXX")</f>
        <v>USD</v>
      </c>
      <c r="E1160" t="str">
        <f>IFERROR(VLOOKUP(FO_Capture!C1160, Reference_Data!A:D, 4, FALSE), "MISSING SSI")</f>
        <v>Citi A/C 194841</v>
      </c>
      <c r="F1160">
        <f>FO_Capture!D1160</f>
        <v>240</v>
      </c>
      <c r="G1160">
        <f>FO_Capture!E1160</f>
        <v>65.930000305175781</v>
      </c>
      <c r="H1160">
        <f t="shared" si="36"/>
        <v>15823.200073242188</v>
      </c>
      <c r="I1160" t="str">
        <f t="shared" si="37"/>
        <v>Pass - Ready for Confirmation</v>
      </c>
    </row>
    <row r="1161" spans="1:9" x14ac:dyDescent="0.3">
      <c r="A1161" t="str">
        <f>FO_Capture!A1161</f>
        <v>TRD01160</v>
      </c>
      <c r="B1161" t="str">
        <f>FO_Capture!B1161</f>
        <v>INE004A01036</v>
      </c>
      <c r="C1161" t="str">
        <f>IFERROR(VLOOKUP(FO_Capture!C1161, Reference_Data!A:D, 2, FALSE), "UNKNOWN")</f>
        <v>Alpha Investments 29</v>
      </c>
      <c r="D1161" t="str">
        <f>IFERROR(VLOOKUP(FO_Capture!C1161, Reference_Data!A:D, 3, FALSE), "XXX")</f>
        <v>INR</v>
      </c>
      <c r="E1161" t="str">
        <f>IFERROR(VLOOKUP(FO_Capture!C1161, Reference_Data!A:D, 4, FALSE), "MISSING SSI")</f>
        <v>HSBC A/C 785870</v>
      </c>
      <c r="F1161">
        <f>FO_Capture!D1161</f>
        <v>170</v>
      </c>
      <c r="G1161">
        <f>FO_Capture!E1161</f>
        <v>326.260009765625</v>
      </c>
      <c r="H1161">
        <f t="shared" si="36"/>
        <v>55464.20166015625</v>
      </c>
      <c r="I1161" t="str">
        <f t="shared" si="37"/>
        <v>Pass - Ready for Confirmation</v>
      </c>
    </row>
    <row r="1162" spans="1:9" x14ac:dyDescent="0.3">
      <c r="A1162" t="str">
        <f>FO_Capture!A1162</f>
        <v>TRD01161</v>
      </c>
      <c r="B1162" t="str">
        <f>FO_Capture!B1162</f>
        <v>INE001A01017</v>
      </c>
      <c r="C1162" t="str">
        <f>IFERROR(VLOOKUP(FO_Capture!C1162, Reference_Data!A:D, 2, FALSE), "UNKNOWN")</f>
        <v>Alpha Partners 1</v>
      </c>
      <c r="D1162" t="str">
        <f>IFERROR(VLOOKUP(FO_Capture!C1162, Reference_Data!A:D, 3, FALSE), "XXX")</f>
        <v>JPY</v>
      </c>
      <c r="E1162" t="str">
        <f>IFERROR(VLOOKUP(FO_Capture!C1162, Reference_Data!A:D, 4, FALSE), "MISSING SSI")</f>
        <v>Standard Chartered A/C 277005</v>
      </c>
      <c r="F1162">
        <f>FO_Capture!D1162</f>
        <v>370</v>
      </c>
      <c r="G1162">
        <f>FO_Capture!E1162</f>
        <v>34.349998474121094</v>
      </c>
      <c r="H1162">
        <f t="shared" si="36"/>
        <v>12709.499435424805</v>
      </c>
      <c r="I1162" t="str">
        <f t="shared" si="37"/>
        <v>Pass - Ready for Confirmation</v>
      </c>
    </row>
    <row r="1163" spans="1:9" x14ac:dyDescent="0.3">
      <c r="A1163" t="str">
        <f>FO_Capture!A1163</f>
        <v>TRD01162</v>
      </c>
      <c r="B1163" t="str">
        <f>FO_Capture!B1163</f>
        <v>INE003A01045</v>
      </c>
      <c r="C1163" t="str">
        <f>IFERROR(VLOOKUP(FO_Capture!C1163, Reference_Data!A:D, 2, FALSE), "UNKNOWN")</f>
        <v>Alpha Holdings 16</v>
      </c>
      <c r="D1163" t="str">
        <f>IFERROR(VLOOKUP(FO_Capture!C1163, Reference_Data!A:D, 3, FALSE), "XXX")</f>
        <v>USD</v>
      </c>
      <c r="E1163" t="str">
        <f>IFERROR(VLOOKUP(FO_Capture!C1163, Reference_Data!A:D, 4, FALSE), "MISSING SSI")</f>
        <v>Barclays A/C 197229</v>
      </c>
      <c r="F1163">
        <f>FO_Capture!D1163</f>
        <v>70</v>
      </c>
      <c r="G1163">
        <f>FO_Capture!E1163</f>
        <v>318.3800048828125</v>
      </c>
      <c r="H1163">
        <f t="shared" si="36"/>
        <v>22286.600341796875</v>
      </c>
      <c r="I1163" t="str">
        <f t="shared" si="37"/>
        <v>Pass - Ready for Confirmation</v>
      </c>
    </row>
    <row r="1164" spans="1:9" x14ac:dyDescent="0.3">
      <c r="A1164" t="str">
        <f>FO_Capture!A1164</f>
        <v>TRD01163</v>
      </c>
      <c r="B1164" t="str">
        <f>FO_Capture!B1164</f>
        <v>INE008A01050</v>
      </c>
      <c r="C1164" t="str">
        <f>IFERROR(VLOOKUP(FO_Capture!C1164, Reference_Data!A:D, 2, FALSE), "UNKNOWN")</f>
        <v>Alpha Capital 11</v>
      </c>
      <c r="D1164" t="str">
        <f>IFERROR(VLOOKUP(FO_Capture!C1164, Reference_Data!A:D, 3, FALSE), "XXX")</f>
        <v>USD</v>
      </c>
      <c r="E1164" t="str">
        <f>IFERROR(VLOOKUP(FO_Capture!C1164, Reference_Data!A:D, 4, FALSE), "MISSING SSI")</f>
        <v>JPMorgan A/C 987170</v>
      </c>
      <c r="F1164">
        <f>FO_Capture!D1164</f>
        <v>190</v>
      </c>
      <c r="G1164">
        <f>FO_Capture!E1164</f>
        <v>126.83000183105469</v>
      </c>
      <c r="H1164">
        <f t="shared" si="36"/>
        <v>24097.700347900391</v>
      </c>
      <c r="I1164" t="str">
        <f t="shared" si="37"/>
        <v>Pass - Ready for Confirmation</v>
      </c>
    </row>
    <row r="1165" spans="1:9" x14ac:dyDescent="0.3">
      <c r="A1165" t="str">
        <f>FO_Capture!A1165</f>
        <v>TRD01164</v>
      </c>
      <c r="B1165" t="str">
        <f>FO_Capture!B1165</f>
        <v>INE005A01040</v>
      </c>
      <c r="C1165" t="str">
        <f>IFERROR(VLOOKUP(FO_Capture!C1165, Reference_Data!A:D, 2, FALSE), "UNKNOWN")</f>
        <v>Alpha Global 20</v>
      </c>
      <c r="D1165" t="str">
        <f>IFERROR(VLOOKUP(FO_Capture!C1165, Reference_Data!A:D, 3, FALSE), "XXX")</f>
        <v>JPY</v>
      </c>
      <c r="E1165" t="str">
        <f>IFERROR(VLOOKUP(FO_Capture!C1165, Reference_Data!A:D, 4, FALSE), "MISSING SSI")</f>
        <v>Barclays A/C 560891</v>
      </c>
      <c r="F1165">
        <f>FO_Capture!D1165</f>
        <v>140</v>
      </c>
      <c r="G1165">
        <f>FO_Capture!E1165</f>
        <v>478.5</v>
      </c>
      <c r="H1165">
        <f t="shared" si="36"/>
        <v>66990</v>
      </c>
      <c r="I1165" t="str">
        <f t="shared" si="37"/>
        <v>Pass - Ready for Confirmation</v>
      </c>
    </row>
    <row r="1166" spans="1:9" x14ac:dyDescent="0.3">
      <c r="A1166" t="str">
        <f>FO_Capture!A1166</f>
        <v>TRD01165</v>
      </c>
      <c r="B1166" t="str">
        <f>FO_Capture!B1166</f>
        <v>INE006A01048</v>
      </c>
      <c r="C1166" t="str">
        <f>IFERROR(VLOOKUP(FO_Capture!C1166, Reference_Data!A:D, 2, FALSE), "UNKNOWN")</f>
        <v>Alpha Capital 44</v>
      </c>
      <c r="D1166" t="str">
        <f>IFERROR(VLOOKUP(FO_Capture!C1166, Reference_Data!A:D, 3, FALSE), "XXX")</f>
        <v>INR</v>
      </c>
      <c r="E1166" t="str">
        <f>IFERROR(VLOOKUP(FO_Capture!C1166, Reference_Data!A:D, 4, FALSE), "MISSING SSI")</f>
        <v>Deutsche Bank A/C 428758</v>
      </c>
      <c r="F1166">
        <f>FO_Capture!D1166</f>
        <v>60</v>
      </c>
      <c r="G1166">
        <f>FO_Capture!E1166</f>
        <v>212.5</v>
      </c>
      <c r="H1166">
        <f t="shared" si="36"/>
        <v>12750</v>
      </c>
      <c r="I1166" t="str">
        <f t="shared" si="37"/>
        <v>Pass - Ready for Confirmation</v>
      </c>
    </row>
    <row r="1167" spans="1:9" x14ac:dyDescent="0.3">
      <c r="A1167" t="str">
        <f>FO_Capture!A1167</f>
        <v>TRD01166</v>
      </c>
      <c r="B1167" t="str">
        <f>FO_Capture!B1167</f>
        <v>INE008A01084</v>
      </c>
      <c r="C1167" t="str">
        <f>IFERROR(VLOOKUP(FO_Capture!C1167, Reference_Data!A:D, 2, FALSE), "UNKNOWN")</f>
        <v>Alpha Asset Management 31</v>
      </c>
      <c r="D1167" t="str">
        <f>IFERROR(VLOOKUP(FO_Capture!C1167, Reference_Data!A:D, 3, FALSE), "XXX")</f>
        <v>USD</v>
      </c>
      <c r="E1167" t="str">
        <f>IFERROR(VLOOKUP(FO_Capture!C1167, Reference_Data!A:D, 4, FALSE), "MISSING SSI")</f>
        <v>Citi A/C 194841</v>
      </c>
      <c r="F1167">
        <f>FO_Capture!D1167</f>
        <v>60</v>
      </c>
      <c r="G1167">
        <f>FO_Capture!E1167</f>
        <v>238.25999450683594</v>
      </c>
      <c r="H1167">
        <f t="shared" si="36"/>
        <v>14295.599670410156</v>
      </c>
      <c r="I1167" t="str">
        <f t="shared" si="37"/>
        <v>Pass - Ready for Confirmation</v>
      </c>
    </row>
    <row r="1168" spans="1:9" x14ac:dyDescent="0.3">
      <c r="A1168" t="str">
        <f>FO_Capture!A1168</f>
        <v>TRD01167</v>
      </c>
      <c r="B1168" t="str">
        <f>FO_Capture!B1168</f>
        <v>INE009A01087</v>
      </c>
      <c r="C1168" t="str">
        <f>IFERROR(VLOOKUP(FO_Capture!C1168, Reference_Data!A:D, 2, FALSE), "UNKNOWN")</f>
        <v>Alpha Holdings 47</v>
      </c>
      <c r="D1168" t="str">
        <f>IFERROR(VLOOKUP(FO_Capture!C1168, Reference_Data!A:D, 3, FALSE), "XXX")</f>
        <v>GBP</v>
      </c>
      <c r="E1168" t="str">
        <f>IFERROR(VLOOKUP(FO_Capture!C1168, Reference_Data!A:D, 4, FALSE), "MISSING SSI")</f>
        <v>Citi A/C 703401</v>
      </c>
      <c r="F1168">
        <f>FO_Capture!D1168</f>
        <v>480</v>
      </c>
      <c r="G1168">
        <f>FO_Capture!E1168</f>
        <v>285.510009765625</v>
      </c>
      <c r="H1168">
        <f t="shared" si="36"/>
        <v>137044.8046875</v>
      </c>
      <c r="I1168" t="str">
        <f t="shared" si="37"/>
        <v>Pass - Ready for Confirmation</v>
      </c>
    </row>
    <row r="1169" spans="1:9" x14ac:dyDescent="0.3">
      <c r="A1169" t="str">
        <f>FO_Capture!A1169</f>
        <v>TRD01168</v>
      </c>
      <c r="B1169" t="str">
        <f>FO_Capture!B1169</f>
        <v>INE003A01069</v>
      </c>
      <c r="C1169" t="str">
        <f>IFERROR(VLOOKUP(FO_Capture!C1169, Reference_Data!A:D, 2, FALSE), "UNKNOWN")</f>
        <v>Alpha Partners 3</v>
      </c>
      <c r="D1169" t="str">
        <f>IFERROR(VLOOKUP(FO_Capture!C1169, Reference_Data!A:D, 3, FALSE), "XXX")</f>
        <v>USD</v>
      </c>
      <c r="E1169" t="str">
        <f>IFERROR(VLOOKUP(FO_Capture!C1169, Reference_Data!A:D, 4, FALSE), "MISSING SSI")</f>
        <v>Citi A/C 508769</v>
      </c>
      <c r="F1169">
        <f>FO_Capture!D1169</f>
        <v>-50</v>
      </c>
      <c r="G1169">
        <f>FO_Capture!E1169</f>
        <v>164.30999755859375</v>
      </c>
      <c r="H1169">
        <f t="shared" si="36"/>
        <v>-8215.4998779296875</v>
      </c>
      <c r="I1169" t="str">
        <f t="shared" si="37"/>
        <v>Fail - Invalid Price/Qty</v>
      </c>
    </row>
    <row r="1170" spans="1:9" x14ac:dyDescent="0.3">
      <c r="A1170" t="str">
        <f>FO_Capture!A1170</f>
        <v>TRD01169</v>
      </c>
      <c r="B1170" t="str">
        <f>FO_Capture!B1170</f>
        <v>INE003A01028</v>
      </c>
      <c r="C1170" t="str">
        <f>IFERROR(VLOOKUP(FO_Capture!C1170, Reference_Data!A:D, 2, FALSE), "UNKNOWN")</f>
        <v>Alpha Capital 36</v>
      </c>
      <c r="D1170" t="str">
        <f>IFERROR(VLOOKUP(FO_Capture!C1170, Reference_Data!A:D, 3, FALSE), "XXX")</f>
        <v>JPY</v>
      </c>
      <c r="E1170" t="str">
        <f>IFERROR(VLOOKUP(FO_Capture!C1170, Reference_Data!A:D, 4, FALSE), "MISSING SSI")</f>
        <v>Citi A/C 359789</v>
      </c>
      <c r="F1170">
        <f>FO_Capture!D1170</f>
        <v>70</v>
      </c>
      <c r="G1170">
        <f>FO_Capture!E1170</f>
        <v>194</v>
      </c>
      <c r="H1170">
        <f t="shared" si="36"/>
        <v>13580</v>
      </c>
      <c r="I1170" t="str">
        <f t="shared" si="37"/>
        <v>Pass - Ready for Confirmation</v>
      </c>
    </row>
    <row r="1171" spans="1:9" x14ac:dyDescent="0.3">
      <c r="A1171" t="str">
        <f>FO_Capture!A1171</f>
        <v>TRD01170</v>
      </c>
      <c r="B1171" t="str">
        <f>FO_Capture!B1171</f>
        <v>INE002A01090</v>
      </c>
      <c r="C1171" t="str">
        <f>IFERROR(VLOOKUP(FO_Capture!C1171, Reference_Data!A:D, 2, FALSE), "UNKNOWN")</f>
        <v>Alpha Asset Management 5</v>
      </c>
      <c r="D1171" t="str">
        <f>IFERROR(VLOOKUP(FO_Capture!C1171, Reference_Data!A:D, 3, FALSE), "XXX")</f>
        <v>INR</v>
      </c>
      <c r="E1171" t="str">
        <f>IFERROR(VLOOKUP(FO_Capture!C1171, Reference_Data!A:D, 4, FALSE), "MISSING SSI")</f>
        <v>JPMorgan A/C 860462</v>
      </c>
      <c r="F1171">
        <f>FO_Capture!D1171</f>
        <v>50</v>
      </c>
      <c r="G1171">
        <f>FO_Capture!E1171</f>
        <v>229.74000549316406</v>
      </c>
      <c r="H1171">
        <f t="shared" si="36"/>
        <v>11487.000274658203</v>
      </c>
      <c r="I1171" t="str">
        <f t="shared" si="37"/>
        <v>Pass - Ready for Confirmation</v>
      </c>
    </row>
    <row r="1172" spans="1:9" x14ac:dyDescent="0.3">
      <c r="A1172" t="str">
        <f>FO_Capture!A1172</f>
        <v>TRD01171</v>
      </c>
      <c r="B1172" t="str">
        <f>FO_Capture!B1172</f>
        <v>INE007A01078</v>
      </c>
      <c r="C1172" t="str">
        <f>IFERROR(VLOOKUP(FO_Capture!C1172, Reference_Data!A:D, 2, FALSE), "UNKNOWN")</f>
        <v>Alpha Asset Management 13</v>
      </c>
      <c r="D1172" t="str">
        <f>IFERROR(VLOOKUP(FO_Capture!C1172, Reference_Data!A:D, 3, FALSE), "XXX")</f>
        <v>INR</v>
      </c>
      <c r="E1172" t="str">
        <f>IFERROR(VLOOKUP(FO_Capture!C1172, Reference_Data!A:D, 4, FALSE), "MISSING SSI")</f>
        <v>HSBC A/C 972195</v>
      </c>
      <c r="F1172">
        <f>FO_Capture!D1172</f>
        <v>350</v>
      </c>
      <c r="G1172">
        <f>FO_Capture!E1172</f>
        <v>272.760009765625</v>
      </c>
      <c r="H1172">
        <f t="shared" si="36"/>
        <v>95466.00341796875</v>
      </c>
      <c r="I1172" t="str">
        <f t="shared" si="37"/>
        <v>Pass - Ready for Confirmation</v>
      </c>
    </row>
    <row r="1173" spans="1:9" x14ac:dyDescent="0.3">
      <c r="A1173" t="str">
        <f>FO_Capture!A1173</f>
        <v>TRD01172</v>
      </c>
      <c r="B1173" t="str">
        <f>FO_Capture!B1173</f>
        <v>INE003A01096</v>
      </c>
      <c r="C1173" t="str">
        <f>IFERROR(VLOOKUP(FO_Capture!C1173, Reference_Data!A:D, 2, FALSE), "UNKNOWN")</f>
        <v>Alpha Holdings 21</v>
      </c>
      <c r="D1173" t="str">
        <f>IFERROR(VLOOKUP(FO_Capture!C1173, Reference_Data!A:D, 3, FALSE), "XXX")</f>
        <v>SGD</v>
      </c>
      <c r="E1173" t="str">
        <f>IFERROR(VLOOKUP(FO_Capture!C1173, Reference_Data!A:D, 4, FALSE), "MISSING SSI")</f>
        <v>HSBC A/C 562956</v>
      </c>
      <c r="F1173">
        <f>FO_Capture!D1173</f>
        <v>50</v>
      </c>
      <c r="G1173">
        <f>FO_Capture!E1173</f>
        <v>332.07000732421875</v>
      </c>
      <c r="H1173">
        <f t="shared" si="36"/>
        <v>16603.500366210938</v>
      </c>
      <c r="I1173" t="str">
        <f t="shared" si="37"/>
        <v>Pass - Ready for Confirmation</v>
      </c>
    </row>
    <row r="1174" spans="1:9" x14ac:dyDescent="0.3">
      <c r="A1174" t="str">
        <f>FO_Capture!A1174</f>
        <v>TRD01173</v>
      </c>
      <c r="B1174" t="str">
        <f>FO_Capture!B1174</f>
        <v>INE004A01058</v>
      </c>
      <c r="C1174" t="str">
        <f>IFERROR(VLOOKUP(FO_Capture!C1174, Reference_Data!A:D, 2, FALSE), "UNKNOWN")</f>
        <v>Alpha Global 2</v>
      </c>
      <c r="D1174" t="str">
        <f>IFERROR(VLOOKUP(FO_Capture!C1174, Reference_Data!A:D, 3, FALSE), "XXX")</f>
        <v>GBP</v>
      </c>
      <c r="E1174" t="str">
        <f>IFERROR(VLOOKUP(FO_Capture!C1174, Reference_Data!A:D, 4, FALSE), "MISSING SSI")</f>
        <v>JPMorgan A/C 582379</v>
      </c>
      <c r="F1174">
        <f>FO_Capture!D1174</f>
        <v>150</v>
      </c>
      <c r="G1174">
        <f>FO_Capture!E1174</f>
        <v>174.53999328613281</v>
      </c>
      <c r="H1174">
        <f t="shared" si="36"/>
        <v>26180.998992919922</v>
      </c>
      <c r="I1174" t="str">
        <f t="shared" si="37"/>
        <v>Pass - Ready for Confirmation</v>
      </c>
    </row>
    <row r="1175" spans="1:9" x14ac:dyDescent="0.3">
      <c r="A1175" t="str">
        <f>FO_Capture!A1175</f>
        <v>TRD01174</v>
      </c>
      <c r="B1175" t="str">
        <f>FO_Capture!B1175</f>
        <v>INE009A01046</v>
      </c>
      <c r="C1175" t="str">
        <f>IFERROR(VLOOKUP(FO_Capture!C1175, Reference_Data!A:D, 2, FALSE), "UNKNOWN")</f>
        <v>Alpha Investments 17</v>
      </c>
      <c r="D1175" t="str">
        <f>IFERROR(VLOOKUP(FO_Capture!C1175, Reference_Data!A:D, 3, FALSE), "XXX")</f>
        <v>USD</v>
      </c>
      <c r="E1175" t="str">
        <f>IFERROR(VLOOKUP(FO_Capture!C1175, Reference_Data!A:D, 4, FALSE), "MISSING SSI")</f>
        <v>HDFC A/C 113752</v>
      </c>
      <c r="F1175">
        <f>FO_Capture!D1175</f>
        <v>310</v>
      </c>
      <c r="G1175">
        <f>FO_Capture!E1175</f>
        <v>74.819999694824219</v>
      </c>
      <c r="H1175">
        <f t="shared" si="36"/>
        <v>23194.199905395508</v>
      </c>
      <c r="I1175" t="str">
        <f t="shared" si="37"/>
        <v>Pass - Ready for Confirmation</v>
      </c>
    </row>
    <row r="1176" spans="1:9" x14ac:dyDescent="0.3">
      <c r="A1176" t="str">
        <f>FO_Capture!A1176</f>
        <v>TRD01175</v>
      </c>
      <c r="B1176" t="str">
        <f>FO_Capture!B1176</f>
        <v>INE008A01053</v>
      </c>
      <c r="C1176" t="str">
        <f>IFERROR(VLOOKUP(FO_Capture!C1176, Reference_Data!A:D, 2, FALSE), "UNKNOWN")</f>
        <v>Alpha Investments 40</v>
      </c>
      <c r="D1176" t="str">
        <f>IFERROR(VLOOKUP(FO_Capture!C1176, Reference_Data!A:D, 3, FALSE), "XXX")</f>
        <v>GBP</v>
      </c>
      <c r="E1176" t="str">
        <f>IFERROR(VLOOKUP(FO_Capture!C1176, Reference_Data!A:D, 4, FALSE), "MISSING SSI")</f>
        <v>HDFC A/C 897530</v>
      </c>
      <c r="F1176">
        <f>FO_Capture!D1176</f>
        <v>90</v>
      </c>
      <c r="G1176">
        <f>FO_Capture!E1176</f>
        <v>65.370002746582031</v>
      </c>
      <c r="H1176">
        <f t="shared" si="36"/>
        <v>5883.3002471923828</v>
      </c>
      <c r="I1176" t="str">
        <f t="shared" si="37"/>
        <v>Pass - Ready for Confirmation</v>
      </c>
    </row>
    <row r="1177" spans="1:9" x14ac:dyDescent="0.3">
      <c r="A1177" t="str">
        <f>FO_Capture!A1177</f>
        <v>TRD01176</v>
      </c>
      <c r="B1177" t="str">
        <f>FO_Capture!B1177</f>
        <v>INE003A01039</v>
      </c>
      <c r="C1177" t="str">
        <f>IFERROR(VLOOKUP(FO_Capture!C1177, Reference_Data!A:D, 2, FALSE), "UNKNOWN")</f>
        <v>Alpha Capital 36</v>
      </c>
      <c r="D1177" t="str">
        <f>IFERROR(VLOOKUP(FO_Capture!C1177, Reference_Data!A:D, 3, FALSE), "XXX")</f>
        <v>JPY</v>
      </c>
      <c r="E1177" t="str">
        <f>IFERROR(VLOOKUP(FO_Capture!C1177, Reference_Data!A:D, 4, FALSE), "MISSING SSI")</f>
        <v>Citi A/C 359789</v>
      </c>
      <c r="F1177">
        <f>FO_Capture!D1177</f>
        <v>240</v>
      </c>
      <c r="G1177">
        <f>FO_Capture!E1177</f>
        <v>186.49000549316406</v>
      </c>
      <c r="H1177">
        <f t="shared" si="36"/>
        <v>44757.601318359375</v>
      </c>
      <c r="I1177" t="str">
        <f t="shared" si="37"/>
        <v>Pass - Ready for Confirmation</v>
      </c>
    </row>
    <row r="1178" spans="1:9" x14ac:dyDescent="0.3">
      <c r="A1178" t="str">
        <f>FO_Capture!A1178</f>
        <v>TRD01177</v>
      </c>
      <c r="B1178" t="str">
        <f>FO_Capture!B1178</f>
        <v>INE006A01075</v>
      </c>
      <c r="C1178" t="str">
        <f>IFERROR(VLOOKUP(FO_Capture!C1178, Reference_Data!A:D, 2, FALSE), "UNKNOWN")</f>
        <v>Alpha Investments 29</v>
      </c>
      <c r="D1178" t="str">
        <f>IFERROR(VLOOKUP(FO_Capture!C1178, Reference_Data!A:D, 3, FALSE), "XXX")</f>
        <v>INR</v>
      </c>
      <c r="E1178" t="str">
        <f>IFERROR(VLOOKUP(FO_Capture!C1178, Reference_Data!A:D, 4, FALSE), "MISSING SSI")</f>
        <v>HSBC A/C 785870</v>
      </c>
      <c r="F1178">
        <f>FO_Capture!D1178</f>
        <v>410</v>
      </c>
      <c r="G1178">
        <f>FO_Capture!E1178</f>
        <v>236.25999450683594</v>
      </c>
      <c r="H1178">
        <f t="shared" si="36"/>
        <v>96866.597747802734</v>
      </c>
      <c r="I1178" t="str">
        <f t="shared" si="37"/>
        <v>Pass - Ready for Confirmation</v>
      </c>
    </row>
    <row r="1179" spans="1:9" x14ac:dyDescent="0.3">
      <c r="A1179" t="str">
        <f>FO_Capture!A1179</f>
        <v>TRD01178</v>
      </c>
      <c r="B1179" t="str">
        <f>FO_Capture!B1179</f>
        <v>INE005A01098</v>
      </c>
      <c r="C1179" t="str">
        <f>IFERROR(VLOOKUP(FO_Capture!C1179, Reference_Data!A:D, 2, FALSE), "UNKNOWN")</f>
        <v>Alpha Capital 36</v>
      </c>
      <c r="D1179" t="str">
        <f>IFERROR(VLOOKUP(FO_Capture!C1179, Reference_Data!A:D, 3, FALSE), "XXX")</f>
        <v>JPY</v>
      </c>
      <c r="E1179" t="str">
        <f>IFERROR(VLOOKUP(FO_Capture!C1179, Reference_Data!A:D, 4, FALSE), "MISSING SSI")</f>
        <v>Citi A/C 359789</v>
      </c>
      <c r="F1179">
        <f>FO_Capture!D1179</f>
        <v>410</v>
      </c>
      <c r="G1179">
        <f>FO_Capture!E1179</f>
        <v>20.600000381469727</v>
      </c>
      <c r="H1179">
        <f t="shared" si="36"/>
        <v>8446.0001564025879</v>
      </c>
      <c r="I1179" t="str">
        <f t="shared" si="37"/>
        <v>Pass - Ready for Confirmation</v>
      </c>
    </row>
    <row r="1180" spans="1:9" x14ac:dyDescent="0.3">
      <c r="A1180" t="str">
        <f>FO_Capture!A1180</f>
        <v>TRD01179</v>
      </c>
      <c r="B1180" t="str">
        <f>FO_Capture!B1180</f>
        <v>INE006A01059</v>
      </c>
      <c r="C1180" t="str">
        <f>IFERROR(VLOOKUP(FO_Capture!C1180, Reference_Data!A:D, 2, FALSE), "UNKNOWN")</f>
        <v>Alpha Capital 33</v>
      </c>
      <c r="D1180" t="str">
        <f>IFERROR(VLOOKUP(FO_Capture!C1180, Reference_Data!A:D, 3, FALSE), "XXX")</f>
        <v>JPY</v>
      </c>
      <c r="E1180" t="str">
        <f>IFERROR(VLOOKUP(FO_Capture!C1180, Reference_Data!A:D, 4, FALSE), "MISSING SSI")</f>
        <v>HSBC A/C 172861</v>
      </c>
      <c r="F1180">
        <f>FO_Capture!D1180</f>
        <v>470</v>
      </c>
      <c r="G1180">
        <f>FO_Capture!E1180</f>
        <v>103.23000335693359</v>
      </c>
      <c r="H1180">
        <f t="shared" si="36"/>
        <v>48518.101577758789</v>
      </c>
      <c r="I1180" t="str">
        <f t="shared" si="37"/>
        <v>Pass - Ready for Confirmation</v>
      </c>
    </row>
    <row r="1181" spans="1:9" x14ac:dyDescent="0.3">
      <c r="A1181" t="str">
        <f>FO_Capture!A1181</f>
        <v>TRD01180</v>
      </c>
      <c r="B1181" t="str">
        <f>FO_Capture!B1181</f>
        <v>INE002A01073</v>
      </c>
      <c r="C1181" t="str">
        <f>IFERROR(VLOOKUP(FO_Capture!C1181, Reference_Data!A:D, 2, FALSE), "UNKNOWN")</f>
        <v>Alpha Capital 36</v>
      </c>
      <c r="D1181" t="str">
        <f>IFERROR(VLOOKUP(FO_Capture!C1181, Reference_Data!A:D, 3, FALSE), "XXX")</f>
        <v>JPY</v>
      </c>
      <c r="E1181" t="str">
        <f>IFERROR(VLOOKUP(FO_Capture!C1181, Reference_Data!A:D, 4, FALSE), "MISSING SSI")</f>
        <v>Citi A/C 359789</v>
      </c>
      <c r="F1181">
        <f>FO_Capture!D1181</f>
        <v>480</v>
      </c>
      <c r="G1181">
        <f>FO_Capture!E1181</f>
        <v>55.669998168945313</v>
      </c>
      <c r="H1181">
        <f t="shared" si="36"/>
        <v>26721.59912109375</v>
      </c>
      <c r="I1181" t="str">
        <f t="shared" si="37"/>
        <v>Pass - Ready for Confirmation</v>
      </c>
    </row>
    <row r="1182" spans="1:9" x14ac:dyDescent="0.3">
      <c r="A1182" t="str">
        <f>FO_Capture!A1182</f>
        <v>TRD01181</v>
      </c>
      <c r="B1182" t="str">
        <f>FO_Capture!B1182</f>
        <v>INE001A01068</v>
      </c>
      <c r="C1182" t="str">
        <f>IFERROR(VLOOKUP(FO_Capture!C1182, Reference_Data!A:D, 2, FALSE), "UNKNOWN")</f>
        <v>Alpha Partners 26</v>
      </c>
      <c r="D1182" t="str">
        <f>IFERROR(VLOOKUP(FO_Capture!C1182, Reference_Data!A:D, 3, FALSE), "XXX")</f>
        <v>USD</v>
      </c>
      <c r="E1182" t="str">
        <f>IFERROR(VLOOKUP(FO_Capture!C1182, Reference_Data!A:D, 4, FALSE), "MISSING SSI")</f>
        <v>HSBC A/C 867781</v>
      </c>
      <c r="F1182">
        <f>FO_Capture!D1182</f>
        <v>240</v>
      </c>
      <c r="G1182">
        <f>FO_Capture!E1182</f>
        <v>207.27999877929688</v>
      </c>
      <c r="H1182">
        <f t="shared" si="36"/>
        <v>49747.19970703125</v>
      </c>
      <c r="I1182" t="str">
        <f t="shared" si="37"/>
        <v>Pass - Ready for Confirmation</v>
      </c>
    </row>
    <row r="1183" spans="1:9" x14ac:dyDescent="0.3">
      <c r="A1183" t="str">
        <f>FO_Capture!A1183</f>
        <v>TRD01182</v>
      </c>
      <c r="B1183" t="str">
        <f>FO_Capture!B1183</f>
        <v>INE008A01037</v>
      </c>
      <c r="C1183" t="str">
        <f>IFERROR(VLOOKUP(FO_Capture!C1183, Reference_Data!A:D, 2, FALSE), "UNKNOWN")</f>
        <v>Alpha Global 20</v>
      </c>
      <c r="D1183" t="str">
        <f>IFERROR(VLOOKUP(FO_Capture!C1183, Reference_Data!A:D, 3, FALSE), "XXX")</f>
        <v>JPY</v>
      </c>
      <c r="E1183" t="str">
        <f>IFERROR(VLOOKUP(FO_Capture!C1183, Reference_Data!A:D, 4, FALSE), "MISSING SSI")</f>
        <v>Barclays A/C 560891</v>
      </c>
      <c r="F1183">
        <f>FO_Capture!D1183</f>
        <v>240</v>
      </c>
      <c r="G1183">
        <f>FO_Capture!E1183</f>
        <v>395.22000122070313</v>
      </c>
      <c r="H1183">
        <f t="shared" si="36"/>
        <v>94852.80029296875</v>
      </c>
      <c r="I1183" t="str">
        <f t="shared" si="37"/>
        <v>Pass - Ready for Confirmation</v>
      </c>
    </row>
    <row r="1184" spans="1:9" x14ac:dyDescent="0.3">
      <c r="A1184" t="str">
        <f>FO_Capture!A1184</f>
        <v>TRD01183</v>
      </c>
      <c r="B1184" t="str">
        <f>FO_Capture!B1184</f>
        <v>INE002A01087</v>
      </c>
      <c r="C1184" t="str">
        <f>IFERROR(VLOOKUP(FO_Capture!C1184, Reference_Data!A:D, 2, FALSE), "UNKNOWN")</f>
        <v>UNKNOWN</v>
      </c>
      <c r="D1184" t="str">
        <f>IFERROR(VLOOKUP(FO_Capture!C1184, Reference_Data!A:D, 3, FALSE), "XXX")</f>
        <v>XXX</v>
      </c>
      <c r="E1184" t="str">
        <f>IFERROR(VLOOKUP(FO_Capture!C1184, Reference_Data!A:D, 4, FALSE), "MISSING SSI")</f>
        <v>MISSING SSI</v>
      </c>
      <c r="F1184">
        <f>FO_Capture!D1184</f>
        <v>30</v>
      </c>
      <c r="G1184">
        <f>FO_Capture!E1184</f>
        <v>361.95001220703125</v>
      </c>
      <c r="H1184">
        <f t="shared" si="36"/>
        <v>10858.500366210938</v>
      </c>
      <c r="I1184" t="str">
        <f t="shared" si="37"/>
        <v>Fail - Missing Ref Data</v>
      </c>
    </row>
    <row r="1185" spans="1:9" x14ac:dyDescent="0.3">
      <c r="A1185" t="str">
        <f>FO_Capture!A1185</f>
        <v>TRD01184</v>
      </c>
      <c r="B1185" t="str">
        <f>FO_Capture!B1185</f>
        <v>INE004A01077</v>
      </c>
      <c r="C1185" t="str">
        <f>IFERROR(VLOOKUP(FO_Capture!C1185, Reference_Data!A:D, 2, FALSE), "UNKNOWN")</f>
        <v>Alpha Global 39</v>
      </c>
      <c r="D1185" t="str">
        <f>IFERROR(VLOOKUP(FO_Capture!C1185, Reference_Data!A:D, 3, FALSE), "XXX")</f>
        <v>SGD</v>
      </c>
      <c r="E1185" t="str">
        <f>IFERROR(VLOOKUP(FO_Capture!C1185, Reference_Data!A:D, 4, FALSE), "MISSING SSI")</f>
        <v>Deutsche Bank A/C 917029</v>
      </c>
      <c r="F1185">
        <f>FO_Capture!D1185</f>
        <v>90</v>
      </c>
      <c r="G1185">
        <f>FO_Capture!E1185</f>
        <v>139.83999633789063</v>
      </c>
      <c r="H1185">
        <f t="shared" si="36"/>
        <v>12585.599670410156</v>
      </c>
      <c r="I1185" t="str">
        <f t="shared" si="37"/>
        <v>Pass - Ready for Confirmation</v>
      </c>
    </row>
    <row r="1186" spans="1:9" x14ac:dyDescent="0.3">
      <c r="A1186" t="str">
        <f>FO_Capture!A1186</f>
        <v>TRD01185</v>
      </c>
      <c r="B1186" t="str">
        <f>FO_Capture!B1186</f>
        <v>INE005A01063</v>
      </c>
      <c r="C1186" t="str">
        <f>IFERROR(VLOOKUP(FO_Capture!C1186, Reference_Data!A:D, 2, FALSE), "UNKNOWN")</f>
        <v>Alpha Capital 11</v>
      </c>
      <c r="D1186" t="str">
        <f>IFERROR(VLOOKUP(FO_Capture!C1186, Reference_Data!A:D, 3, FALSE), "XXX")</f>
        <v>USD</v>
      </c>
      <c r="E1186" t="str">
        <f>IFERROR(VLOOKUP(FO_Capture!C1186, Reference_Data!A:D, 4, FALSE), "MISSING SSI")</f>
        <v>JPMorgan A/C 987170</v>
      </c>
      <c r="F1186">
        <f>FO_Capture!D1186</f>
        <v>280</v>
      </c>
      <c r="G1186">
        <f>FO_Capture!E1186</f>
        <v>45.020000457763672</v>
      </c>
      <c r="H1186">
        <f t="shared" si="36"/>
        <v>12605.600128173828</v>
      </c>
      <c r="I1186" t="str">
        <f t="shared" si="37"/>
        <v>Pass - Ready for Confirmation</v>
      </c>
    </row>
    <row r="1187" spans="1:9" x14ac:dyDescent="0.3">
      <c r="A1187" t="str">
        <f>FO_Capture!A1187</f>
        <v>TRD01186</v>
      </c>
      <c r="B1187" t="str">
        <f>FO_Capture!B1187</f>
        <v>INE008A0106</v>
      </c>
      <c r="C1187" t="str">
        <f>IFERROR(VLOOKUP(FO_Capture!C1187, Reference_Data!A:D, 2, FALSE), "UNKNOWN")</f>
        <v>Alpha Investments 17</v>
      </c>
      <c r="D1187" t="str">
        <f>IFERROR(VLOOKUP(FO_Capture!C1187, Reference_Data!A:D, 3, FALSE), "XXX")</f>
        <v>USD</v>
      </c>
      <c r="E1187" t="str">
        <f>IFERROR(VLOOKUP(FO_Capture!C1187, Reference_Data!A:D, 4, FALSE), "MISSING SSI")</f>
        <v>HDFC A/C 113752</v>
      </c>
      <c r="F1187">
        <f>FO_Capture!D1187</f>
        <v>460</v>
      </c>
      <c r="G1187">
        <f>FO_Capture!E1187</f>
        <v>204.69999694824219</v>
      </c>
      <c r="H1187">
        <f t="shared" si="36"/>
        <v>94161.998596191406</v>
      </c>
      <c r="I1187" t="str">
        <f t="shared" si="37"/>
        <v>Pass - Ready for Confirmation</v>
      </c>
    </row>
    <row r="1188" spans="1:9" x14ac:dyDescent="0.3">
      <c r="A1188" t="str">
        <f>FO_Capture!A1188</f>
        <v>TRD01187</v>
      </c>
      <c r="B1188" t="str">
        <f>FO_Capture!B1188</f>
        <v>INE001A01035</v>
      </c>
      <c r="C1188" t="str">
        <f>IFERROR(VLOOKUP(FO_Capture!C1188, Reference_Data!A:D, 2, FALSE), "UNKNOWN")</f>
        <v>Alpha Partners 37</v>
      </c>
      <c r="D1188" t="str">
        <f>IFERROR(VLOOKUP(FO_Capture!C1188, Reference_Data!A:D, 3, FALSE), "XXX")</f>
        <v>JPY</v>
      </c>
      <c r="E1188" t="str">
        <f>IFERROR(VLOOKUP(FO_Capture!C1188, Reference_Data!A:D, 4, FALSE), "MISSING SSI")</f>
        <v>HSBC A/C 994063</v>
      </c>
      <c r="F1188">
        <f>FO_Capture!D1188</f>
        <v>220</v>
      </c>
      <c r="G1188">
        <f>FO_Capture!E1188</f>
        <v>160.1300048828125</v>
      </c>
      <c r="H1188">
        <f t="shared" si="36"/>
        <v>35228.60107421875</v>
      </c>
      <c r="I1188" t="str">
        <f t="shared" si="37"/>
        <v>Pass - Ready for Confirmation</v>
      </c>
    </row>
    <row r="1189" spans="1:9" x14ac:dyDescent="0.3">
      <c r="A1189" t="str">
        <f>FO_Capture!A1189</f>
        <v>TRD01188</v>
      </c>
      <c r="B1189" t="str">
        <f>FO_Capture!B1189</f>
        <v>INE004A01025</v>
      </c>
      <c r="C1189" t="str">
        <f>IFERROR(VLOOKUP(FO_Capture!C1189, Reference_Data!A:D, 2, FALSE), "UNKNOWN")</f>
        <v>Alpha Partners 6</v>
      </c>
      <c r="D1189" t="str">
        <f>IFERROR(VLOOKUP(FO_Capture!C1189, Reference_Data!A:D, 3, FALSE), "XXX")</f>
        <v>INR</v>
      </c>
      <c r="E1189" t="str">
        <f>IFERROR(VLOOKUP(FO_Capture!C1189, Reference_Data!A:D, 4, FALSE), "MISSING SSI")</f>
        <v>Standard Chartered A/C 441247</v>
      </c>
      <c r="F1189">
        <f>FO_Capture!D1189</f>
        <v>60</v>
      </c>
      <c r="G1189">
        <f>FO_Capture!E1189</f>
        <v>116.62999725341797</v>
      </c>
      <c r="H1189">
        <f t="shared" si="36"/>
        <v>6997.7998352050781</v>
      </c>
      <c r="I1189" t="str">
        <f t="shared" si="37"/>
        <v>Pass - Ready for Confirmation</v>
      </c>
    </row>
    <row r="1190" spans="1:9" x14ac:dyDescent="0.3">
      <c r="A1190" t="str">
        <f>FO_Capture!A1190</f>
        <v>TRD01189</v>
      </c>
      <c r="B1190" t="str">
        <f>FO_Capture!B1190</f>
        <v>INE003A01045</v>
      </c>
      <c r="C1190" t="str">
        <f>IFERROR(VLOOKUP(FO_Capture!C1190, Reference_Data!A:D, 2, FALSE), "UNKNOWN")</f>
        <v>Alpha Partners 37</v>
      </c>
      <c r="D1190" t="str">
        <f>IFERROR(VLOOKUP(FO_Capture!C1190, Reference_Data!A:D, 3, FALSE), "XXX")</f>
        <v>JPY</v>
      </c>
      <c r="E1190" t="str">
        <f>IFERROR(VLOOKUP(FO_Capture!C1190, Reference_Data!A:D, 4, FALSE), "MISSING SSI")</f>
        <v>HSBC A/C 994063</v>
      </c>
      <c r="F1190">
        <f>FO_Capture!D1190</f>
        <v>200</v>
      </c>
      <c r="G1190">
        <f>FO_Capture!E1190</f>
        <v>193.60000610351563</v>
      </c>
      <c r="H1190">
        <f t="shared" si="36"/>
        <v>38720.001220703125</v>
      </c>
      <c r="I1190" t="str">
        <f t="shared" si="37"/>
        <v>Pass - Ready for Confirmation</v>
      </c>
    </row>
    <row r="1191" spans="1:9" x14ac:dyDescent="0.3">
      <c r="A1191" t="str">
        <f>FO_Capture!A1191</f>
        <v>TRD01190</v>
      </c>
      <c r="B1191" t="str">
        <f>FO_Capture!B1191</f>
        <v>INE004A01010</v>
      </c>
      <c r="C1191" t="str">
        <f>IFERROR(VLOOKUP(FO_Capture!C1191, Reference_Data!A:D, 2, FALSE), "UNKNOWN")</f>
        <v>Alpha Holdings 47</v>
      </c>
      <c r="D1191" t="str">
        <f>IFERROR(VLOOKUP(FO_Capture!C1191, Reference_Data!A:D, 3, FALSE), "XXX")</f>
        <v>GBP</v>
      </c>
      <c r="E1191" t="str">
        <f>IFERROR(VLOOKUP(FO_Capture!C1191, Reference_Data!A:D, 4, FALSE), "MISSING SSI")</f>
        <v>Citi A/C 703401</v>
      </c>
      <c r="F1191">
        <f>FO_Capture!D1191</f>
        <v>290</v>
      </c>
      <c r="G1191">
        <f>FO_Capture!E1191</f>
        <v>174.47000122070313</v>
      </c>
      <c r="H1191">
        <f t="shared" si="36"/>
        <v>50596.300354003906</v>
      </c>
      <c r="I1191" t="str">
        <f t="shared" si="37"/>
        <v>Pass - Ready for Confirmation</v>
      </c>
    </row>
    <row r="1192" spans="1:9" x14ac:dyDescent="0.3">
      <c r="A1192" t="str">
        <f>FO_Capture!A1192</f>
        <v>TRD01191</v>
      </c>
      <c r="B1192" t="str">
        <f>FO_Capture!B1192</f>
        <v>INE005A01030</v>
      </c>
      <c r="C1192" t="str">
        <f>IFERROR(VLOOKUP(FO_Capture!C1192, Reference_Data!A:D, 2, FALSE), "UNKNOWN")</f>
        <v>Alpha Asset Management 32</v>
      </c>
      <c r="D1192" t="str">
        <f>IFERROR(VLOOKUP(FO_Capture!C1192, Reference_Data!A:D, 3, FALSE), "XXX")</f>
        <v>INR</v>
      </c>
      <c r="E1192" t="str">
        <f>IFERROR(VLOOKUP(FO_Capture!C1192, Reference_Data!A:D, 4, FALSE), "MISSING SSI")</f>
        <v>Barclays A/C 302646</v>
      </c>
      <c r="F1192">
        <f>FO_Capture!D1192</f>
        <v>190</v>
      </c>
      <c r="G1192">
        <f>FO_Capture!E1192</f>
        <v>256.760009765625</v>
      </c>
      <c r="H1192">
        <f t="shared" si="36"/>
        <v>48784.40185546875</v>
      </c>
      <c r="I1192" t="str">
        <f t="shared" si="37"/>
        <v>Pass - Ready for Confirmation</v>
      </c>
    </row>
    <row r="1193" spans="1:9" x14ac:dyDescent="0.3">
      <c r="A1193" t="str">
        <f>FO_Capture!A1193</f>
        <v>TRD01192</v>
      </c>
      <c r="B1193" t="str">
        <f>FO_Capture!B1193</f>
        <v>INE009A01060</v>
      </c>
      <c r="C1193" t="str">
        <f>IFERROR(VLOOKUP(FO_Capture!C1193, Reference_Data!A:D, 2, FALSE), "UNKNOWN")</f>
        <v>Alpha Holdings 41</v>
      </c>
      <c r="D1193" t="str">
        <f>IFERROR(VLOOKUP(FO_Capture!C1193, Reference_Data!A:D, 3, FALSE), "XXX")</f>
        <v>JPY</v>
      </c>
      <c r="E1193" t="str">
        <f>IFERROR(VLOOKUP(FO_Capture!C1193, Reference_Data!A:D, 4, FALSE), "MISSING SSI")</f>
        <v>HSBC A/C 468615</v>
      </c>
      <c r="F1193">
        <f>FO_Capture!D1193</f>
        <v>180</v>
      </c>
      <c r="G1193">
        <f>FO_Capture!E1193</f>
        <v>302.04000854492188</v>
      </c>
      <c r="H1193">
        <f t="shared" si="36"/>
        <v>54367.201538085938</v>
      </c>
      <c r="I1193" t="str">
        <f t="shared" si="37"/>
        <v>Pass - Ready for Confirmation</v>
      </c>
    </row>
    <row r="1194" spans="1:9" x14ac:dyDescent="0.3">
      <c r="A1194" t="str">
        <f>FO_Capture!A1194</f>
        <v>TRD01193</v>
      </c>
      <c r="B1194" t="str">
        <f>FO_Capture!B1194</f>
        <v>INE001A01052</v>
      </c>
      <c r="C1194" t="str">
        <f>IFERROR(VLOOKUP(FO_Capture!C1194, Reference_Data!A:D, 2, FALSE), "UNKNOWN")</f>
        <v>Alpha Asset Management 4</v>
      </c>
      <c r="D1194" t="str">
        <f>IFERROR(VLOOKUP(FO_Capture!C1194, Reference_Data!A:D, 3, FALSE), "XXX")</f>
        <v>JPY</v>
      </c>
      <c r="E1194" t="str">
        <f>IFERROR(VLOOKUP(FO_Capture!C1194, Reference_Data!A:D, 4, FALSE), "MISSING SSI")</f>
        <v>Deutsche Bank A/C 126543</v>
      </c>
      <c r="F1194">
        <f>FO_Capture!D1194</f>
        <v>260</v>
      </c>
      <c r="G1194">
        <f>FO_Capture!E1194</f>
        <v>85.949996948242188</v>
      </c>
      <c r="H1194">
        <f t="shared" si="36"/>
        <v>22346.999206542969</v>
      </c>
      <c r="I1194" t="str">
        <f t="shared" si="37"/>
        <v>Pass - Ready for Confirmation</v>
      </c>
    </row>
    <row r="1195" spans="1:9" x14ac:dyDescent="0.3">
      <c r="A1195" t="str">
        <f>FO_Capture!A1195</f>
        <v>TRD01194</v>
      </c>
      <c r="B1195" t="str">
        <f>FO_Capture!B1195</f>
        <v>INE007A0103</v>
      </c>
      <c r="C1195" t="str">
        <f>IFERROR(VLOOKUP(FO_Capture!C1195, Reference_Data!A:D, 2, FALSE), "UNKNOWN")</f>
        <v>Alpha Global 2</v>
      </c>
      <c r="D1195" t="str">
        <f>IFERROR(VLOOKUP(FO_Capture!C1195, Reference_Data!A:D, 3, FALSE), "XXX")</f>
        <v>GBP</v>
      </c>
      <c r="E1195" t="str">
        <f>IFERROR(VLOOKUP(FO_Capture!C1195, Reference_Data!A:D, 4, FALSE), "MISSING SSI")</f>
        <v>JPMorgan A/C 582379</v>
      </c>
      <c r="F1195">
        <f>FO_Capture!D1195</f>
        <v>360</v>
      </c>
      <c r="G1195">
        <f>FO_Capture!E1195</f>
        <v>48.169998168945313</v>
      </c>
      <c r="H1195">
        <f t="shared" si="36"/>
        <v>17341.199340820313</v>
      </c>
      <c r="I1195" t="str">
        <f t="shared" si="37"/>
        <v>Pass - Ready for Confirmation</v>
      </c>
    </row>
    <row r="1196" spans="1:9" x14ac:dyDescent="0.3">
      <c r="A1196" t="str">
        <f>FO_Capture!A1196</f>
        <v>TRD01195</v>
      </c>
      <c r="B1196" t="str">
        <f>FO_Capture!B1196</f>
        <v>INE007A0102</v>
      </c>
      <c r="C1196" t="str">
        <f>IFERROR(VLOOKUP(FO_Capture!C1196, Reference_Data!A:D, 2, FALSE), "UNKNOWN")</f>
        <v>Alpha Partners 48</v>
      </c>
      <c r="D1196" t="str">
        <f>IFERROR(VLOOKUP(FO_Capture!C1196, Reference_Data!A:D, 3, FALSE), "XXX")</f>
        <v>SGD</v>
      </c>
      <c r="E1196" t="str">
        <f>IFERROR(VLOOKUP(FO_Capture!C1196, Reference_Data!A:D, 4, FALSE), "MISSING SSI")</f>
        <v>JPMorgan A/C 391364</v>
      </c>
      <c r="F1196">
        <f>FO_Capture!D1196</f>
        <v>130</v>
      </c>
      <c r="G1196">
        <f>FO_Capture!E1196</f>
        <v>42.479999542236328</v>
      </c>
      <c r="H1196">
        <f t="shared" si="36"/>
        <v>5522.3999404907227</v>
      </c>
      <c r="I1196" t="str">
        <f t="shared" si="37"/>
        <v>Pass - Ready for Confirmation</v>
      </c>
    </row>
    <row r="1197" spans="1:9" x14ac:dyDescent="0.3">
      <c r="A1197" t="str">
        <f>FO_Capture!A1197</f>
        <v>TRD01196</v>
      </c>
      <c r="B1197" t="str">
        <f>FO_Capture!B1197</f>
        <v>INE005A01085</v>
      </c>
      <c r="C1197" t="str">
        <f>IFERROR(VLOOKUP(FO_Capture!C1197, Reference_Data!A:D, 2, FALSE), "UNKNOWN")</f>
        <v>Alpha Capital 7</v>
      </c>
      <c r="D1197" t="str">
        <f>IFERROR(VLOOKUP(FO_Capture!C1197, Reference_Data!A:D, 3, FALSE), "XXX")</f>
        <v>INR</v>
      </c>
      <c r="E1197" t="str">
        <f>IFERROR(VLOOKUP(FO_Capture!C1197, Reference_Data!A:D, 4, FALSE), "MISSING SSI")</f>
        <v>Standard Chartered A/C 682134</v>
      </c>
      <c r="F1197">
        <f>FO_Capture!D1197</f>
        <v>130</v>
      </c>
      <c r="G1197">
        <f>FO_Capture!E1197</f>
        <v>86.699996948242188</v>
      </c>
      <c r="H1197">
        <f t="shared" si="36"/>
        <v>11270.999603271484</v>
      </c>
      <c r="I1197" t="str">
        <f t="shared" si="37"/>
        <v>Pass - Ready for Confirmation</v>
      </c>
    </row>
    <row r="1198" spans="1:9" x14ac:dyDescent="0.3">
      <c r="A1198" t="str">
        <f>FO_Capture!A1198</f>
        <v>TRD01197</v>
      </c>
      <c r="B1198" t="str">
        <f>FO_Capture!B1198</f>
        <v>INE005A01088</v>
      </c>
      <c r="C1198" t="str">
        <f>IFERROR(VLOOKUP(FO_Capture!C1198, Reference_Data!A:D, 2, FALSE), "UNKNOWN")</f>
        <v>Alpha Quant Fund 24</v>
      </c>
      <c r="D1198" t="str">
        <f>IFERROR(VLOOKUP(FO_Capture!C1198, Reference_Data!A:D, 3, FALSE), "XXX")</f>
        <v>SGD</v>
      </c>
      <c r="E1198" t="str">
        <f>IFERROR(VLOOKUP(FO_Capture!C1198, Reference_Data!A:D, 4, FALSE), "MISSING SSI")</f>
        <v>JPMorgan A/C 603587</v>
      </c>
      <c r="F1198">
        <f>FO_Capture!D1198</f>
        <v>140</v>
      </c>
      <c r="G1198">
        <f>FO_Capture!E1198</f>
        <v>112.69999694824219</v>
      </c>
      <c r="H1198">
        <f t="shared" si="36"/>
        <v>15777.999572753906</v>
      </c>
      <c r="I1198" t="str">
        <f t="shared" si="37"/>
        <v>Pass - Ready for Confirmation</v>
      </c>
    </row>
    <row r="1199" spans="1:9" x14ac:dyDescent="0.3">
      <c r="A1199" t="str">
        <f>FO_Capture!A1199</f>
        <v>TRD01198</v>
      </c>
      <c r="B1199" t="str">
        <f>FO_Capture!B1199</f>
        <v>INE005A01086</v>
      </c>
      <c r="C1199" t="str">
        <f>IFERROR(VLOOKUP(FO_Capture!C1199, Reference_Data!A:D, 2, FALSE), "UNKNOWN")</f>
        <v>Alpha Global 46</v>
      </c>
      <c r="D1199" t="str">
        <f>IFERROR(VLOOKUP(FO_Capture!C1199, Reference_Data!A:D, 3, FALSE), "XXX")</f>
        <v>USD</v>
      </c>
      <c r="E1199" t="str">
        <f>IFERROR(VLOOKUP(FO_Capture!C1199, Reference_Data!A:D, 4, FALSE), "MISSING SSI")</f>
        <v>Citi A/C 700450</v>
      </c>
      <c r="F1199">
        <f>FO_Capture!D1199</f>
        <v>380</v>
      </c>
      <c r="G1199">
        <f>FO_Capture!E1199</f>
        <v>216.42999267578125</v>
      </c>
      <c r="H1199">
        <f t="shared" si="36"/>
        <v>82243.397216796875</v>
      </c>
      <c r="I1199" t="str">
        <f t="shared" si="37"/>
        <v>Pass - Ready for Confirmation</v>
      </c>
    </row>
    <row r="1200" spans="1:9" x14ac:dyDescent="0.3">
      <c r="A1200" t="str">
        <f>FO_Capture!A1200</f>
        <v>TRD01199</v>
      </c>
      <c r="B1200" t="str">
        <f>FO_Capture!B1200</f>
        <v>INE005A01053</v>
      </c>
      <c r="C1200" t="str">
        <f>IFERROR(VLOOKUP(FO_Capture!C1200, Reference_Data!A:D, 2, FALSE), "UNKNOWN")</f>
        <v>Alpha Partners 1</v>
      </c>
      <c r="D1200" t="str">
        <f>IFERROR(VLOOKUP(FO_Capture!C1200, Reference_Data!A:D, 3, FALSE), "XXX")</f>
        <v>JPY</v>
      </c>
      <c r="E1200" t="str">
        <f>IFERROR(VLOOKUP(FO_Capture!C1200, Reference_Data!A:D, 4, FALSE), "MISSING SSI")</f>
        <v>Standard Chartered A/C 277005</v>
      </c>
      <c r="F1200">
        <f>FO_Capture!D1200</f>
        <v>250</v>
      </c>
      <c r="G1200">
        <f>FO_Capture!E1200</f>
        <v>407.92001342773438</v>
      </c>
      <c r="H1200">
        <f t="shared" si="36"/>
        <v>101980.00335693359</v>
      </c>
      <c r="I1200" t="str">
        <f t="shared" si="37"/>
        <v>Pass - Ready for Confirmation</v>
      </c>
    </row>
    <row r="1201" spans="1:9" x14ac:dyDescent="0.3">
      <c r="A1201" t="str">
        <f>FO_Capture!A1201</f>
        <v>TRD01200</v>
      </c>
      <c r="B1201" t="str">
        <f>FO_Capture!B1201</f>
        <v>INE009A0105</v>
      </c>
      <c r="C1201" t="str">
        <f>IFERROR(VLOOKUP(FO_Capture!C1201, Reference_Data!A:D, 2, FALSE), "UNKNOWN")</f>
        <v>Alpha Partners 19</v>
      </c>
      <c r="D1201" t="str">
        <f>IFERROR(VLOOKUP(FO_Capture!C1201, Reference_Data!A:D, 3, FALSE), "XXX")</f>
        <v>INR</v>
      </c>
      <c r="E1201" t="str">
        <f>IFERROR(VLOOKUP(FO_Capture!C1201, Reference_Data!A:D, 4, FALSE), "MISSING SSI")</f>
        <v>Citi A/C 543819</v>
      </c>
      <c r="F1201">
        <f>FO_Capture!D1201</f>
        <v>130</v>
      </c>
      <c r="G1201">
        <f>FO_Capture!E1201</f>
        <v>361.22000122070313</v>
      </c>
      <c r="H1201">
        <f t="shared" si="36"/>
        <v>46958.600158691406</v>
      </c>
      <c r="I1201" t="str">
        <f t="shared" si="37"/>
        <v>Pass - Ready for Confirmation</v>
      </c>
    </row>
    <row r="1202" spans="1:9" x14ac:dyDescent="0.3">
      <c r="A1202" t="str">
        <f>FO_Capture!A1202</f>
        <v>TRD01201</v>
      </c>
      <c r="B1202" t="str">
        <f>FO_Capture!B1202</f>
        <v>INE002A01056</v>
      </c>
      <c r="C1202" t="str">
        <f>IFERROR(VLOOKUP(FO_Capture!C1202, Reference_Data!A:D, 2, FALSE), "UNKNOWN")</f>
        <v>Alpha Quant Fund 12</v>
      </c>
      <c r="D1202" t="str">
        <f>IFERROR(VLOOKUP(FO_Capture!C1202, Reference_Data!A:D, 3, FALSE), "XXX")</f>
        <v>EUR</v>
      </c>
      <c r="E1202" t="str">
        <f>IFERROR(VLOOKUP(FO_Capture!C1202, Reference_Data!A:D, 4, FALSE), "MISSING SSI")</f>
        <v>Deutsche Bank A/C 324710</v>
      </c>
      <c r="F1202">
        <f>FO_Capture!D1202</f>
        <v>60</v>
      </c>
      <c r="G1202">
        <f>FO_Capture!E1202</f>
        <v>164.47000122070313</v>
      </c>
      <c r="H1202">
        <f t="shared" si="36"/>
        <v>9868.2000732421875</v>
      </c>
      <c r="I1202" t="str">
        <f t="shared" si="37"/>
        <v>Pass - Ready for Confirmation</v>
      </c>
    </row>
    <row r="1203" spans="1:9" x14ac:dyDescent="0.3">
      <c r="A1203" t="str">
        <f>FO_Capture!A1203</f>
        <v>TRD01202</v>
      </c>
      <c r="B1203" t="str">
        <f>FO_Capture!B1203</f>
        <v>INE004A01066</v>
      </c>
      <c r="C1203" t="str">
        <f>IFERROR(VLOOKUP(FO_Capture!C1203, Reference_Data!A:D, 2, FALSE), "UNKNOWN")</f>
        <v>Alpha Partners 42</v>
      </c>
      <c r="D1203" t="str">
        <f>IFERROR(VLOOKUP(FO_Capture!C1203, Reference_Data!A:D, 3, FALSE), "XXX")</f>
        <v>USD</v>
      </c>
      <c r="E1203" t="str">
        <f>IFERROR(VLOOKUP(FO_Capture!C1203, Reference_Data!A:D, 4, FALSE), "MISSING SSI")</f>
        <v>Citi A/C 416082</v>
      </c>
      <c r="F1203">
        <f>FO_Capture!D1203</f>
        <v>40</v>
      </c>
      <c r="G1203">
        <f>FO_Capture!E1203</f>
        <v>69.870002746582031</v>
      </c>
      <c r="H1203">
        <f t="shared" si="36"/>
        <v>2794.8001098632813</v>
      </c>
      <c r="I1203" t="str">
        <f t="shared" si="37"/>
        <v>Pass - Ready for Confirmation</v>
      </c>
    </row>
    <row r="1204" spans="1:9" x14ac:dyDescent="0.3">
      <c r="A1204" t="str">
        <f>FO_Capture!A1204</f>
        <v>TRD01203</v>
      </c>
      <c r="B1204" t="str">
        <f>FO_Capture!B1204</f>
        <v>INE004A01087</v>
      </c>
      <c r="C1204" t="str">
        <f>IFERROR(VLOOKUP(FO_Capture!C1204, Reference_Data!A:D, 2, FALSE), "UNKNOWN")</f>
        <v>Alpha Partners 3</v>
      </c>
      <c r="D1204" t="str">
        <f>IFERROR(VLOOKUP(FO_Capture!C1204, Reference_Data!A:D, 3, FALSE), "XXX")</f>
        <v>USD</v>
      </c>
      <c r="E1204" t="str">
        <f>IFERROR(VLOOKUP(FO_Capture!C1204, Reference_Data!A:D, 4, FALSE), "MISSING SSI")</f>
        <v>Citi A/C 508769</v>
      </c>
      <c r="F1204">
        <f>FO_Capture!D1204</f>
        <v>260</v>
      </c>
      <c r="G1204">
        <f>FO_Capture!E1204</f>
        <v>243.69000244140625</v>
      </c>
      <c r="H1204">
        <f t="shared" si="36"/>
        <v>63359.400634765625</v>
      </c>
      <c r="I1204" t="str">
        <f t="shared" si="37"/>
        <v>Pass - Ready for Confirmation</v>
      </c>
    </row>
    <row r="1205" spans="1:9" x14ac:dyDescent="0.3">
      <c r="A1205" t="str">
        <f>FO_Capture!A1205</f>
        <v>TRD01204</v>
      </c>
      <c r="B1205" t="str">
        <f>FO_Capture!B1205</f>
        <v>INE007A01021</v>
      </c>
      <c r="C1205" t="str">
        <f>IFERROR(VLOOKUP(FO_Capture!C1205, Reference_Data!A:D, 2, FALSE), "UNKNOWN")</f>
        <v>Alpha Holdings 41</v>
      </c>
      <c r="D1205" t="str">
        <f>IFERROR(VLOOKUP(FO_Capture!C1205, Reference_Data!A:D, 3, FALSE), "XXX")</f>
        <v>JPY</v>
      </c>
      <c r="E1205" t="str">
        <f>IFERROR(VLOOKUP(FO_Capture!C1205, Reference_Data!A:D, 4, FALSE), "MISSING SSI")</f>
        <v>HSBC A/C 468615</v>
      </c>
      <c r="F1205">
        <f>FO_Capture!D1205</f>
        <v>380</v>
      </c>
      <c r="G1205">
        <f>FO_Capture!E1205</f>
        <v>16.229999542236328</v>
      </c>
      <c r="H1205">
        <f t="shared" si="36"/>
        <v>6167.3998260498047</v>
      </c>
      <c r="I1205" t="str">
        <f t="shared" si="37"/>
        <v>Pass - Ready for Confirmation</v>
      </c>
    </row>
    <row r="1206" spans="1:9" x14ac:dyDescent="0.3">
      <c r="A1206" t="str">
        <f>FO_Capture!A1206</f>
        <v>TRD01205</v>
      </c>
      <c r="B1206" t="str">
        <f>FO_Capture!B1206</f>
        <v>INE009A01059</v>
      </c>
      <c r="C1206" t="str">
        <f>IFERROR(VLOOKUP(FO_Capture!C1206, Reference_Data!A:D, 2, FALSE), "UNKNOWN")</f>
        <v>Alpha Asset Management 32</v>
      </c>
      <c r="D1206" t="str">
        <f>IFERROR(VLOOKUP(FO_Capture!C1206, Reference_Data!A:D, 3, FALSE), "XXX")</f>
        <v>INR</v>
      </c>
      <c r="E1206" t="str">
        <f>IFERROR(VLOOKUP(FO_Capture!C1206, Reference_Data!A:D, 4, FALSE), "MISSING SSI")</f>
        <v>Barclays A/C 302646</v>
      </c>
      <c r="F1206">
        <f>FO_Capture!D1206</f>
        <v>210</v>
      </c>
      <c r="G1206">
        <f>FO_Capture!E1206</f>
        <v>131.88999938964844</v>
      </c>
      <c r="H1206">
        <f t="shared" si="36"/>
        <v>27696.899871826172</v>
      </c>
      <c r="I1206" t="str">
        <f t="shared" si="37"/>
        <v>Pass - Ready for Confirmation</v>
      </c>
    </row>
    <row r="1207" spans="1:9" x14ac:dyDescent="0.3">
      <c r="A1207" t="str">
        <f>FO_Capture!A1207</f>
        <v>TRD01206</v>
      </c>
      <c r="B1207" t="str">
        <f>FO_Capture!B1207</f>
        <v>INE009A01044</v>
      </c>
      <c r="C1207" t="str">
        <f>IFERROR(VLOOKUP(FO_Capture!C1207, Reference_Data!A:D, 2, FALSE), "UNKNOWN")</f>
        <v>Alpha Asset Management 5</v>
      </c>
      <c r="D1207" t="str">
        <f>IFERROR(VLOOKUP(FO_Capture!C1207, Reference_Data!A:D, 3, FALSE), "XXX")</f>
        <v>INR</v>
      </c>
      <c r="E1207" t="str">
        <f>IFERROR(VLOOKUP(FO_Capture!C1207, Reference_Data!A:D, 4, FALSE), "MISSING SSI")</f>
        <v>JPMorgan A/C 860462</v>
      </c>
      <c r="F1207">
        <f>FO_Capture!D1207</f>
        <v>50</v>
      </c>
      <c r="G1207">
        <f>FO_Capture!E1207</f>
        <v>499.1199951171875</v>
      </c>
      <c r="H1207">
        <f t="shared" si="36"/>
        <v>24955.999755859375</v>
      </c>
      <c r="I1207" t="str">
        <f t="shared" si="37"/>
        <v>Pass - Ready for Confirmation</v>
      </c>
    </row>
    <row r="1208" spans="1:9" x14ac:dyDescent="0.3">
      <c r="A1208" t="str">
        <f>FO_Capture!A1208</f>
        <v>TRD01207</v>
      </c>
      <c r="B1208" t="str">
        <f>FO_Capture!B1208</f>
        <v>INE001A01010</v>
      </c>
      <c r="C1208" t="str">
        <f>IFERROR(VLOOKUP(FO_Capture!C1208, Reference_Data!A:D, 2, FALSE), "UNKNOWN")</f>
        <v>Alpha Partners 19</v>
      </c>
      <c r="D1208" t="str">
        <f>IFERROR(VLOOKUP(FO_Capture!C1208, Reference_Data!A:D, 3, FALSE), "XXX")</f>
        <v>INR</v>
      </c>
      <c r="E1208" t="str">
        <f>IFERROR(VLOOKUP(FO_Capture!C1208, Reference_Data!A:D, 4, FALSE), "MISSING SSI")</f>
        <v>Citi A/C 543819</v>
      </c>
      <c r="F1208">
        <f>FO_Capture!D1208</f>
        <v>360</v>
      </c>
      <c r="G1208">
        <f>FO_Capture!E1208</f>
        <v>440.42001342773438</v>
      </c>
      <c r="H1208">
        <f t="shared" si="36"/>
        <v>158551.20483398438</v>
      </c>
      <c r="I1208" t="str">
        <f t="shared" si="37"/>
        <v>Pass - Ready for Confirmation</v>
      </c>
    </row>
    <row r="1209" spans="1:9" x14ac:dyDescent="0.3">
      <c r="A1209" t="str">
        <f>FO_Capture!A1209</f>
        <v>TRD01208</v>
      </c>
      <c r="B1209" t="str">
        <f>FO_Capture!B1209</f>
        <v>INE006A01036</v>
      </c>
      <c r="C1209" t="str">
        <f>IFERROR(VLOOKUP(FO_Capture!C1209, Reference_Data!A:D, 2, FALSE), "UNKNOWN")</f>
        <v>Alpha Partners 37</v>
      </c>
      <c r="D1209" t="str">
        <f>IFERROR(VLOOKUP(FO_Capture!C1209, Reference_Data!A:D, 3, FALSE), "XXX")</f>
        <v>JPY</v>
      </c>
      <c r="E1209" t="str">
        <f>IFERROR(VLOOKUP(FO_Capture!C1209, Reference_Data!A:D, 4, FALSE), "MISSING SSI")</f>
        <v>HSBC A/C 994063</v>
      </c>
      <c r="F1209">
        <f>FO_Capture!D1209</f>
        <v>70</v>
      </c>
      <c r="G1209">
        <f>FO_Capture!E1209</f>
        <v>442.3699951171875</v>
      </c>
      <c r="H1209">
        <f t="shared" si="36"/>
        <v>30965.899658203125</v>
      </c>
      <c r="I1209" t="str">
        <f t="shared" si="37"/>
        <v>Pass - Ready for Confirmation</v>
      </c>
    </row>
    <row r="1210" spans="1:9" x14ac:dyDescent="0.3">
      <c r="A1210" t="str">
        <f>FO_Capture!A1210</f>
        <v>TRD01209</v>
      </c>
      <c r="B1210" t="str">
        <f>FO_Capture!B1210</f>
        <v>INE002A0101</v>
      </c>
      <c r="C1210" t="str">
        <f>IFERROR(VLOOKUP(FO_Capture!C1210, Reference_Data!A:D, 2, FALSE), "UNKNOWN")</f>
        <v>Alpha Partners 48</v>
      </c>
      <c r="D1210" t="str">
        <f>IFERROR(VLOOKUP(FO_Capture!C1210, Reference_Data!A:D, 3, FALSE), "XXX")</f>
        <v>SGD</v>
      </c>
      <c r="E1210" t="str">
        <f>IFERROR(VLOOKUP(FO_Capture!C1210, Reference_Data!A:D, 4, FALSE), "MISSING SSI")</f>
        <v>JPMorgan A/C 391364</v>
      </c>
      <c r="F1210">
        <f>FO_Capture!D1210</f>
        <v>300</v>
      </c>
      <c r="G1210">
        <f>FO_Capture!E1210</f>
        <v>405.58999633789063</v>
      </c>
      <c r="H1210">
        <f t="shared" si="36"/>
        <v>121676.99890136719</v>
      </c>
      <c r="I1210" t="str">
        <f t="shared" si="37"/>
        <v>Pass - Ready for Confirmation</v>
      </c>
    </row>
    <row r="1211" spans="1:9" x14ac:dyDescent="0.3">
      <c r="A1211" t="str">
        <f>FO_Capture!A1211</f>
        <v>TRD01210</v>
      </c>
      <c r="B1211" t="str">
        <f>FO_Capture!B1211</f>
        <v>INE001A01023</v>
      </c>
      <c r="C1211" t="str">
        <f>IFERROR(VLOOKUP(FO_Capture!C1211, Reference_Data!A:D, 2, FALSE), "UNKNOWN")</f>
        <v>Alpha Holdings 49</v>
      </c>
      <c r="D1211" t="str">
        <f>IFERROR(VLOOKUP(FO_Capture!C1211, Reference_Data!A:D, 3, FALSE), "XXX")</f>
        <v>JPY</v>
      </c>
      <c r="E1211" t="str">
        <f>IFERROR(VLOOKUP(FO_Capture!C1211, Reference_Data!A:D, 4, FALSE), "MISSING SSI")</f>
        <v>HDFC A/C 679335</v>
      </c>
      <c r="F1211">
        <f>FO_Capture!D1211</f>
        <v>110</v>
      </c>
      <c r="G1211">
        <f>FO_Capture!E1211</f>
        <v>394.79998779296875</v>
      </c>
      <c r="H1211">
        <f t="shared" si="36"/>
        <v>43427.998657226563</v>
      </c>
      <c r="I1211" t="str">
        <f t="shared" si="37"/>
        <v>Pass - Ready for Confirmation</v>
      </c>
    </row>
    <row r="1212" spans="1:9" x14ac:dyDescent="0.3">
      <c r="A1212" t="str">
        <f>FO_Capture!A1212</f>
        <v>TRD01211</v>
      </c>
      <c r="B1212" t="str">
        <f>FO_Capture!B1212</f>
        <v>INE002A01021</v>
      </c>
      <c r="C1212" t="str">
        <f>IFERROR(VLOOKUP(FO_Capture!C1212, Reference_Data!A:D, 2, FALSE), "UNKNOWN")</f>
        <v>Alpha Global 14</v>
      </c>
      <c r="D1212" t="str">
        <f>IFERROR(VLOOKUP(FO_Capture!C1212, Reference_Data!A:D, 3, FALSE), "XXX")</f>
        <v>USD</v>
      </c>
      <c r="E1212" t="str">
        <f>IFERROR(VLOOKUP(FO_Capture!C1212, Reference_Data!A:D, 4, FALSE), "MISSING SSI")</f>
        <v>HSBC A/C 864249</v>
      </c>
      <c r="F1212">
        <f>FO_Capture!D1212</f>
        <v>250</v>
      </c>
      <c r="G1212">
        <f>FO_Capture!E1212</f>
        <v>388.739990234375</v>
      </c>
      <c r="H1212">
        <f t="shared" si="36"/>
        <v>97184.99755859375</v>
      </c>
      <c r="I1212" t="str">
        <f t="shared" si="37"/>
        <v>Pass - Ready for Confirmation</v>
      </c>
    </row>
    <row r="1213" spans="1:9" x14ac:dyDescent="0.3">
      <c r="A1213" t="str">
        <f>FO_Capture!A1213</f>
        <v>TRD01212</v>
      </c>
      <c r="B1213" t="str">
        <f>FO_Capture!B1213</f>
        <v>INE002A01054</v>
      </c>
      <c r="C1213" t="str">
        <f>IFERROR(VLOOKUP(FO_Capture!C1213, Reference_Data!A:D, 2, FALSE), "UNKNOWN")</f>
        <v>Alpha Global 20</v>
      </c>
      <c r="D1213" t="str">
        <f>IFERROR(VLOOKUP(FO_Capture!C1213, Reference_Data!A:D, 3, FALSE), "XXX")</f>
        <v>JPY</v>
      </c>
      <c r="E1213" t="str">
        <f>IFERROR(VLOOKUP(FO_Capture!C1213, Reference_Data!A:D, 4, FALSE), "MISSING SSI")</f>
        <v>Barclays A/C 560891</v>
      </c>
      <c r="F1213">
        <f>FO_Capture!D1213</f>
        <v>430</v>
      </c>
      <c r="G1213">
        <f>FO_Capture!E1213</f>
        <v>30.239999771118164</v>
      </c>
      <c r="H1213">
        <f t="shared" si="36"/>
        <v>13003.199901580811</v>
      </c>
      <c r="I1213" t="str">
        <f t="shared" si="37"/>
        <v>Pass - Ready for Confirmation</v>
      </c>
    </row>
    <row r="1214" spans="1:9" x14ac:dyDescent="0.3">
      <c r="A1214" t="str">
        <f>FO_Capture!A1214</f>
        <v>TRD01213</v>
      </c>
      <c r="B1214" t="str">
        <f>FO_Capture!B1214</f>
        <v>INE008A01082</v>
      </c>
      <c r="C1214" t="str">
        <f>IFERROR(VLOOKUP(FO_Capture!C1214, Reference_Data!A:D, 2, FALSE), "UNKNOWN")</f>
        <v>Alpha Quant Fund 24</v>
      </c>
      <c r="D1214" t="str">
        <f>IFERROR(VLOOKUP(FO_Capture!C1214, Reference_Data!A:D, 3, FALSE), "XXX")</f>
        <v>SGD</v>
      </c>
      <c r="E1214" t="str">
        <f>IFERROR(VLOOKUP(FO_Capture!C1214, Reference_Data!A:D, 4, FALSE), "MISSING SSI")</f>
        <v>JPMorgan A/C 603587</v>
      </c>
      <c r="F1214">
        <f>FO_Capture!D1214</f>
        <v>40</v>
      </c>
      <c r="G1214">
        <f>FO_Capture!E1214</f>
        <v>376.19000244140625</v>
      </c>
      <c r="H1214">
        <f t="shared" si="36"/>
        <v>15047.60009765625</v>
      </c>
      <c r="I1214" t="str">
        <f t="shared" si="37"/>
        <v>Pass - Ready for Confirmation</v>
      </c>
    </row>
    <row r="1215" spans="1:9" x14ac:dyDescent="0.3">
      <c r="A1215" t="str">
        <f>FO_Capture!A1215</f>
        <v>TRD01214</v>
      </c>
      <c r="B1215" t="str">
        <f>FO_Capture!B1215</f>
        <v>INE002A0107</v>
      </c>
      <c r="C1215" t="str">
        <f>IFERROR(VLOOKUP(FO_Capture!C1215, Reference_Data!A:D, 2, FALSE), "UNKNOWN")</f>
        <v>Alpha Capital 38</v>
      </c>
      <c r="D1215" t="str">
        <f>IFERROR(VLOOKUP(FO_Capture!C1215, Reference_Data!A:D, 3, FALSE), "XXX")</f>
        <v>SGD</v>
      </c>
      <c r="E1215" t="str">
        <f>IFERROR(VLOOKUP(FO_Capture!C1215, Reference_Data!A:D, 4, FALSE), "MISSING SSI")</f>
        <v>Deutsche Bank A/C 153521</v>
      </c>
      <c r="F1215">
        <f>FO_Capture!D1215</f>
        <v>430</v>
      </c>
      <c r="G1215">
        <f>FO_Capture!E1215</f>
        <v>147.52999877929688</v>
      </c>
      <c r="H1215">
        <f t="shared" si="36"/>
        <v>63437.899475097656</v>
      </c>
      <c r="I1215" t="str">
        <f t="shared" si="37"/>
        <v>Pass - Ready for Confirmation</v>
      </c>
    </row>
    <row r="1216" spans="1:9" x14ac:dyDescent="0.3">
      <c r="A1216" t="str">
        <f>FO_Capture!A1216</f>
        <v>TRD01215</v>
      </c>
      <c r="B1216" t="str">
        <f>FO_Capture!B1216</f>
        <v>INE004A01024</v>
      </c>
      <c r="C1216" t="str">
        <f>IFERROR(VLOOKUP(FO_Capture!C1216, Reference_Data!A:D, 2, FALSE), "UNKNOWN")</f>
        <v>Alpha Quant Fund 50</v>
      </c>
      <c r="D1216" t="str">
        <f>IFERROR(VLOOKUP(FO_Capture!C1216, Reference_Data!A:D, 3, FALSE), "XXX")</f>
        <v>SGD</v>
      </c>
      <c r="E1216" t="str">
        <f>IFERROR(VLOOKUP(FO_Capture!C1216, Reference_Data!A:D, 4, FALSE), "MISSING SSI")</f>
        <v>Standard Chartered A/C 307017</v>
      </c>
      <c r="F1216">
        <f>FO_Capture!D1216</f>
        <v>130</v>
      </c>
      <c r="G1216">
        <f>FO_Capture!E1216</f>
        <v>479.26998901367188</v>
      </c>
      <c r="H1216">
        <f t="shared" si="36"/>
        <v>62305.098571777344</v>
      </c>
      <c r="I1216" t="str">
        <f t="shared" si="37"/>
        <v>Pass - Ready for Confirmation</v>
      </c>
    </row>
    <row r="1217" spans="1:9" x14ac:dyDescent="0.3">
      <c r="A1217" t="str">
        <f>FO_Capture!A1217</f>
        <v>TRD01216</v>
      </c>
      <c r="B1217" t="str">
        <f>FO_Capture!B1217</f>
        <v>INE002A01078</v>
      </c>
      <c r="C1217" t="str">
        <f>IFERROR(VLOOKUP(FO_Capture!C1217, Reference_Data!A:D, 2, FALSE), "UNKNOWN")</f>
        <v>Alpha Asset Management 5</v>
      </c>
      <c r="D1217" t="str">
        <f>IFERROR(VLOOKUP(FO_Capture!C1217, Reference_Data!A:D, 3, FALSE), "XXX")</f>
        <v>INR</v>
      </c>
      <c r="E1217" t="str">
        <f>IFERROR(VLOOKUP(FO_Capture!C1217, Reference_Data!A:D, 4, FALSE), "MISSING SSI")</f>
        <v>JPMorgan A/C 860462</v>
      </c>
      <c r="F1217">
        <f>FO_Capture!D1217</f>
        <v>140</v>
      </c>
      <c r="G1217">
        <f>FO_Capture!E1217</f>
        <v>170.49000549316406</v>
      </c>
      <c r="H1217">
        <f t="shared" si="36"/>
        <v>23868.600769042969</v>
      </c>
      <c r="I1217" t="str">
        <f t="shared" si="37"/>
        <v>Pass - Ready for Confirmation</v>
      </c>
    </row>
    <row r="1218" spans="1:9" x14ac:dyDescent="0.3">
      <c r="A1218" t="str">
        <f>FO_Capture!A1218</f>
        <v>TRD01217</v>
      </c>
      <c r="B1218" t="str">
        <f>FO_Capture!B1218</f>
        <v>INE004A0109</v>
      </c>
      <c r="C1218" t="str">
        <f>IFERROR(VLOOKUP(FO_Capture!C1218, Reference_Data!A:D, 2, FALSE), "UNKNOWN")</f>
        <v>Alpha Global 25</v>
      </c>
      <c r="D1218" t="str">
        <f>IFERROR(VLOOKUP(FO_Capture!C1218, Reference_Data!A:D, 3, FALSE), "XXX")</f>
        <v>EUR</v>
      </c>
      <c r="E1218" t="str">
        <f>IFERROR(VLOOKUP(FO_Capture!C1218, Reference_Data!A:D, 4, FALSE), "MISSING SSI")</f>
        <v>Standard Chartered A/C 438949</v>
      </c>
      <c r="F1218">
        <f>FO_Capture!D1218</f>
        <v>120</v>
      </c>
      <c r="G1218">
        <f>FO_Capture!E1218</f>
        <v>434.30999755859375</v>
      </c>
      <c r="H1218">
        <f t="shared" si="36"/>
        <v>52117.19970703125</v>
      </c>
      <c r="I1218" t="str">
        <f t="shared" si="37"/>
        <v>Pass - Ready for Confirmation</v>
      </c>
    </row>
    <row r="1219" spans="1:9" x14ac:dyDescent="0.3">
      <c r="A1219" t="str">
        <f>FO_Capture!A1219</f>
        <v>TRD01218</v>
      </c>
      <c r="B1219" t="str">
        <f>FO_Capture!B1219</f>
        <v>INE009A01097</v>
      </c>
      <c r="C1219" t="str">
        <f>IFERROR(VLOOKUP(FO_Capture!C1219, Reference_Data!A:D, 2, FALSE), "UNKNOWN")</f>
        <v>Alpha Capital 36</v>
      </c>
      <c r="D1219" t="str">
        <f>IFERROR(VLOOKUP(FO_Capture!C1219, Reference_Data!A:D, 3, FALSE), "XXX")</f>
        <v>JPY</v>
      </c>
      <c r="E1219" t="str">
        <f>IFERROR(VLOOKUP(FO_Capture!C1219, Reference_Data!A:D, 4, FALSE), "MISSING SSI")</f>
        <v>Citi A/C 359789</v>
      </c>
      <c r="F1219">
        <f>FO_Capture!D1219</f>
        <v>200</v>
      </c>
      <c r="G1219">
        <f>FO_Capture!E1219</f>
        <v>147.94000244140625</v>
      </c>
      <c r="H1219">
        <f t="shared" ref="H1219:H1282" si="38">F1219 * G1219</f>
        <v>29588.00048828125</v>
      </c>
      <c r="I1219" t="str">
        <f t="shared" ref="I1219:I1282" si="39">IF(C1219="UNKNOWN", "Fail - Missing Ref Data", IF(OR(F1219&lt;=0, G1219&lt;=0), "Fail - Invalid Price/Qty", IF(H1219&gt;1000000, "Exception - Limit Breach", "Pass - Ready for Confirmation")))</f>
        <v>Pass - Ready for Confirmation</v>
      </c>
    </row>
    <row r="1220" spans="1:9" x14ac:dyDescent="0.3">
      <c r="A1220" t="str">
        <f>FO_Capture!A1220</f>
        <v>TRD01219</v>
      </c>
      <c r="B1220" t="str">
        <f>FO_Capture!B1220</f>
        <v>INE004A01024</v>
      </c>
      <c r="C1220" t="str">
        <f>IFERROR(VLOOKUP(FO_Capture!C1220, Reference_Data!A:D, 2, FALSE), "UNKNOWN")</f>
        <v>Alpha Investments 43</v>
      </c>
      <c r="D1220" t="str">
        <f>IFERROR(VLOOKUP(FO_Capture!C1220, Reference_Data!A:D, 3, FALSE), "XXX")</f>
        <v>EUR</v>
      </c>
      <c r="E1220" t="str">
        <f>IFERROR(VLOOKUP(FO_Capture!C1220, Reference_Data!A:D, 4, FALSE), "MISSING SSI")</f>
        <v>Citi A/C 714496</v>
      </c>
      <c r="F1220">
        <f>FO_Capture!D1220</f>
        <v>210</v>
      </c>
      <c r="G1220">
        <f>FO_Capture!E1220</f>
        <v>102.63999938964844</v>
      </c>
      <c r="H1220">
        <f t="shared" si="38"/>
        <v>21554.399871826172</v>
      </c>
      <c r="I1220" t="str">
        <f t="shared" si="39"/>
        <v>Pass - Ready for Confirmation</v>
      </c>
    </row>
    <row r="1221" spans="1:9" x14ac:dyDescent="0.3">
      <c r="A1221" t="str">
        <f>FO_Capture!A1221</f>
        <v>TRD01220</v>
      </c>
      <c r="B1221" t="str">
        <f>FO_Capture!B1221</f>
        <v>INE003A01012</v>
      </c>
      <c r="C1221" t="str">
        <f>IFERROR(VLOOKUP(FO_Capture!C1221, Reference_Data!A:D, 2, FALSE), "UNKNOWN")</f>
        <v>Alpha Partners 6</v>
      </c>
      <c r="D1221" t="str">
        <f>IFERROR(VLOOKUP(FO_Capture!C1221, Reference_Data!A:D, 3, FALSE), "XXX")</f>
        <v>INR</v>
      </c>
      <c r="E1221" t="str">
        <f>IFERROR(VLOOKUP(FO_Capture!C1221, Reference_Data!A:D, 4, FALSE), "MISSING SSI")</f>
        <v>Standard Chartered A/C 441247</v>
      </c>
      <c r="F1221">
        <f>FO_Capture!D1221</f>
        <v>410</v>
      </c>
      <c r="G1221">
        <f>FO_Capture!E1221</f>
        <v>253.72000122070313</v>
      </c>
      <c r="H1221">
        <f t="shared" si="38"/>
        <v>104025.20050048828</v>
      </c>
      <c r="I1221" t="str">
        <f t="shared" si="39"/>
        <v>Pass - Ready for Confirmation</v>
      </c>
    </row>
    <row r="1222" spans="1:9" x14ac:dyDescent="0.3">
      <c r="A1222" t="str">
        <f>FO_Capture!A1222</f>
        <v>TRD01221</v>
      </c>
      <c r="B1222" t="str">
        <f>FO_Capture!B1222</f>
        <v>INE005A01082</v>
      </c>
      <c r="C1222" t="str">
        <f>IFERROR(VLOOKUP(FO_Capture!C1222, Reference_Data!A:D, 2, FALSE), "UNKNOWN")</f>
        <v>Alpha Asset Management 13</v>
      </c>
      <c r="D1222" t="str">
        <f>IFERROR(VLOOKUP(FO_Capture!C1222, Reference_Data!A:D, 3, FALSE), "XXX")</f>
        <v>INR</v>
      </c>
      <c r="E1222" t="str">
        <f>IFERROR(VLOOKUP(FO_Capture!C1222, Reference_Data!A:D, 4, FALSE), "MISSING SSI")</f>
        <v>HSBC A/C 972195</v>
      </c>
      <c r="F1222">
        <f>FO_Capture!D1222</f>
        <v>250</v>
      </c>
      <c r="G1222">
        <f>FO_Capture!E1222</f>
        <v>470.57998657226563</v>
      </c>
      <c r="H1222">
        <f t="shared" si="38"/>
        <v>117644.99664306641</v>
      </c>
      <c r="I1222" t="str">
        <f t="shared" si="39"/>
        <v>Pass - Ready for Confirmation</v>
      </c>
    </row>
    <row r="1223" spans="1:9" x14ac:dyDescent="0.3">
      <c r="A1223" t="str">
        <f>FO_Capture!A1223</f>
        <v>TRD01222</v>
      </c>
      <c r="B1223" t="str">
        <f>FO_Capture!B1223</f>
        <v>INE002A01098</v>
      </c>
      <c r="C1223" t="str">
        <f>IFERROR(VLOOKUP(FO_Capture!C1223, Reference_Data!A:D, 2, FALSE), "UNKNOWN")</f>
        <v>Alpha Partners 6</v>
      </c>
      <c r="D1223" t="str">
        <f>IFERROR(VLOOKUP(FO_Capture!C1223, Reference_Data!A:D, 3, FALSE), "XXX")</f>
        <v>INR</v>
      </c>
      <c r="E1223" t="str">
        <f>IFERROR(VLOOKUP(FO_Capture!C1223, Reference_Data!A:D, 4, FALSE), "MISSING SSI")</f>
        <v>Standard Chartered A/C 441247</v>
      </c>
      <c r="F1223">
        <f>FO_Capture!D1223</f>
        <v>140</v>
      </c>
      <c r="G1223">
        <f>FO_Capture!E1223</f>
        <v>286.66000366210938</v>
      </c>
      <c r="H1223">
        <f t="shared" si="38"/>
        <v>40132.400512695313</v>
      </c>
      <c r="I1223" t="str">
        <f t="shared" si="39"/>
        <v>Pass - Ready for Confirmation</v>
      </c>
    </row>
    <row r="1224" spans="1:9" x14ac:dyDescent="0.3">
      <c r="A1224" t="str">
        <f>FO_Capture!A1224</f>
        <v>TRD01223</v>
      </c>
      <c r="B1224" t="str">
        <f>FO_Capture!B1224</f>
        <v>INE008A01022</v>
      </c>
      <c r="C1224" t="str">
        <f>IFERROR(VLOOKUP(FO_Capture!C1224, Reference_Data!A:D, 2, FALSE), "UNKNOWN")</f>
        <v>Alpha Partners 6</v>
      </c>
      <c r="D1224" t="str">
        <f>IFERROR(VLOOKUP(FO_Capture!C1224, Reference_Data!A:D, 3, FALSE), "XXX")</f>
        <v>INR</v>
      </c>
      <c r="E1224" t="str">
        <f>IFERROR(VLOOKUP(FO_Capture!C1224, Reference_Data!A:D, 4, FALSE), "MISSING SSI")</f>
        <v>Standard Chartered A/C 441247</v>
      </c>
      <c r="F1224">
        <f>FO_Capture!D1224</f>
        <v>190</v>
      </c>
      <c r="G1224">
        <f>FO_Capture!E1224</f>
        <v>149.47000122070313</v>
      </c>
      <c r="H1224">
        <f t="shared" si="38"/>
        <v>28399.300231933594</v>
      </c>
      <c r="I1224" t="str">
        <f t="shared" si="39"/>
        <v>Pass - Ready for Confirmation</v>
      </c>
    </row>
    <row r="1225" spans="1:9" x14ac:dyDescent="0.3">
      <c r="A1225" t="str">
        <f>FO_Capture!A1225</f>
        <v>TRD01224</v>
      </c>
      <c r="B1225" t="str">
        <f>FO_Capture!B1225</f>
        <v>INE001A01058</v>
      </c>
      <c r="C1225" t="str">
        <f>IFERROR(VLOOKUP(FO_Capture!C1225, Reference_Data!A:D, 2, FALSE), "UNKNOWN")</f>
        <v>Alpha Capital 38</v>
      </c>
      <c r="D1225" t="str">
        <f>IFERROR(VLOOKUP(FO_Capture!C1225, Reference_Data!A:D, 3, FALSE), "XXX")</f>
        <v>SGD</v>
      </c>
      <c r="E1225" t="str">
        <f>IFERROR(VLOOKUP(FO_Capture!C1225, Reference_Data!A:D, 4, FALSE), "MISSING SSI")</f>
        <v>Deutsche Bank A/C 153521</v>
      </c>
      <c r="F1225">
        <f>FO_Capture!D1225</f>
        <v>440</v>
      </c>
      <c r="G1225">
        <f>FO_Capture!E1225</f>
        <v>170.58000183105469</v>
      </c>
      <c r="H1225">
        <f t="shared" si="38"/>
        <v>75055.200805664063</v>
      </c>
      <c r="I1225" t="str">
        <f t="shared" si="39"/>
        <v>Pass - Ready for Confirmation</v>
      </c>
    </row>
    <row r="1226" spans="1:9" x14ac:dyDescent="0.3">
      <c r="A1226" t="str">
        <f>FO_Capture!A1226</f>
        <v>TRD01225</v>
      </c>
      <c r="B1226" t="str">
        <f>FO_Capture!B1226</f>
        <v>INE008A0107</v>
      </c>
      <c r="C1226" t="str">
        <f>IFERROR(VLOOKUP(FO_Capture!C1226, Reference_Data!A:D, 2, FALSE), "UNKNOWN")</f>
        <v>Alpha Asset Management 4</v>
      </c>
      <c r="D1226" t="str">
        <f>IFERROR(VLOOKUP(FO_Capture!C1226, Reference_Data!A:D, 3, FALSE), "XXX")</f>
        <v>JPY</v>
      </c>
      <c r="E1226" t="str">
        <f>IFERROR(VLOOKUP(FO_Capture!C1226, Reference_Data!A:D, 4, FALSE), "MISSING SSI")</f>
        <v>Deutsche Bank A/C 126543</v>
      </c>
      <c r="F1226">
        <f>FO_Capture!D1226</f>
        <v>130</v>
      </c>
      <c r="G1226">
        <f>FO_Capture!E1226</f>
        <v>375.6300048828125</v>
      </c>
      <c r="H1226">
        <f t="shared" si="38"/>
        <v>48831.900634765625</v>
      </c>
      <c r="I1226" t="str">
        <f t="shared" si="39"/>
        <v>Pass - Ready for Confirmation</v>
      </c>
    </row>
    <row r="1227" spans="1:9" x14ac:dyDescent="0.3">
      <c r="A1227" t="str">
        <f>FO_Capture!A1227</f>
        <v>TRD01226</v>
      </c>
      <c r="B1227" t="str">
        <f>FO_Capture!B1227</f>
        <v>INE005A01015</v>
      </c>
      <c r="C1227" t="str">
        <f>IFERROR(VLOOKUP(FO_Capture!C1227, Reference_Data!A:D, 2, FALSE), "UNKNOWN")</f>
        <v>Alpha Global 14</v>
      </c>
      <c r="D1227" t="str">
        <f>IFERROR(VLOOKUP(FO_Capture!C1227, Reference_Data!A:D, 3, FALSE), "XXX")</f>
        <v>USD</v>
      </c>
      <c r="E1227" t="str">
        <f>IFERROR(VLOOKUP(FO_Capture!C1227, Reference_Data!A:D, 4, FALSE), "MISSING SSI")</f>
        <v>HSBC A/C 864249</v>
      </c>
      <c r="F1227">
        <f>FO_Capture!D1227</f>
        <v>450</v>
      </c>
      <c r="G1227">
        <f>FO_Capture!E1227</f>
        <v>454.30999755859375</v>
      </c>
      <c r="H1227">
        <f t="shared" si="38"/>
        <v>204439.49890136719</v>
      </c>
      <c r="I1227" t="str">
        <f t="shared" si="39"/>
        <v>Pass - Ready for Confirmation</v>
      </c>
    </row>
    <row r="1228" spans="1:9" x14ac:dyDescent="0.3">
      <c r="A1228" t="str">
        <f>FO_Capture!A1228</f>
        <v>TRD01227</v>
      </c>
      <c r="B1228" t="str">
        <f>FO_Capture!B1228</f>
        <v>INE003A01023</v>
      </c>
      <c r="C1228" t="str">
        <f>IFERROR(VLOOKUP(FO_Capture!C1228, Reference_Data!A:D, 2, FALSE), "UNKNOWN")</f>
        <v>Alpha Asset Management 4</v>
      </c>
      <c r="D1228" t="str">
        <f>IFERROR(VLOOKUP(FO_Capture!C1228, Reference_Data!A:D, 3, FALSE), "XXX")</f>
        <v>JPY</v>
      </c>
      <c r="E1228" t="str">
        <f>IFERROR(VLOOKUP(FO_Capture!C1228, Reference_Data!A:D, 4, FALSE), "MISSING SSI")</f>
        <v>Deutsche Bank A/C 126543</v>
      </c>
      <c r="F1228">
        <f>FO_Capture!D1228</f>
        <v>280</v>
      </c>
      <c r="G1228">
        <f>FO_Capture!E1228</f>
        <v>10.390000343322754</v>
      </c>
      <c r="H1228">
        <f t="shared" si="38"/>
        <v>2909.2000961303711</v>
      </c>
      <c r="I1228" t="str">
        <f t="shared" si="39"/>
        <v>Pass - Ready for Confirmation</v>
      </c>
    </row>
    <row r="1229" spans="1:9" x14ac:dyDescent="0.3">
      <c r="A1229" t="str">
        <f>FO_Capture!A1229</f>
        <v>TRD01228</v>
      </c>
      <c r="B1229" t="str">
        <f>FO_Capture!B1229</f>
        <v>INE003A01019</v>
      </c>
      <c r="C1229" t="str">
        <f>IFERROR(VLOOKUP(FO_Capture!C1229, Reference_Data!A:D, 2, FALSE), "UNKNOWN")</f>
        <v>Alpha Asset Management 13</v>
      </c>
      <c r="D1229" t="str">
        <f>IFERROR(VLOOKUP(FO_Capture!C1229, Reference_Data!A:D, 3, FALSE), "XXX")</f>
        <v>INR</v>
      </c>
      <c r="E1229" t="str">
        <f>IFERROR(VLOOKUP(FO_Capture!C1229, Reference_Data!A:D, 4, FALSE), "MISSING SSI")</f>
        <v>HSBC A/C 972195</v>
      </c>
      <c r="F1229">
        <f>FO_Capture!D1229</f>
        <v>440</v>
      </c>
      <c r="G1229">
        <f>FO_Capture!E1229</f>
        <v>311.67999267578125</v>
      </c>
      <c r="H1229">
        <f t="shared" si="38"/>
        <v>137139.19677734375</v>
      </c>
      <c r="I1229" t="str">
        <f t="shared" si="39"/>
        <v>Pass - Ready for Confirmation</v>
      </c>
    </row>
    <row r="1230" spans="1:9" x14ac:dyDescent="0.3">
      <c r="A1230" t="str">
        <f>FO_Capture!A1230</f>
        <v>TRD01229</v>
      </c>
      <c r="B1230" t="str">
        <f>FO_Capture!B1230</f>
        <v>INE002A01084</v>
      </c>
      <c r="C1230" t="str">
        <f>IFERROR(VLOOKUP(FO_Capture!C1230, Reference_Data!A:D, 2, FALSE), "UNKNOWN")</f>
        <v>Alpha Quant Fund 12</v>
      </c>
      <c r="D1230" t="str">
        <f>IFERROR(VLOOKUP(FO_Capture!C1230, Reference_Data!A:D, 3, FALSE), "XXX")</f>
        <v>EUR</v>
      </c>
      <c r="E1230" t="str">
        <f>IFERROR(VLOOKUP(FO_Capture!C1230, Reference_Data!A:D, 4, FALSE), "MISSING SSI")</f>
        <v>Deutsche Bank A/C 324710</v>
      </c>
      <c r="F1230">
        <f>FO_Capture!D1230</f>
        <v>470</v>
      </c>
      <c r="G1230">
        <f>FO_Capture!E1230</f>
        <v>40.069999694824219</v>
      </c>
      <c r="H1230">
        <f t="shared" si="38"/>
        <v>18832.899856567383</v>
      </c>
      <c r="I1230" t="str">
        <f t="shared" si="39"/>
        <v>Pass - Ready for Confirmation</v>
      </c>
    </row>
    <row r="1231" spans="1:9" x14ac:dyDescent="0.3">
      <c r="A1231" t="str">
        <f>FO_Capture!A1231</f>
        <v>TRD01230</v>
      </c>
      <c r="B1231" t="str">
        <f>FO_Capture!B1231</f>
        <v>INE004A01047</v>
      </c>
      <c r="C1231" t="str">
        <f>IFERROR(VLOOKUP(FO_Capture!C1231, Reference_Data!A:D, 2, FALSE), "UNKNOWN")</f>
        <v>Alpha Holdings 23</v>
      </c>
      <c r="D1231" t="str">
        <f>IFERROR(VLOOKUP(FO_Capture!C1231, Reference_Data!A:D, 3, FALSE), "XXX")</f>
        <v>INR</v>
      </c>
      <c r="E1231" t="str">
        <f>IFERROR(VLOOKUP(FO_Capture!C1231, Reference_Data!A:D, 4, FALSE), "MISSING SSI")</f>
        <v>Deutsche Bank A/C 983712</v>
      </c>
      <c r="F1231">
        <f>FO_Capture!D1231</f>
        <v>320</v>
      </c>
      <c r="G1231">
        <f>FO_Capture!E1231</f>
        <v>41.520000457763672</v>
      </c>
      <c r="H1231">
        <f t="shared" si="38"/>
        <v>13286.400146484375</v>
      </c>
      <c r="I1231" t="str">
        <f t="shared" si="39"/>
        <v>Pass - Ready for Confirmation</v>
      </c>
    </row>
    <row r="1232" spans="1:9" x14ac:dyDescent="0.3">
      <c r="A1232" t="str">
        <f>FO_Capture!A1232</f>
        <v>TRD01231</v>
      </c>
      <c r="B1232" t="str">
        <f>FO_Capture!B1232</f>
        <v>INE005A01029</v>
      </c>
      <c r="C1232" t="str">
        <f>IFERROR(VLOOKUP(FO_Capture!C1232, Reference_Data!A:D, 2, FALSE), "UNKNOWN")</f>
        <v>Alpha Holdings 49</v>
      </c>
      <c r="D1232" t="str">
        <f>IFERROR(VLOOKUP(FO_Capture!C1232, Reference_Data!A:D, 3, FALSE), "XXX")</f>
        <v>JPY</v>
      </c>
      <c r="E1232" t="str">
        <f>IFERROR(VLOOKUP(FO_Capture!C1232, Reference_Data!A:D, 4, FALSE), "MISSING SSI")</f>
        <v>HDFC A/C 679335</v>
      </c>
      <c r="F1232">
        <f>FO_Capture!D1232</f>
        <v>25000</v>
      </c>
      <c r="G1232">
        <f>FO_Capture!E1232</f>
        <v>173.32000732421875</v>
      </c>
      <c r="H1232">
        <f t="shared" si="38"/>
        <v>4333000.1831054688</v>
      </c>
      <c r="I1232" t="str">
        <f t="shared" si="39"/>
        <v>Exception - Limit Breach</v>
      </c>
    </row>
    <row r="1233" spans="1:9" x14ac:dyDescent="0.3">
      <c r="A1233" t="str">
        <f>FO_Capture!A1233</f>
        <v>TRD01232</v>
      </c>
      <c r="B1233" t="str">
        <f>FO_Capture!B1233</f>
        <v>INE002A01039</v>
      </c>
      <c r="C1233" t="str">
        <f>IFERROR(VLOOKUP(FO_Capture!C1233, Reference_Data!A:D, 2, FALSE), "UNKNOWN")</f>
        <v>UNKNOWN</v>
      </c>
      <c r="D1233" t="str">
        <f>IFERROR(VLOOKUP(FO_Capture!C1233, Reference_Data!A:D, 3, FALSE), "XXX")</f>
        <v>XXX</v>
      </c>
      <c r="E1233" t="str">
        <f>IFERROR(VLOOKUP(FO_Capture!C1233, Reference_Data!A:D, 4, FALSE), "MISSING SSI")</f>
        <v>MISSING SSI</v>
      </c>
      <c r="F1233">
        <f>FO_Capture!D1233</f>
        <v>170</v>
      </c>
      <c r="G1233">
        <f>FO_Capture!E1233</f>
        <v>288.69000244140625</v>
      </c>
      <c r="H1233">
        <f t="shared" si="38"/>
        <v>49077.300415039063</v>
      </c>
      <c r="I1233" t="str">
        <f t="shared" si="39"/>
        <v>Fail - Missing Ref Data</v>
      </c>
    </row>
    <row r="1234" spans="1:9" x14ac:dyDescent="0.3">
      <c r="A1234" t="str">
        <f>FO_Capture!A1234</f>
        <v>TRD01233</v>
      </c>
      <c r="B1234" t="str">
        <f>FO_Capture!B1234</f>
        <v>INE002A01011</v>
      </c>
      <c r="C1234" t="str">
        <f>IFERROR(VLOOKUP(FO_Capture!C1234, Reference_Data!A:D, 2, FALSE), "UNKNOWN")</f>
        <v>Alpha Capital 10</v>
      </c>
      <c r="D1234" t="str">
        <f>IFERROR(VLOOKUP(FO_Capture!C1234, Reference_Data!A:D, 3, FALSE), "XXX")</f>
        <v>USD</v>
      </c>
      <c r="E1234" t="str">
        <f>IFERROR(VLOOKUP(FO_Capture!C1234, Reference_Data!A:D, 4, FALSE), "MISSING SSI")</f>
        <v>HDFC A/C 543407</v>
      </c>
      <c r="F1234">
        <f>FO_Capture!D1234</f>
        <v>25000</v>
      </c>
      <c r="G1234">
        <f>FO_Capture!E1234</f>
        <v>302.14999389648438</v>
      </c>
      <c r="H1234">
        <f t="shared" si="38"/>
        <v>7553749.8474121094</v>
      </c>
      <c r="I1234" t="str">
        <f t="shared" si="39"/>
        <v>Exception - Limit Breach</v>
      </c>
    </row>
    <row r="1235" spans="1:9" x14ac:dyDescent="0.3">
      <c r="A1235" t="str">
        <f>FO_Capture!A1235</f>
        <v>TRD01234</v>
      </c>
      <c r="B1235" t="str">
        <f>FO_Capture!B1235</f>
        <v>INE009A01090</v>
      </c>
      <c r="C1235" t="str">
        <f>IFERROR(VLOOKUP(FO_Capture!C1235, Reference_Data!A:D, 2, FALSE), "UNKNOWN")</f>
        <v>Alpha Partners 37</v>
      </c>
      <c r="D1235" t="str">
        <f>IFERROR(VLOOKUP(FO_Capture!C1235, Reference_Data!A:D, 3, FALSE), "XXX")</f>
        <v>JPY</v>
      </c>
      <c r="E1235" t="str">
        <f>IFERROR(VLOOKUP(FO_Capture!C1235, Reference_Data!A:D, 4, FALSE), "MISSING SSI")</f>
        <v>HSBC A/C 994063</v>
      </c>
      <c r="F1235">
        <f>FO_Capture!D1235</f>
        <v>-50</v>
      </c>
      <c r="G1235">
        <f>FO_Capture!E1235</f>
        <v>365.22000122070313</v>
      </c>
      <c r="H1235">
        <f t="shared" si="38"/>
        <v>-18261.000061035156</v>
      </c>
      <c r="I1235" t="str">
        <f t="shared" si="39"/>
        <v>Fail - Invalid Price/Qty</v>
      </c>
    </row>
    <row r="1236" spans="1:9" x14ac:dyDescent="0.3">
      <c r="A1236" t="str">
        <f>FO_Capture!A1236</f>
        <v>TRD01235</v>
      </c>
      <c r="B1236" t="str">
        <f>FO_Capture!B1236</f>
        <v>INE009A01035</v>
      </c>
      <c r="C1236" t="str">
        <f>IFERROR(VLOOKUP(FO_Capture!C1236, Reference_Data!A:D, 2, FALSE), "UNKNOWN")</f>
        <v>Alpha Holdings 47</v>
      </c>
      <c r="D1236" t="str">
        <f>IFERROR(VLOOKUP(FO_Capture!C1236, Reference_Data!A:D, 3, FALSE), "XXX")</f>
        <v>GBP</v>
      </c>
      <c r="E1236" t="str">
        <f>IFERROR(VLOOKUP(FO_Capture!C1236, Reference_Data!A:D, 4, FALSE), "MISSING SSI")</f>
        <v>Citi A/C 703401</v>
      </c>
      <c r="F1236">
        <f>FO_Capture!D1236</f>
        <v>220</v>
      </c>
      <c r="G1236">
        <f>FO_Capture!E1236</f>
        <v>394.91000366210938</v>
      </c>
      <c r="H1236">
        <f t="shared" si="38"/>
        <v>86880.200805664063</v>
      </c>
      <c r="I1236" t="str">
        <f t="shared" si="39"/>
        <v>Pass - Ready for Confirmation</v>
      </c>
    </row>
    <row r="1237" spans="1:9" x14ac:dyDescent="0.3">
      <c r="A1237" t="str">
        <f>FO_Capture!A1237</f>
        <v>TRD01236</v>
      </c>
      <c r="B1237" t="str">
        <f>FO_Capture!B1237</f>
        <v>INE002A0108</v>
      </c>
      <c r="C1237" t="str">
        <f>IFERROR(VLOOKUP(FO_Capture!C1237, Reference_Data!A:D, 2, FALSE), "UNKNOWN")</f>
        <v>Alpha Capital 7</v>
      </c>
      <c r="D1237" t="str">
        <f>IFERROR(VLOOKUP(FO_Capture!C1237, Reference_Data!A:D, 3, FALSE), "XXX")</f>
        <v>INR</v>
      </c>
      <c r="E1237" t="str">
        <f>IFERROR(VLOOKUP(FO_Capture!C1237, Reference_Data!A:D, 4, FALSE), "MISSING SSI")</f>
        <v>Standard Chartered A/C 682134</v>
      </c>
      <c r="F1237">
        <f>FO_Capture!D1237</f>
        <v>10</v>
      </c>
      <c r="G1237">
        <f>FO_Capture!E1237</f>
        <v>21.299999237060547</v>
      </c>
      <c r="H1237">
        <f t="shared" si="38"/>
        <v>212.99999237060547</v>
      </c>
      <c r="I1237" t="str">
        <f t="shared" si="39"/>
        <v>Pass - Ready for Confirmation</v>
      </c>
    </row>
    <row r="1238" spans="1:9" x14ac:dyDescent="0.3">
      <c r="A1238" t="str">
        <f>FO_Capture!A1238</f>
        <v>TRD01237</v>
      </c>
      <c r="B1238" t="str">
        <f>FO_Capture!B1238</f>
        <v>INE001A01094</v>
      </c>
      <c r="C1238" t="str">
        <f>IFERROR(VLOOKUP(FO_Capture!C1238, Reference_Data!A:D, 2, FALSE), "UNKNOWN")</f>
        <v>Alpha Holdings 16</v>
      </c>
      <c r="D1238" t="str">
        <f>IFERROR(VLOOKUP(FO_Capture!C1238, Reference_Data!A:D, 3, FALSE), "XXX")</f>
        <v>USD</v>
      </c>
      <c r="E1238" t="str">
        <f>IFERROR(VLOOKUP(FO_Capture!C1238, Reference_Data!A:D, 4, FALSE), "MISSING SSI")</f>
        <v>Barclays A/C 197229</v>
      </c>
      <c r="F1238">
        <f>FO_Capture!D1238</f>
        <v>80</v>
      </c>
      <c r="G1238">
        <f>FO_Capture!E1238</f>
        <v>325.66000366210938</v>
      </c>
      <c r="H1238">
        <f t="shared" si="38"/>
        <v>26052.80029296875</v>
      </c>
      <c r="I1238" t="str">
        <f t="shared" si="39"/>
        <v>Pass - Ready for Confirmation</v>
      </c>
    </row>
    <row r="1239" spans="1:9" x14ac:dyDescent="0.3">
      <c r="A1239" t="str">
        <f>FO_Capture!A1239</f>
        <v>TRD01238</v>
      </c>
      <c r="B1239" t="str">
        <f>FO_Capture!B1239</f>
        <v>INE006A01042</v>
      </c>
      <c r="C1239" t="str">
        <f>IFERROR(VLOOKUP(FO_Capture!C1239, Reference_Data!A:D, 2, FALSE), "UNKNOWN")</f>
        <v>Alpha Asset Management 32</v>
      </c>
      <c r="D1239" t="str">
        <f>IFERROR(VLOOKUP(FO_Capture!C1239, Reference_Data!A:D, 3, FALSE), "XXX")</f>
        <v>INR</v>
      </c>
      <c r="E1239" t="str">
        <f>IFERROR(VLOOKUP(FO_Capture!C1239, Reference_Data!A:D, 4, FALSE), "MISSING SSI")</f>
        <v>Barclays A/C 302646</v>
      </c>
      <c r="F1239">
        <f>FO_Capture!D1239</f>
        <v>380</v>
      </c>
      <c r="G1239">
        <f>FO_Capture!E1239</f>
        <v>209.6300048828125</v>
      </c>
      <c r="H1239">
        <f t="shared" si="38"/>
        <v>79659.40185546875</v>
      </c>
      <c r="I1239" t="str">
        <f t="shared" si="39"/>
        <v>Pass - Ready for Confirmation</v>
      </c>
    </row>
    <row r="1240" spans="1:9" x14ac:dyDescent="0.3">
      <c r="A1240" t="str">
        <f>FO_Capture!A1240</f>
        <v>TRD01239</v>
      </c>
      <c r="B1240" t="str">
        <f>FO_Capture!B1240</f>
        <v>INE001A01074</v>
      </c>
      <c r="C1240" t="str">
        <f>IFERROR(VLOOKUP(FO_Capture!C1240, Reference_Data!A:D, 2, FALSE), "UNKNOWN")</f>
        <v>Alpha Capital 9</v>
      </c>
      <c r="D1240" t="str">
        <f>IFERROR(VLOOKUP(FO_Capture!C1240, Reference_Data!A:D, 3, FALSE), "XXX")</f>
        <v>JPY</v>
      </c>
      <c r="E1240" t="str">
        <f>IFERROR(VLOOKUP(FO_Capture!C1240, Reference_Data!A:D, 4, FALSE), "MISSING SSI")</f>
        <v>Citi A/C 744145</v>
      </c>
      <c r="F1240">
        <f>FO_Capture!D1240</f>
        <v>350</v>
      </c>
      <c r="G1240">
        <f>FO_Capture!E1240</f>
        <v>145.1199951171875</v>
      </c>
      <c r="H1240">
        <f t="shared" si="38"/>
        <v>50791.998291015625</v>
      </c>
      <c r="I1240" t="str">
        <f t="shared" si="39"/>
        <v>Pass - Ready for Confirmation</v>
      </c>
    </row>
    <row r="1241" spans="1:9" x14ac:dyDescent="0.3">
      <c r="A1241" t="str">
        <f>FO_Capture!A1241</f>
        <v>TRD01240</v>
      </c>
      <c r="B1241" t="str">
        <f>FO_Capture!B1241</f>
        <v>INE008A01039</v>
      </c>
      <c r="C1241" t="str">
        <f>IFERROR(VLOOKUP(FO_Capture!C1241, Reference_Data!A:D, 2, FALSE), "UNKNOWN")</f>
        <v>Alpha Partners 18</v>
      </c>
      <c r="D1241" t="str">
        <f>IFERROR(VLOOKUP(FO_Capture!C1241, Reference_Data!A:D, 3, FALSE), "XXX")</f>
        <v>INR</v>
      </c>
      <c r="E1241" t="str">
        <f>IFERROR(VLOOKUP(FO_Capture!C1241, Reference_Data!A:D, 4, FALSE), "MISSING SSI")</f>
        <v>JPMorgan A/C 704166</v>
      </c>
      <c r="F1241">
        <f>FO_Capture!D1241</f>
        <v>140</v>
      </c>
      <c r="G1241">
        <f>FO_Capture!E1241</f>
        <v>424.3599853515625</v>
      </c>
      <c r="H1241">
        <f t="shared" si="38"/>
        <v>59410.39794921875</v>
      </c>
      <c r="I1241" t="str">
        <f t="shared" si="39"/>
        <v>Pass - Ready for Confirmation</v>
      </c>
    </row>
    <row r="1242" spans="1:9" x14ac:dyDescent="0.3">
      <c r="A1242" t="str">
        <f>FO_Capture!A1242</f>
        <v>TRD01241</v>
      </c>
      <c r="B1242" t="str">
        <f>FO_Capture!B1242</f>
        <v>INE008A01064</v>
      </c>
      <c r="C1242" t="str">
        <f>IFERROR(VLOOKUP(FO_Capture!C1242, Reference_Data!A:D, 2, FALSE), "UNKNOWN")</f>
        <v>Alpha Global 28</v>
      </c>
      <c r="D1242" t="str">
        <f>IFERROR(VLOOKUP(FO_Capture!C1242, Reference_Data!A:D, 3, FALSE), "XXX")</f>
        <v>USD</v>
      </c>
      <c r="E1242" t="str">
        <f>IFERROR(VLOOKUP(FO_Capture!C1242, Reference_Data!A:D, 4, FALSE), "MISSING SSI")</f>
        <v>HDFC A/C 638209</v>
      </c>
      <c r="F1242">
        <f>FO_Capture!D1242</f>
        <v>360</v>
      </c>
      <c r="G1242">
        <f>FO_Capture!E1242</f>
        <v>409.91000366210938</v>
      </c>
      <c r="H1242">
        <f t="shared" si="38"/>
        <v>147567.60131835938</v>
      </c>
      <c r="I1242" t="str">
        <f t="shared" si="39"/>
        <v>Pass - Ready for Confirmation</v>
      </c>
    </row>
    <row r="1243" spans="1:9" x14ac:dyDescent="0.3">
      <c r="A1243" t="str">
        <f>FO_Capture!A1243</f>
        <v>TRD01242</v>
      </c>
      <c r="B1243" t="str">
        <f>FO_Capture!B1243</f>
        <v>INE005A0101</v>
      </c>
      <c r="C1243" t="str">
        <f>IFERROR(VLOOKUP(FO_Capture!C1243, Reference_Data!A:D, 2, FALSE), "UNKNOWN")</f>
        <v>Alpha Quant Fund 24</v>
      </c>
      <c r="D1243" t="str">
        <f>IFERROR(VLOOKUP(FO_Capture!C1243, Reference_Data!A:D, 3, FALSE), "XXX")</f>
        <v>SGD</v>
      </c>
      <c r="E1243" t="str">
        <f>IFERROR(VLOOKUP(FO_Capture!C1243, Reference_Data!A:D, 4, FALSE), "MISSING SSI")</f>
        <v>JPMorgan A/C 603587</v>
      </c>
      <c r="F1243">
        <f>FO_Capture!D1243</f>
        <v>390</v>
      </c>
      <c r="G1243">
        <f>FO_Capture!E1243</f>
        <v>284.6300048828125</v>
      </c>
      <c r="H1243">
        <f t="shared" si="38"/>
        <v>111005.70190429688</v>
      </c>
      <c r="I1243" t="str">
        <f t="shared" si="39"/>
        <v>Pass - Ready for Confirmation</v>
      </c>
    </row>
    <row r="1244" spans="1:9" x14ac:dyDescent="0.3">
      <c r="A1244" t="str">
        <f>FO_Capture!A1244</f>
        <v>TRD01243</v>
      </c>
      <c r="B1244" t="str">
        <f>FO_Capture!B1244</f>
        <v>INE009A01078</v>
      </c>
      <c r="C1244" t="str">
        <f>IFERROR(VLOOKUP(FO_Capture!C1244, Reference_Data!A:D, 2, FALSE), "UNKNOWN")</f>
        <v>Alpha Global 39</v>
      </c>
      <c r="D1244" t="str">
        <f>IFERROR(VLOOKUP(FO_Capture!C1244, Reference_Data!A:D, 3, FALSE), "XXX")</f>
        <v>SGD</v>
      </c>
      <c r="E1244" t="str">
        <f>IFERROR(VLOOKUP(FO_Capture!C1244, Reference_Data!A:D, 4, FALSE), "MISSING SSI")</f>
        <v>Deutsche Bank A/C 917029</v>
      </c>
      <c r="F1244">
        <f>FO_Capture!D1244</f>
        <v>50</v>
      </c>
      <c r="G1244">
        <f>FO_Capture!E1244</f>
        <v>301.69000244140625</v>
      </c>
      <c r="H1244">
        <f t="shared" si="38"/>
        <v>15084.500122070313</v>
      </c>
      <c r="I1244" t="str">
        <f t="shared" si="39"/>
        <v>Pass - Ready for Confirmation</v>
      </c>
    </row>
    <row r="1245" spans="1:9" x14ac:dyDescent="0.3">
      <c r="A1245" t="str">
        <f>FO_Capture!A1245</f>
        <v>TRD01244</v>
      </c>
      <c r="B1245" t="str">
        <f>FO_Capture!B1245</f>
        <v>INE004A01053</v>
      </c>
      <c r="C1245" t="str">
        <f>IFERROR(VLOOKUP(FO_Capture!C1245, Reference_Data!A:D, 2, FALSE), "UNKNOWN")</f>
        <v>Alpha Holdings 21</v>
      </c>
      <c r="D1245" t="str">
        <f>IFERROR(VLOOKUP(FO_Capture!C1245, Reference_Data!A:D, 3, FALSE), "XXX")</f>
        <v>SGD</v>
      </c>
      <c r="E1245" t="str">
        <f>IFERROR(VLOOKUP(FO_Capture!C1245, Reference_Data!A:D, 4, FALSE), "MISSING SSI")</f>
        <v>HSBC A/C 562956</v>
      </c>
      <c r="F1245">
        <f>FO_Capture!D1245</f>
        <v>400</v>
      </c>
      <c r="G1245">
        <f>FO_Capture!E1245</f>
        <v>34.580001831054688</v>
      </c>
      <c r="H1245">
        <f t="shared" si="38"/>
        <v>13832.000732421875</v>
      </c>
      <c r="I1245" t="str">
        <f t="shared" si="39"/>
        <v>Pass - Ready for Confirmation</v>
      </c>
    </row>
    <row r="1246" spans="1:9" x14ac:dyDescent="0.3">
      <c r="A1246" t="str">
        <f>FO_Capture!A1246</f>
        <v>TRD01245</v>
      </c>
      <c r="B1246" t="str">
        <f>FO_Capture!B1246</f>
        <v>INE007A01056</v>
      </c>
      <c r="C1246" t="str">
        <f>IFERROR(VLOOKUP(FO_Capture!C1246, Reference_Data!A:D, 2, FALSE), "UNKNOWN")</f>
        <v>Alpha Partners 18</v>
      </c>
      <c r="D1246" t="str">
        <f>IFERROR(VLOOKUP(FO_Capture!C1246, Reference_Data!A:D, 3, FALSE), "XXX")</f>
        <v>INR</v>
      </c>
      <c r="E1246" t="str">
        <f>IFERROR(VLOOKUP(FO_Capture!C1246, Reference_Data!A:D, 4, FALSE), "MISSING SSI")</f>
        <v>JPMorgan A/C 704166</v>
      </c>
      <c r="F1246">
        <f>FO_Capture!D1246</f>
        <v>480</v>
      </c>
      <c r="G1246">
        <f>FO_Capture!E1246</f>
        <v>127.09999847412109</v>
      </c>
      <c r="H1246">
        <f t="shared" si="38"/>
        <v>61007.999267578125</v>
      </c>
      <c r="I1246" t="str">
        <f t="shared" si="39"/>
        <v>Pass - Ready for Confirmation</v>
      </c>
    </row>
    <row r="1247" spans="1:9" x14ac:dyDescent="0.3">
      <c r="A1247" t="str">
        <f>FO_Capture!A1247</f>
        <v>TRD01246</v>
      </c>
      <c r="B1247" t="str">
        <f>FO_Capture!B1247</f>
        <v>INE007A01048</v>
      </c>
      <c r="C1247" t="str">
        <f>IFERROR(VLOOKUP(FO_Capture!C1247, Reference_Data!A:D, 2, FALSE), "UNKNOWN")</f>
        <v>Alpha Investments 43</v>
      </c>
      <c r="D1247" t="str">
        <f>IFERROR(VLOOKUP(FO_Capture!C1247, Reference_Data!A:D, 3, FALSE), "XXX")</f>
        <v>EUR</v>
      </c>
      <c r="E1247" t="str">
        <f>IFERROR(VLOOKUP(FO_Capture!C1247, Reference_Data!A:D, 4, FALSE), "MISSING SSI")</f>
        <v>Citi A/C 714496</v>
      </c>
      <c r="F1247">
        <f>FO_Capture!D1247</f>
        <v>50</v>
      </c>
      <c r="G1247">
        <f>FO_Capture!E1247</f>
        <v>43.349998474121094</v>
      </c>
      <c r="H1247">
        <f t="shared" si="38"/>
        <v>2167.4999237060547</v>
      </c>
      <c r="I1247" t="str">
        <f t="shared" si="39"/>
        <v>Pass - Ready for Confirmation</v>
      </c>
    </row>
    <row r="1248" spans="1:9" x14ac:dyDescent="0.3">
      <c r="A1248" t="str">
        <f>FO_Capture!A1248</f>
        <v>TRD01247</v>
      </c>
      <c r="B1248" t="str">
        <f>FO_Capture!B1248</f>
        <v>INE001A01063</v>
      </c>
      <c r="C1248" t="str">
        <f>IFERROR(VLOOKUP(FO_Capture!C1248, Reference_Data!A:D, 2, FALSE), "UNKNOWN")</f>
        <v>Alpha Partners 6</v>
      </c>
      <c r="D1248" t="str">
        <f>IFERROR(VLOOKUP(FO_Capture!C1248, Reference_Data!A:D, 3, FALSE), "XXX")</f>
        <v>INR</v>
      </c>
      <c r="E1248" t="str">
        <f>IFERROR(VLOOKUP(FO_Capture!C1248, Reference_Data!A:D, 4, FALSE), "MISSING SSI")</f>
        <v>Standard Chartered A/C 441247</v>
      </c>
      <c r="F1248">
        <f>FO_Capture!D1248</f>
        <v>340</v>
      </c>
      <c r="G1248">
        <f>FO_Capture!E1248</f>
        <v>317.760009765625</v>
      </c>
      <c r="H1248">
        <f t="shared" si="38"/>
        <v>108038.4033203125</v>
      </c>
      <c r="I1248" t="str">
        <f t="shared" si="39"/>
        <v>Pass - Ready for Confirmation</v>
      </c>
    </row>
    <row r="1249" spans="1:9" x14ac:dyDescent="0.3">
      <c r="A1249" t="str">
        <f>FO_Capture!A1249</f>
        <v>TRD01248</v>
      </c>
      <c r="B1249" t="str">
        <f>FO_Capture!B1249</f>
        <v>INE009A01063</v>
      </c>
      <c r="C1249" t="str">
        <f>IFERROR(VLOOKUP(FO_Capture!C1249, Reference_Data!A:D, 2, FALSE), "UNKNOWN")</f>
        <v>Alpha Capital 36</v>
      </c>
      <c r="D1249" t="str">
        <f>IFERROR(VLOOKUP(FO_Capture!C1249, Reference_Data!A:D, 3, FALSE), "XXX")</f>
        <v>JPY</v>
      </c>
      <c r="E1249" t="str">
        <f>IFERROR(VLOOKUP(FO_Capture!C1249, Reference_Data!A:D, 4, FALSE), "MISSING SSI")</f>
        <v>Citi A/C 359789</v>
      </c>
      <c r="F1249">
        <f>FO_Capture!D1249</f>
        <v>330</v>
      </c>
      <c r="G1249">
        <f>FO_Capture!E1249</f>
        <v>305.07998657226563</v>
      </c>
      <c r="H1249">
        <f t="shared" si="38"/>
        <v>100676.39556884766</v>
      </c>
      <c r="I1249" t="str">
        <f t="shared" si="39"/>
        <v>Pass - Ready for Confirmation</v>
      </c>
    </row>
    <row r="1250" spans="1:9" x14ac:dyDescent="0.3">
      <c r="A1250" t="str">
        <f>FO_Capture!A1250</f>
        <v>TRD01249</v>
      </c>
      <c r="B1250" t="str">
        <f>FO_Capture!B1250</f>
        <v>INE008A01087</v>
      </c>
      <c r="C1250" t="str">
        <f>IFERROR(VLOOKUP(FO_Capture!C1250, Reference_Data!A:D, 2, FALSE), "UNKNOWN")</f>
        <v>Alpha Partners 6</v>
      </c>
      <c r="D1250" t="str">
        <f>IFERROR(VLOOKUP(FO_Capture!C1250, Reference_Data!A:D, 3, FALSE), "XXX")</f>
        <v>INR</v>
      </c>
      <c r="E1250" t="str">
        <f>IFERROR(VLOOKUP(FO_Capture!C1250, Reference_Data!A:D, 4, FALSE), "MISSING SSI")</f>
        <v>Standard Chartered A/C 441247</v>
      </c>
      <c r="F1250">
        <f>FO_Capture!D1250</f>
        <v>450</v>
      </c>
      <c r="G1250">
        <f>FO_Capture!E1250</f>
        <v>430.33999633789063</v>
      </c>
      <c r="H1250">
        <f t="shared" si="38"/>
        <v>193652.99835205078</v>
      </c>
      <c r="I1250" t="str">
        <f t="shared" si="39"/>
        <v>Pass - Ready for Confirmation</v>
      </c>
    </row>
    <row r="1251" spans="1:9" x14ac:dyDescent="0.3">
      <c r="A1251" t="str">
        <f>FO_Capture!A1251</f>
        <v>TRD01250</v>
      </c>
      <c r="B1251" t="str">
        <f>FO_Capture!B1251</f>
        <v>INE007A0101</v>
      </c>
      <c r="C1251" t="str">
        <f>IFERROR(VLOOKUP(FO_Capture!C1251, Reference_Data!A:D, 2, FALSE), "UNKNOWN")</f>
        <v>Alpha Capital 9</v>
      </c>
      <c r="D1251" t="str">
        <f>IFERROR(VLOOKUP(FO_Capture!C1251, Reference_Data!A:D, 3, FALSE), "XXX")</f>
        <v>JPY</v>
      </c>
      <c r="E1251" t="str">
        <f>IFERROR(VLOOKUP(FO_Capture!C1251, Reference_Data!A:D, 4, FALSE), "MISSING SSI")</f>
        <v>Citi A/C 744145</v>
      </c>
      <c r="F1251">
        <f>FO_Capture!D1251</f>
        <v>370</v>
      </c>
      <c r="G1251">
        <f>FO_Capture!E1251</f>
        <v>438.91000366210938</v>
      </c>
      <c r="H1251">
        <f t="shared" si="38"/>
        <v>162396.70135498047</v>
      </c>
      <c r="I1251" t="str">
        <f t="shared" si="39"/>
        <v>Pass - Ready for Confirmation</v>
      </c>
    </row>
    <row r="1252" spans="1:9" x14ac:dyDescent="0.3">
      <c r="A1252" t="str">
        <f>FO_Capture!A1252</f>
        <v>TRD01251</v>
      </c>
      <c r="B1252" t="str">
        <f>FO_Capture!B1252</f>
        <v>INE005A01044</v>
      </c>
      <c r="C1252" t="str">
        <f>IFERROR(VLOOKUP(FO_Capture!C1252, Reference_Data!A:D, 2, FALSE), "UNKNOWN")</f>
        <v>Alpha Capital 33</v>
      </c>
      <c r="D1252" t="str">
        <f>IFERROR(VLOOKUP(FO_Capture!C1252, Reference_Data!A:D, 3, FALSE), "XXX")</f>
        <v>JPY</v>
      </c>
      <c r="E1252" t="str">
        <f>IFERROR(VLOOKUP(FO_Capture!C1252, Reference_Data!A:D, 4, FALSE), "MISSING SSI")</f>
        <v>HSBC A/C 172861</v>
      </c>
      <c r="F1252">
        <f>FO_Capture!D1252</f>
        <v>230</v>
      </c>
      <c r="G1252">
        <f>FO_Capture!E1252</f>
        <v>146.46000671386719</v>
      </c>
      <c r="H1252">
        <f t="shared" si="38"/>
        <v>33685.801544189453</v>
      </c>
      <c r="I1252" t="str">
        <f t="shared" si="39"/>
        <v>Pass - Ready for Confirmation</v>
      </c>
    </row>
    <row r="1253" spans="1:9" x14ac:dyDescent="0.3">
      <c r="A1253" t="str">
        <f>FO_Capture!A1253</f>
        <v>TRD01252</v>
      </c>
      <c r="B1253" t="str">
        <f>FO_Capture!B1253</f>
        <v>INE009A01086</v>
      </c>
      <c r="C1253" t="str">
        <f>IFERROR(VLOOKUP(FO_Capture!C1253, Reference_Data!A:D, 2, FALSE), "UNKNOWN")</f>
        <v>Alpha Quant Fund 34</v>
      </c>
      <c r="D1253" t="str">
        <f>IFERROR(VLOOKUP(FO_Capture!C1253, Reference_Data!A:D, 3, FALSE), "XXX")</f>
        <v>JPY</v>
      </c>
      <c r="E1253" t="str">
        <f>IFERROR(VLOOKUP(FO_Capture!C1253, Reference_Data!A:D, 4, FALSE), "MISSING SSI")</f>
        <v>Citi A/C 837378</v>
      </c>
      <c r="F1253">
        <f>FO_Capture!D1253</f>
        <v>420</v>
      </c>
      <c r="G1253">
        <f>FO_Capture!E1253</f>
        <v>188.97999572753906</v>
      </c>
      <c r="H1253">
        <f t="shared" si="38"/>
        <v>79371.598205566406</v>
      </c>
      <c r="I1253" t="str">
        <f t="shared" si="39"/>
        <v>Pass - Ready for Confirmation</v>
      </c>
    </row>
    <row r="1254" spans="1:9" x14ac:dyDescent="0.3">
      <c r="A1254" t="str">
        <f>FO_Capture!A1254</f>
        <v>TRD01253</v>
      </c>
      <c r="B1254" t="str">
        <f>FO_Capture!B1254</f>
        <v>INE006A01072</v>
      </c>
      <c r="C1254" t="str">
        <f>IFERROR(VLOOKUP(FO_Capture!C1254, Reference_Data!A:D, 2, FALSE), "UNKNOWN")</f>
        <v>Alpha Asset Management 13</v>
      </c>
      <c r="D1254" t="str">
        <f>IFERROR(VLOOKUP(FO_Capture!C1254, Reference_Data!A:D, 3, FALSE), "XXX")</f>
        <v>INR</v>
      </c>
      <c r="E1254" t="str">
        <f>IFERROR(VLOOKUP(FO_Capture!C1254, Reference_Data!A:D, 4, FALSE), "MISSING SSI")</f>
        <v>HSBC A/C 972195</v>
      </c>
      <c r="F1254">
        <f>FO_Capture!D1254</f>
        <v>270</v>
      </c>
      <c r="G1254">
        <f>FO_Capture!E1254</f>
        <v>272.76998901367188</v>
      </c>
      <c r="H1254">
        <f t="shared" si="38"/>
        <v>73647.897033691406</v>
      </c>
      <c r="I1254" t="str">
        <f t="shared" si="39"/>
        <v>Pass - Ready for Confirmation</v>
      </c>
    </row>
    <row r="1255" spans="1:9" x14ac:dyDescent="0.3">
      <c r="A1255" t="str">
        <f>FO_Capture!A1255</f>
        <v>TRD01254</v>
      </c>
      <c r="B1255" t="str">
        <f>FO_Capture!B1255</f>
        <v>INE007A01073</v>
      </c>
      <c r="C1255" t="str">
        <f>IFERROR(VLOOKUP(FO_Capture!C1255, Reference_Data!A:D, 2, FALSE), "UNKNOWN")</f>
        <v>Alpha Investments 43</v>
      </c>
      <c r="D1255" t="str">
        <f>IFERROR(VLOOKUP(FO_Capture!C1255, Reference_Data!A:D, 3, FALSE), "XXX")</f>
        <v>EUR</v>
      </c>
      <c r="E1255" t="str">
        <f>IFERROR(VLOOKUP(FO_Capture!C1255, Reference_Data!A:D, 4, FALSE), "MISSING SSI")</f>
        <v>Citi A/C 714496</v>
      </c>
      <c r="F1255">
        <f>FO_Capture!D1255</f>
        <v>360</v>
      </c>
      <c r="G1255">
        <f>FO_Capture!E1255</f>
        <v>424.42999267578125</v>
      </c>
      <c r="H1255">
        <f t="shared" si="38"/>
        <v>152794.79736328125</v>
      </c>
      <c r="I1255" t="str">
        <f t="shared" si="39"/>
        <v>Pass - Ready for Confirmation</v>
      </c>
    </row>
    <row r="1256" spans="1:9" x14ac:dyDescent="0.3">
      <c r="A1256" t="str">
        <f>FO_Capture!A1256</f>
        <v>TRD01255</v>
      </c>
      <c r="B1256" t="str">
        <f>FO_Capture!B1256</f>
        <v>INE007A01037</v>
      </c>
      <c r="C1256" t="str">
        <f>IFERROR(VLOOKUP(FO_Capture!C1256, Reference_Data!A:D, 2, FALSE), "UNKNOWN")</f>
        <v>Alpha Capital 38</v>
      </c>
      <c r="D1256" t="str">
        <f>IFERROR(VLOOKUP(FO_Capture!C1256, Reference_Data!A:D, 3, FALSE), "XXX")</f>
        <v>SGD</v>
      </c>
      <c r="E1256" t="str">
        <f>IFERROR(VLOOKUP(FO_Capture!C1256, Reference_Data!A:D, 4, FALSE), "MISSING SSI")</f>
        <v>Deutsche Bank A/C 153521</v>
      </c>
      <c r="F1256">
        <f>FO_Capture!D1256</f>
        <v>250</v>
      </c>
      <c r="G1256">
        <f>FO_Capture!E1256</f>
        <v>240.89999389648438</v>
      </c>
      <c r="H1256">
        <f t="shared" si="38"/>
        <v>60224.998474121094</v>
      </c>
      <c r="I1256" t="str">
        <f t="shared" si="39"/>
        <v>Pass - Ready for Confirmation</v>
      </c>
    </row>
    <row r="1257" spans="1:9" x14ac:dyDescent="0.3">
      <c r="A1257" t="str">
        <f>FO_Capture!A1257</f>
        <v>TRD01256</v>
      </c>
      <c r="B1257" t="str">
        <f>FO_Capture!B1257</f>
        <v>INE005A01038</v>
      </c>
      <c r="C1257" t="str">
        <f>IFERROR(VLOOKUP(FO_Capture!C1257, Reference_Data!A:D, 2, FALSE), "UNKNOWN")</f>
        <v>Alpha Capital 33</v>
      </c>
      <c r="D1257" t="str">
        <f>IFERROR(VLOOKUP(FO_Capture!C1257, Reference_Data!A:D, 3, FALSE), "XXX")</f>
        <v>JPY</v>
      </c>
      <c r="E1257" t="str">
        <f>IFERROR(VLOOKUP(FO_Capture!C1257, Reference_Data!A:D, 4, FALSE), "MISSING SSI")</f>
        <v>HSBC A/C 172861</v>
      </c>
      <c r="F1257">
        <f>FO_Capture!D1257</f>
        <v>200</v>
      </c>
      <c r="G1257">
        <f>FO_Capture!E1257</f>
        <v>139.41000366210938</v>
      </c>
      <c r="H1257">
        <f t="shared" si="38"/>
        <v>27882.000732421875</v>
      </c>
      <c r="I1257" t="str">
        <f t="shared" si="39"/>
        <v>Pass - Ready for Confirmation</v>
      </c>
    </row>
    <row r="1258" spans="1:9" x14ac:dyDescent="0.3">
      <c r="A1258" t="str">
        <f>FO_Capture!A1258</f>
        <v>TRD01257</v>
      </c>
      <c r="B1258" t="str">
        <f>FO_Capture!B1258</f>
        <v>INE002A01028</v>
      </c>
      <c r="C1258" t="str">
        <f>IFERROR(VLOOKUP(FO_Capture!C1258, Reference_Data!A:D, 2, FALSE), "UNKNOWN")</f>
        <v>Alpha Capital 9</v>
      </c>
      <c r="D1258" t="str">
        <f>IFERROR(VLOOKUP(FO_Capture!C1258, Reference_Data!A:D, 3, FALSE), "XXX")</f>
        <v>JPY</v>
      </c>
      <c r="E1258" t="str">
        <f>IFERROR(VLOOKUP(FO_Capture!C1258, Reference_Data!A:D, 4, FALSE), "MISSING SSI")</f>
        <v>Citi A/C 744145</v>
      </c>
      <c r="F1258">
        <f>FO_Capture!D1258</f>
        <v>480</v>
      </c>
      <c r="G1258">
        <f>FO_Capture!E1258</f>
        <v>107.5</v>
      </c>
      <c r="H1258">
        <f t="shared" si="38"/>
        <v>51600</v>
      </c>
      <c r="I1258" t="str">
        <f t="shared" si="39"/>
        <v>Pass - Ready for Confirmation</v>
      </c>
    </row>
    <row r="1259" spans="1:9" x14ac:dyDescent="0.3">
      <c r="A1259" t="str">
        <f>FO_Capture!A1259</f>
        <v>TRD01258</v>
      </c>
      <c r="B1259" t="str">
        <f>FO_Capture!B1259</f>
        <v>INE001A01082</v>
      </c>
      <c r="C1259" t="str">
        <f>IFERROR(VLOOKUP(FO_Capture!C1259, Reference_Data!A:D, 2, FALSE), "UNKNOWN")</f>
        <v>Alpha Global 14</v>
      </c>
      <c r="D1259" t="str">
        <f>IFERROR(VLOOKUP(FO_Capture!C1259, Reference_Data!A:D, 3, FALSE), "XXX")</f>
        <v>USD</v>
      </c>
      <c r="E1259" t="str">
        <f>IFERROR(VLOOKUP(FO_Capture!C1259, Reference_Data!A:D, 4, FALSE), "MISSING SSI")</f>
        <v>HSBC A/C 864249</v>
      </c>
      <c r="F1259">
        <f>FO_Capture!D1259</f>
        <v>60</v>
      </c>
      <c r="G1259">
        <f>FO_Capture!E1259</f>
        <v>453.04998779296875</v>
      </c>
      <c r="H1259">
        <f t="shared" si="38"/>
        <v>27182.999267578125</v>
      </c>
      <c r="I1259" t="str">
        <f t="shared" si="39"/>
        <v>Pass - Ready for Confirmation</v>
      </c>
    </row>
    <row r="1260" spans="1:9" x14ac:dyDescent="0.3">
      <c r="A1260" t="str">
        <f>FO_Capture!A1260</f>
        <v>TRD01259</v>
      </c>
      <c r="B1260" t="str">
        <f>FO_Capture!B1260</f>
        <v>INE009A01058</v>
      </c>
      <c r="C1260" t="str">
        <f>IFERROR(VLOOKUP(FO_Capture!C1260, Reference_Data!A:D, 2, FALSE), "UNKNOWN")</f>
        <v>Alpha Partners 42</v>
      </c>
      <c r="D1260" t="str">
        <f>IFERROR(VLOOKUP(FO_Capture!C1260, Reference_Data!A:D, 3, FALSE), "XXX")</f>
        <v>USD</v>
      </c>
      <c r="E1260" t="str">
        <f>IFERROR(VLOOKUP(FO_Capture!C1260, Reference_Data!A:D, 4, FALSE), "MISSING SSI")</f>
        <v>Citi A/C 416082</v>
      </c>
      <c r="F1260">
        <f>FO_Capture!D1260</f>
        <v>400</v>
      </c>
      <c r="G1260">
        <f>FO_Capture!E1260</f>
        <v>54.209999084472656</v>
      </c>
      <c r="H1260">
        <f t="shared" si="38"/>
        <v>21683.999633789063</v>
      </c>
      <c r="I1260" t="str">
        <f t="shared" si="39"/>
        <v>Pass - Ready for Confirmation</v>
      </c>
    </row>
    <row r="1261" spans="1:9" x14ac:dyDescent="0.3">
      <c r="A1261" t="str">
        <f>FO_Capture!A1261</f>
        <v>TRD01260</v>
      </c>
      <c r="B1261" t="str">
        <f>FO_Capture!B1261</f>
        <v>INE002A01034</v>
      </c>
      <c r="C1261" t="str">
        <f>IFERROR(VLOOKUP(FO_Capture!C1261, Reference_Data!A:D, 2, FALSE), "UNKNOWN")</f>
        <v>Alpha Partners 6</v>
      </c>
      <c r="D1261" t="str">
        <f>IFERROR(VLOOKUP(FO_Capture!C1261, Reference_Data!A:D, 3, FALSE), "XXX")</f>
        <v>INR</v>
      </c>
      <c r="E1261" t="str">
        <f>IFERROR(VLOOKUP(FO_Capture!C1261, Reference_Data!A:D, 4, FALSE), "MISSING SSI")</f>
        <v>Standard Chartered A/C 441247</v>
      </c>
      <c r="F1261">
        <f>FO_Capture!D1261</f>
        <v>180</v>
      </c>
      <c r="G1261">
        <f>FO_Capture!E1261</f>
        <v>109.48999786376953</v>
      </c>
      <c r="H1261">
        <f t="shared" si="38"/>
        <v>19708.199615478516</v>
      </c>
      <c r="I1261" t="str">
        <f t="shared" si="39"/>
        <v>Pass - Ready for Confirmation</v>
      </c>
    </row>
    <row r="1262" spans="1:9" x14ac:dyDescent="0.3">
      <c r="A1262" t="str">
        <f>FO_Capture!A1262</f>
        <v>TRD01261</v>
      </c>
      <c r="B1262" t="str">
        <f>FO_Capture!B1262</f>
        <v>INE008A01068</v>
      </c>
      <c r="C1262" t="str">
        <f>IFERROR(VLOOKUP(FO_Capture!C1262, Reference_Data!A:D, 2, FALSE), "UNKNOWN")</f>
        <v>Alpha Global 14</v>
      </c>
      <c r="D1262" t="str">
        <f>IFERROR(VLOOKUP(FO_Capture!C1262, Reference_Data!A:D, 3, FALSE), "XXX")</f>
        <v>USD</v>
      </c>
      <c r="E1262" t="str">
        <f>IFERROR(VLOOKUP(FO_Capture!C1262, Reference_Data!A:D, 4, FALSE), "MISSING SSI")</f>
        <v>HSBC A/C 864249</v>
      </c>
      <c r="F1262">
        <f>FO_Capture!D1262</f>
        <v>70</v>
      </c>
      <c r="G1262">
        <f>FO_Capture!E1262</f>
        <v>387.67001342773438</v>
      </c>
      <c r="H1262">
        <f t="shared" si="38"/>
        <v>27136.900939941406</v>
      </c>
      <c r="I1262" t="str">
        <f t="shared" si="39"/>
        <v>Pass - Ready for Confirmation</v>
      </c>
    </row>
    <row r="1263" spans="1:9" x14ac:dyDescent="0.3">
      <c r="A1263" t="str">
        <f>FO_Capture!A1263</f>
        <v>TRD01262</v>
      </c>
      <c r="B1263" t="str">
        <f>FO_Capture!B1263</f>
        <v>INE009A01044</v>
      </c>
      <c r="C1263" t="str">
        <f>IFERROR(VLOOKUP(FO_Capture!C1263, Reference_Data!A:D, 2, FALSE), "UNKNOWN")</f>
        <v>Alpha Investments 43</v>
      </c>
      <c r="D1263" t="str">
        <f>IFERROR(VLOOKUP(FO_Capture!C1263, Reference_Data!A:D, 3, FALSE), "XXX")</f>
        <v>EUR</v>
      </c>
      <c r="E1263" t="str">
        <f>IFERROR(VLOOKUP(FO_Capture!C1263, Reference_Data!A:D, 4, FALSE), "MISSING SSI")</f>
        <v>Citi A/C 714496</v>
      </c>
      <c r="F1263">
        <f>FO_Capture!D1263</f>
        <v>460</v>
      </c>
      <c r="G1263">
        <f>FO_Capture!E1263</f>
        <v>477.8800048828125</v>
      </c>
      <c r="H1263">
        <f t="shared" si="38"/>
        <v>219824.80224609375</v>
      </c>
      <c r="I1263" t="str">
        <f t="shared" si="39"/>
        <v>Pass - Ready for Confirmation</v>
      </c>
    </row>
    <row r="1264" spans="1:9" x14ac:dyDescent="0.3">
      <c r="A1264" t="str">
        <f>FO_Capture!A1264</f>
        <v>TRD01263</v>
      </c>
      <c r="B1264" t="str">
        <f>FO_Capture!B1264</f>
        <v>INE005A01022</v>
      </c>
      <c r="C1264" t="str">
        <f>IFERROR(VLOOKUP(FO_Capture!C1264, Reference_Data!A:D, 2, FALSE), "UNKNOWN")</f>
        <v>Alpha Investments 15</v>
      </c>
      <c r="D1264" t="str">
        <f>IFERROR(VLOOKUP(FO_Capture!C1264, Reference_Data!A:D, 3, FALSE), "XXX")</f>
        <v>INR</v>
      </c>
      <c r="E1264" t="str">
        <f>IFERROR(VLOOKUP(FO_Capture!C1264, Reference_Data!A:D, 4, FALSE), "MISSING SSI")</f>
        <v>Deutsche Bank A/C 330518</v>
      </c>
      <c r="F1264">
        <f>FO_Capture!D1264</f>
        <v>200</v>
      </c>
      <c r="G1264">
        <f>FO_Capture!E1264</f>
        <v>39.520000457763672</v>
      </c>
      <c r="H1264">
        <f t="shared" si="38"/>
        <v>7904.0000915527344</v>
      </c>
      <c r="I1264" t="str">
        <f t="shared" si="39"/>
        <v>Pass - Ready for Confirmation</v>
      </c>
    </row>
    <row r="1265" spans="1:9" x14ac:dyDescent="0.3">
      <c r="A1265" t="str">
        <f>FO_Capture!A1265</f>
        <v>TRD01264</v>
      </c>
      <c r="B1265" t="str">
        <f>FO_Capture!B1265</f>
        <v>INE009A01089</v>
      </c>
      <c r="C1265" t="str">
        <f>IFERROR(VLOOKUP(FO_Capture!C1265, Reference_Data!A:D, 2, FALSE), "UNKNOWN")</f>
        <v>Alpha Partners 22</v>
      </c>
      <c r="D1265" t="str">
        <f>IFERROR(VLOOKUP(FO_Capture!C1265, Reference_Data!A:D, 3, FALSE), "XXX")</f>
        <v>GBP</v>
      </c>
      <c r="E1265" t="str">
        <f>IFERROR(VLOOKUP(FO_Capture!C1265, Reference_Data!A:D, 4, FALSE), "MISSING SSI")</f>
        <v>JPMorgan A/C 488546</v>
      </c>
      <c r="F1265">
        <f>FO_Capture!D1265</f>
        <v>380</v>
      </c>
      <c r="G1265">
        <f>FO_Capture!E1265</f>
        <v>52.349998474121094</v>
      </c>
      <c r="H1265">
        <f t="shared" si="38"/>
        <v>19892.999420166016</v>
      </c>
      <c r="I1265" t="str">
        <f t="shared" si="39"/>
        <v>Pass - Ready for Confirmation</v>
      </c>
    </row>
    <row r="1266" spans="1:9" x14ac:dyDescent="0.3">
      <c r="A1266" t="str">
        <f>FO_Capture!A1266</f>
        <v>TRD01265</v>
      </c>
      <c r="B1266" t="str">
        <f>FO_Capture!B1266</f>
        <v>INE009A0109</v>
      </c>
      <c r="C1266" t="str">
        <f>IFERROR(VLOOKUP(FO_Capture!C1266, Reference_Data!A:D, 2, FALSE), "UNKNOWN")</f>
        <v>Alpha Partners 48</v>
      </c>
      <c r="D1266" t="str">
        <f>IFERROR(VLOOKUP(FO_Capture!C1266, Reference_Data!A:D, 3, FALSE), "XXX")</f>
        <v>SGD</v>
      </c>
      <c r="E1266" t="str">
        <f>IFERROR(VLOOKUP(FO_Capture!C1266, Reference_Data!A:D, 4, FALSE), "MISSING SSI")</f>
        <v>JPMorgan A/C 391364</v>
      </c>
      <c r="F1266">
        <f>FO_Capture!D1266</f>
        <v>80</v>
      </c>
      <c r="G1266">
        <f>FO_Capture!E1266</f>
        <v>66.410003662109375</v>
      </c>
      <c r="H1266">
        <f t="shared" si="38"/>
        <v>5312.80029296875</v>
      </c>
      <c r="I1266" t="str">
        <f t="shared" si="39"/>
        <v>Pass - Ready for Confirmation</v>
      </c>
    </row>
    <row r="1267" spans="1:9" x14ac:dyDescent="0.3">
      <c r="A1267" t="str">
        <f>FO_Capture!A1267</f>
        <v>TRD01266</v>
      </c>
      <c r="B1267" t="str">
        <f>FO_Capture!B1267</f>
        <v>INE007A01072</v>
      </c>
      <c r="C1267" t="str">
        <f>IFERROR(VLOOKUP(FO_Capture!C1267, Reference_Data!A:D, 2, FALSE), "UNKNOWN")</f>
        <v>Alpha Partners 1</v>
      </c>
      <c r="D1267" t="str">
        <f>IFERROR(VLOOKUP(FO_Capture!C1267, Reference_Data!A:D, 3, FALSE), "XXX")</f>
        <v>JPY</v>
      </c>
      <c r="E1267" t="str">
        <f>IFERROR(VLOOKUP(FO_Capture!C1267, Reference_Data!A:D, 4, FALSE), "MISSING SSI")</f>
        <v>Standard Chartered A/C 277005</v>
      </c>
      <c r="F1267">
        <f>FO_Capture!D1267</f>
        <v>80</v>
      </c>
      <c r="G1267">
        <f>FO_Capture!E1267</f>
        <v>452.04998779296875</v>
      </c>
      <c r="H1267">
        <f t="shared" si="38"/>
        <v>36163.9990234375</v>
      </c>
      <c r="I1267" t="str">
        <f t="shared" si="39"/>
        <v>Pass - Ready for Confirmation</v>
      </c>
    </row>
    <row r="1268" spans="1:9" x14ac:dyDescent="0.3">
      <c r="A1268" t="str">
        <f>FO_Capture!A1268</f>
        <v>TRD01267</v>
      </c>
      <c r="B1268" t="str">
        <f>FO_Capture!B1268</f>
        <v>INE005A01044</v>
      </c>
      <c r="C1268" t="str">
        <f>IFERROR(VLOOKUP(FO_Capture!C1268, Reference_Data!A:D, 2, FALSE), "UNKNOWN")</f>
        <v>Alpha Global 28</v>
      </c>
      <c r="D1268" t="str">
        <f>IFERROR(VLOOKUP(FO_Capture!C1268, Reference_Data!A:D, 3, FALSE), "XXX")</f>
        <v>USD</v>
      </c>
      <c r="E1268" t="str">
        <f>IFERROR(VLOOKUP(FO_Capture!C1268, Reference_Data!A:D, 4, FALSE), "MISSING SSI")</f>
        <v>HDFC A/C 638209</v>
      </c>
      <c r="F1268">
        <f>FO_Capture!D1268</f>
        <v>160</v>
      </c>
      <c r="G1268">
        <f>FO_Capture!E1268</f>
        <v>149.96000671386719</v>
      </c>
      <c r="H1268">
        <f t="shared" si="38"/>
        <v>23993.60107421875</v>
      </c>
      <c r="I1268" t="str">
        <f t="shared" si="39"/>
        <v>Pass - Ready for Confirmation</v>
      </c>
    </row>
    <row r="1269" spans="1:9" x14ac:dyDescent="0.3">
      <c r="A1269" t="str">
        <f>FO_Capture!A1269</f>
        <v>TRD01268</v>
      </c>
      <c r="B1269" t="str">
        <f>FO_Capture!B1269</f>
        <v>INE002A01020</v>
      </c>
      <c r="C1269" t="str">
        <f>IFERROR(VLOOKUP(FO_Capture!C1269, Reference_Data!A:D, 2, FALSE), "UNKNOWN")</f>
        <v>Alpha Partners 1</v>
      </c>
      <c r="D1269" t="str">
        <f>IFERROR(VLOOKUP(FO_Capture!C1269, Reference_Data!A:D, 3, FALSE), "XXX")</f>
        <v>JPY</v>
      </c>
      <c r="E1269" t="str">
        <f>IFERROR(VLOOKUP(FO_Capture!C1269, Reference_Data!A:D, 4, FALSE), "MISSING SSI")</f>
        <v>Standard Chartered A/C 277005</v>
      </c>
      <c r="F1269">
        <f>FO_Capture!D1269</f>
        <v>310</v>
      </c>
      <c r="G1269">
        <f>FO_Capture!E1269</f>
        <v>421.1099853515625</v>
      </c>
      <c r="H1269">
        <f t="shared" si="38"/>
        <v>130544.09545898438</v>
      </c>
      <c r="I1269" t="str">
        <f t="shared" si="39"/>
        <v>Pass - Ready for Confirmation</v>
      </c>
    </row>
    <row r="1270" spans="1:9" x14ac:dyDescent="0.3">
      <c r="A1270" t="str">
        <f>FO_Capture!A1270</f>
        <v>TRD01269</v>
      </c>
      <c r="B1270" t="str">
        <f>FO_Capture!B1270</f>
        <v>INE007A01067</v>
      </c>
      <c r="C1270" t="str">
        <f>IFERROR(VLOOKUP(FO_Capture!C1270, Reference_Data!A:D, 2, FALSE), "UNKNOWN")</f>
        <v>Alpha Capital 33</v>
      </c>
      <c r="D1270" t="str">
        <f>IFERROR(VLOOKUP(FO_Capture!C1270, Reference_Data!A:D, 3, FALSE), "XXX")</f>
        <v>JPY</v>
      </c>
      <c r="E1270" t="str">
        <f>IFERROR(VLOOKUP(FO_Capture!C1270, Reference_Data!A:D, 4, FALSE), "MISSING SSI")</f>
        <v>HSBC A/C 172861</v>
      </c>
      <c r="F1270">
        <f>FO_Capture!D1270</f>
        <v>10</v>
      </c>
      <c r="G1270">
        <f>FO_Capture!E1270</f>
        <v>96.819999694824219</v>
      </c>
      <c r="H1270">
        <f t="shared" si="38"/>
        <v>968.19999694824219</v>
      </c>
      <c r="I1270" t="str">
        <f t="shared" si="39"/>
        <v>Pass - Ready for Confirmation</v>
      </c>
    </row>
    <row r="1271" spans="1:9" x14ac:dyDescent="0.3">
      <c r="A1271" t="str">
        <f>FO_Capture!A1271</f>
        <v>TRD01270</v>
      </c>
      <c r="B1271" t="str">
        <f>FO_Capture!B1271</f>
        <v>INE006A01083</v>
      </c>
      <c r="C1271" t="str">
        <f>IFERROR(VLOOKUP(FO_Capture!C1271, Reference_Data!A:D, 2, FALSE), "UNKNOWN")</f>
        <v>Alpha Capital 7</v>
      </c>
      <c r="D1271" t="str">
        <f>IFERROR(VLOOKUP(FO_Capture!C1271, Reference_Data!A:D, 3, FALSE), "XXX")</f>
        <v>INR</v>
      </c>
      <c r="E1271" t="str">
        <f>IFERROR(VLOOKUP(FO_Capture!C1271, Reference_Data!A:D, 4, FALSE), "MISSING SSI")</f>
        <v>Standard Chartered A/C 682134</v>
      </c>
      <c r="F1271">
        <f>FO_Capture!D1271</f>
        <v>450</v>
      </c>
      <c r="G1271">
        <f>FO_Capture!E1271</f>
        <v>328.69000244140625</v>
      </c>
      <c r="H1271">
        <f t="shared" si="38"/>
        <v>147910.50109863281</v>
      </c>
      <c r="I1271" t="str">
        <f t="shared" si="39"/>
        <v>Pass - Ready for Confirmation</v>
      </c>
    </row>
    <row r="1272" spans="1:9" x14ac:dyDescent="0.3">
      <c r="A1272" t="str">
        <f>FO_Capture!A1272</f>
        <v>TRD01271</v>
      </c>
      <c r="B1272" t="str">
        <f>FO_Capture!B1272</f>
        <v>INE004A01041</v>
      </c>
      <c r="C1272" t="str">
        <f>IFERROR(VLOOKUP(FO_Capture!C1272, Reference_Data!A:D, 2, FALSE), "UNKNOWN")</f>
        <v>Alpha Partners 1</v>
      </c>
      <c r="D1272" t="str">
        <f>IFERROR(VLOOKUP(FO_Capture!C1272, Reference_Data!A:D, 3, FALSE), "XXX")</f>
        <v>JPY</v>
      </c>
      <c r="E1272" t="str">
        <f>IFERROR(VLOOKUP(FO_Capture!C1272, Reference_Data!A:D, 4, FALSE), "MISSING SSI")</f>
        <v>Standard Chartered A/C 277005</v>
      </c>
      <c r="F1272">
        <f>FO_Capture!D1272</f>
        <v>310</v>
      </c>
      <c r="G1272">
        <f>FO_Capture!E1272</f>
        <v>338.6400146484375</v>
      </c>
      <c r="H1272">
        <f t="shared" si="38"/>
        <v>104978.40454101563</v>
      </c>
      <c r="I1272" t="str">
        <f t="shared" si="39"/>
        <v>Pass - Ready for Confirmation</v>
      </c>
    </row>
    <row r="1273" spans="1:9" x14ac:dyDescent="0.3">
      <c r="A1273" t="str">
        <f>FO_Capture!A1273</f>
        <v>TRD01272</v>
      </c>
      <c r="B1273" t="str">
        <f>FO_Capture!B1273</f>
        <v>INE003A01041</v>
      </c>
      <c r="C1273" t="str">
        <f>IFERROR(VLOOKUP(FO_Capture!C1273, Reference_Data!A:D, 2, FALSE), "UNKNOWN")</f>
        <v>Alpha Global 14</v>
      </c>
      <c r="D1273" t="str">
        <f>IFERROR(VLOOKUP(FO_Capture!C1273, Reference_Data!A:D, 3, FALSE), "XXX")</f>
        <v>USD</v>
      </c>
      <c r="E1273" t="str">
        <f>IFERROR(VLOOKUP(FO_Capture!C1273, Reference_Data!A:D, 4, FALSE), "MISSING SSI")</f>
        <v>HSBC A/C 864249</v>
      </c>
      <c r="F1273">
        <f>FO_Capture!D1273</f>
        <v>490</v>
      </c>
      <c r="G1273">
        <f>FO_Capture!E1273</f>
        <v>168.91000366210938</v>
      </c>
      <c r="H1273">
        <f t="shared" si="38"/>
        <v>82765.901794433594</v>
      </c>
      <c r="I1273" t="str">
        <f t="shared" si="39"/>
        <v>Pass - Ready for Confirmation</v>
      </c>
    </row>
    <row r="1274" spans="1:9" x14ac:dyDescent="0.3">
      <c r="A1274" t="str">
        <f>FO_Capture!A1274</f>
        <v>TRD01273</v>
      </c>
      <c r="B1274" t="str">
        <f>FO_Capture!B1274</f>
        <v>INE005A01057</v>
      </c>
      <c r="C1274" t="str">
        <f>IFERROR(VLOOKUP(FO_Capture!C1274, Reference_Data!A:D, 2, FALSE), "UNKNOWN")</f>
        <v>Alpha Partners 37</v>
      </c>
      <c r="D1274" t="str">
        <f>IFERROR(VLOOKUP(FO_Capture!C1274, Reference_Data!A:D, 3, FALSE), "XXX")</f>
        <v>JPY</v>
      </c>
      <c r="E1274" t="str">
        <f>IFERROR(VLOOKUP(FO_Capture!C1274, Reference_Data!A:D, 4, FALSE), "MISSING SSI")</f>
        <v>HSBC A/C 994063</v>
      </c>
      <c r="F1274">
        <f>FO_Capture!D1274</f>
        <v>380</v>
      </c>
      <c r="G1274">
        <f>FO_Capture!E1274</f>
        <v>432.04998779296875</v>
      </c>
      <c r="H1274">
        <f t="shared" si="38"/>
        <v>164178.99536132813</v>
      </c>
      <c r="I1274" t="str">
        <f t="shared" si="39"/>
        <v>Pass - Ready for Confirmation</v>
      </c>
    </row>
    <row r="1275" spans="1:9" x14ac:dyDescent="0.3">
      <c r="A1275" t="str">
        <f>FO_Capture!A1275</f>
        <v>TRD01274</v>
      </c>
      <c r="B1275" t="str">
        <f>FO_Capture!B1275</f>
        <v>INE009A01093</v>
      </c>
      <c r="C1275" t="str">
        <f>IFERROR(VLOOKUP(FO_Capture!C1275, Reference_Data!A:D, 2, FALSE), "UNKNOWN")</f>
        <v>Alpha Asset Management 32</v>
      </c>
      <c r="D1275" t="str">
        <f>IFERROR(VLOOKUP(FO_Capture!C1275, Reference_Data!A:D, 3, FALSE), "XXX")</f>
        <v>INR</v>
      </c>
      <c r="E1275" t="str">
        <f>IFERROR(VLOOKUP(FO_Capture!C1275, Reference_Data!A:D, 4, FALSE), "MISSING SSI")</f>
        <v>Barclays A/C 302646</v>
      </c>
      <c r="F1275">
        <f>FO_Capture!D1275</f>
        <v>70</v>
      </c>
      <c r="G1275">
        <f>FO_Capture!E1275</f>
        <v>60.919998168945313</v>
      </c>
      <c r="H1275">
        <f t="shared" si="38"/>
        <v>4264.3998718261719</v>
      </c>
      <c r="I1275" t="str">
        <f t="shared" si="39"/>
        <v>Pass - Ready for Confirmation</v>
      </c>
    </row>
    <row r="1276" spans="1:9" x14ac:dyDescent="0.3">
      <c r="A1276" t="str">
        <f>FO_Capture!A1276</f>
        <v>TRD01275</v>
      </c>
      <c r="B1276" t="str">
        <f>FO_Capture!B1276</f>
        <v>INE004A01029</v>
      </c>
      <c r="C1276" t="str">
        <f>IFERROR(VLOOKUP(FO_Capture!C1276, Reference_Data!A:D, 2, FALSE), "UNKNOWN")</f>
        <v>Alpha Asset Management 5</v>
      </c>
      <c r="D1276" t="str">
        <f>IFERROR(VLOOKUP(FO_Capture!C1276, Reference_Data!A:D, 3, FALSE), "XXX")</f>
        <v>INR</v>
      </c>
      <c r="E1276" t="str">
        <f>IFERROR(VLOOKUP(FO_Capture!C1276, Reference_Data!A:D, 4, FALSE), "MISSING SSI")</f>
        <v>JPMorgan A/C 860462</v>
      </c>
      <c r="F1276">
        <f>FO_Capture!D1276</f>
        <v>160</v>
      </c>
      <c r="G1276">
        <f>FO_Capture!E1276</f>
        <v>58.689998626708984</v>
      </c>
      <c r="H1276">
        <f t="shared" si="38"/>
        <v>9390.3997802734375</v>
      </c>
      <c r="I1276" t="str">
        <f t="shared" si="39"/>
        <v>Pass - Ready for Confirmation</v>
      </c>
    </row>
    <row r="1277" spans="1:9" x14ac:dyDescent="0.3">
      <c r="A1277" t="str">
        <f>FO_Capture!A1277</f>
        <v>TRD01276</v>
      </c>
      <c r="B1277" t="str">
        <f>FO_Capture!B1277</f>
        <v>INE004A01068</v>
      </c>
      <c r="C1277" t="str">
        <f>IFERROR(VLOOKUP(FO_Capture!C1277, Reference_Data!A:D, 2, FALSE), "UNKNOWN")</f>
        <v>Alpha Asset Management 31</v>
      </c>
      <c r="D1277" t="str">
        <f>IFERROR(VLOOKUP(FO_Capture!C1277, Reference_Data!A:D, 3, FALSE), "XXX")</f>
        <v>USD</v>
      </c>
      <c r="E1277" t="str">
        <f>IFERROR(VLOOKUP(FO_Capture!C1277, Reference_Data!A:D, 4, FALSE), "MISSING SSI")</f>
        <v>Citi A/C 194841</v>
      </c>
      <c r="F1277">
        <f>FO_Capture!D1277</f>
        <v>440</v>
      </c>
      <c r="G1277">
        <f>FO_Capture!E1277</f>
        <v>248.85000610351563</v>
      </c>
      <c r="H1277">
        <f t="shared" si="38"/>
        <v>109494.00268554688</v>
      </c>
      <c r="I1277" t="str">
        <f t="shared" si="39"/>
        <v>Pass - Ready for Confirmation</v>
      </c>
    </row>
    <row r="1278" spans="1:9" x14ac:dyDescent="0.3">
      <c r="A1278" t="str">
        <f>FO_Capture!A1278</f>
        <v>TRD01277</v>
      </c>
      <c r="B1278" t="str">
        <f>FO_Capture!B1278</f>
        <v>INE005A01095</v>
      </c>
      <c r="C1278" t="str">
        <f>IFERROR(VLOOKUP(FO_Capture!C1278, Reference_Data!A:D, 2, FALSE), "UNKNOWN")</f>
        <v>Alpha Asset Management 32</v>
      </c>
      <c r="D1278" t="str">
        <f>IFERROR(VLOOKUP(FO_Capture!C1278, Reference_Data!A:D, 3, FALSE), "XXX")</f>
        <v>INR</v>
      </c>
      <c r="E1278" t="str">
        <f>IFERROR(VLOOKUP(FO_Capture!C1278, Reference_Data!A:D, 4, FALSE), "MISSING SSI")</f>
        <v>Barclays A/C 302646</v>
      </c>
      <c r="F1278">
        <f>FO_Capture!D1278</f>
        <v>210</v>
      </c>
      <c r="G1278">
        <f>FO_Capture!E1278</f>
        <v>25.209999084472656</v>
      </c>
      <c r="H1278">
        <f t="shared" si="38"/>
        <v>5294.0998077392578</v>
      </c>
      <c r="I1278" t="str">
        <f t="shared" si="39"/>
        <v>Pass - Ready for Confirmation</v>
      </c>
    </row>
    <row r="1279" spans="1:9" x14ac:dyDescent="0.3">
      <c r="A1279" t="str">
        <f>FO_Capture!A1279</f>
        <v>TRD01278</v>
      </c>
      <c r="B1279" t="str">
        <f>FO_Capture!B1279</f>
        <v>INE009A01018</v>
      </c>
      <c r="C1279" t="str">
        <f>IFERROR(VLOOKUP(FO_Capture!C1279, Reference_Data!A:D, 2, FALSE), "UNKNOWN")</f>
        <v>Alpha Global 46</v>
      </c>
      <c r="D1279" t="str">
        <f>IFERROR(VLOOKUP(FO_Capture!C1279, Reference_Data!A:D, 3, FALSE), "XXX")</f>
        <v>USD</v>
      </c>
      <c r="E1279" t="str">
        <f>IFERROR(VLOOKUP(FO_Capture!C1279, Reference_Data!A:D, 4, FALSE), "MISSING SSI")</f>
        <v>Citi A/C 700450</v>
      </c>
      <c r="F1279">
        <f>FO_Capture!D1279</f>
        <v>470</v>
      </c>
      <c r="G1279">
        <f>FO_Capture!E1279</f>
        <v>101.86000061035156</v>
      </c>
      <c r="H1279">
        <f t="shared" si="38"/>
        <v>47874.200286865234</v>
      </c>
      <c r="I1279" t="str">
        <f t="shared" si="39"/>
        <v>Pass - Ready for Confirmation</v>
      </c>
    </row>
    <row r="1280" spans="1:9" x14ac:dyDescent="0.3">
      <c r="A1280" t="str">
        <f>FO_Capture!A1280</f>
        <v>TRD01279</v>
      </c>
      <c r="B1280" t="str">
        <f>FO_Capture!B1280</f>
        <v>INE007A01022</v>
      </c>
      <c r="C1280" t="str">
        <f>IFERROR(VLOOKUP(FO_Capture!C1280, Reference_Data!A:D, 2, FALSE), "UNKNOWN")</f>
        <v>Alpha Asset Management 8</v>
      </c>
      <c r="D1280" t="str">
        <f>IFERROR(VLOOKUP(FO_Capture!C1280, Reference_Data!A:D, 3, FALSE), "XXX")</f>
        <v>GBP</v>
      </c>
      <c r="E1280" t="str">
        <f>IFERROR(VLOOKUP(FO_Capture!C1280, Reference_Data!A:D, 4, FALSE), "MISSING SSI")</f>
        <v>HDFC A/C 180445</v>
      </c>
      <c r="F1280">
        <f>FO_Capture!D1280</f>
        <v>220</v>
      </c>
      <c r="G1280">
        <f>FO_Capture!E1280</f>
        <v>263.239990234375</v>
      </c>
      <c r="H1280">
        <f t="shared" si="38"/>
        <v>57912.7978515625</v>
      </c>
      <c r="I1280" t="str">
        <f t="shared" si="39"/>
        <v>Pass - Ready for Confirmation</v>
      </c>
    </row>
    <row r="1281" spans="1:9" x14ac:dyDescent="0.3">
      <c r="A1281" t="str">
        <f>FO_Capture!A1281</f>
        <v>TRD01280</v>
      </c>
      <c r="B1281" t="str">
        <f>FO_Capture!B1281</f>
        <v>INE008A01018</v>
      </c>
      <c r="C1281" t="str">
        <f>IFERROR(VLOOKUP(FO_Capture!C1281, Reference_Data!A:D, 2, FALSE), "UNKNOWN")</f>
        <v>Alpha Holdings 23</v>
      </c>
      <c r="D1281" t="str">
        <f>IFERROR(VLOOKUP(FO_Capture!C1281, Reference_Data!A:D, 3, FALSE), "XXX")</f>
        <v>INR</v>
      </c>
      <c r="E1281" t="str">
        <f>IFERROR(VLOOKUP(FO_Capture!C1281, Reference_Data!A:D, 4, FALSE), "MISSING SSI")</f>
        <v>Deutsche Bank A/C 983712</v>
      </c>
      <c r="F1281">
        <f>FO_Capture!D1281</f>
        <v>160</v>
      </c>
      <c r="G1281">
        <f>FO_Capture!E1281</f>
        <v>114.08000183105469</v>
      </c>
      <c r="H1281">
        <f t="shared" si="38"/>
        <v>18252.80029296875</v>
      </c>
      <c r="I1281" t="str">
        <f t="shared" si="39"/>
        <v>Pass - Ready for Confirmation</v>
      </c>
    </row>
    <row r="1282" spans="1:9" x14ac:dyDescent="0.3">
      <c r="A1282" t="str">
        <f>FO_Capture!A1282</f>
        <v>TRD01281</v>
      </c>
      <c r="B1282" t="str">
        <f>FO_Capture!B1282</f>
        <v>INE001A01096</v>
      </c>
      <c r="C1282" t="str">
        <f>IFERROR(VLOOKUP(FO_Capture!C1282, Reference_Data!A:D, 2, FALSE), "UNKNOWN")</f>
        <v>Alpha Partners 37</v>
      </c>
      <c r="D1282" t="str">
        <f>IFERROR(VLOOKUP(FO_Capture!C1282, Reference_Data!A:D, 3, FALSE), "XXX")</f>
        <v>JPY</v>
      </c>
      <c r="E1282" t="str">
        <f>IFERROR(VLOOKUP(FO_Capture!C1282, Reference_Data!A:D, 4, FALSE), "MISSING SSI")</f>
        <v>HSBC A/C 994063</v>
      </c>
      <c r="F1282">
        <f>FO_Capture!D1282</f>
        <v>500</v>
      </c>
      <c r="G1282">
        <f>FO_Capture!E1282</f>
        <v>329.42999267578125</v>
      </c>
      <c r="H1282">
        <f t="shared" si="38"/>
        <v>164714.99633789063</v>
      </c>
      <c r="I1282" t="str">
        <f t="shared" si="39"/>
        <v>Pass - Ready for Confirmation</v>
      </c>
    </row>
    <row r="1283" spans="1:9" x14ac:dyDescent="0.3">
      <c r="A1283" t="str">
        <f>FO_Capture!A1283</f>
        <v>TRD01282</v>
      </c>
      <c r="B1283" t="str">
        <f>FO_Capture!B1283</f>
        <v>INE009A01072</v>
      </c>
      <c r="C1283" t="str">
        <f>IFERROR(VLOOKUP(FO_Capture!C1283, Reference_Data!A:D, 2, FALSE), "UNKNOWN")</f>
        <v>Alpha Global 20</v>
      </c>
      <c r="D1283" t="str">
        <f>IFERROR(VLOOKUP(FO_Capture!C1283, Reference_Data!A:D, 3, FALSE), "XXX")</f>
        <v>JPY</v>
      </c>
      <c r="E1283" t="str">
        <f>IFERROR(VLOOKUP(FO_Capture!C1283, Reference_Data!A:D, 4, FALSE), "MISSING SSI")</f>
        <v>Barclays A/C 560891</v>
      </c>
      <c r="F1283">
        <f>FO_Capture!D1283</f>
        <v>150</v>
      </c>
      <c r="G1283">
        <f>FO_Capture!E1283</f>
        <v>404.6400146484375</v>
      </c>
      <c r="H1283">
        <f t="shared" ref="H1283:H1346" si="40">F1283 * G1283</f>
        <v>60696.002197265625</v>
      </c>
      <c r="I1283" t="str">
        <f t="shared" ref="I1283:I1346" si="41">IF(C1283="UNKNOWN", "Fail - Missing Ref Data", IF(OR(F1283&lt;=0, G1283&lt;=0), "Fail - Invalid Price/Qty", IF(H1283&gt;1000000, "Exception - Limit Breach", "Pass - Ready for Confirmation")))</f>
        <v>Pass - Ready for Confirmation</v>
      </c>
    </row>
    <row r="1284" spans="1:9" x14ac:dyDescent="0.3">
      <c r="A1284" t="str">
        <f>FO_Capture!A1284</f>
        <v>TRD01283</v>
      </c>
      <c r="B1284" t="str">
        <f>FO_Capture!B1284</f>
        <v>INE008A01036</v>
      </c>
      <c r="C1284" t="str">
        <f>IFERROR(VLOOKUP(FO_Capture!C1284, Reference_Data!A:D, 2, FALSE), "UNKNOWN")</f>
        <v>Alpha Capital 33</v>
      </c>
      <c r="D1284" t="str">
        <f>IFERROR(VLOOKUP(FO_Capture!C1284, Reference_Data!A:D, 3, FALSE), "XXX")</f>
        <v>JPY</v>
      </c>
      <c r="E1284" t="str">
        <f>IFERROR(VLOOKUP(FO_Capture!C1284, Reference_Data!A:D, 4, FALSE), "MISSING SSI")</f>
        <v>HSBC A/C 172861</v>
      </c>
      <c r="F1284">
        <f>FO_Capture!D1284</f>
        <v>500</v>
      </c>
      <c r="G1284">
        <f>FO_Capture!E1284</f>
        <v>405.41000366210938</v>
      </c>
      <c r="H1284">
        <f t="shared" si="40"/>
        <v>202705.00183105469</v>
      </c>
      <c r="I1284" t="str">
        <f t="shared" si="41"/>
        <v>Pass - Ready for Confirmation</v>
      </c>
    </row>
    <row r="1285" spans="1:9" x14ac:dyDescent="0.3">
      <c r="A1285" t="str">
        <f>FO_Capture!A1285</f>
        <v>TRD01284</v>
      </c>
      <c r="B1285" t="str">
        <f>FO_Capture!B1285</f>
        <v>INE009A0106</v>
      </c>
      <c r="C1285" t="str">
        <f>IFERROR(VLOOKUP(FO_Capture!C1285, Reference_Data!A:D, 2, FALSE), "UNKNOWN")</f>
        <v>Alpha Capital 9</v>
      </c>
      <c r="D1285" t="str">
        <f>IFERROR(VLOOKUP(FO_Capture!C1285, Reference_Data!A:D, 3, FALSE), "XXX")</f>
        <v>JPY</v>
      </c>
      <c r="E1285" t="str">
        <f>IFERROR(VLOOKUP(FO_Capture!C1285, Reference_Data!A:D, 4, FALSE), "MISSING SSI")</f>
        <v>Citi A/C 744145</v>
      </c>
      <c r="F1285">
        <f>FO_Capture!D1285</f>
        <v>180</v>
      </c>
      <c r="G1285">
        <f>FO_Capture!E1285</f>
        <v>217.69999694824219</v>
      </c>
      <c r="H1285">
        <f t="shared" si="40"/>
        <v>39185.999450683594</v>
      </c>
      <c r="I1285" t="str">
        <f t="shared" si="41"/>
        <v>Pass - Ready for Confirmation</v>
      </c>
    </row>
    <row r="1286" spans="1:9" x14ac:dyDescent="0.3">
      <c r="A1286" t="str">
        <f>FO_Capture!A1286</f>
        <v>TRD01285</v>
      </c>
      <c r="B1286" t="str">
        <f>FO_Capture!B1286</f>
        <v>INE005A01077</v>
      </c>
      <c r="C1286" t="str">
        <f>IFERROR(VLOOKUP(FO_Capture!C1286, Reference_Data!A:D, 2, FALSE), "UNKNOWN")</f>
        <v>Alpha Quant Fund 24</v>
      </c>
      <c r="D1286" t="str">
        <f>IFERROR(VLOOKUP(FO_Capture!C1286, Reference_Data!A:D, 3, FALSE), "XXX")</f>
        <v>SGD</v>
      </c>
      <c r="E1286" t="str">
        <f>IFERROR(VLOOKUP(FO_Capture!C1286, Reference_Data!A:D, 4, FALSE), "MISSING SSI")</f>
        <v>JPMorgan A/C 603587</v>
      </c>
      <c r="F1286">
        <f>FO_Capture!D1286</f>
        <v>290</v>
      </c>
      <c r="G1286">
        <f>FO_Capture!E1286</f>
        <v>297.82998657226563</v>
      </c>
      <c r="H1286">
        <f t="shared" si="40"/>
        <v>86370.696105957031</v>
      </c>
      <c r="I1286" t="str">
        <f t="shared" si="41"/>
        <v>Pass - Ready for Confirmation</v>
      </c>
    </row>
    <row r="1287" spans="1:9" x14ac:dyDescent="0.3">
      <c r="A1287" t="str">
        <f>FO_Capture!A1287</f>
        <v>TRD01286</v>
      </c>
      <c r="B1287" t="str">
        <f>FO_Capture!B1287</f>
        <v>INE002A01071</v>
      </c>
      <c r="C1287" t="str">
        <f>IFERROR(VLOOKUP(FO_Capture!C1287, Reference_Data!A:D, 2, FALSE), "UNKNOWN")</f>
        <v>Alpha Quant Fund 24</v>
      </c>
      <c r="D1287" t="str">
        <f>IFERROR(VLOOKUP(FO_Capture!C1287, Reference_Data!A:D, 3, FALSE), "XXX")</f>
        <v>SGD</v>
      </c>
      <c r="E1287" t="str">
        <f>IFERROR(VLOOKUP(FO_Capture!C1287, Reference_Data!A:D, 4, FALSE), "MISSING SSI")</f>
        <v>JPMorgan A/C 603587</v>
      </c>
      <c r="F1287">
        <f>FO_Capture!D1287</f>
        <v>140</v>
      </c>
      <c r="G1287">
        <f>FO_Capture!E1287</f>
        <v>422.39999389648438</v>
      </c>
      <c r="H1287">
        <f t="shared" si="40"/>
        <v>59135.999145507813</v>
      </c>
      <c r="I1287" t="str">
        <f t="shared" si="41"/>
        <v>Pass - Ready for Confirmation</v>
      </c>
    </row>
    <row r="1288" spans="1:9" x14ac:dyDescent="0.3">
      <c r="A1288" t="str">
        <f>FO_Capture!A1288</f>
        <v>TRD01287</v>
      </c>
      <c r="B1288" t="str">
        <f>FO_Capture!B1288</f>
        <v>INE008A01086</v>
      </c>
      <c r="C1288" t="str">
        <f>IFERROR(VLOOKUP(FO_Capture!C1288, Reference_Data!A:D, 2, FALSE), "UNKNOWN")</f>
        <v>Alpha Holdings 49</v>
      </c>
      <c r="D1288" t="str">
        <f>IFERROR(VLOOKUP(FO_Capture!C1288, Reference_Data!A:D, 3, FALSE), "XXX")</f>
        <v>JPY</v>
      </c>
      <c r="E1288" t="str">
        <f>IFERROR(VLOOKUP(FO_Capture!C1288, Reference_Data!A:D, 4, FALSE), "MISSING SSI")</f>
        <v>HDFC A/C 679335</v>
      </c>
      <c r="F1288">
        <f>FO_Capture!D1288</f>
        <v>40</v>
      </c>
      <c r="G1288">
        <f>FO_Capture!E1288</f>
        <v>438.32998657226563</v>
      </c>
      <c r="H1288">
        <f t="shared" si="40"/>
        <v>17533.199462890625</v>
      </c>
      <c r="I1288" t="str">
        <f t="shared" si="41"/>
        <v>Pass - Ready for Confirmation</v>
      </c>
    </row>
    <row r="1289" spans="1:9" x14ac:dyDescent="0.3">
      <c r="A1289" t="str">
        <f>FO_Capture!A1289</f>
        <v>TRD01288</v>
      </c>
      <c r="B1289" t="str">
        <f>FO_Capture!B1289</f>
        <v>INE009A01047</v>
      </c>
      <c r="C1289" t="str">
        <f>IFERROR(VLOOKUP(FO_Capture!C1289, Reference_Data!A:D, 2, FALSE), "UNKNOWN")</f>
        <v>Alpha Capital 11</v>
      </c>
      <c r="D1289" t="str">
        <f>IFERROR(VLOOKUP(FO_Capture!C1289, Reference_Data!A:D, 3, FALSE), "XXX")</f>
        <v>USD</v>
      </c>
      <c r="E1289" t="str">
        <f>IFERROR(VLOOKUP(FO_Capture!C1289, Reference_Data!A:D, 4, FALSE), "MISSING SSI")</f>
        <v>JPMorgan A/C 987170</v>
      </c>
      <c r="F1289">
        <f>FO_Capture!D1289</f>
        <v>20</v>
      </c>
      <c r="G1289">
        <f>FO_Capture!E1289</f>
        <v>12.859999656677246</v>
      </c>
      <c r="H1289">
        <f t="shared" si="40"/>
        <v>257.19999313354492</v>
      </c>
      <c r="I1289" t="str">
        <f t="shared" si="41"/>
        <v>Pass - Ready for Confirmation</v>
      </c>
    </row>
    <row r="1290" spans="1:9" x14ac:dyDescent="0.3">
      <c r="A1290" t="str">
        <f>FO_Capture!A1290</f>
        <v>TRD01289</v>
      </c>
      <c r="B1290" t="str">
        <f>FO_Capture!B1290</f>
        <v>INE009A01053</v>
      </c>
      <c r="C1290" t="str">
        <f>IFERROR(VLOOKUP(FO_Capture!C1290, Reference_Data!A:D, 2, FALSE), "UNKNOWN")</f>
        <v>Alpha Quant Fund 12</v>
      </c>
      <c r="D1290" t="str">
        <f>IFERROR(VLOOKUP(FO_Capture!C1290, Reference_Data!A:D, 3, FALSE), "XXX")</f>
        <v>EUR</v>
      </c>
      <c r="E1290" t="str">
        <f>IFERROR(VLOOKUP(FO_Capture!C1290, Reference_Data!A:D, 4, FALSE), "MISSING SSI")</f>
        <v>Deutsche Bank A/C 324710</v>
      </c>
      <c r="F1290">
        <f>FO_Capture!D1290</f>
        <v>70</v>
      </c>
      <c r="G1290">
        <f>FO_Capture!E1290</f>
        <v>383.54000854492188</v>
      </c>
      <c r="H1290">
        <f t="shared" si="40"/>
        <v>26847.800598144531</v>
      </c>
      <c r="I1290" t="str">
        <f t="shared" si="41"/>
        <v>Pass - Ready for Confirmation</v>
      </c>
    </row>
    <row r="1291" spans="1:9" x14ac:dyDescent="0.3">
      <c r="A1291" t="str">
        <f>FO_Capture!A1291</f>
        <v>TRD01290</v>
      </c>
      <c r="B1291" t="str">
        <f>FO_Capture!B1291</f>
        <v>INE009A01033</v>
      </c>
      <c r="C1291" t="str">
        <f>IFERROR(VLOOKUP(FO_Capture!C1291, Reference_Data!A:D, 2, FALSE), "UNKNOWN")</f>
        <v>Alpha Global 28</v>
      </c>
      <c r="D1291" t="str">
        <f>IFERROR(VLOOKUP(FO_Capture!C1291, Reference_Data!A:D, 3, FALSE), "XXX")</f>
        <v>USD</v>
      </c>
      <c r="E1291" t="str">
        <f>IFERROR(VLOOKUP(FO_Capture!C1291, Reference_Data!A:D, 4, FALSE), "MISSING SSI")</f>
        <v>HDFC A/C 638209</v>
      </c>
      <c r="F1291">
        <f>FO_Capture!D1291</f>
        <v>440</v>
      </c>
      <c r="G1291">
        <f>FO_Capture!E1291</f>
        <v>108.23999786376953</v>
      </c>
      <c r="H1291">
        <f t="shared" si="40"/>
        <v>47625.599060058594</v>
      </c>
      <c r="I1291" t="str">
        <f t="shared" si="41"/>
        <v>Pass - Ready for Confirmation</v>
      </c>
    </row>
    <row r="1292" spans="1:9" x14ac:dyDescent="0.3">
      <c r="A1292" t="str">
        <f>FO_Capture!A1292</f>
        <v>TRD01291</v>
      </c>
      <c r="B1292" t="str">
        <f>FO_Capture!B1292</f>
        <v>INE002A01090</v>
      </c>
      <c r="C1292" t="str">
        <f>IFERROR(VLOOKUP(FO_Capture!C1292, Reference_Data!A:D, 2, FALSE), "UNKNOWN")</f>
        <v>Alpha Quant Fund 27</v>
      </c>
      <c r="D1292" t="str">
        <f>IFERROR(VLOOKUP(FO_Capture!C1292, Reference_Data!A:D, 3, FALSE), "XXX")</f>
        <v>EUR</v>
      </c>
      <c r="E1292" t="str">
        <f>IFERROR(VLOOKUP(FO_Capture!C1292, Reference_Data!A:D, 4, FALSE), "MISSING SSI")</f>
        <v>Standard Chartered A/C 331839</v>
      </c>
      <c r="F1292">
        <f>FO_Capture!D1292</f>
        <v>330</v>
      </c>
      <c r="G1292">
        <f>FO_Capture!E1292</f>
        <v>315.1199951171875</v>
      </c>
      <c r="H1292">
        <f t="shared" si="40"/>
        <v>103989.59838867188</v>
      </c>
      <c r="I1292" t="str">
        <f t="shared" si="41"/>
        <v>Pass - Ready for Confirmation</v>
      </c>
    </row>
    <row r="1293" spans="1:9" x14ac:dyDescent="0.3">
      <c r="A1293" t="str">
        <f>FO_Capture!A1293</f>
        <v>TRD01292</v>
      </c>
      <c r="B1293" t="str">
        <f>FO_Capture!B1293</f>
        <v>INE002A01056</v>
      </c>
      <c r="C1293" t="str">
        <f>IFERROR(VLOOKUP(FO_Capture!C1293, Reference_Data!A:D, 2, FALSE), "UNKNOWN")</f>
        <v>Alpha Holdings 47</v>
      </c>
      <c r="D1293" t="str">
        <f>IFERROR(VLOOKUP(FO_Capture!C1293, Reference_Data!A:D, 3, FALSE), "XXX")</f>
        <v>GBP</v>
      </c>
      <c r="E1293" t="str">
        <f>IFERROR(VLOOKUP(FO_Capture!C1293, Reference_Data!A:D, 4, FALSE), "MISSING SSI")</f>
        <v>Citi A/C 703401</v>
      </c>
      <c r="F1293">
        <f>FO_Capture!D1293</f>
        <v>170</v>
      </c>
      <c r="G1293">
        <f>FO_Capture!E1293</f>
        <v>452.67001342773438</v>
      </c>
      <c r="H1293">
        <f t="shared" si="40"/>
        <v>76953.902282714844</v>
      </c>
      <c r="I1293" t="str">
        <f t="shared" si="41"/>
        <v>Pass - Ready for Confirmation</v>
      </c>
    </row>
    <row r="1294" spans="1:9" x14ac:dyDescent="0.3">
      <c r="A1294" t="str">
        <f>FO_Capture!A1294</f>
        <v>TRD01293</v>
      </c>
      <c r="B1294" t="str">
        <f>FO_Capture!B1294</f>
        <v>INE008A01039</v>
      </c>
      <c r="C1294" t="str">
        <f>IFERROR(VLOOKUP(FO_Capture!C1294, Reference_Data!A:D, 2, FALSE), "UNKNOWN")</f>
        <v>Alpha Partners 22</v>
      </c>
      <c r="D1294" t="str">
        <f>IFERROR(VLOOKUP(FO_Capture!C1294, Reference_Data!A:D, 3, FALSE), "XXX")</f>
        <v>GBP</v>
      </c>
      <c r="E1294" t="str">
        <f>IFERROR(VLOOKUP(FO_Capture!C1294, Reference_Data!A:D, 4, FALSE), "MISSING SSI")</f>
        <v>JPMorgan A/C 488546</v>
      </c>
      <c r="F1294">
        <f>FO_Capture!D1294</f>
        <v>380</v>
      </c>
      <c r="G1294">
        <f>FO_Capture!E1294</f>
        <v>39.689998626708984</v>
      </c>
      <c r="H1294">
        <f t="shared" si="40"/>
        <v>15082.199478149414</v>
      </c>
      <c r="I1294" t="str">
        <f t="shared" si="41"/>
        <v>Pass - Ready for Confirmation</v>
      </c>
    </row>
    <row r="1295" spans="1:9" x14ac:dyDescent="0.3">
      <c r="A1295" t="str">
        <f>FO_Capture!A1295</f>
        <v>TRD01294</v>
      </c>
      <c r="B1295" t="str">
        <f>FO_Capture!B1295</f>
        <v>INE006A01070</v>
      </c>
      <c r="C1295" t="str">
        <f>IFERROR(VLOOKUP(FO_Capture!C1295, Reference_Data!A:D, 2, FALSE), "UNKNOWN")</f>
        <v>Alpha Global 2</v>
      </c>
      <c r="D1295" t="str">
        <f>IFERROR(VLOOKUP(FO_Capture!C1295, Reference_Data!A:D, 3, FALSE), "XXX")</f>
        <v>GBP</v>
      </c>
      <c r="E1295" t="str">
        <f>IFERROR(VLOOKUP(FO_Capture!C1295, Reference_Data!A:D, 4, FALSE), "MISSING SSI")</f>
        <v>JPMorgan A/C 582379</v>
      </c>
      <c r="F1295">
        <f>FO_Capture!D1295</f>
        <v>80</v>
      </c>
      <c r="G1295">
        <f>FO_Capture!E1295</f>
        <v>415.29000854492188</v>
      </c>
      <c r="H1295">
        <f t="shared" si="40"/>
        <v>33223.20068359375</v>
      </c>
      <c r="I1295" t="str">
        <f t="shared" si="41"/>
        <v>Pass - Ready for Confirmation</v>
      </c>
    </row>
    <row r="1296" spans="1:9" x14ac:dyDescent="0.3">
      <c r="A1296" t="str">
        <f>FO_Capture!A1296</f>
        <v>TRD01295</v>
      </c>
      <c r="B1296" t="str">
        <f>FO_Capture!B1296</f>
        <v>INE009A01062</v>
      </c>
      <c r="C1296" t="str">
        <f>IFERROR(VLOOKUP(FO_Capture!C1296, Reference_Data!A:D, 2, FALSE), "UNKNOWN")</f>
        <v>Alpha Capital 36</v>
      </c>
      <c r="D1296" t="str">
        <f>IFERROR(VLOOKUP(FO_Capture!C1296, Reference_Data!A:D, 3, FALSE), "XXX")</f>
        <v>JPY</v>
      </c>
      <c r="E1296" t="str">
        <f>IFERROR(VLOOKUP(FO_Capture!C1296, Reference_Data!A:D, 4, FALSE), "MISSING SSI")</f>
        <v>Citi A/C 359789</v>
      </c>
      <c r="F1296">
        <f>FO_Capture!D1296</f>
        <v>400</v>
      </c>
      <c r="G1296">
        <f>FO_Capture!E1296</f>
        <v>488.89999389648438</v>
      </c>
      <c r="H1296">
        <f t="shared" si="40"/>
        <v>195559.99755859375</v>
      </c>
      <c r="I1296" t="str">
        <f t="shared" si="41"/>
        <v>Pass - Ready for Confirmation</v>
      </c>
    </row>
    <row r="1297" spans="1:9" x14ac:dyDescent="0.3">
      <c r="A1297" t="str">
        <f>FO_Capture!A1297</f>
        <v>TRD01296</v>
      </c>
      <c r="B1297" t="str">
        <f>FO_Capture!B1297</f>
        <v>INE008A01051</v>
      </c>
      <c r="C1297" t="str">
        <f>IFERROR(VLOOKUP(FO_Capture!C1297, Reference_Data!A:D, 2, FALSE), "UNKNOWN")</f>
        <v>Alpha Investments 40</v>
      </c>
      <c r="D1297" t="str">
        <f>IFERROR(VLOOKUP(FO_Capture!C1297, Reference_Data!A:D, 3, FALSE), "XXX")</f>
        <v>GBP</v>
      </c>
      <c r="E1297" t="str">
        <f>IFERROR(VLOOKUP(FO_Capture!C1297, Reference_Data!A:D, 4, FALSE), "MISSING SSI")</f>
        <v>HDFC A/C 897530</v>
      </c>
      <c r="F1297">
        <f>FO_Capture!D1297</f>
        <v>170</v>
      </c>
      <c r="G1297">
        <f>FO_Capture!E1297</f>
        <v>490.260009765625</v>
      </c>
      <c r="H1297">
        <f t="shared" si="40"/>
        <v>83344.20166015625</v>
      </c>
      <c r="I1297" t="str">
        <f t="shared" si="41"/>
        <v>Pass - Ready for Confirmation</v>
      </c>
    </row>
    <row r="1298" spans="1:9" x14ac:dyDescent="0.3">
      <c r="A1298" t="str">
        <f>FO_Capture!A1298</f>
        <v>TRD01297</v>
      </c>
      <c r="B1298" t="str">
        <f>FO_Capture!B1298</f>
        <v>INE004A01050</v>
      </c>
      <c r="C1298" t="str">
        <f>IFERROR(VLOOKUP(FO_Capture!C1298, Reference_Data!A:D, 2, FALSE), "UNKNOWN")</f>
        <v>Alpha Holdings 23</v>
      </c>
      <c r="D1298" t="str">
        <f>IFERROR(VLOOKUP(FO_Capture!C1298, Reference_Data!A:D, 3, FALSE), "XXX")</f>
        <v>INR</v>
      </c>
      <c r="E1298" t="str">
        <f>IFERROR(VLOOKUP(FO_Capture!C1298, Reference_Data!A:D, 4, FALSE), "MISSING SSI")</f>
        <v>Deutsche Bank A/C 983712</v>
      </c>
      <c r="F1298">
        <f>FO_Capture!D1298</f>
        <v>220</v>
      </c>
      <c r="G1298">
        <f>FO_Capture!E1298</f>
        <v>219.39999389648438</v>
      </c>
      <c r="H1298">
        <f t="shared" si="40"/>
        <v>48267.998657226563</v>
      </c>
      <c r="I1298" t="str">
        <f t="shared" si="41"/>
        <v>Pass - Ready for Confirmation</v>
      </c>
    </row>
    <row r="1299" spans="1:9" x14ac:dyDescent="0.3">
      <c r="A1299" t="str">
        <f>FO_Capture!A1299</f>
        <v>TRD01298</v>
      </c>
      <c r="B1299" t="str">
        <f>FO_Capture!B1299</f>
        <v>INE004A0101</v>
      </c>
      <c r="C1299" t="str">
        <f>IFERROR(VLOOKUP(FO_Capture!C1299, Reference_Data!A:D, 2, FALSE), "UNKNOWN")</f>
        <v>Alpha Partners 18</v>
      </c>
      <c r="D1299" t="str">
        <f>IFERROR(VLOOKUP(FO_Capture!C1299, Reference_Data!A:D, 3, FALSE), "XXX")</f>
        <v>INR</v>
      </c>
      <c r="E1299" t="str">
        <f>IFERROR(VLOOKUP(FO_Capture!C1299, Reference_Data!A:D, 4, FALSE), "MISSING SSI")</f>
        <v>JPMorgan A/C 704166</v>
      </c>
      <c r="F1299">
        <f>FO_Capture!D1299</f>
        <v>70</v>
      </c>
      <c r="G1299">
        <f>FO_Capture!E1299</f>
        <v>296.69000244140625</v>
      </c>
      <c r="H1299">
        <f t="shared" si="40"/>
        <v>20768.300170898438</v>
      </c>
      <c r="I1299" t="str">
        <f t="shared" si="41"/>
        <v>Pass - Ready for Confirmation</v>
      </c>
    </row>
    <row r="1300" spans="1:9" x14ac:dyDescent="0.3">
      <c r="A1300" t="str">
        <f>FO_Capture!A1300</f>
        <v>TRD01299</v>
      </c>
      <c r="B1300" t="str">
        <f>FO_Capture!B1300</f>
        <v>INE005A01018</v>
      </c>
      <c r="C1300" t="str">
        <f>IFERROR(VLOOKUP(FO_Capture!C1300, Reference_Data!A:D, 2, FALSE), "UNKNOWN")</f>
        <v>Alpha Partners 48</v>
      </c>
      <c r="D1300" t="str">
        <f>IFERROR(VLOOKUP(FO_Capture!C1300, Reference_Data!A:D, 3, FALSE), "XXX")</f>
        <v>SGD</v>
      </c>
      <c r="E1300" t="str">
        <f>IFERROR(VLOOKUP(FO_Capture!C1300, Reference_Data!A:D, 4, FALSE), "MISSING SSI")</f>
        <v>JPMorgan A/C 391364</v>
      </c>
      <c r="F1300">
        <f>FO_Capture!D1300</f>
        <v>260</v>
      </c>
      <c r="G1300">
        <f>FO_Capture!E1300</f>
        <v>412.80999755859375</v>
      </c>
      <c r="H1300">
        <f t="shared" si="40"/>
        <v>107330.59936523438</v>
      </c>
      <c r="I1300" t="str">
        <f t="shared" si="41"/>
        <v>Pass - Ready for Confirmation</v>
      </c>
    </row>
    <row r="1301" spans="1:9" x14ac:dyDescent="0.3">
      <c r="A1301" t="str">
        <f>FO_Capture!A1301</f>
        <v>TRD01300</v>
      </c>
      <c r="B1301" t="str">
        <f>FO_Capture!B1301</f>
        <v>INE002A01046</v>
      </c>
      <c r="C1301" t="str">
        <f>IFERROR(VLOOKUP(FO_Capture!C1301, Reference_Data!A:D, 2, FALSE), "UNKNOWN")</f>
        <v>Alpha Asset Management 8</v>
      </c>
      <c r="D1301" t="str">
        <f>IFERROR(VLOOKUP(FO_Capture!C1301, Reference_Data!A:D, 3, FALSE), "XXX")</f>
        <v>GBP</v>
      </c>
      <c r="E1301" t="str">
        <f>IFERROR(VLOOKUP(FO_Capture!C1301, Reference_Data!A:D, 4, FALSE), "MISSING SSI")</f>
        <v>HDFC A/C 180445</v>
      </c>
      <c r="F1301">
        <f>FO_Capture!D1301</f>
        <v>30</v>
      </c>
      <c r="G1301">
        <f>FO_Capture!E1301</f>
        <v>78.75</v>
      </c>
      <c r="H1301">
        <f t="shared" si="40"/>
        <v>2362.5</v>
      </c>
      <c r="I1301" t="str">
        <f t="shared" si="41"/>
        <v>Pass - Ready for Confirmation</v>
      </c>
    </row>
    <row r="1302" spans="1:9" x14ac:dyDescent="0.3">
      <c r="A1302" t="str">
        <f>FO_Capture!A1302</f>
        <v>TRD01301</v>
      </c>
      <c r="B1302" t="str">
        <f>FO_Capture!B1302</f>
        <v>INE008A0104</v>
      </c>
      <c r="C1302" t="str">
        <f>IFERROR(VLOOKUP(FO_Capture!C1302, Reference_Data!A:D, 2, FALSE), "UNKNOWN")</f>
        <v>Alpha Partners 37</v>
      </c>
      <c r="D1302" t="str">
        <f>IFERROR(VLOOKUP(FO_Capture!C1302, Reference_Data!A:D, 3, FALSE), "XXX")</f>
        <v>JPY</v>
      </c>
      <c r="E1302" t="str">
        <f>IFERROR(VLOOKUP(FO_Capture!C1302, Reference_Data!A:D, 4, FALSE), "MISSING SSI")</f>
        <v>HSBC A/C 994063</v>
      </c>
      <c r="F1302">
        <f>FO_Capture!D1302</f>
        <v>-50</v>
      </c>
      <c r="G1302">
        <f>FO_Capture!E1302</f>
        <v>499.45999145507813</v>
      </c>
      <c r="H1302">
        <f t="shared" si="40"/>
        <v>-24972.999572753906</v>
      </c>
      <c r="I1302" t="str">
        <f t="shared" si="41"/>
        <v>Fail - Invalid Price/Qty</v>
      </c>
    </row>
    <row r="1303" spans="1:9" x14ac:dyDescent="0.3">
      <c r="A1303" t="str">
        <f>FO_Capture!A1303</f>
        <v>TRD01302</v>
      </c>
      <c r="B1303" t="str">
        <f>FO_Capture!B1303</f>
        <v>INE002A01072</v>
      </c>
      <c r="C1303" t="str">
        <f>IFERROR(VLOOKUP(FO_Capture!C1303, Reference_Data!A:D, 2, FALSE), "UNKNOWN")</f>
        <v>Alpha Global 20</v>
      </c>
      <c r="D1303" t="str">
        <f>IFERROR(VLOOKUP(FO_Capture!C1303, Reference_Data!A:D, 3, FALSE), "XXX")</f>
        <v>JPY</v>
      </c>
      <c r="E1303" t="str">
        <f>IFERROR(VLOOKUP(FO_Capture!C1303, Reference_Data!A:D, 4, FALSE), "MISSING SSI")</f>
        <v>Barclays A/C 560891</v>
      </c>
      <c r="F1303">
        <f>FO_Capture!D1303</f>
        <v>160</v>
      </c>
      <c r="G1303">
        <f>FO_Capture!E1303</f>
        <v>163.22000122070313</v>
      </c>
      <c r="H1303">
        <f t="shared" si="40"/>
        <v>26115.2001953125</v>
      </c>
      <c r="I1303" t="str">
        <f t="shared" si="41"/>
        <v>Pass - Ready for Confirmation</v>
      </c>
    </row>
    <row r="1304" spans="1:9" x14ac:dyDescent="0.3">
      <c r="A1304" t="str">
        <f>FO_Capture!A1304</f>
        <v>TRD01303</v>
      </c>
      <c r="B1304" t="str">
        <f>FO_Capture!B1304</f>
        <v>INE008A01038</v>
      </c>
      <c r="C1304" t="str">
        <f>IFERROR(VLOOKUP(FO_Capture!C1304, Reference_Data!A:D, 2, FALSE), "UNKNOWN")</f>
        <v>Alpha Partners 37</v>
      </c>
      <c r="D1304" t="str">
        <f>IFERROR(VLOOKUP(FO_Capture!C1304, Reference_Data!A:D, 3, FALSE), "XXX")</f>
        <v>JPY</v>
      </c>
      <c r="E1304" t="str">
        <f>IFERROR(VLOOKUP(FO_Capture!C1304, Reference_Data!A:D, 4, FALSE), "MISSING SSI")</f>
        <v>HSBC A/C 994063</v>
      </c>
      <c r="F1304">
        <f>FO_Capture!D1304</f>
        <v>160</v>
      </c>
      <c r="G1304">
        <f>FO_Capture!E1304</f>
        <v>41.029998779296875</v>
      </c>
      <c r="H1304">
        <f t="shared" si="40"/>
        <v>6564.7998046875</v>
      </c>
      <c r="I1304" t="str">
        <f t="shared" si="41"/>
        <v>Pass - Ready for Confirmation</v>
      </c>
    </row>
    <row r="1305" spans="1:9" x14ac:dyDescent="0.3">
      <c r="A1305" t="str">
        <f>FO_Capture!A1305</f>
        <v>TRD01304</v>
      </c>
      <c r="B1305" t="str">
        <f>FO_Capture!B1305</f>
        <v>INE008A0105</v>
      </c>
      <c r="C1305" t="str">
        <f>IFERROR(VLOOKUP(FO_Capture!C1305, Reference_Data!A:D, 2, FALSE), "UNKNOWN")</f>
        <v>Alpha Investments 29</v>
      </c>
      <c r="D1305" t="str">
        <f>IFERROR(VLOOKUP(FO_Capture!C1305, Reference_Data!A:D, 3, FALSE), "XXX")</f>
        <v>INR</v>
      </c>
      <c r="E1305" t="str">
        <f>IFERROR(VLOOKUP(FO_Capture!C1305, Reference_Data!A:D, 4, FALSE), "MISSING SSI")</f>
        <v>HSBC A/C 785870</v>
      </c>
      <c r="F1305">
        <f>FO_Capture!D1305</f>
        <v>70</v>
      </c>
      <c r="G1305">
        <f>FO_Capture!E1305</f>
        <v>165.3800048828125</v>
      </c>
      <c r="H1305">
        <f t="shared" si="40"/>
        <v>11576.600341796875</v>
      </c>
      <c r="I1305" t="str">
        <f t="shared" si="41"/>
        <v>Pass - Ready for Confirmation</v>
      </c>
    </row>
    <row r="1306" spans="1:9" x14ac:dyDescent="0.3">
      <c r="A1306" t="str">
        <f>FO_Capture!A1306</f>
        <v>TRD01305</v>
      </c>
      <c r="B1306" t="str">
        <f>FO_Capture!B1306</f>
        <v>INE005A01031</v>
      </c>
      <c r="C1306" t="str">
        <f>IFERROR(VLOOKUP(FO_Capture!C1306, Reference_Data!A:D, 2, FALSE), "UNKNOWN")</f>
        <v>Alpha Asset Management 8</v>
      </c>
      <c r="D1306" t="str">
        <f>IFERROR(VLOOKUP(FO_Capture!C1306, Reference_Data!A:D, 3, FALSE), "XXX")</f>
        <v>GBP</v>
      </c>
      <c r="E1306" t="str">
        <f>IFERROR(VLOOKUP(FO_Capture!C1306, Reference_Data!A:D, 4, FALSE), "MISSING SSI")</f>
        <v>HDFC A/C 180445</v>
      </c>
      <c r="F1306">
        <f>FO_Capture!D1306</f>
        <v>130</v>
      </c>
      <c r="G1306">
        <f>FO_Capture!E1306</f>
        <v>76.529998779296875</v>
      </c>
      <c r="H1306">
        <f t="shared" si="40"/>
        <v>9948.8998413085938</v>
      </c>
      <c r="I1306" t="str">
        <f t="shared" si="41"/>
        <v>Pass - Ready for Confirmation</v>
      </c>
    </row>
    <row r="1307" spans="1:9" x14ac:dyDescent="0.3">
      <c r="A1307" t="str">
        <f>FO_Capture!A1307</f>
        <v>TRD01306</v>
      </c>
      <c r="B1307" t="str">
        <f>FO_Capture!B1307</f>
        <v>INE001A01089</v>
      </c>
      <c r="C1307" t="str">
        <f>IFERROR(VLOOKUP(FO_Capture!C1307, Reference_Data!A:D, 2, FALSE), "UNKNOWN")</f>
        <v>Alpha Partners 1</v>
      </c>
      <c r="D1307" t="str">
        <f>IFERROR(VLOOKUP(FO_Capture!C1307, Reference_Data!A:D, 3, FALSE), "XXX")</f>
        <v>JPY</v>
      </c>
      <c r="E1307" t="str">
        <f>IFERROR(VLOOKUP(FO_Capture!C1307, Reference_Data!A:D, 4, FALSE), "MISSING SSI")</f>
        <v>Standard Chartered A/C 277005</v>
      </c>
      <c r="F1307">
        <f>FO_Capture!D1307</f>
        <v>480</v>
      </c>
      <c r="G1307">
        <f>FO_Capture!E1307</f>
        <v>72.599998474121094</v>
      </c>
      <c r="H1307">
        <f t="shared" si="40"/>
        <v>34847.999267578125</v>
      </c>
      <c r="I1307" t="str">
        <f t="shared" si="41"/>
        <v>Pass - Ready for Confirmation</v>
      </c>
    </row>
    <row r="1308" spans="1:9" x14ac:dyDescent="0.3">
      <c r="A1308" t="str">
        <f>FO_Capture!A1308</f>
        <v>TRD01307</v>
      </c>
      <c r="B1308" t="str">
        <f>FO_Capture!B1308</f>
        <v>INE003A01016</v>
      </c>
      <c r="C1308" t="str">
        <f>IFERROR(VLOOKUP(FO_Capture!C1308, Reference_Data!A:D, 2, FALSE), "UNKNOWN")</f>
        <v>Alpha Partners 22</v>
      </c>
      <c r="D1308" t="str">
        <f>IFERROR(VLOOKUP(FO_Capture!C1308, Reference_Data!A:D, 3, FALSE), "XXX")</f>
        <v>GBP</v>
      </c>
      <c r="E1308" t="str">
        <f>IFERROR(VLOOKUP(FO_Capture!C1308, Reference_Data!A:D, 4, FALSE), "MISSING SSI")</f>
        <v>JPMorgan A/C 488546</v>
      </c>
      <c r="F1308">
        <f>FO_Capture!D1308</f>
        <v>440</v>
      </c>
      <c r="G1308">
        <f>FO_Capture!E1308</f>
        <v>459.47000122070313</v>
      </c>
      <c r="H1308">
        <f t="shared" si="40"/>
        <v>202166.80053710938</v>
      </c>
      <c r="I1308" t="str">
        <f t="shared" si="41"/>
        <v>Pass - Ready for Confirmation</v>
      </c>
    </row>
    <row r="1309" spans="1:9" x14ac:dyDescent="0.3">
      <c r="A1309" t="str">
        <f>FO_Capture!A1309</f>
        <v>TRD01308</v>
      </c>
      <c r="B1309" t="str">
        <f>FO_Capture!B1309</f>
        <v>INE008A01062</v>
      </c>
      <c r="C1309" t="str">
        <f>IFERROR(VLOOKUP(FO_Capture!C1309, Reference_Data!A:D, 2, FALSE), "UNKNOWN")</f>
        <v>Alpha Quant Fund 50</v>
      </c>
      <c r="D1309" t="str">
        <f>IFERROR(VLOOKUP(FO_Capture!C1309, Reference_Data!A:D, 3, FALSE), "XXX")</f>
        <v>SGD</v>
      </c>
      <c r="E1309" t="str">
        <f>IFERROR(VLOOKUP(FO_Capture!C1309, Reference_Data!A:D, 4, FALSE), "MISSING SSI")</f>
        <v>Standard Chartered A/C 307017</v>
      </c>
      <c r="F1309">
        <f>FO_Capture!D1309</f>
        <v>240</v>
      </c>
      <c r="G1309">
        <f>FO_Capture!E1309</f>
        <v>300.8900146484375</v>
      </c>
      <c r="H1309">
        <f t="shared" si="40"/>
        <v>72213.603515625</v>
      </c>
      <c r="I1309" t="str">
        <f t="shared" si="41"/>
        <v>Pass - Ready for Confirmation</v>
      </c>
    </row>
    <row r="1310" spans="1:9" x14ac:dyDescent="0.3">
      <c r="A1310" t="str">
        <f>FO_Capture!A1310</f>
        <v>TRD01309</v>
      </c>
      <c r="B1310" t="str">
        <f>FO_Capture!B1310</f>
        <v>INE007A01041</v>
      </c>
      <c r="C1310" t="str">
        <f>IFERROR(VLOOKUP(FO_Capture!C1310, Reference_Data!A:D, 2, FALSE), "UNKNOWN")</f>
        <v>Alpha Quant Fund 50</v>
      </c>
      <c r="D1310" t="str">
        <f>IFERROR(VLOOKUP(FO_Capture!C1310, Reference_Data!A:D, 3, FALSE), "XXX")</f>
        <v>SGD</v>
      </c>
      <c r="E1310" t="str">
        <f>IFERROR(VLOOKUP(FO_Capture!C1310, Reference_Data!A:D, 4, FALSE), "MISSING SSI")</f>
        <v>Standard Chartered A/C 307017</v>
      </c>
      <c r="F1310">
        <f>FO_Capture!D1310</f>
        <v>280</v>
      </c>
      <c r="G1310">
        <f>FO_Capture!E1310</f>
        <v>168.3699951171875</v>
      </c>
      <c r="H1310">
        <f t="shared" si="40"/>
        <v>47143.5986328125</v>
      </c>
      <c r="I1310" t="str">
        <f t="shared" si="41"/>
        <v>Pass - Ready for Confirmation</v>
      </c>
    </row>
    <row r="1311" spans="1:9" x14ac:dyDescent="0.3">
      <c r="A1311" t="str">
        <f>FO_Capture!A1311</f>
        <v>TRD01310</v>
      </c>
      <c r="B1311" t="str">
        <f>FO_Capture!B1311</f>
        <v>INE002A01083</v>
      </c>
      <c r="C1311" t="str">
        <f>IFERROR(VLOOKUP(FO_Capture!C1311, Reference_Data!A:D, 2, FALSE), "UNKNOWN")</f>
        <v>Alpha Global 2</v>
      </c>
      <c r="D1311" t="str">
        <f>IFERROR(VLOOKUP(FO_Capture!C1311, Reference_Data!A:D, 3, FALSE), "XXX")</f>
        <v>GBP</v>
      </c>
      <c r="E1311" t="str">
        <f>IFERROR(VLOOKUP(FO_Capture!C1311, Reference_Data!A:D, 4, FALSE), "MISSING SSI")</f>
        <v>JPMorgan A/C 582379</v>
      </c>
      <c r="F1311">
        <f>FO_Capture!D1311</f>
        <v>360</v>
      </c>
      <c r="G1311">
        <f>FO_Capture!E1311</f>
        <v>391.26998901367188</v>
      </c>
      <c r="H1311">
        <f t="shared" si="40"/>
        <v>140857.19604492188</v>
      </c>
      <c r="I1311" t="str">
        <f t="shared" si="41"/>
        <v>Pass - Ready for Confirmation</v>
      </c>
    </row>
    <row r="1312" spans="1:9" x14ac:dyDescent="0.3">
      <c r="A1312" t="str">
        <f>FO_Capture!A1312</f>
        <v>TRD01311</v>
      </c>
      <c r="B1312" t="str">
        <f>FO_Capture!B1312</f>
        <v>INE006A01080</v>
      </c>
      <c r="C1312" t="str">
        <f>IFERROR(VLOOKUP(FO_Capture!C1312, Reference_Data!A:D, 2, FALSE), "UNKNOWN")</f>
        <v>Alpha Holdings 23</v>
      </c>
      <c r="D1312" t="str">
        <f>IFERROR(VLOOKUP(FO_Capture!C1312, Reference_Data!A:D, 3, FALSE), "XXX")</f>
        <v>INR</v>
      </c>
      <c r="E1312" t="str">
        <f>IFERROR(VLOOKUP(FO_Capture!C1312, Reference_Data!A:D, 4, FALSE), "MISSING SSI")</f>
        <v>Deutsche Bank A/C 983712</v>
      </c>
      <c r="F1312">
        <f>FO_Capture!D1312</f>
        <v>450</v>
      </c>
      <c r="G1312">
        <f>FO_Capture!E1312</f>
        <v>306.75</v>
      </c>
      <c r="H1312">
        <f t="shared" si="40"/>
        <v>138037.5</v>
      </c>
      <c r="I1312" t="str">
        <f t="shared" si="41"/>
        <v>Pass - Ready for Confirmation</v>
      </c>
    </row>
    <row r="1313" spans="1:9" x14ac:dyDescent="0.3">
      <c r="A1313" t="str">
        <f>FO_Capture!A1313</f>
        <v>TRD01312</v>
      </c>
      <c r="B1313" t="str">
        <f>FO_Capture!B1313</f>
        <v>INE005A01040</v>
      </c>
      <c r="C1313" t="str">
        <f>IFERROR(VLOOKUP(FO_Capture!C1313, Reference_Data!A:D, 2, FALSE), "UNKNOWN")</f>
        <v>Alpha Global 45</v>
      </c>
      <c r="D1313" t="str">
        <f>IFERROR(VLOOKUP(FO_Capture!C1313, Reference_Data!A:D, 3, FALSE), "XXX")</f>
        <v>EUR</v>
      </c>
      <c r="E1313" t="str">
        <f>IFERROR(VLOOKUP(FO_Capture!C1313, Reference_Data!A:D, 4, FALSE), "MISSING SSI")</f>
        <v>HSBC A/C 540659</v>
      </c>
      <c r="F1313">
        <f>FO_Capture!D1313</f>
        <v>440</v>
      </c>
      <c r="G1313">
        <f>FO_Capture!E1313</f>
        <v>509.760009765625</v>
      </c>
      <c r="H1313">
        <f t="shared" si="40"/>
        <v>224294.404296875</v>
      </c>
      <c r="I1313" t="str">
        <f t="shared" si="41"/>
        <v>Pass - Ready for Confirmation</v>
      </c>
    </row>
    <row r="1314" spans="1:9" x14ac:dyDescent="0.3">
      <c r="A1314" t="str">
        <f>FO_Capture!A1314</f>
        <v>TRD01313</v>
      </c>
      <c r="B1314" t="str">
        <f>FO_Capture!B1314</f>
        <v>INE008A01033</v>
      </c>
      <c r="C1314" t="str">
        <f>IFERROR(VLOOKUP(FO_Capture!C1314, Reference_Data!A:D, 2, FALSE), "UNKNOWN")</f>
        <v>Alpha Capital 36</v>
      </c>
      <c r="D1314" t="str">
        <f>IFERROR(VLOOKUP(FO_Capture!C1314, Reference_Data!A:D, 3, FALSE), "XXX")</f>
        <v>JPY</v>
      </c>
      <c r="E1314" t="str">
        <f>IFERROR(VLOOKUP(FO_Capture!C1314, Reference_Data!A:D, 4, FALSE), "MISSING SSI")</f>
        <v>Citi A/C 359789</v>
      </c>
      <c r="F1314">
        <f>FO_Capture!D1314</f>
        <v>370</v>
      </c>
      <c r="G1314">
        <f>FO_Capture!E1314</f>
        <v>103.11000061035156</v>
      </c>
      <c r="H1314">
        <f t="shared" si="40"/>
        <v>38150.700225830078</v>
      </c>
      <c r="I1314" t="str">
        <f t="shared" si="41"/>
        <v>Pass - Ready for Confirmation</v>
      </c>
    </row>
    <row r="1315" spans="1:9" x14ac:dyDescent="0.3">
      <c r="A1315" t="str">
        <f>FO_Capture!A1315</f>
        <v>TRD01314</v>
      </c>
      <c r="B1315" t="str">
        <f>FO_Capture!B1315</f>
        <v>INE004A01044</v>
      </c>
      <c r="C1315" t="str">
        <f>IFERROR(VLOOKUP(FO_Capture!C1315, Reference_Data!A:D, 2, FALSE), "UNKNOWN")</f>
        <v>Alpha Global 30</v>
      </c>
      <c r="D1315" t="str">
        <f>IFERROR(VLOOKUP(FO_Capture!C1315, Reference_Data!A:D, 3, FALSE), "XXX")</f>
        <v>JPY</v>
      </c>
      <c r="E1315" t="str">
        <f>IFERROR(VLOOKUP(FO_Capture!C1315, Reference_Data!A:D, 4, FALSE), "MISSING SSI")</f>
        <v>Deutsche Bank A/C 917262</v>
      </c>
      <c r="F1315">
        <f>FO_Capture!D1315</f>
        <v>210</v>
      </c>
      <c r="G1315">
        <f>FO_Capture!E1315</f>
        <v>447.3800048828125</v>
      </c>
      <c r="H1315">
        <f t="shared" si="40"/>
        <v>93949.801025390625</v>
      </c>
      <c r="I1315" t="str">
        <f t="shared" si="41"/>
        <v>Pass - Ready for Confirmation</v>
      </c>
    </row>
    <row r="1316" spans="1:9" x14ac:dyDescent="0.3">
      <c r="A1316" t="str">
        <f>FO_Capture!A1316</f>
        <v>TRD01315</v>
      </c>
      <c r="B1316" t="str">
        <f>FO_Capture!B1316</f>
        <v>INE007A01023</v>
      </c>
      <c r="C1316" t="str">
        <f>IFERROR(VLOOKUP(FO_Capture!C1316, Reference_Data!A:D, 2, FALSE), "UNKNOWN")</f>
        <v>Alpha Holdings 47</v>
      </c>
      <c r="D1316" t="str">
        <f>IFERROR(VLOOKUP(FO_Capture!C1316, Reference_Data!A:D, 3, FALSE), "XXX")</f>
        <v>GBP</v>
      </c>
      <c r="E1316" t="str">
        <f>IFERROR(VLOOKUP(FO_Capture!C1316, Reference_Data!A:D, 4, FALSE), "MISSING SSI")</f>
        <v>Citi A/C 703401</v>
      </c>
      <c r="F1316">
        <f>FO_Capture!D1316</f>
        <v>80</v>
      </c>
      <c r="G1316">
        <f>FO_Capture!E1316</f>
        <v>410.98001098632813</v>
      </c>
      <c r="H1316">
        <f t="shared" si="40"/>
        <v>32878.40087890625</v>
      </c>
      <c r="I1316" t="str">
        <f t="shared" si="41"/>
        <v>Pass - Ready for Confirmation</v>
      </c>
    </row>
    <row r="1317" spans="1:9" x14ac:dyDescent="0.3">
      <c r="A1317" t="str">
        <f>FO_Capture!A1317</f>
        <v>TRD01316</v>
      </c>
      <c r="B1317" t="str">
        <f>FO_Capture!B1317</f>
        <v>INE008A01032</v>
      </c>
      <c r="C1317" t="str">
        <f>IFERROR(VLOOKUP(FO_Capture!C1317, Reference_Data!A:D, 2, FALSE), "UNKNOWN")</f>
        <v>Alpha Holdings 21</v>
      </c>
      <c r="D1317" t="str">
        <f>IFERROR(VLOOKUP(FO_Capture!C1317, Reference_Data!A:D, 3, FALSE), "XXX")</f>
        <v>SGD</v>
      </c>
      <c r="E1317" t="str">
        <f>IFERROR(VLOOKUP(FO_Capture!C1317, Reference_Data!A:D, 4, FALSE), "MISSING SSI")</f>
        <v>HSBC A/C 562956</v>
      </c>
      <c r="F1317">
        <f>FO_Capture!D1317</f>
        <v>30</v>
      </c>
      <c r="G1317">
        <f>FO_Capture!E1317</f>
        <v>120.12999725341797</v>
      </c>
      <c r="H1317">
        <f t="shared" si="40"/>
        <v>3603.8999176025391</v>
      </c>
      <c r="I1317" t="str">
        <f t="shared" si="41"/>
        <v>Pass - Ready for Confirmation</v>
      </c>
    </row>
    <row r="1318" spans="1:9" x14ac:dyDescent="0.3">
      <c r="A1318" t="str">
        <f>FO_Capture!A1318</f>
        <v>TRD01317</v>
      </c>
      <c r="B1318" t="str">
        <f>FO_Capture!B1318</f>
        <v>INE007A01097</v>
      </c>
      <c r="C1318" t="str">
        <f>IFERROR(VLOOKUP(FO_Capture!C1318, Reference_Data!A:D, 2, FALSE), "UNKNOWN")</f>
        <v>Alpha Quant Fund 24</v>
      </c>
      <c r="D1318" t="str">
        <f>IFERROR(VLOOKUP(FO_Capture!C1318, Reference_Data!A:D, 3, FALSE), "XXX")</f>
        <v>SGD</v>
      </c>
      <c r="E1318" t="str">
        <f>IFERROR(VLOOKUP(FO_Capture!C1318, Reference_Data!A:D, 4, FALSE), "MISSING SSI")</f>
        <v>JPMorgan A/C 603587</v>
      </c>
      <c r="F1318">
        <f>FO_Capture!D1318</f>
        <v>270</v>
      </c>
      <c r="G1318">
        <f>FO_Capture!E1318</f>
        <v>208.86000061035156</v>
      </c>
      <c r="H1318">
        <f t="shared" si="40"/>
        <v>56392.200164794922</v>
      </c>
      <c r="I1318" t="str">
        <f t="shared" si="41"/>
        <v>Pass - Ready for Confirmation</v>
      </c>
    </row>
    <row r="1319" spans="1:9" x14ac:dyDescent="0.3">
      <c r="A1319" t="str">
        <f>FO_Capture!A1319</f>
        <v>TRD01318</v>
      </c>
      <c r="B1319" t="str">
        <f>FO_Capture!B1319</f>
        <v>INE009A01063</v>
      </c>
      <c r="C1319" t="str">
        <f>IFERROR(VLOOKUP(FO_Capture!C1319, Reference_Data!A:D, 2, FALSE), "UNKNOWN")</f>
        <v>Alpha Investments 43</v>
      </c>
      <c r="D1319" t="str">
        <f>IFERROR(VLOOKUP(FO_Capture!C1319, Reference_Data!A:D, 3, FALSE), "XXX")</f>
        <v>EUR</v>
      </c>
      <c r="E1319" t="str">
        <f>IFERROR(VLOOKUP(FO_Capture!C1319, Reference_Data!A:D, 4, FALSE), "MISSING SSI")</f>
        <v>Citi A/C 714496</v>
      </c>
      <c r="F1319">
        <f>FO_Capture!D1319</f>
        <v>410</v>
      </c>
      <c r="G1319">
        <f>FO_Capture!E1319</f>
        <v>69.029998779296875</v>
      </c>
      <c r="H1319">
        <f t="shared" si="40"/>
        <v>28302.299499511719</v>
      </c>
      <c r="I1319" t="str">
        <f t="shared" si="41"/>
        <v>Pass - Ready for Confirmation</v>
      </c>
    </row>
    <row r="1320" spans="1:9" x14ac:dyDescent="0.3">
      <c r="A1320" t="str">
        <f>FO_Capture!A1320</f>
        <v>TRD01319</v>
      </c>
      <c r="B1320" t="str">
        <f>FO_Capture!B1320</f>
        <v>INE006A01033</v>
      </c>
      <c r="C1320" t="str">
        <f>IFERROR(VLOOKUP(FO_Capture!C1320, Reference_Data!A:D, 2, FALSE), "UNKNOWN")</f>
        <v>Alpha Partners 1</v>
      </c>
      <c r="D1320" t="str">
        <f>IFERROR(VLOOKUP(FO_Capture!C1320, Reference_Data!A:D, 3, FALSE), "XXX")</f>
        <v>JPY</v>
      </c>
      <c r="E1320" t="str">
        <f>IFERROR(VLOOKUP(FO_Capture!C1320, Reference_Data!A:D, 4, FALSE), "MISSING SSI")</f>
        <v>Standard Chartered A/C 277005</v>
      </c>
      <c r="F1320">
        <f>FO_Capture!D1320</f>
        <v>230</v>
      </c>
      <c r="G1320">
        <f>FO_Capture!E1320</f>
        <v>100.29000091552734</v>
      </c>
      <c r="H1320">
        <f t="shared" si="40"/>
        <v>23066.700210571289</v>
      </c>
      <c r="I1320" t="str">
        <f t="shared" si="41"/>
        <v>Pass - Ready for Confirmation</v>
      </c>
    </row>
    <row r="1321" spans="1:9" x14ac:dyDescent="0.3">
      <c r="A1321" t="str">
        <f>FO_Capture!A1321</f>
        <v>TRD01320</v>
      </c>
      <c r="B1321" t="str">
        <f>FO_Capture!B1321</f>
        <v>INE009A01026</v>
      </c>
      <c r="C1321" t="str">
        <f>IFERROR(VLOOKUP(FO_Capture!C1321, Reference_Data!A:D, 2, FALSE), "UNKNOWN")</f>
        <v>Alpha Capital 36</v>
      </c>
      <c r="D1321" t="str">
        <f>IFERROR(VLOOKUP(FO_Capture!C1321, Reference_Data!A:D, 3, FALSE), "XXX")</f>
        <v>JPY</v>
      </c>
      <c r="E1321" t="str">
        <f>IFERROR(VLOOKUP(FO_Capture!C1321, Reference_Data!A:D, 4, FALSE), "MISSING SSI")</f>
        <v>Citi A/C 359789</v>
      </c>
      <c r="F1321">
        <f>FO_Capture!D1321</f>
        <v>430</v>
      </c>
      <c r="G1321">
        <f>FO_Capture!E1321</f>
        <v>460.10000610351563</v>
      </c>
      <c r="H1321">
        <f t="shared" si="40"/>
        <v>197843.00262451172</v>
      </c>
      <c r="I1321" t="str">
        <f t="shared" si="41"/>
        <v>Pass - Ready for Confirmation</v>
      </c>
    </row>
    <row r="1322" spans="1:9" x14ac:dyDescent="0.3">
      <c r="A1322" t="str">
        <f>FO_Capture!A1322</f>
        <v>TRD01321</v>
      </c>
      <c r="B1322" t="str">
        <f>FO_Capture!B1322</f>
        <v>INE005A01026</v>
      </c>
      <c r="C1322" t="str">
        <f>IFERROR(VLOOKUP(FO_Capture!C1322, Reference_Data!A:D, 2, FALSE), "UNKNOWN")</f>
        <v>Alpha Partners 22</v>
      </c>
      <c r="D1322" t="str">
        <f>IFERROR(VLOOKUP(FO_Capture!C1322, Reference_Data!A:D, 3, FALSE), "XXX")</f>
        <v>GBP</v>
      </c>
      <c r="E1322" t="str">
        <f>IFERROR(VLOOKUP(FO_Capture!C1322, Reference_Data!A:D, 4, FALSE), "MISSING SSI")</f>
        <v>JPMorgan A/C 488546</v>
      </c>
      <c r="F1322">
        <f>FO_Capture!D1322</f>
        <v>380</v>
      </c>
      <c r="G1322">
        <f>FO_Capture!E1322</f>
        <v>313.760009765625</v>
      </c>
      <c r="H1322">
        <f t="shared" si="40"/>
        <v>119228.8037109375</v>
      </c>
      <c r="I1322" t="str">
        <f t="shared" si="41"/>
        <v>Pass - Ready for Confirmation</v>
      </c>
    </row>
    <row r="1323" spans="1:9" x14ac:dyDescent="0.3">
      <c r="A1323" t="str">
        <f>FO_Capture!A1323</f>
        <v>TRD01322</v>
      </c>
      <c r="B1323" t="str">
        <f>FO_Capture!B1323</f>
        <v>INE006A01031</v>
      </c>
      <c r="C1323" t="str">
        <f>IFERROR(VLOOKUP(FO_Capture!C1323, Reference_Data!A:D, 2, FALSE), "UNKNOWN")</f>
        <v>Alpha Holdings 49</v>
      </c>
      <c r="D1323" t="str">
        <f>IFERROR(VLOOKUP(FO_Capture!C1323, Reference_Data!A:D, 3, FALSE), "XXX")</f>
        <v>JPY</v>
      </c>
      <c r="E1323" t="str">
        <f>IFERROR(VLOOKUP(FO_Capture!C1323, Reference_Data!A:D, 4, FALSE), "MISSING SSI")</f>
        <v>HDFC A/C 679335</v>
      </c>
      <c r="F1323">
        <f>FO_Capture!D1323</f>
        <v>350</v>
      </c>
      <c r="G1323">
        <f>FO_Capture!E1323</f>
        <v>84.360000610351563</v>
      </c>
      <c r="H1323">
        <f t="shared" si="40"/>
        <v>29526.000213623047</v>
      </c>
      <c r="I1323" t="str">
        <f t="shared" si="41"/>
        <v>Pass - Ready for Confirmation</v>
      </c>
    </row>
    <row r="1324" spans="1:9" x14ac:dyDescent="0.3">
      <c r="A1324" t="str">
        <f>FO_Capture!A1324</f>
        <v>TRD01323</v>
      </c>
      <c r="B1324" t="str">
        <f>FO_Capture!B1324</f>
        <v>INE005A0102</v>
      </c>
      <c r="C1324" t="str">
        <f>IFERROR(VLOOKUP(FO_Capture!C1324, Reference_Data!A:D, 2, FALSE), "UNKNOWN")</f>
        <v>Alpha Capital 44</v>
      </c>
      <c r="D1324" t="str">
        <f>IFERROR(VLOOKUP(FO_Capture!C1324, Reference_Data!A:D, 3, FALSE), "XXX")</f>
        <v>INR</v>
      </c>
      <c r="E1324" t="str">
        <f>IFERROR(VLOOKUP(FO_Capture!C1324, Reference_Data!A:D, 4, FALSE), "MISSING SSI")</f>
        <v>Deutsche Bank A/C 428758</v>
      </c>
      <c r="F1324">
        <f>FO_Capture!D1324</f>
        <v>25000</v>
      </c>
      <c r="G1324">
        <f>FO_Capture!E1324</f>
        <v>282.08999633789063</v>
      </c>
      <c r="H1324">
        <f t="shared" si="40"/>
        <v>7052249.9084472656</v>
      </c>
      <c r="I1324" t="str">
        <f t="shared" si="41"/>
        <v>Exception - Limit Breach</v>
      </c>
    </row>
    <row r="1325" spans="1:9" x14ac:dyDescent="0.3">
      <c r="A1325" t="str">
        <f>FO_Capture!A1325</f>
        <v>TRD01324</v>
      </c>
      <c r="B1325" t="str">
        <f>FO_Capture!B1325</f>
        <v>INE004A01084</v>
      </c>
      <c r="C1325" t="str">
        <f>IFERROR(VLOOKUP(FO_Capture!C1325, Reference_Data!A:D, 2, FALSE), "UNKNOWN")</f>
        <v>Alpha Partners 6</v>
      </c>
      <c r="D1325" t="str">
        <f>IFERROR(VLOOKUP(FO_Capture!C1325, Reference_Data!A:D, 3, FALSE), "XXX")</f>
        <v>INR</v>
      </c>
      <c r="E1325" t="str">
        <f>IFERROR(VLOOKUP(FO_Capture!C1325, Reference_Data!A:D, 4, FALSE), "MISSING SSI")</f>
        <v>Standard Chartered A/C 441247</v>
      </c>
      <c r="F1325">
        <f>FO_Capture!D1325</f>
        <v>20</v>
      </c>
      <c r="G1325">
        <f>FO_Capture!E1325</f>
        <v>23.469999313354492</v>
      </c>
      <c r="H1325">
        <f t="shared" si="40"/>
        <v>469.39998626708984</v>
      </c>
      <c r="I1325" t="str">
        <f t="shared" si="41"/>
        <v>Pass - Ready for Confirmation</v>
      </c>
    </row>
    <row r="1326" spans="1:9" x14ac:dyDescent="0.3">
      <c r="A1326" t="str">
        <f>FO_Capture!A1326</f>
        <v>TRD01325</v>
      </c>
      <c r="B1326" t="str">
        <f>FO_Capture!B1326</f>
        <v>INE007A01014</v>
      </c>
      <c r="C1326" t="str">
        <f>IFERROR(VLOOKUP(FO_Capture!C1326, Reference_Data!A:D, 2, FALSE), "UNKNOWN")</f>
        <v>Alpha Holdings 16</v>
      </c>
      <c r="D1326" t="str">
        <f>IFERROR(VLOOKUP(FO_Capture!C1326, Reference_Data!A:D, 3, FALSE), "XXX")</f>
        <v>USD</v>
      </c>
      <c r="E1326" t="str">
        <f>IFERROR(VLOOKUP(FO_Capture!C1326, Reference_Data!A:D, 4, FALSE), "MISSING SSI")</f>
        <v>Barclays A/C 197229</v>
      </c>
      <c r="F1326">
        <f>FO_Capture!D1326</f>
        <v>180</v>
      </c>
      <c r="G1326">
        <f>FO_Capture!E1326</f>
        <v>96</v>
      </c>
      <c r="H1326">
        <f t="shared" si="40"/>
        <v>17280</v>
      </c>
      <c r="I1326" t="str">
        <f t="shared" si="41"/>
        <v>Pass - Ready for Confirmation</v>
      </c>
    </row>
    <row r="1327" spans="1:9" x14ac:dyDescent="0.3">
      <c r="A1327" t="str">
        <f>FO_Capture!A1327</f>
        <v>TRD01326</v>
      </c>
      <c r="B1327" t="str">
        <f>FO_Capture!B1327</f>
        <v>INE005A01068</v>
      </c>
      <c r="C1327" t="str">
        <f>IFERROR(VLOOKUP(FO_Capture!C1327, Reference_Data!A:D, 2, FALSE), "UNKNOWN")</f>
        <v>Alpha Quant Fund 12</v>
      </c>
      <c r="D1327" t="str">
        <f>IFERROR(VLOOKUP(FO_Capture!C1327, Reference_Data!A:D, 3, FALSE), "XXX")</f>
        <v>EUR</v>
      </c>
      <c r="E1327" t="str">
        <f>IFERROR(VLOOKUP(FO_Capture!C1327, Reference_Data!A:D, 4, FALSE), "MISSING SSI")</f>
        <v>Deutsche Bank A/C 324710</v>
      </c>
      <c r="F1327">
        <f>FO_Capture!D1327</f>
        <v>250</v>
      </c>
      <c r="G1327">
        <f>FO_Capture!E1327</f>
        <v>431.57998657226563</v>
      </c>
      <c r="H1327">
        <f t="shared" si="40"/>
        <v>107894.99664306641</v>
      </c>
      <c r="I1327" t="str">
        <f t="shared" si="41"/>
        <v>Pass - Ready for Confirmation</v>
      </c>
    </row>
    <row r="1328" spans="1:9" x14ac:dyDescent="0.3">
      <c r="A1328" t="str">
        <f>FO_Capture!A1328</f>
        <v>TRD01327</v>
      </c>
      <c r="B1328" t="str">
        <f>FO_Capture!B1328</f>
        <v>INE006A01023</v>
      </c>
      <c r="C1328" t="str">
        <f>IFERROR(VLOOKUP(FO_Capture!C1328, Reference_Data!A:D, 2, FALSE), "UNKNOWN")</f>
        <v>Alpha Holdings 41</v>
      </c>
      <c r="D1328" t="str">
        <f>IFERROR(VLOOKUP(FO_Capture!C1328, Reference_Data!A:D, 3, FALSE), "XXX")</f>
        <v>JPY</v>
      </c>
      <c r="E1328" t="str">
        <f>IFERROR(VLOOKUP(FO_Capture!C1328, Reference_Data!A:D, 4, FALSE), "MISSING SSI")</f>
        <v>HSBC A/C 468615</v>
      </c>
      <c r="F1328">
        <f>FO_Capture!D1328</f>
        <v>460</v>
      </c>
      <c r="G1328">
        <f>FO_Capture!E1328</f>
        <v>126.12999725341797</v>
      </c>
      <c r="H1328">
        <f t="shared" si="40"/>
        <v>58019.798736572266</v>
      </c>
      <c r="I1328" t="str">
        <f t="shared" si="41"/>
        <v>Pass - Ready for Confirmation</v>
      </c>
    </row>
    <row r="1329" spans="1:9" x14ac:dyDescent="0.3">
      <c r="A1329" t="str">
        <f>FO_Capture!A1329</f>
        <v>TRD01328</v>
      </c>
      <c r="B1329" t="str">
        <f>FO_Capture!B1329</f>
        <v>INE001A01053</v>
      </c>
      <c r="C1329" t="str">
        <f>IFERROR(VLOOKUP(FO_Capture!C1329, Reference_Data!A:D, 2, FALSE), "UNKNOWN")</f>
        <v>Alpha Asset Management 32</v>
      </c>
      <c r="D1329" t="str">
        <f>IFERROR(VLOOKUP(FO_Capture!C1329, Reference_Data!A:D, 3, FALSE), "XXX")</f>
        <v>INR</v>
      </c>
      <c r="E1329" t="str">
        <f>IFERROR(VLOOKUP(FO_Capture!C1329, Reference_Data!A:D, 4, FALSE), "MISSING SSI")</f>
        <v>Barclays A/C 302646</v>
      </c>
      <c r="F1329">
        <f>FO_Capture!D1329</f>
        <v>210</v>
      </c>
      <c r="G1329">
        <f>FO_Capture!E1329</f>
        <v>189.69000244140625</v>
      </c>
      <c r="H1329">
        <f t="shared" si="40"/>
        <v>39834.900512695313</v>
      </c>
      <c r="I1329" t="str">
        <f t="shared" si="41"/>
        <v>Pass - Ready for Confirmation</v>
      </c>
    </row>
    <row r="1330" spans="1:9" x14ac:dyDescent="0.3">
      <c r="A1330" t="str">
        <f>FO_Capture!A1330</f>
        <v>TRD01329</v>
      </c>
      <c r="B1330" t="str">
        <f>FO_Capture!B1330</f>
        <v>INE003A01074</v>
      </c>
      <c r="C1330" t="str">
        <f>IFERROR(VLOOKUP(FO_Capture!C1330, Reference_Data!A:D, 2, FALSE), "UNKNOWN")</f>
        <v>Alpha Global 14</v>
      </c>
      <c r="D1330" t="str">
        <f>IFERROR(VLOOKUP(FO_Capture!C1330, Reference_Data!A:D, 3, FALSE), "XXX")</f>
        <v>USD</v>
      </c>
      <c r="E1330" t="str">
        <f>IFERROR(VLOOKUP(FO_Capture!C1330, Reference_Data!A:D, 4, FALSE), "MISSING SSI")</f>
        <v>HSBC A/C 864249</v>
      </c>
      <c r="F1330">
        <f>FO_Capture!D1330</f>
        <v>370</v>
      </c>
      <c r="G1330">
        <f>FO_Capture!E1330</f>
        <v>296.30999755859375</v>
      </c>
      <c r="H1330">
        <f t="shared" si="40"/>
        <v>109634.69909667969</v>
      </c>
      <c r="I1330" t="str">
        <f t="shared" si="41"/>
        <v>Pass - Ready for Confirmation</v>
      </c>
    </row>
    <row r="1331" spans="1:9" x14ac:dyDescent="0.3">
      <c r="A1331" t="str">
        <f>FO_Capture!A1331</f>
        <v>TRD01330</v>
      </c>
      <c r="B1331" t="str">
        <f>FO_Capture!B1331</f>
        <v>INE006A0103</v>
      </c>
      <c r="C1331" t="str">
        <f>IFERROR(VLOOKUP(FO_Capture!C1331, Reference_Data!A:D, 2, FALSE), "UNKNOWN")</f>
        <v>Alpha Holdings 49</v>
      </c>
      <c r="D1331" t="str">
        <f>IFERROR(VLOOKUP(FO_Capture!C1331, Reference_Data!A:D, 3, FALSE), "XXX")</f>
        <v>JPY</v>
      </c>
      <c r="E1331" t="str">
        <f>IFERROR(VLOOKUP(FO_Capture!C1331, Reference_Data!A:D, 4, FALSE), "MISSING SSI")</f>
        <v>HDFC A/C 679335</v>
      </c>
      <c r="F1331">
        <f>FO_Capture!D1331</f>
        <v>490</v>
      </c>
      <c r="G1331">
        <f>FO_Capture!E1331</f>
        <v>34.130001068115234</v>
      </c>
      <c r="H1331">
        <f t="shared" si="40"/>
        <v>16723.700523376465</v>
      </c>
      <c r="I1331" t="str">
        <f t="shared" si="41"/>
        <v>Pass - Ready for Confirmation</v>
      </c>
    </row>
    <row r="1332" spans="1:9" x14ac:dyDescent="0.3">
      <c r="A1332" t="str">
        <f>FO_Capture!A1332</f>
        <v>TRD01331</v>
      </c>
      <c r="B1332" t="str">
        <f>FO_Capture!B1332</f>
        <v>INE002A01094</v>
      </c>
      <c r="C1332" t="str">
        <f>IFERROR(VLOOKUP(FO_Capture!C1332, Reference_Data!A:D, 2, FALSE), "UNKNOWN")</f>
        <v>Alpha Holdings 49</v>
      </c>
      <c r="D1332" t="str">
        <f>IFERROR(VLOOKUP(FO_Capture!C1332, Reference_Data!A:D, 3, FALSE), "XXX")</f>
        <v>JPY</v>
      </c>
      <c r="E1332" t="str">
        <f>IFERROR(VLOOKUP(FO_Capture!C1332, Reference_Data!A:D, 4, FALSE), "MISSING SSI")</f>
        <v>HDFC A/C 679335</v>
      </c>
      <c r="F1332">
        <f>FO_Capture!D1332</f>
        <v>60</v>
      </c>
      <c r="G1332">
        <f>FO_Capture!E1332</f>
        <v>155.35000610351563</v>
      </c>
      <c r="H1332">
        <f t="shared" si="40"/>
        <v>9321.0003662109375</v>
      </c>
      <c r="I1332" t="str">
        <f t="shared" si="41"/>
        <v>Pass - Ready for Confirmation</v>
      </c>
    </row>
    <row r="1333" spans="1:9" x14ac:dyDescent="0.3">
      <c r="A1333" t="str">
        <f>FO_Capture!A1333</f>
        <v>TRD01332</v>
      </c>
      <c r="B1333" t="str">
        <f>FO_Capture!B1333</f>
        <v>INE009A0105</v>
      </c>
      <c r="C1333" t="str">
        <f>IFERROR(VLOOKUP(FO_Capture!C1333, Reference_Data!A:D, 2, FALSE), "UNKNOWN")</f>
        <v>Alpha Asset Management 8</v>
      </c>
      <c r="D1333" t="str">
        <f>IFERROR(VLOOKUP(FO_Capture!C1333, Reference_Data!A:D, 3, FALSE), "XXX")</f>
        <v>GBP</v>
      </c>
      <c r="E1333" t="str">
        <f>IFERROR(VLOOKUP(FO_Capture!C1333, Reference_Data!A:D, 4, FALSE), "MISSING SSI")</f>
        <v>HDFC A/C 180445</v>
      </c>
      <c r="F1333">
        <f>FO_Capture!D1333</f>
        <v>290</v>
      </c>
      <c r="G1333">
        <f>FO_Capture!E1333</f>
        <v>326.239990234375</v>
      </c>
      <c r="H1333">
        <f t="shared" si="40"/>
        <v>94609.59716796875</v>
      </c>
      <c r="I1333" t="str">
        <f t="shared" si="41"/>
        <v>Pass - Ready for Confirmation</v>
      </c>
    </row>
    <row r="1334" spans="1:9" x14ac:dyDescent="0.3">
      <c r="A1334" t="str">
        <f>FO_Capture!A1334</f>
        <v>TRD01333</v>
      </c>
      <c r="B1334" t="str">
        <f>FO_Capture!B1334</f>
        <v>INE003A01032</v>
      </c>
      <c r="C1334" t="str">
        <f>IFERROR(VLOOKUP(FO_Capture!C1334, Reference_Data!A:D, 2, FALSE), "UNKNOWN")</f>
        <v>Alpha Partners 22</v>
      </c>
      <c r="D1334" t="str">
        <f>IFERROR(VLOOKUP(FO_Capture!C1334, Reference_Data!A:D, 3, FALSE), "XXX")</f>
        <v>GBP</v>
      </c>
      <c r="E1334" t="str">
        <f>IFERROR(VLOOKUP(FO_Capture!C1334, Reference_Data!A:D, 4, FALSE), "MISSING SSI")</f>
        <v>JPMorgan A/C 488546</v>
      </c>
      <c r="F1334">
        <f>FO_Capture!D1334</f>
        <v>310</v>
      </c>
      <c r="G1334">
        <f>FO_Capture!E1334</f>
        <v>377.10000610351563</v>
      </c>
      <c r="H1334">
        <f t="shared" si="40"/>
        <v>116901.00189208984</v>
      </c>
      <c r="I1334" t="str">
        <f t="shared" si="41"/>
        <v>Pass - Ready for Confirmation</v>
      </c>
    </row>
    <row r="1335" spans="1:9" x14ac:dyDescent="0.3">
      <c r="A1335" t="str">
        <f>FO_Capture!A1335</f>
        <v>TRD01334</v>
      </c>
      <c r="B1335" t="str">
        <f>FO_Capture!B1335</f>
        <v>INE008A01071</v>
      </c>
      <c r="C1335" t="str">
        <f>IFERROR(VLOOKUP(FO_Capture!C1335, Reference_Data!A:D, 2, FALSE), "UNKNOWN")</f>
        <v>Alpha Partners 18</v>
      </c>
      <c r="D1335" t="str">
        <f>IFERROR(VLOOKUP(FO_Capture!C1335, Reference_Data!A:D, 3, FALSE), "XXX")</f>
        <v>INR</v>
      </c>
      <c r="E1335" t="str">
        <f>IFERROR(VLOOKUP(FO_Capture!C1335, Reference_Data!A:D, 4, FALSE), "MISSING SSI")</f>
        <v>JPMorgan A/C 704166</v>
      </c>
      <c r="F1335">
        <f>FO_Capture!D1335</f>
        <v>450</v>
      </c>
      <c r="G1335">
        <f>FO_Capture!E1335</f>
        <v>52.340000152587891</v>
      </c>
      <c r="H1335">
        <f t="shared" si="40"/>
        <v>23553.000068664551</v>
      </c>
      <c r="I1335" t="str">
        <f t="shared" si="41"/>
        <v>Pass - Ready for Confirmation</v>
      </c>
    </row>
    <row r="1336" spans="1:9" x14ac:dyDescent="0.3">
      <c r="A1336" t="str">
        <f>FO_Capture!A1336</f>
        <v>TRD01335</v>
      </c>
      <c r="B1336" t="str">
        <f>FO_Capture!B1336</f>
        <v>INE005A01063</v>
      </c>
      <c r="C1336" t="str">
        <f>IFERROR(VLOOKUP(FO_Capture!C1336, Reference_Data!A:D, 2, FALSE), "UNKNOWN")</f>
        <v>Alpha Holdings 23</v>
      </c>
      <c r="D1336" t="str">
        <f>IFERROR(VLOOKUP(FO_Capture!C1336, Reference_Data!A:D, 3, FALSE), "XXX")</f>
        <v>INR</v>
      </c>
      <c r="E1336" t="str">
        <f>IFERROR(VLOOKUP(FO_Capture!C1336, Reference_Data!A:D, 4, FALSE), "MISSING SSI")</f>
        <v>Deutsche Bank A/C 983712</v>
      </c>
      <c r="F1336">
        <f>FO_Capture!D1336</f>
        <v>10</v>
      </c>
      <c r="G1336">
        <f>FO_Capture!E1336</f>
        <v>260.3800048828125</v>
      </c>
      <c r="H1336">
        <f t="shared" si="40"/>
        <v>2603.800048828125</v>
      </c>
      <c r="I1336" t="str">
        <f t="shared" si="41"/>
        <v>Pass - Ready for Confirmation</v>
      </c>
    </row>
    <row r="1337" spans="1:9" x14ac:dyDescent="0.3">
      <c r="A1337" t="str">
        <f>FO_Capture!A1337</f>
        <v>TRD01336</v>
      </c>
      <c r="B1337" t="str">
        <f>FO_Capture!B1337</f>
        <v>INE005A01042</v>
      </c>
      <c r="C1337" t="str">
        <f>IFERROR(VLOOKUP(FO_Capture!C1337, Reference_Data!A:D, 2, FALSE), "UNKNOWN")</f>
        <v>Alpha Partners 48</v>
      </c>
      <c r="D1337" t="str">
        <f>IFERROR(VLOOKUP(FO_Capture!C1337, Reference_Data!A:D, 3, FALSE), "XXX")</f>
        <v>SGD</v>
      </c>
      <c r="E1337" t="str">
        <f>IFERROR(VLOOKUP(FO_Capture!C1337, Reference_Data!A:D, 4, FALSE), "MISSING SSI")</f>
        <v>JPMorgan A/C 391364</v>
      </c>
      <c r="F1337">
        <f>FO_Capture!D1337</f>
        <v>450</v>
      </c>
      <c r="G1337">
        <f>FO_Capture!E1337</f>
        <v>323.75</v>
      </c>
      <c r="H1337">
        <f t="shared" si="40"/>
        <v>145687.5</v>
      </c>
      <c r="I1337" t="str">
        <f t="shared" si="41"/>
        <v>Pass - Ready for Confirmation</v>
      </c>
    </row>
    <row r="1338" spans="1:9" x14ac:dyDescent="0.3">
      <c r="A1338" t="str">
        <f>FO_Capture!A1338</f>
        <v>TRD01337</v>
      </c>
      <c r="B1338" t="str">
        <f>FO_Capture!B1338</f>
        <v>INE004A01088</v>
      </c>
      <c r="C1338" t="str">
        <f>IFERROR(VLOOKUP(FO_Capture!C1338, Reference_Data!A:D, 2, FALSE), "UNKNOWN")</f>
        <v>Alpha Asset Management 4</v>
      </c>
      <c r="D1338" t="str">
        <f>IFERROR(VLOOKUP(FO_Capture!C1338, Reference_Data!A:D, 3, FALSE), "XXX")</f>
        <v>JPY</v>
      </c>
      <c r="E1338" t="str">
        <f>IFERROR(VLOOKUP(FO_Capture!C1338, Reference_Data!A:D, 4, FALSE), "MISSING SSI")</f>
        <v>Deutsche Bank A/C 126543</v>
      </c>
      <c r="F1338">
        <f>FO_Capture!D1338</f>
        <v>200</v>
      </c>
      <c r="G1338">
        <f>FO_Capture!E1338</f>
        <v>229.02000427246094</v>
      </c>
      <c r="H1338">
        <f t="shared" si="40"/>
        <v>45804.000854492188</v>
      </c>
      <c r="I1338" t="str">
        <f t="shared" si="41"/>
        <v>Pass - Ready for Confirmation</v>
      </c>
    </row>
    <row r="1339" spans="1:9" x14ac:dyDescent="0.3">
      <c r="A1339" t="str">
        <f>FO_Capture!A1339</f>
        <v>TRD01338</v>
      </c>
      <c r="B1339" t="str">
        <f>FO_Capture!B1339</f>
        <v>INE005A01078</v>
      </c>
      <c r="C1339" t="str">
        <f>IFERROR(VLOOKUP(FO_Capture!C1339, Reference_Data!A:D, 2, FALSE), "UNKNOWN")</f>
        <v>Alpha Capital 33</v>
      </c>
      <c r="D1339" t="str">
        <f>IFERROR(VLOOKUP(FO_Capture!C1339, Reference_Data!A:D, 3, FALSE), "XXX")</f>
        <v>JPY</v>
      </c>
      <c r="E1339" t="str">
        <f>IFERROR(VLOOKUP(FO_Capture!C1339, Reference_Data!A:D, 4, FALSE), "MISSING SSI")</f>
        <v>HSBC A/C 172861</v>
      </c>
      <c r="F1339">
        <f>FO_Capture!D1339</f>
        <v>360</v>
      </c>
      <c r="G1339">
        <f>FO_Capture!E1339</f>
        <v>376.80999755859375</v>
      </c>
      <c r="H1339">
        <f t="shared" si="40"/>
        <v>135651.59912109375</v>
      </c>
      <c r="I1339" t="str">
        <f t="shared" si="41"/>
        <v>Pass - Ready for Confirmation</v>
      </c>
    </row>
    <row r="1340" spans="1:9" x14ac:dyDescent="0.3">
      <c r="A1340" t="str">
        <f>FO_Capture!A1340</f>
        <v>TRD01339</v>
      </c>
      <c r="B1340" t="str">
        <f>FO_Capture!B1340</f>
        <v>INE003A01034</v>
      </c>
      <c r="C1340" t="str">
        <f>IFERROR(VLOOKUP(FO_Capture!C1340, Reference_Data!A:D, 2, FALSE), "UNKNOWN")</f>
        <v>Alpha Investments 29</v>
      </c>
      <c r="D1340" t="str">
        <f>IFERROR(VLOOKUP(FO_Capture!C1340, Reference_Data!A:D, 3, FALSE), "XXX")</f>
        <v>INR</v>
      </c>
      <c r="E1340" t="str">
        <f>IFERROR(VLOOKUP(FO_Capture!C1340, Reference_Data!A:D, 4, FALSE), "MISSING SSI")</f>
        <v>HSBC A/C 785870</v>
      </c>
      <c r="F1340">
        <f>FO_Capture!D1340</f>
        <v>10</v>
      </c>
      <c r="G1340">
        <f>FO_Capture!E1340</f>
        <v>331.83999633789063</v>
      </c>
      <c r="H1340">
        <f t="shared" si="40"/>
        <v>3318.3999633789063</v>
      </c>
      <c r="I1340" t="str">
        <f t="shared" si="41"/>
        <v>Pass - Ready for Confirmation</v>
      </c>
    </row>
    <row r="1341" spans="1:9" x14ac:dyDescent="0.3">
      <c r="A1341" t="str">
        <f>FO_Capture!A1341</f>
        <v>TRD01340</v>
      </c>
      <c r="B1341" t="str">
        <f>FO_Capture!B1341</f>
        <v>INE006A01069</v>
      </c>
      <c r="C1341" t="str">
        <f>IFERROR(VLOOKUP(FO_Capture!C1341, Reference_Data!A:D, 2, FALSE), "UNKNOWN")</f>
        <v>Alpha Holdings 16</v>
      </c>
      <c r="D1341" t="str">
        <f>IFERROR(VLOOKUP(FO_Capture!C1341, Reference_Data!A:D, 3, FALSE), "XXX")</f>
        <v>USD</v>
      </c>
      <c r="E1341" t="str">
        <f>IFERROR(VLOOKUP(FO_Capture!C1341, Reference_Data!A:D, 4, FALSE), "MISSING SSI")</f>
        <v>Barclays A/C 197229</v>
      </c>
      <c r="F1341">
        <f>FO_Capture!D1341</f>
        <v>410</v>
      </c>
      <c r="G1341">
        <f>FO_Capture!E1341</f>
        <v>72.849998474121094</v>
      </c>
      <c r="H1341">
        <f t="shared" si="40"/>
        <v>29868.499374389648</v>
      </c>
      <c r="I1341" t="str">
        <f t="shared" si="41"/>
        <v>Pass - Ready for Confirmation</v>
      </c>
    </row>
    <row r="1342" spans="1:9" x14ac:dyDescent="0.3">
      <c r="A1342" t="str">
        <f>FO_Capture!A1342</f>
        <v>TRD01341</v>
      </c>
      <c r="B1342" t="str">
        <f>FO_Capture!B1342</f>
        <v>INE002A01048</v>
      </c>
      <c r="C1342" t="str">
        <f>IFERROR(VLOOKUP(FO_Capture!C1342, Reference_Data!A:D, 2, FALSE), "UNKNOWN")</f>
        <v>Alpha Quant Fund 24</v>
      </c>
      <c r="D1342" t="str">
        <f>IFERROR(VLOOKUP(FO_Capture!C1342, Reference_Data!A:D, 3, FALSE), "XXX")</f>
        <v>SGD</v>
      </c>
      <c r="E1342" t="str">
        <f>IFERROR(VLOOKUP(FO_Capture!C1342, Reference_Data!A:D, 4, FALSE), "MISSING SSI")</f>
        <v>JPMorgan A/C 603587</v>
      </c>
      <c r="F1342">
        <f>FO_Capture!D1342</f>
        <v>240</v>
      </c>
      <c r="G1342">
        <f>FO_Capture!E1342</f>
        <v>242.67999267578125</v>
      </c>
      <c r="H1342">
        <f t="shared" si="40"/>
        <v>58243.1982421875</v>
      </c>
      <c r="I1342" t="str">
        <f t="shared" si="41"/>
        <v>Pass - Ready for Confirmation</v>
      </c>
    </row>
    <row r="1343" spans="1:9" x14ac:dyDescent="0.3">
      <c r="A1343" t="str">
        <f>FO_Capture!A1343</f>
        <v>TRD01342</v>
      </c>
      <c r="B1343" t="str">
        <f>FO_Capture!B1343</f>
        <v>INE006A01027</v>
      </c>
      <c r="C1343" t="str">
        <f>IFERROR(VLOOKUP(FO_Capture!C1343, Reference_Data!A:D, 2, FALSE), "UNKNOWN")</f>
        <v>Alpha Asset Management 8</v>
      </c>
      <c r="D1343" t="str">
        <f>IFERROR(VLOOKUP(FO_Capture!C1343, Reference_Data!A:D, 3, FALSE), "XXX")</f>
        <v>GBP</v>
      </c>
      <c r="E1343" t="str">
        <f>IFERROR(VLOOKUP(FO_Capture!C1343, Reference_Data!A:D, 4, FALSE), "MISSING SSI")</f>
        <v>HDFC A/C 180445</v>
      </c>
      <c r="F1343">
        <f>FO_Capture!D1343</f>
        <v>420</v>
      </c>
      <c r="G1343">
        <f>FO_Capture!E1343</f>
        <v>398.19000244140625</v>
      </c>
      <c r="H1343">
        <f t="shared" si="40"/>
        <v>167239.80102539063</v>
      </c>
      <c r="I1343" t="str">
        <f t="shared" si="41"/>
        <v>Pass - Ready for Confirmation</v>
      </c>
    </row>
    <row r="1344" spans="1:9" x14ac:dyDescent="0.3">
      <c r="A1344" t="str">
        <f>FO_Capture!A1344</f>
        <v>TRD01343</v>
      </c>
      <c r="B1344" t="str">
        <f>FO_Capture!B1344</f>
        <v>INE001A0109</v>
      </c>
      <c r="C1344" t="str">
        <f>IFERROR(VLOOKUP(FO_Capture!C1344, Reference_Data!A:D, 2, FALSE), "UNKNOWN")</f>
        <v>Alpha Investments 29</v>
      </c>
      <c r="D1344" t="str">
        <f>IFERROR(VLOOKUP(FO_Capture!C1344, Reference_Data!A:D, 3, FALSE), "XXX")</f>
        <v>INR</v>
      </c>
      <c r="E1344" t="str">
        <f>IFERROR(VLOOKUP(FO_Capture!C1344, Reference_Data!A:D, 4, FALSE), "MISSING SSI")</f>
        <v>HSBC A/C 785870</v>
      </c>
      <c r="F1344">
        <f>FO_Capture!D1344</f>
        <v>270</v>
      </c>
      <c r="G1344">
        <f>FO_Capture!E1344</f>
        <v>260.35000610351563</v>
      </c>
      <c r="H1344">
        <f t="shared" si="40"/>
        <v>70294.501647949219</v>
      </c>
      <c r="I1344" t="str">
        <f t="shared" si="41"/>
        <v>Pass - Ready for Confirmation</v>
      </c>
    </row>
    <row r="1345" spans="1:9" x14ac:dyDescent="0.3">
      <c r="A1345" t="str">
        <f>FO_Capture!A1345</f>
        <v>TRD01344</v>
      </c>
      <c r="B1345" t="str">
        <f>FO_Capture!B1345</f>
        <v>INE007A01089</v>
      </c>
      <c r="C1345" t="str">
        <f>IFERROR(VLOOKUP(FO_Capture!C1345, Reference_Data!A:D, 2, FALSE), "UNKNOWN")</f>
        <v>Alpha Quant Fund 27</v>
      </c>
      <c r="D1345" t="str">
        <f>IFERROR(VLOOKUP(FO_Capture!C1345, Reference_Data!A:D, 3, FALSE), "XXX")</f>
        <v>EUR</v>
      </c>
      <c r="E1345" t="str">
        <f>IFERROR(VLOOKUP(FO_Capture!C1345, Reference_Data!A:D, 4, FALSE), "MISSING SSI")</f>
        <v>Standard Chartered A/C 331839</v>
      </c>
      <c r="F1345">
        <f>FO_Capture!D1345</f>
        <v>360</v>
      </c>
      <c r="G1345">
        <f>FO_Capture!E1345</f>
        <v>464.16000366210938</v>
      </c>
      <c r="H1345">
        <f t="shared" si="40"/>
        <v>167097.60131835938</v>
      </c>
      <c r="I1345" t="str">
        <f t="shared" si="41"/>
        <v>Pass - Ready for Confirmation</v>
      </c>
    </row>
    <row r="1346" spans="1:9" x14ac:dyDescent="0.3">
      <c r="A1346" t="str">
        <f>FO_Capture!A1346</f>
        <v>TRD01345</v>
      </c>
      <c r="B1346" t="str">
        <f>FO_Capture!B1346</f>
        <v>INE004A01014</v>
      </c>
      <c r="C1346" t="str">
        <f>IFERROR(VLOOKUP(FO_Capture!C1346, Reference_Data!A:D, 2, FALSE), "UNKNOWN")</f>
        <v>UNKNOWN</v>
      </c>
      <c r="D1346" t="str">
        <f>IFERROR(VLOOKUP(FO_Capture!C1346, Reference_Data!A:D, 3, FALSE), "XXX")</f>
        <v>XXX</v>
      </c>
      <c r="E1346" t="str">
        <f>IFERROR(VLOOKUP(FO_Capture!C1346, Reference_Data!A:D, 4, FALSE), "MISSING SSI")</f>
        <v>MISSING SSI</v>
      </c>
      <c r="F1346">
        <f>FO_Capture!D1346</f>
        <v>130</v>
      </c>
      <c r="G1346">
        <f>FO_Capture!E1346</f>
        <v>146.94999694824219</v>
      </c>
      <c r="H1346">
        <f t="shared" si="40"/>
        <v>19103.499603271484</v>
      </c>
      <c r="I1346" t="str">
        <f t="shared" si="41"/>
        <v>Fail - Missing Ref Data</v>
      </c>
    </row>
    <row r="1347" spans="1:9" x14ac:dyDescent="0.3">
      <c r="A1347" t="str">
        <f>FO_Capture!A1347</f>
        <v>TRD01346</v>
      </c>
      <c r="B1347" t="str">
        <f>FO_Capture!B1347</f>
        <v>INE006A01057</v>
      </c>
      <c r="C1347" t="str">
        <f>IFERROR(VLOOKUP(FO_Capture!C1347, Reference_Data!A:D, 2, FALSE), "UNKNOWN")</f>
        <v>Alpha Investments 15</v>
      </c>
      <c r="D1347" t="str">
        <f>IFERROR(VLOOKUP(FO_Capture!C1347, Reference_Data!A:D, 3, FALSE), "XXX")</f>
        <v>INR</v>
      </c>
      <c r="E1347" t="str">
        <f>IFERROR(VLOOKUP(FO_Capture!C1347, Reference_Data!A:D, 4, FALSE), "MISSING SSI")</f>
        <v>Deutsche Bank A/C 330518</v>
      </c>
      <c r="F1347">
        <f>FO_Capture!D1347</f>
        <v>350</v>
      </c>
      <c r="G1347">
        <f>FO_Capture!E1347</f>
        <v>318.20999145507813</v>
      </c>
      <c r="H1347">
        <f t="shared" ref="H1347:H1410" si="42">F1347 * G1347</f>
        <v>111373.49700927734</v>
      </c>
      <c r="I1347" t="str">
        <f t="shared" ref="I1347:I1410" si="43">IF(C1347="UNKNOWN", "Fail - Missing Ref Data", IF(OR(F1347&lt;=0, G1347&lt;=0), "Fail - Invalid Price/Qty", IF(H1347&gt;1000000, "Exception - Limit Breach", "Pass - Ready for Confirmation")))</f>
        <v>Pass - Ready for Confirmation</v>
      </c>
    </row>
    <row r="1348" spans="1:9" x14ac:dyDescent="0.3">
      <c r="A1348" t="str">
        <f>FO_Capture!A1348</f>
        <v>TRD01347</v>
      </c>
      <c r="B1348" t="str">
        <f>FO_Capture!B1348</f>
        <v>INE009A01061</v>
      </c>
      <c r="C1348" t="str">
        <f>IFERROR(VLOOKUP(FO_Capture!C1348, Reference_Data!A:D, 2, FALSE), "UNKNOWN")</f>
        <v>Alpha Capital 10</v>
      </c>
      <c r="D1348" t="str">
        <f>IFERROR(VLOOKUP(FO_Capture!C1348, Reference_Data!A:D, 3, FALSE), "XXX")</f>
        <v>USD</v>
      </c>
      <c r="E1348" t="str">
        <f>IFERROR(VLOOKUP(FO_Capture!C1348, Reference_Data!A:D, 4, FALSE), "MISSING SSI")</f>
        <v>HDFC A/C 543407</v>
      </c>
      <c r="F1348">
        <f>FO_Capture!D1348</f>
        <v>210</v>
      </c>
      <c r="G1348">
        <f>FO_Capture!E1348</f>
        <v>498.3800048828125</v>
      </c>
      <c r="H1348">
        <f t="shared" si="42"/>
        <v>104659.80102539063</v>
      </c>
      <c r="I1348" t="str">
        <f t="shared" si="43"/>
        <v>Pass - Ready for Confirmation</v>
      </c>
    </row>
    <row r="1349" spans="1:9" x14ac:dyDescent="0.3">
      <c r="A1349" t="str">
        <f>FO_Capture!A1349</f>
        <v>TRD01348</v>
      </c>
      <c r="B1349" t="str">
        <f>FO_Capture!B1349</f>
        <v>INE008A01071</v>
      </c>
      <c r="C1349" t="str">
        <f>IFERROR(VLOOKUP(FO_Capture!C1349, Reference_Data!A:D, 2, FALSE), "UNKNOWN")</f>
        <v>Alpha Capital 44</v>
      </c>
      <c r="D1349" t="str">
        <f>IFERROR(VLOOKUP(FO_Capture!C1349, Reference_Data!A:D, 3, FALSE), "XXX")</f>
        <v>INR</v>
      </c>
      <c r="E1349" t="str">
        <f>IFERROR(VLOOKUP(FO_Capture!C1349, Reference_Data!A:D, 4, FALSE), "MISSING SSI")</f>
        <v>Deutsche Bank A/C 428758</v>
      </c>
      <c r="F1349">
        <f>FO_Capture!D1349</f>
        <v>180</v>
      </c>
      <c r="G1349">
        <f>FO_Capture!E1349</f>
        <v>507.04998779296875</v>
      </c>
      <c r="H1349">
        <f t="shared" si="42"/>
        <v>91268.997802734375</v>
      </c>
      <c r="I1349" t="str">
        <f t="shared" si="43"/>
        <v>Pass - Ready for Confirmation</v>
      </c>
    </row>
    <row r="1350" spans="1:9" x14ac:dyDescent="0.3">
      <c r="A1350" t="str">
        <f>FO_Capture!A1350</f>
        <v>TRD01349</v>
      </c>
      <c r="B1350" t="str">
        <f>FO_Capture!B1350</f>
        <v>INE007A01063</v>
      </c>
      <c r="C1350" t="str">
        <f>IFERROR(VLOOKUP(FO_Capture!C1350, Reference_Data!A:D, 2, FALSE), "UNKNOWN")</f>
        <v>Alpha Asset Management 4</v>
      </c>
      <c r="D1350" t="str">
        <f>IFERROR(VLOOKUP(FO_Capture!C1350, Reference_Data!A:D, 3, FALSE), "XXX")</f>
        <v>JPY</v>
      </c>
      <c r="E1350" t="str">
        <f>IFERROR(VLOOKUP(FO_Capture!C1350, Reference_Data!A:D, 4, FALSE), "MISSING SSI")</f>
        <v>Deutsche Bank A/C 126543</v>
      </c>
      <c r="F1350">
        <f>FO_Capture!D1350</f>
        <v>100</v>
      </c>
      <c r="G1350">
        <f>FO_Capture!E1350</f>
        <v>109.11000061035156</v>
      </c>
      <c r="H1350">
        <f t="shared" si="42"/>
        <v>10911.000061035156</v>
      </c>
      <c r="I1350" t="str">
        <f t="shared" si="43"/>
        <v>Pass - Ready for Confirmation</v>
      </c>
    </row>
    <row r="1351" spans="1:9" x14ac:dyDescent="0.3">
      <c r="A1351" t="str">
        <f>FO_Capture!A1351</f>
        <v>TRD01350</v>
      </c>
      <c r="B1351" t="str">
        <f>FO_Capture!B1351</f>
        <v>INE006A01015</v>
      </c>
      <c r="C1351" t="str">
        <f>IFERROR(VLOOKUP(FO_Capture!C1351, Reference_Data!A:D, 2, FALSE), "UNKNOWN")</f>
        <v>Alpha Partners 37</v>
      </c>
      <c r="D1351" t="str">
        <f>IFERROR(VLOOKUP(FO_Capture!C1351, Reference_Data!A:D, 3, FALSE), "XXX")</f>
        <v>JPY</v>
      </c>
      <c r="E1351" t="str">
        <f>IFERROR(VLOOKUP(FO_Capture!C1351, Reference_Data!A:D, 4, FALSE), "MISSING SSI")</f>
        <v>HSBC A/C 994063</v>
      </c>
      <c r="F1351">
        <f>FO_Capture!D1351</f>
        <v>380</v>
      </c>
      <c r="G1351">
        <f>FO_Capture!E1351</f>
        <v>264.76998901367188</v>
      </c>
      <c r="H1351">
        <f t="shared" si="42"/>
        <v>100612.59582519531</v>
      </c>
      <c r="I1351" t="str">
        <f t="shared" si="43"/>
        <v>Pass - Ready for Confirmation</v>
      </c>
    </row>
    <row r="1352" spans="1:9" x14ac:dyDescent="0.3">
      <c r="A1352" t="str">
        <f>FO_Capture!A1352</f>
        <v>TRD01351</v>
      </c>
      <c r="B1352" t="str">
        <f>FO_Capture!B1352</f>
        <v>INE002A01052</v>
      </c>
      <c r="C1352" t="str">
        <f>IFERROR(VLOOKUP(FO_Capture!C1352, Reference_Data!A:D, 2, FALSE), "UNKNOWN")</f>
        <v>Alpha Partners 19</v>
      </c>
      <c r="D1352" t="str">
        <f>IFERROR(VLOOKUP(FO_Capture!C1352, Reference_Data!A:D, 3, FALSE), "XXX")</f>
        <v>INR</v>
      </c>
      <c r="E1352" t="str">
        <f>IFERROR(VLOOKUP(FO_Capture!C1352, Reference_Data!A:D, 4, FALSE), "MISSING SSI")</f>
        <v>Citi A/C 543819</v>
      </c>
      <c r="F1352">
        <f>FO_Capture!D1352</f>
        <v>310</v>
      </c>
      <c r="G1352">
        <f>FO_Capture!E1352</f>
        <v>379.54998779296875</v>
      </c>
      <c r="H1352">
        <f t="shared" si="42"/>
        <v>117660.49621582031</v>
      </c>
      <c r="I1352" t="str">
        <f t="shared" si="43"/>
        <v>Pass - Ready for Confirmation</v>
      </c>
    </row>
    <row r="1353" spans="1:9" x14ac:dyDescent="0.3">
      <c r="A1353" t="str">
        <f>FO_Capture!A1353</f>
        <v>TRD01352</v>
      </c>
      <c r="B1353" t="str">
        <f>FO_Capture!B1353</f>
        <v>INE005A0108</v>
      </c>
      <c r="C1353" t="str">
        <f>IFERROR(VLOOKUP(FO_Capture!C1353, Reference_Data!A:D, 2, FALSE), "UNKNOWN")</f>
        <v>Alpha Asset Management 35</v>
      </c>
      <c r="D1353" t="str">
        <f>IFERROR(VLOOKUP(FO_Capture!C1353, Reference_Data!A:D, 3, FALSE), "XXX")</f>
        <v>JPY</v>
      </c>
      <c r="E1353" t="str">
        <f>IFERROR(VLOOKUP(FO_Capture!C1353, Reference_Data!A:D, 4, FALSE), "MISSING SSI")</f>
        <v>HSBC A/C 604357</v>
      </c>
      <c r="F1353">
        <f>FO_Capture!D1353</f>
        <v>280</v>
      </c>
      <c r="G1353">
        <f>FO_Capture!E1353</f>
        <v>54.270000457763672</v>
      </c>
      <c r="H1353">
        <f t="shared" si="42"/>
        <v>15195.600128173828</v>
      </c>
      <c r="I1353" t="str">
        <f t="shared" si="43"/>
        <v>Pass - Ready for Confirmation</v>
      </c>
    </row>
    <row r="1354" spans="1:9" x14ac:dyDescent="0.3">
      <c r="A1354" t="str">
        <f>FO_Capture!A1354</f>
        <v>TRD01353</v>
      </c>
      <c r="B1354" t="str">
        <f>FO_Capture!B1354</f>
        <v>INE005A01061</v>
      </c>
      <c r="C1354" t="str">
        <f>IFERROR(VLOOKUP(FO_Capture!C1354, Reference_Data!A:D, 2, FALSE), "UNKNOWN")</f>
        <v>Alpha Partners 3</v>
      </c>
      <c r="D1354" t="str">
        <f>IFERROR(VLOOKUP(FO_Capture!C1354, Reference_Data!A:D, 3, FALSE), "XXX")</f>
        <v>USD</v>
      </c>
      <c r="E1354" t="str">
        <f>IFERROR(VLOOKUP(FO_Capture!C1354, Reference_Data!A:D, 4, FALSE), "MISSING SSI")</f>
        <v>Citi A/C 508769</v>
      </c>
      <c r="F1354">
        <f>FO_Capture!D1354</f>
        <v>-50</v>
      </c>
      <c r="G1354">
        <f>FO_Capture!E1354</f>
        <v>493.010009765625</v>
      </c>
      <c r="H1354">
        <f t="shared" si="42"/>
        <v>-24650.50048828125</v>
      </c>
      <c r="I1354" t="str">
        <f t="shared" si="43"/>
        <v>Fail - Invalid Price/Qty</v>
      </c>
    </row>
    <row r="1355" spans="1:9" x14ac:dyDescent="0.3">
      <c r="A1355" t="str">
        <f>FO_Capture!A1355</f>
        <v>TRD01354</v>
      </c>
      <c r="B1355" t="str">
        <f>FO_Capture!B1355</f>
        <v>INE001A01064</v>
      </c>
      <c r="C1355" t="str">
        <f>IFERROR(VLOOKUP(FO_Capture!C1355, Reference_Data!A:D, 2, FALSE), "UNKNOWN")</f>
        <v>Alpha Holdings 49</v>
      </c>
      <c r="D1355" t="str">
        <f>IFERROR(VLOOKUP(FO_Capture!C1355, Reference_Data!A:D, 3, FALSE), "XXX")</f>
        <v>JPY</v>
      </c>
      <c r="E1355" t="str">
        <f>IFERROR(VLOOKUP(FO_Capture!C1355, Reference_Data!A:D, 4, FALSE), "MISSING SSI")</f>
        <v>HDFC A/C 679335</v>
      </c>
      <c r="F1355">
        <f>FO_Capture!D1355</f>
        <v>340</v>
      </c>
      <c r="G1355">
        <f>FO_Capture!E1355</f>
        <v>388.73001098632813</v>
      </c>
      <c r="H1355">
        <f t="shared" si="42"/>
        <v>132168.20373535156</v>
      </c>
      <c r="I1355" t="str">
        <f t="shared" si="43"/>
        <v>Pass - Ready for Confirmation</v>
      </c>
    </row>
    <row r="1356" spans="1:9" x14ac:dyDescent="0.3">
      <c r="A1356" t="str">
        <f>FO_Capture!A1356</f>
        <v>TRD01355</v>
      </c>
      <c r="B1356" t="str">
        <f>FO_Capture!B1356</f>
        <v>INE007A01089</v>
      </c>
      <c r="C1356" t="str">
        <f>IFERROR(VLOOKUP(FO_Capture!C1356, Reference_Data!A:D, 2, FALSE), "UNKNOWN")</f>
        <v>Alpha Global 25</v>
      </c>
      <c r="D1356" t="str">
        <f>IFERROR(VLOOKUP(FO_Capture!C1356, Reference_Data!A:D, 3, FALSE), "XXX")</f>
        <v>EUR</v>
      </c>
      <c r="E1356" t="str">
        <f>IFERROR(VLOOKUP(FO_Capture!C1356, Reference_Data!A:D, 4, FALSE), "MISSING SSI")</f>
        <v>Standard Chartered A/C 438949</v>
      </c>
      <c r="F1356">
        <f>FO_Capture!D1356</f>
        <v>390</v>
      </c>
      <c r="G1356">
        <f>FO_Capture!E1356</f>
        <v>251.80000305175781</v>
      </c>
      <c r="H1356">
        <f t="shared" si="42"/>
        <v>98202.001190185547</v>
      </c>
      <c r="I1356" t="str">
        <f t="shared" si="43"/>
        <v>Pass - Ready for Confirmation</v>
      </c>
    </row>
    <row r="1357" spans="1:9" x14ac:dyDescent="0.3">
      <c r="A1357" t="str">
        <f>FO_Capture!A1357</f>
        <v>TRD01356</v>
      </c>
      <c r="B1357" t="str">
        <f>FO_Capture!B1357</f>
        <v>INE009A01022</v>
      </c>
      <c r="C1357" t="str">
        <f>IFERROR(VLOOKUP(FO_Capture!C1357, Reference_Data!A:D, 2, FALSE), "UNKNOWN")</f>
        <v>Alpha Quant Fund 27</v>
      </c>
      <c r="D1357" t="str">
        <f>IFERROR(VLOOKUP(FO_Capture!C1357, Reference_Data!A:D, 3, FALSE), "XXX")</f>
        <v>EUR</v>
      </c>
      <c r="E1357" t="str">
        <f>IFERROR(VLOOKUP(FO_Capture!C1357, Reference_Data!A:D, 4, FALSE), "MISSING SSI")</f>
        <v>Standard Chartered A/C 331839</v>
      </c>
      <c r="F1357">
        <f>FO_Capture!D1357</f>
        <v>20</v>
      </c>
      <c r="G1357">
        <f>FO_Capture!E1357</f>
        <v>235.78999328613281</v>
      </c>
      <c r="H1357">
        <f t="shared" si="42"/>
        <v>4715.7998657226563</v>
      </c>
      <c r="I1357" t="str">
        <f t="shared" si="43"/>
        <v>Pass - Ready for Confirmation</v>
      </c>
    </row>
    <row r="1358" spans="1:9" x14ac:dyDescent="0.3">
      <c r="A1358" t="str">
        <f>FO_Capture!A1358</f>
        <v>TRD01357</v>
      </c>
      <c r="B1358" t="str">
        <f>FO_Capture!B1358</f>
        <v>INE004A01038</v>
      </c>
      <c r="C1358" t="str">
        <f>IFERROR(VLOOKUP(FO_Capture!C1358, Reference_Data!A:D, 2, FALSE), "UNKNOWN")</f>
        <v>Alpha Holdings 49</v>
      </c>
      <c r="D1358" t="str">
        <f>IFERROR(VLOOKUP(FO_Capture!C1358, Reference_Data!A:D, 3, FALSE), "XXX")</f>
        <v>JPY</v>
      </c>
      <c r="E1358" t="str">
        <f>IFERROR(VLOOKUP(FO_Capture!C1358, Reference_Data!A:D, 4, FALSE), "MISSING SSI")</f>
        <v>HDFC A/C 679335</v>
      </c>
      <c r="F1358">
        <f>FO_Capture!D1358</f>
        <v>120</v>
      </c>
      <c r="G1358">
        <f>FO_Capture!E1358</f>
        <v>377.07000732421875</v>
      </c>
      <c r="H1358">
        <f t="shared" si="42"/>
        <v>45248.40087890625</v>
      </c>
      <c r="I1358" t="str">
        <f t="shared" si="43"/>
        <v>Pass - Ready for Confirmation</v>
      </c>
    </row>
    <row r="1359" spans="1:9" x14ac:dyDescent="0.3">
      <c r="A1359" t="str">
        <f>FO_Capture!A1359</f>
        <v>TRD01358</v>
      </c>
      <c r="B1359" t="str">
        <f>FO_Capture!B1359</f>
        <v>INE003A0103</v>
      </c>
      <c r="C1359" t="str">
        <f>IFERROR(VLOOKUP(FO_Capture!C1359, Reference_Data!A:D, 2, FALSE), "UNKNOWN")</f>
        <v>Alpha Capital 36</v>
      </c>
      <c r="D1359" t="str">
        <f>IFERROR(VLOOKUP(FO_Capture!C1359, Reference_Data!A:D, 3, FALSE), "XXX")</f>
        <v>JPY</v>
      </c>
      <c r="E1359" t="str">
        <f>IFERROR(VLOOKUP(FO_Capture!C1359, Reference_Data!A:D, 4, FALSE), "MISSING SSI")</f>
        <v>Citi A/C 359789</v>
      </c>
      <c r="F1359">
        <f>FO_Capture!D1359</f>
        <v>400</v>
      </c>
      <c r="G1359">
        <f>FO_Capture!E1359</f>
        <v>344.83999633789063</v>
      </c>
      <c r="H1359">
        <f t="shared" si="42"/>
        <v>137935.99853515625</v>
      </c>
      <c r="I1359" t="str">
        <f t="shared" si="43"/>
        <v>Pass - Ready for Confirmation</v>
      </c>
    </row>
    <row r="1360" spans="1:9" x14ac:dyDescent="0.3">
      <c r="A1360" t="str">
        <f>FO_Capture!A1360</f>
        <v>TRD01359</v>
      </c>
      <c r="B1360" t="str">
        <f>FO_Capture!B1360</f>
        <v>INE002A01021</v>
      </c>
      <c r="C1360" t="str">
        <f>IFERROR(VLOOKUP(FO_Capture!C1360, Reference_Data!A:D, 2, FALSE), "UNKNOWN")</f>
        <v>Alpha Capital 7</v>
      </c>
      <c r="D1360" t="str">
        <f>IFERROR(VLOOKUP(FO_Capture!C1360, Reference_Data!A:D, 3, FALSE), "XXX")</f>
        <v>INR</v>
      </c>
      <c r="E1360" t="str">
        <f>IFERROR(VLOOKUP(FO_Capture!C1360, Reference_Data!A:D, 4, FALSE), "MISSING SSI")</f>
        <v>Standard Chartered A/C 682134</v>
      </c>
      <c r="F1360">
        <f>FO_Capture!D1360</f>
        <v>90</v>
      </c>
      <c r="G1360">
        <f>FO_Capture!E1360</f>
        <v>191.10000610351563</v>
      </c>
      <c r="H1360">
        <f t="shared" si="42"/>
        <v>17199.000549316406</v>
      </c>
      <c r="I1360" t="str">
        <f t="shared" si="43"/>
        <v>Pass - Ready for Confirmation</v>
      </c>
    </row>
    <row r="1361" spans="1:9" x14ac:dyDescent="0.3">
      <c r="A1361" t="str">
        <f>FO_Capture!A1361</f>
        <v>TRD01360</v>
      </c>
      <c r="B1361" t="str">
        <f>FO_Capture!B1361</f>
        <v>INE001A01085</v>
      </c>
      <c r="C1361" t="str">
        <f>IFERROR(VLOOKUP(FO_Capture!C1361, Reference_Data!A:D, 2, FALSE), "UNKNOWN")</f>
        <v>Alpha Capital 36</v>
      </c>
      <c r="D1361" t="str">
        <f>IFERROR(VLOOKUP(FO_Capture!C1361, Reference_Data!A:D, 3, FALSE), "XXX")</f>
        <v>JPY</v>
      </c>
      <c r="E1361" t="str">
        <f>IFERROR(VLOOKUP(FO_Capture!C1361, Reference_Data!A:D, 4, FALSE), "MISSING SSI")</f>
        <v>Citi A/C 359789</v>
      </c>
      <c r="F1361">
        <f>FO_Capture!D1361</f>
        <v>210</v>
      </c>
      <c r="G1361">
        <f>FO_Capture!E1361</f>
        <v>100.65000152587891</v>
      </c>
      <c r="H1361">
        <f t="shared" si="42"/>
        <v>21136.50032043457</v>
      </c>
      <c r="I1361" t="str">
        <f t="shared" si="43"/>
        <v>Pass - Ready for Confirmation</v>
      </c>
    </row>
    <row r="1362" spans="1:9" x14ac:dyDescent="0.3">
      <c r="A1362" t="str">
        <f>FO_Capture!A1362</f>
        <v>TRD01361</v>
      </c>
      <c r="B1362" t="str">
        <f>FO_Capture!B1362</f>
        <v>INE005A01030</v>
      </c>
      <c r="C1362" t="str">
        <f>IFERROR(VLOOKUP(FO_Capture!C1362, Reference_Data!A:D, 2, FALSE), "UNKNOWN")</f>
        <v>Alpha Investments 17</v>
      </c>
      <c r="D1362" t="str">
        <f>IFERROR(VLOOKUP(FO_Capture!C1362, Reference_Data!A:D, 3, FALSE), "XXX")</f>
        <v>USD</v>
      </c>
      <c r="E1362" t="str">
        <f>IFERROR(VLOOKUP(FO_Capture!C1362, Reference_Data!A:D, 4, FALSE), "MISSING SSI")</f>
        <v>HDFC A/C 113752</v>
      </c>
      <c r="F1362">
        <f>FO_Capture!D1362</f>
        <v>320</v>
      </c>
      <c r="G1362">
        <f>FO_Capture!E1362</f>
        <v>141.13999938964844</v>
      </c>
      <c r="H1362">
        <f t="shared" si="42"/>
        <v>45164.7998046875</v>
      </c>
      <c r="I1362" t="str">
        <f t="shared" si="43"/>
        <v>Pass - Ready for Confirmation</v>
      </c>
    </row>
    <row r="1363" spans="1:9" x14ac:dyDescent="0.3">
      <c r="A1363" t="str">
        <f>FO_Capture!A1363</f>
        <v>TRD01362</v>
      </c>
      <c r="B1363" t="str">
        <f>FO_Capture!B1363</f>
        <v>INE006A01075</v>
      </c>
      <c r="C1363" t="str">
        <f>IFERROR(VLOOKUP(FO_Capture!C1363, Reference_Data!A:D, 2, FALSE), "UNKNOWN")</f>
        <v>Alpha Quant Fund 50</v>
      </c>
      <c r="D1363" t="str">
        <f>IFERROR(VLOOKUP(FO_Capture!C1363, Reference_Data!A:D, 3, FALSE), "XXX")</f>
        <v>SGD</v>
      </c>
      <c r="E1363" t="str">
        <f>IFERROR(VLOOKUP(FO_Capture!C1363, Reference_Data!A:D, 4, FALSE), "MISSING SSI")</f>
        <v>Standard Chartered A/C 307017</v>
      </c>
      <c r="F1363">
        <f>FO_Capture!D1363</f>
        <v>270</v>
      </c>
      <c r="G1363">
        <f>FO_Capture!E1363</f>
        <v>12.989999771118164</v>
      </c>
      <c r="H1363">
        <f t="shared" si="42"/>
        <v>3507.2999382019043</v>
      </c>
      <c r="I1363" t="str">
        <f t="shared" si="43"/>
        <v>Pass - Ready for Confirmation</v>
      </c>
    </row>
    <row r="1364" spans="1:9" x14ac:dyDescent="0.3">
      <c r="A1364" t="str">
        <f>FO_Capture!A1364</f>
        <v>TRD01363</v>
      </c>
      <c r="B1364" t="str">
        <f>FO_Capture!B1364</f>
        <v>INE005A01083</v>
      </c>
      <c r="C1364" t="str">
        <f>IFERROR(VLOOKUP(FO_Capture!C1364, Reference_Data!A:D, 2, FALSE), "UNKNOWN")</f>
        <v>Alpha Capital 7</v>
      </c>
      <c r="D1364" t="str">
        <f>IFERROR(VLOOKUP(FO_Capture!C1364, Reference_Data!A:D, 3, FALSE), "XXX")</f>
        <v>INR</v>
      </c>
      <c r="E1364" t="str">
        <f>IFERROR(VLOOKUP(FO_Capture!C1364, Reference_Data!A:D, 4, FALSE), "MISSING SSI")</f>
        <v>Standard Chartered A/C 682134</v>
      </c>
      <c r="F1364">
        <f>FO_Capture!D1364</f>
        <v>450</v>
      </c>
      <c r="G1364">
        <f>FO_Capture!E1364</f>
        <v>299.45999145507813</v>
      </c>
      <c r="H1364">
        <f t="shared" si="42"/>
        <v>134756.99615478516</v>
      </c>
      <c r="I1364" t="str">
        <f t="shared" si="43"/>
        <v>Pass - Ready for Confirmation</v>
      </c>
    </row>
    <row r="1365" spans="1:9" x14ac:dyDescent="0.3">
      <c r="A1365" t="str">
        <f>FO_Capture!A1365</f>
        <v>TRD01364</v>
      </c>
      <c r="B1365" t="str">
        <f>FO_Capture!B1365</f>
        <v>INE004A0103</v>
      </c>
      <c r="C1365" t="str">
        <f>IFERROR(VLOOKUP(FO_Capture!C1365, Reference_Data!A:D, 2, FALSE), "UNKNOWN")</f>
        <v>Alpha Global 14</v>
      </c>
      <c r="D1365" t="str">
        <f>IFERROR(VLOOKUP(FO_Capture!C1365, Reference_Data!A:D, 3, FALSE), "XXX")</f>
        <v>USD</v>
      </c>
      <c r="E1365" t="str">
        <f>IFERROR(VLOOKUP(FO_Capture!C1365, Reference_Data!A:D, 4, FALSE), "MISSING SSI")</f>
        <v>HSBC A/C 864249</v>
      </c>
      <c r="F1365">
        <f>FO_Capture!D1365</f>
        <v>30</v>
      </c>
      <c r="G1365">
        <f>FO_Capture!E1365</f>
        <v>216.6199951171875</v>
      </c>
      <c r="H1365">
        <f t="shared" si="42"/>
        <v>6498.599853515625</v>
      </c>
      <c r="I1365" t="str">
        <f t="shared" si="43"/>
        <v>Pass - Ready for Confirmation</v>
      </c>
    </row>
    <row r="1366" spans="1:9" x14ac:dyDescent="0.3">
      <c r="A1366" t="str">
        <f>FO_Capture!A1366</f>
        <v>TRD01365</v>
      </c>
      <c r="B1366" t="str">
        <f>FO_Capture!B1366</f>
        <v>INE004A01023</v>
      </c>
      <c r="C1366" t="str">
        <f>IFERROR(VLOOKUP(FO_Capture!C1366, Reference_Data!A:D, 2, FALSE), "UNKNOWN")</f>
        <v>Alpha Partners 19</v>
      </c>
      <c r="D1366" t="str">
        <f>IFERROR(VLOOKUP(FO_Capture!C1366, Reference_Data!A:D, 3, FALSE), "XXX")</f>
        <v>INR</v>
      </c>
      <c r="E1366" t="str">
        <f>IFERROR(VLOOKUP(FO_Capture!C1366, Reference_Data!A:D, 4, FALSE), "MISSING SSI")</f>
        <v>Citi A/C 543819</v>
      </c>
      <c r="F1366">
        <f>FO_Capture!D1366</f>
        <v>240</v>
      </c>
      <c r="G1366">
        <f>FO_Capture!E1366</f>
        <v>363.33999633789063</v>
      </c>
      <c r="H1366">
        <f t="shared" si="42"/>
        <v>87201.59912109375</v>
      </c>
      <c r="I1366" t="str">
        <f t="shared" si="43"/>
        <v>Pass - Ready for Confirmation</v>
      </c>
    </row>
    <row r="1367" spans="1:9" x14ac:dyDescent="0.3">
      <c r="A1367" t="str">
        <f>FO_Capture!A1367</f>
        <v>TRD01366</v>
      </c>
      <c r="B1367" t="str">
        <f>FO_Capture!B1367</f>
        <v>INE003A01023</v>
      </c>
      <c r="C1367" t="str">
        <f>IFERROR(VLOOKUP(FO_Capture!C1367, Reference_Data!A:D, 2, FALSE), "UNKNOWN")</f>
        <v>Alpha Global 25</v>
      </c>
      <c r="D1367" t="str">
        <f>IFERROR(VLOOKUP(FO_Capture!C1367, Reference_Data!A:D, 3, FALSE), "XXX")</f>
        <v>EUR</v>
      </c>
      <c r="E1367" t="str">
        <f>IFERROR(VLOOKUP(FO_Capture!C1367, Reference_Data!A:D, 4, FALSE), "MISSING SSI")</f>
        <v>Standard Chartered A/C 438949</v>
      </c>
      <c r="F1367">
        <f>FO_Capture!D1367</f>
        <v>80</v>
      </c>
      <c r="G1367">
        <f>FO_Capture!E1367</f>
        <v>471.29998779296875</v>
      </c>
      <c r="H1367">
        <f t="shared" si="42"/>
        <v>37703.9990234375</v>
      </c>
      <c r="I1367" t="str">
        <f t="shared" si="43"/>
        <v>Pass - Ready for Confirmation</v>
      </c>
    </row>
    <row r="1368" spans="1:9" x14ac:dyDescent="0.3">
      <c r="A1368" t="str">
        <f>FO_Capture!A1368</f>
        <v>TRD01367</v>
      </c>
      <c r="B1368" t="str">
        <f>FO_Capture!B1368</f>
        <v>INE004A01018</v>
      </c>
      <c r="C1368" t="str">
        <f>IFERROR(VLOOKUP(FO_Capture!C1368, Reference_Data!A:D, 2, FALSE), "UNKNOWN")</f>
        <v>Alpha Capital 7</v>
      </c>
      <c r="D1368" t="str">
        <f>IFERROR(VLOOKUP(FO_Capture!C1368, Reference_Data!A:D, 3, FALSE), "XXX")</f>
        <v>INR</v>
      </c>
      <c r="E1368" t="str">
        <f>IFERROR(VLOOKUP(FO_Capture!C1368, Reference_Data!A:D, 4, FALSE), "MISSING SSI")</f>
        <v>Standard Chartered A/C 682134</v>
      </c>
      <c r="F1368">
        <f>FO_Capture!D1368</f>
        <v>100</v>
      </c>
      <c r="G1368">
        <f>FO_Capture!E1368</f>
        <v>155.02000427246094</v>
      </c>
      <c r="H1368">
        <f t="shared" si="42"/>
        <v>15502.000427246094</v>
      </c>
      <c r="I1368" t="str">
        <f t="shared" si="43"/>
        <v>Pass - Ready for Confirmation</v>
      </c>
    </row>
    <row r="1369" spans="1:9" x14ac:dyDescent="0.3">
      <c r="A1369" t="str">
        <f>FO_Capture!A1369</f>
        <v>TRD01368</v>
      </c>
      <c r="B1369" t="str">
        <f>FO_Capture!B1369</f>
        <v>INE005A01015</v>
      </c>
      <c r="C1369" t="str">
        <f>IFERROR(VLOOKUP(FO_Capture!C1369, Reference_Data!A:D, 2, FALSE), "UNKNOWN")</f>
        <v>Alpha Capital 44</v>
      </c>
      <c r="D1369" t="str">
        <f>IFERROR(VLOOKUP(FO_Capture!C1369, Reference_Data!A:D, 3, FALSE), "XXX")</f>
        <v>INR</v>
      </c>
      <c r="E1369" t="str">
        <f>IFERROR(VLOOKUP(FO_Capture!C1369, Reference_Data!A:D, 4, FALSE), "MISSING SSI")</f>
        <v>Deutsche Bank A/C 428758</v>
      </c>
      <c r="F1369">
        <f>FO_Capture!D1369</f>
        <v>120</v>
      </c>
      <c r="G1369">
        <f>FO_Capture!E1369</f>
        <v>161.80999755859375</v>
      </c>
      <c r="H1369">
        <f t="shared" si="42"/>
        <v>19417.19970703125</v>
      </c>
      <c r="I1369" t="str">
        <f t="shared" si="43"/>
        <v>Pass - Ready for Confirmation</v>
      </c>
    </row>
    <row r="1370" spans="1:9" x14ac:dyDescent="0.3">
      <c r="A1370" t="str">
        <f>FO_Capture!A1370</f>
        <v>TRD01369</v>
      </c>
      <c r="B1370" t="str">
        <f>FO_Capture!B1370</f>
        <v>INE005A01059</v>
      </c>
      <c r="C1370" t="str">
        <f>IFERROR(VLOOKUP(FO_Capture!C1370, Reference_Data!A:D, 2, FALSE), "UNKNOWN")</f>
        <v>Alpha Capital 38</v>
      </c>
      <c r="D1370" t="str">
        <f>IFERROR(VLOOKUP(FO_Capture!C1370, Reference_Data!A:D, 3, FALSE), "XXX")</f>
        <v>SGD</v>
      </c>
      <c r="E1370" t="str">
        <f>IFERROR(VLOOKUP(FO_Capture!C1370, Reference_Data!A:D, 4, FALSE), "MISSING SSI")</f>
        <v>Deutsche Bank A/C 153521</v>
      </c>
      <c r="F1370">
        <f>FO_Capture!D1370</f>
        <v>30</v>
      </c>
      <c r="G1370">
        <f>FO_Capture!E1370</f>
        <v>121.79000091552734</v>
      </c>
      <c r="H1370">
        <f t="shared" si="42"/>
        <v>3653.7000274658203</v>
      </c>
      <c r="I1370" t="str">
        <f t="shared" si="43"/>
        <v>Pass - Ready for Confirmation</v>
      </c>
    </row>
    <row r="1371" spans="1:9" x14ac:dyDescent="0.3">
      <c r="A1371" t="str">
        <f>FO_Capture!A1371</f>
        <v>TRD01370</v>
      </c>
      <c r="B1371" t="str">
        <f>FO_Capture!B1371</f>
        <v>INE001A01085</v>
      </c>
      <c r="C1371" t="str">
        <f>IFERROR(VLOOKUP(FO_Capture!C1371, Reference_Data!A:D, 2, FALSE), "UNKNOWN")</f>
        <v>Alpha Capital 44</v>
      </c>
      <c r="D1371" t="str">
        <f>IFERROR(VLOOKUP(FO_Capture!C1371, Reference_Data!A:D, 3, FALSE), "XXX")</f>
        <v>INR</v>
      </c>
      <c r="E1371" t="str">
        <f>IFERROR(VLOOKUP(FO_Capture!C1371, Reference_Data!A:D, 4, FALSE), "MISSING SSI")</f>
        <v>Deutsche Bank A/C 428758</v>
      </c>
      <c r="F1371">
        <f>FO_Capture!D1371</f>
        <v>480</v>
      </c>
      <c r="G1371">
        <f>FO_Capture!E1371</f>
        <v>297.89999389648438</v>
      </c>
      <c r="H1371">
        <f t="shared" si="42"/>
        <v>142991.9970703125</v>
      </c>
      <c r="I1371" t="str">
        <f t="shared" si="43"/>
        <v>Pass - Ready for Confirmation</v>
      </c>
    </row>
    <row r="1372" spans="1:9" x14ac:dyDescent="0.3">
      <c r="A1372" t="str">
        <f>FO_Capture!A1372</f>
        <v>TRD01371</v>
      </c>
      <c r="B1372" t="str">
        <f>FO_Capture!B1372</f>
        <v>INE004A01065</v>
      </c>
      <c r="C1372" t="str">
        <f>IFERROR(VLOOKUP(FO_Capture!C1372, Reference_Data!A:D, 2, FALSE), "UNKNOWN")</f>
        <v>Alpha Holdings 41</v>
      </c>
      <c r="D1372" t="str">
        <f>IFERROR(VLOOKUP(FO_Capture!C1372, Reference_Data!A:D, 3, FALSE), "XXX")</f>
        <v>JPY</v>
      </c>
      <c r="E1372" t="str">
        <f>IFERROR(VLOOKUP(FO_Capture!C1372, Reference_Data!A:D, 4, FALSE), "MISSING SSI")</f>
        <v>HSBC A/C 468615</v>
      </c>
      <c r="F1372">
        <f>FO_Capture!D1372</f>
        <v>180</v>
      </c>
      <c r="G1372">
        <f>FO_Capture!E1372</f>
        <v>335.89999389648438</v>
      </c>
      <c r="H1372">
        <f t="shared" si="42"/>
        <v>60461.998901367188</v>
      </c>
      <c r="I1372" t="str">
        <f t="shared" si="43"/>
        <v>Pass - Ready for Confirmation</v>
      </c>
    </row>
    <row r="1373" spans="1:9" x14ac:dyDescent="0.3">
      <c r="A1373" t="str">
        <f>FO_Capture!A1373</f>
        <v>TRD01372</v>
      </c>
      <c r="B1373" t="str">
        <f>FO_Capture!B1373</f>
        <v>INE008A01063</v>
      </c>
      <c r="C1373" t="str">
        <f>IFERROR(VLOOKUP(FO_Capture!C1373, Reference_Data!A:D, 2, FALSE), "UNKNOWN")</f>
        <v>Alpha Capital 10</v>
      </c>
      <c r="D1373" t="str">
        <f>IFERROR(VLOOKUP(FO_Capture!C1373, Reference_Data!A:D, 3, FALSE), "XXX")</f>
        <v>USD</v>
      </c>
      <c r="E1373" t="str">
        <f>IFERROR(VLOOKUP(FO_Capture!C1373, Reference_Data!A:D, 4, FALSE), "MISSING SSI")</f>
        <v>HDFC A/C 543407</v>
      </c>
      <c r="F1373">
        <f>FO_Capture!D1373</f>
        <v>110</v>
      </c>
      <c r="G1373">
        <f>FO_Capture!E1373</f>
        <v>14.340000152587891</v>
      </c>
      <c r="H1373">
        <f t="shared" si="42"/>
        <v>1577.400016784668</v>
      </c>
      <c r="I1373" t="str">
        <f t="shared" si="43"/>
        <v>Pass - Ready for Confirmation</v>
      </c>
    </row>
    <row r="1374" spans="1:9" x14ac:dyDescent="0.3">
      <c r="A1374" t="str">
        <f>FO_Capture!A1374</f>
        <v>TRD01373</v>
      </c>
      <c r="B1374" t="str">
        <f>FO_Capture!B1374</f>
        <v>INE004A01078</v>
      </c>
      <c r="C1374" t="str">
        <f>IFERROR(VLOOKUP(FO_Capture!C1374, Reference_Data!A:D, 2, FALSE), "UNKNOWN")</f>
        <v>Alpha Capital 7</v>
      </c>
      <c r="D1374" t="str">
        <f>IFERROR(VLOOKUP(FO_Capture!C1374, Reference_Data!A:D, 3, FALSE), "XXX")</f>
        <v>INR</v>
      </c>
      <c r="E1374" t="str">
        <f>IFERROR(VLOOKUP(FO_Capture!C1374, Reference_Data!A:D, 4, FALSE), "MISSING SSI")</f>
        <v>Standard Chartered A/C 682134</v>
      </c>
      <c r="F1374">
        <f>FO_Capture!D1374</f>
        <v>310</v>
      </c>
      <c r="G1374">
        <f>FO_Capture!E1374</f>
        <v>494.6199951171875</v>
      </c>
      <c r="H1374">
        <f t="shared" si="42"/>
        <v>153332.19848632813</v>
      </c>
      <c r="I1374" t="str">
        <f t="shared" si="43"/>
        <v>Pass - Ready for Confirmation</v>
      </c>
    </row>
    <row r="1375" spans="1:9" x14ac:dyDescent="0.3">
      <c r="A1375" t="str">
        <f>FO_Capture!A1375</f>
        <v>TRD01374</v>
      </c>
      <c r="B1375" t="str">
        <f>FO_Capture!B1375</f>
        <v>INE005A0104</v>
      </c>
      <c r="C1375" t="str">
        <f>IFERROR(VLOOKUP(FO_Capture!C1375, Reference_Data!A:D, 2, FALSE), "UNKNOWN")</f>
        <v>Alpha Global 39</v>
      </c>
      <c r="D1375" t="str">
        <f>IFERROR(VLOOKUP(FO_Capture!C1375, Reference_Data!A:D, 3, FALSE), "XXX")</f>
        <v>SGD</v>
      </c>
      <c r="E1375" t="str">
        <f>IFERROR(VLOOKUP(FO_Capture!C1375, Reference_Data!A:D, 4, FALSE), "MISSING SSI")</f>
        <v>Deutsche Bank A/C 917029</v>
      </c>
      <c r="F1375">
        <f>FO_Capture!D1375</f>
        <v>100</v>
      </c>
      <c r="G1375">
        <f>FO_Capture!E1375</f>
        <v>70.910003662109375</v>
      </c>
      <c r="H1375">
        <f t="shared" si="42"/>
        <v>7091.0003662109375</v>
      </c>
      <c r="I1375" t="str">
        <f t="shared" si="43"/>
        <v>Pass - Ready for Confirmation</v>
      </c>
    </row>
    <row r="1376" spans="1:9" x14ac:dyDescent="0.3">
      <c r="A1376" t="str">
        <f>FO_Capture!A1376</f>
        <v>TRD01375</v>
      </c>
      <c r="B1376" t="str">
        <f>FO_Capture!B1376</f>
        <v>INE008A01066</v>
      </c>
      <c r="C1376" t="str">
        <f>IFERROR(VLOOKUP(FO_Capture!C1376, Reference_Data!A:D, 2, FALSE), "UNKNOWN")</f>
        <v>Alpha Investments 40</v>
      </c>
      <c r="D1376" t="str">
        <f>IFERROR(VLOOKUP(FO_Capture!C1376, Reference_Data!A:D, 3, FALSE), "XXX")</f>
        <v>GBP</v>
      </c>
      <c r="E1376" t="str">
        <f>IFERROR(VLOOKUP(FO_Capture!C1376, Reference_Data!A:D, 4, FALSE), "MISSING SSI")</f>
        <v>HDFC A/C 897530</v>
      </c>
      <c r="F1376">
        <f>FO_Capture!D1376</f>
        <v>330</v>
      </c>
      <c r="G1376">
        <f>FO_Capture!E1376</f>
        <v>420.20999145507813</v>
      </c>
      <c r="H1376">
        <f t="shared" si="42"/>
        <v>138669.29718017578</v>
      </c>
      <c r="I1376" t="str">
        <f t="shared" si="43"/>
        <v>Pass - Ready for Confirmation</v>
      </c>
    </row>
    <row r="1377" spans="1:9" x14ac:dyDescent="0.3">
      <c r="A1377" t="str">
        <f>FO_Capture!A1377</f>
        <v>TRD01376</v>
      </c>
      <c r="B1377" t="str">
        <f>FO_Capture!B1377</f>
        <v>INE001A01086</v>
      </c>
      <c r="C1377" t="str">
        <f>IFERROR(VLOOKUP(FO_Capture!C1377, Reference_Data!A:D, 2, FALSE), "UNKNOWN")</f>
        <v>Alpha Investments 43</v>
      </c>
      <c r="D1377" t="str">
        <f>IFERROR(VLOOKUP(FO_Capture!C1377, Reference_Data!A:D, 3, FALSE), "XXX")</f>
        <v>EUR</v>
      </c>
      <c r="E1377" t="str">
        <f>IFERROR(VLOOKUP(FO_Capture!C1377, Reference_Data!A:D, 4, FALSE), "MISSING SSI")</f>
        <v>Citi A/C 714496</v>
      </c>
      <c r="F1377">
        <f>FO_Capture!D1377</f>
        <v>150</v>
      </c>
      <c r="G1377">
        <f>FO_Capture!E1377</f>
        <v>352.35000610351563</v>
      </c>
      <c r="H1377">
        <f t="shared" si="42"/>
        <v>52852.500915527344</v>
      </c>
      <c r="I1377" t="str">
        <f t="shared" si="43"/>
        <v>Pass - Ready for Confirmation</v>
      </c>
    </row>
    <row r="1378" spans="1:9" x14ac:dyDescent="0.3">
      <c r="A1378" t="str">
        <f>FO_Capture!A1378</f>
        <v>TRD01377</v>
      </c>
      <c r="B1378" t="str">
        <f>FO_Capture!B1378</f>
        <v>INE006A01022</v>
      </c>
      <c r="C1378" t="str">
        <f>IFERROR(VLOOKUP(FO_Capture!C1378, Reference_Data!A:D, 2, FALSE), "UNKNOWN")</f>
        <v>Alpha Capital 7</v>
      </c>
      <c r="D1378" t="str">
        <f>IFERROR(VLOOKUP(FO_Capture!C1378, Reference_Data!A:D, 3, FALSE), "XXX")</f>
        <v>INR</v>
      </c>
      <c r="E1378" t="str">
        <f>IFERROR(VLOOKUP(FO_Capture!C1378, Reference_Data!A:D, 4, FALSE), "MISSING SSI")</f>
        <v>Standard Chartered A/C 682134</v>
      </c>
      <c r="F1378">
        <f>FO_Capture!D1378</f>
        <v>240</v>
      </c>
      <c r="G1378">
        <f>FO_Capture!E1378</f>
        <v>59.950000762939453</v>
      </c>
      <c r="H1378">
        <f t="shared" si="42"/>
        <v>14388.000183105469</v>
      </c>
      <c r="I1378" t="str">
        <f t="shared" si="43"/>
        <v>Pass - Ready for Confirmation</v>
      </c>
    </row>
    <row r="1379" spans="1:9" x14ac:dyDescent="0.3">
      <c r="A1379" t="str">
        <f>FO_Capture!A1379</f>
        <v>TRD01378</v>
      </c>
      <c r="B1379" t="str">
        <f>FO_Capture!B1379</f>
        <v>INE009A01018</v>
      </c>
      <c r="C1379" t="str">
        <f>IFERROR(VLOOKUP(FO_Capture!C1379, Reference_Data!A:D, 2, FALSE), "UNKNOWN")</f>
        <v>Alpha Capital 44</v>
      </c>
      <c r="D1379" t="str">
        <f>IFERROR(VLOOKUP(FO_Capture!C1379, Reference_Data!A:D, 3, FALSE), "XXX")</f>
        <v>INR</v>
      </c>
      <c r="E1379" t="str">
        <f>IFERROR(VLOOKUP(FO_Capture!C1379, Reference_Data!A:D, 4, FALSE), "MISSING SSI")</f>
        <v>Deutsche Bank A/C 428758</v>
      </c>
      <c r="F1379">
        <f>FO_Capture!D1379</f>
        <v>90</v>
      </c>
      <c r="G1379">
        <f>FO_Capture!E1379</f>
        <v>368.45001220703125</v>
      </c>
      <c r="H1379">
        <f t="shared" si="42"/>
        <v>33160.501098632813</v>
      </c>
      <c r="I1379" t="str">
        <f t="shared" si="43"/>
        <v>Pass - Ready for Confirmation</v>
      </c>
    </row>
    <row r="1380" spans="1:9" x14ac:dyDescent="0.3">
      <c r="A1380" t="str">
        <f>FO_Capture!A1380</f>
        <v>TRD01379</v>
      </c>
      <c r="B1380" t="str">
        <f>FO_Capture!B1380</f>
        <v>INE005A01062</v>
      </c>
      <c r="C1380" t="str">
        <f>IFERROR(VLOOKUP(FO_Capture!C1380, Reference_Data!A:D, 2, FALSE), "UNKNOWN")</f>
        <v>Alpha Capital 38</v>
      </c>
      <c r="D1380" t="str">
        <f>IFERROR(VLOOKUP(FO_Capture!C1380, Reference_Data!A:D, 3, FALSE), "XXX")</f>
        <v>SGD</v>
      </c>
      <c r="E1380" t="str">
        <f>IFERROR(VLOOKUP(FO_Capture!C1380, Reference_Data!A:D, 4, FALSE), "MISSING SSI")</f>
        <v>Deutsche Bank A/C 153521</v>
      </c>
      <c r="F1380">
        <f>FO_Capture!D1380</f>
        <v>200</v>
      </c>
      <c r="G1380">
        <f>FO_Capture!E1380</f>
        <v>486.10000610351563</v>
      </c>
      <c r="H1380">
        <f t="shared" si="42"/>
        <v>97220.001220703125</v>
      </c>
      <c r="I1380" t="str">
        <f t="shared" si="43"/>
        <v>Pass - Ready for Confirmation</v>
      </c>
    </row>
    <row r="1381" spans="1:9" x14ac:dyDescent="0.3">
      <c r="A1381" t="str">
        <f>FO_Capture!A1381</f>
        <v>TRD01380</v>
      </c>
      <c r="B1381" t="str">
        <f>FO_Capture!B1381</f>
        <v>INE006A01028</v>
      </c>
      <c r="C1381" t="str">
        <f>IFERROR(VLOOKUP(FO_Capture!C1381, Reference_Data!A:D, 2, FALSE), "UNKNOWN")</f>
        <v>Alpha Quant Fund 27</v>
      </c>
      <c r="D1381" t="str">
        <f>IFERROR(VLOOKUP(FO_Capture!C1381, Reference_Data!A:D, 3, FALSE), "XXX")</f>
        <v>EUR</v>
      </c>
      <c r="E1381" t="str">
        <f>IFERROR(VLOOKUP(FO_Capture!C1381, Reference_Data!A:D, 4, FALSE), "MISSING SSI")</f>
        <v>Standard Chartered A/C 331839</v>
      </c>
      <c r="F1381">
        <f>FO_Capture!D1381</f>
        <v>380</v>
      </c>
      <c r="G1381">
        <f>FO_Capture!E1381</f>
        <v>253.96000671386719</v>
      </c>
      <c r="H1381">
        <f t="shared" si="42"/>
        <v>96504.802551269531</v>
      </c>
      <c r="I1381" t="str">
        <f t="shared" si="43"/>
        <v>Pass - Ready for Confirmation</v>
      </c>
    </row>
    <row r="1382" spans="1:9" x14ac:dyDescent="0.3">
      <c r="A1382" t="str">
        <f>FO_Capture!A1382</f>
        <v>TRD01381</v>
      </c>
      <c r="B1382" t="str">
        <f>FO_Capture!B1382</f>
        <v>INE007A01030</v>
      </c>
      <c r="C1382" t="str">
        <f>IFERROR(VLOOKUP(FO_Capture!C1382, Reference_Data!A:D, 2, FALSE), "UNKNOWN")</f>
        <v>Alpha Holdings 23</v>
      </c>
      <c r="D1382" t="str">
        <f>IFERROR(VLOOKUP(FO_Capture!C1382, Reference_Data!A:D, 3, FALSE), "XXX")</f>
        <v>INR</v>
      </c>
      <c r="E1382" t="str">
        <f>IFERROR(VLOOKUP(FO_Capture!C1382, Reference_Data!A:D, 4, FALSE), "MISSING SSI")</f>
        <v>Deutsche Bank A/C 983712</v>
      </c>
      <c r="F1382">
        <f>FO_Capture!D1382</f>
        <v>460</v>
      </c>
      <c r="G1382">
        <f>FO_Capture!E1382</f>
        <v>395.92001342773438</v>
      </c>
      <c r="H1382">
        <f t="shared" si="42"/>
        <v>182123.20617675781</v>
      </c>
      <c r="I1382" t="str">
        <f t="shared" si="43"/>
        <v>Pass - Ready for Confirmation</v>
      </c>
    </row>
    <row r="1383" spans="1:9" x14ac:dyDescent="0.3">
      <c r="A1383" t="str">
        <f>FO_Capture!A1383</f>
        <v>TRD01382</v>
      </c>
      <c r="B1383" t="str">
        <f>FO_Capture!B1383</f>
        <v>INE009A01070</v>
      </c>
      <c r="C1383" t="str">
        <f>IFERROR(VLOOKUP(FO_Capture!C1383, Reference_Data!A:D, 2, FALSE), "UNKNOWN")</f>
        <v>Alpha Investments 40</v>
      </c>
      <c r="D1383" t="str">
        <f>IFERROR(VLOOKUP(FO_Capture!C1383, Reference_Data!A:D, 3, FALSE), "XXX")</f>
        <v>GBP</v>
      </c>
      <c r="E1383" t="str">
        <f>IFERROR(VLOOKUP(FO_Capture!C1383, Reference_Data!A:D, 4, FALSE), "MISSING SSI")</f>
        <v>HDFC A/C 897530</v>
      </c>
      <c r="F1383">
        <f>FO_Capture!D1383</f>
        <v>90</v>
      </c>
      <c r="G1383">
        <f>FO_Capture!E1383</f>
        <v>268.64999389648438</v>
      </c>
      <c r="H1383">
        <f t="shared" si="42"/>
        <v>24178.499450683594</v>
      </c>
      <c r="I1383" t="str">
        <f t="shared" si="43"/>
        <v>Pass - Ready for Confirmation</v>
      </c>
    </row>
    <row r="1384" spans="1:9" x14ac:dyDescent="0.3">
      <c r="A1384" t="str">
        <f>FO_Capture!A1384</f>
        <v>TRD01383</v>
      </c>
      <c r="B1384" t="str">
        <f>FO_Capture!B1384</f>
        <v>INE007A01091</v>
      </c>
      <c r="C1384" t="str">
        <f>IFERROR(VLOOKUP(FO_Capture!C1384, Reference_Data!A:D, 2, FALSE), "UNKNOWN")</f>
        <v>Alpha Partners 18</v>
      </c>
      <c r="D1384" t="str">
        <f>IFERROR(VLOOKUP(FO_Capture!C1384, Reference_Data!A:D, 3, FALSE), "XXX")</f>
        <v>INR</v>
      </c>
      <c r="E1384" t="str">
        <f>IFERROR(VLOOKUP(FO_Capture!C1384, Reference_Data!A:D, 4, FALSE), "MISSING SSI")</f>
        <v>JPMorgan A/C 704166</v>
      </c>
      <c r="F1384">
        <f>FO_Capture!D1384</f>
        <v>420</v>
      </c>
      <c r="G1384">
        <f>FO_Capture!E1384</f>
        <v>111.66999816894531</v>
      </c>
      <c r="H1384">
        <f t="shared" si="42"/>
        <v>46901.399230957031</v>
      </c>
      <c r="I1384" t="str">
        <f t="shared" si="43"/>
        <v>Pass - Ready for Confirmation</v>
      </c>
    </row>
    <row r="1385" spans="1:9" x14ac:dyDescent="0.3">
      <c r="A1385" t="str">
        <f>FO_Capture!A1385</f>
        <v>TRD01384</v>
      </c>
      <c r="B1385" t="str">
        <f>FO_Capture!B1385</f>
        <v>INE001A01026</v>
      </c>
      <c r="C1385" t="str">
        <f>IFERROR(VLOOKUP(FO_Capture!C1385, Reference_Data!A:D, 2, FALSE), "UNKNOWN")</f>
        <v>Alpha Global 45</v>
      </c>
      <c r="D1385" t="str">
        <f>IFERROR(VLOOKUP(FO_Capture!C1385, Reference_Data!A:D, 3, FALSE), "XXX")</f>
        <v>EUR</v>
      </c>
      <c r="E1385" t="str">
        <f>IFERROR(VLOOKUP(FO_Capture!C1385, Reference_Data!A:D, 4, FALSE), "MISSING SSI")</f>
        <v>HSBC A/C 540659</v>
      </c>
      <c r="F1385">
        <f>FO_Capture!D1385</f>
        <v>430</v>
      </c>
      <c r="G1385">
        <f>FO_Capture!E1385</f>
        <v>297.29000854492188</v>
      </c>
      <c r="H1385">
        <f t="shared" si="42"/>
        <v>127834.70367431641</v>
      </c>
      <c r="I1385" t="str">
        <f t="shared" si="43"/>
        <v>Pass - Ready for Confirmation</v>
      </c>
    </row>
    <row r="1386" spans="1:9" x14ac:dyDescent="0.3">
      <c r="A1386" t="str">
        <f>FO_Capture!A1386</f>
        <v>TRD01385</v>
      </c>
      <c r="B1386" t="str">
        <f>FO_Capture!B1386</f>
        <v>INE003A01042</v>
      </c>
      <c r="C1386" t="str">
        <f>IFERROR(VLOOKUP(FO_Capture!C1386, Reference_Data!A:D, 2, FALSE), "UNKNOWN")</f>
        <v>Alpha Partners 37</v>
      </c>
      <c r="D1386" t="str">
        <f>IFERROR(VLOOKUP(FO_Capture!C1386, Reference_Data!A:D, 3, FALSE), "XXX")</f>
        <v>JPY</v>
      </c>
      <c r="E1386" t="str">
        <f>IFERROR(VLOOKUP(FO_Capture!C1386, Reference_Data!A:D, 4, FALSE), "MISSING SSI")</f>
        <v>HSBC A/C 994063</v>
      </c>
      <c r="F1386">
        <f>FO_Capture!D1386</f>
        <v>100</v>
      </c>
      <c r="G1386">
        <f>FO_Capture!E1386</f>
        <v>80.639999389648438</v>
      </c>
      <c r="H1386">
        <f t="shared" si="42"/>
        <v>8063.9999389648438</v>
      </c>
      <c r="I1386" t="str">
        <f t="shared" si="43"/>
        <v>Pass - Ready for Confirmation</v>
      </c>
    </row>
    <row r="1387" spans="1:9" x14ac:dyDescent="0.3">
      <c r="A1387" t="str">
        <f>FO_Capture!A1387</f>
        <v>TRD01386</v>
      </c>
      <c r="B1387" t="str">
        <f>FO_Capture!B1387</f>
        <v>INE002A0100</v>
      </c>
      <c r="C1387" t="str">
        <f>IFERROR(VLOOKUP(FO_Capture!C1387, Reference_Data!A:D, 2, FALSE), "UNKNOWN")</f>
        <v>Alpha Quant Fund 12</v>
      </c>
      <c r="D1387" t="str">
        <f>IFERROR(VLOOKUP(FO_Capture!C1387, Reference_Data!A:D, 3, FALSE), "XXX")</f>
        <v>EUR</v>
      </c>
      <c r="E1387" t="str">
        <f>IFERROR(VLOOKUP(FO_Capture!C1387, Reference_Data!A:D, 4, FALSE), "MISSING SSI")</f>
        <v>Deutsche Bank A/C 324710</v>
      </c>
      <c r="F1387">
        <f>FO_Capture!D1387</f>
        <v>230</v>
      </c>
      <c r="G1387">
        <f>FO_Capture!E1387</f>
        <v>349.6400146484375</v>
      </c>
      <c r="H1387">
        <f t="shared" si="42"/>
        <v>80417.203369140625</v>
      </c>
      <c r="I1387" t="str">
        <f t="shared" si="43"/>
        <v>Pass - Ready for Confirmation</v>
      </c>
    </row>
    <row r="1388" spans="1:9" x14ac:dyDescent="0.3">
      <c r="A1388" t="str">
        <f>FO_Capture!A1388</f>
        <v>TRD01387</v>
      </c>
      <c r="B1388" t="str">
        <f>FO_Capture!B1388</f>
        <v>INE002A01097</v>
      </c>
      <c r="C1388" t="str">
        <f>IFERROR(VLOOKUP(FO_Capture!C1388, Reference_Data!A:D, 2, FALSE), "UNKNOWN")</f>
        <v>Alpha Capital 11</v>
      </c>
      <c r="D1388" t="str">
        <f>IFERROR(VLOOKUP(FO_Capture!C1388, Reference_Data!A:D, 3, FALSE), "XXX")</f>
        <v>USD</v>
      </c>
      <c r="E1388" t="str">
        <f>IFERROR(VLOOKUP(FO_Capture!C1388, Reference_Data!A:D, 4, FALSE), "MISSING SSI")</f>
        <v>JPMorgan A/C 987170</v>
      </c>
      <c r="F1388">
        <f>FO_Capture!D1388</f>
        <v>140</v>
      </c>
      <c r="G1388">
        <f>FO_Capture!E1388</f>
        <v>375.07000732421875</v>
      </c>
      <c r="H1388">
        <f t="shared" si="42"/>
        <v>52509.801025390625</v>
      </c>
      <c r="I1388" t="str">
        <f t="shared" si="43"/>
        <v>Pass - Ready for Confirmation</v>
      </c>
    </row>
    <row r="1389" spans="1:9" x14ac:dyDescent="0.3">
      <c r="A1389" t="str">
        <f>FO_Capture!A1389</f>
        <v>TRD01388</v>
      </c>
      <c r="B1389" t="str">
        <f>FO_Capture!B1389</f>
        <v>INE009A01022</v>
      </c>
      <c r="C1389" t="str">
        <f>IFERROR(VLOOKUP(FO_Capture!C1389, Reference_Data!A:D, 2, FALSE), "UNKNOWN")</f>
        <v>Alpha Global 28</v>
      </c>
      <c r="D1389" t="str">
        <f>IFERROR(VLOOKUP(FO_Capture!C1389, Reference_Data!A:D, 3, FALSE), "XXX")</f>
        <v>USD</v>
      </c>
      <c r="E1389" t="str">
        <f>IFERROR(VLOOKUP(FO_Capture!C1389, Reference_Data!A:D, 4, FALSE), "MISSING SSI")</f>
        <v>HDFC A/C 638209</v>
      </c>
      <c r="F1389">
        <f>FO_Capture!D1389</f>
        <v>450</v>
      </c>
      <c r="G1389">
        <f>FO_Capture!E1389</f>
        <v>60.470001220703125</v>
      </c>
      <c r="H1389">
        <f t="shared" si="42"/>
        <v>27211.500549316406</v>
      </c>
      <c r="I1389" t="str">
        <f t="shared" si="43"/>
        <v>Pass - Ready for Confirmation</v>
      </c>
    </row>
    <row r="1390" spans="1:9" x14ac:dyDescent="0.3">
      <c r="A1390" t="str">
        <f>FO_Capture!A1390</f>
        <v>TRD01389</v>
      </c>
      <c r="B1390" t="str">
        <f>FO_Capture!B1390</f>
        <v>INE007A0101</v>
      </c>
      <c r="C1390" t="str">
        <f>IFERROR(VLOOKUP(FO_Capture!C1390, Reference_Data!A:D, 2, FALSE), "UNKNOWN")</f>
        <v>Alpha Asset Management 32</v>
      </c>
      <c r="D1390" t="str">
        <f>IFERROR(VLOOKUP(FO_Capture!C1390, Reference_Data!A:D, 3, FALSE), "XXX")</f>
        <v>INR</v>
      </c>
      <c r="E1390" t="str">
        <f>IFERROR(VLOOKUP(FO_Capture!C1390, Reference_Data!A:D, 4, FALSE), "MISSING SSI")</f>
        <v>Barclays A/C 302646</v>
      </c>
      <c r="F1390">
        <f>FO_Capture!D1390</f>
        <v>310</v>
      </c>
      <c r="G1390">
        <f>FO_Capture!E1390</f>
        <v>192.24000549316406</v>
      </c>
      <c r="H1390">
        <f t="shared" si="42"/>
        <v>59594.401702880859</v>
      </c>
      <c r="I1390" t="str">
        <f t="shared" si="43"/>
        <v>Pass - Ready for Confirmation</v>
      </c>
    </row>
    <row r="1391" spans="1:9" x14ac:dyDescent="0.3">
      <c r="A1391" t="str">
        <f>FO_Capture!A1391</f>
        <v>TRD01390</v>
      </c>
      <c r="B1391" t="str">
        <f>FO_Capture!B1391</f>
        <v>INE002A01048</v>
      </c>
      <c r="C1391" t="str">
        <f>IFERROR(VLOOKUP(FO_Capture!C1391, Reference_Data!A:D, 2, FALSE), "UNKNOWN")</f>
        <v>Alpha Holdings 41</v>
      </c>
      <c r="D1391" t="str">
        <f>IFERROR(VLOOKUP(FO_Capture!C1391, Reference_Data!A:D, 3, FALSE), "XXX")</f>
        <v>JPY</v>
      </c>
      <c r="E1391" t="str">
        <f>IFERROR(VLOOKUP(FO_Capture!C1391, Reference_Data!A:D, 4, FALSE), "MISSING SSI")</f>
        <v>HSBC A/C 468615</v>
      </c>
      <c r="F1391">
        <f>FO_Capture!D1391</f>
        <v>170</v>
      </c>
      <c r="G1391">
        <f>FO_Capture!E1391</f>
        <v>189.55000305175781</v>
      </c>
      <c r="H1391">
        <f t="shared" si="42"/>
        <v>32223.500518798828</v>
      </c>
      <c r="I1391" t="str">
        <f t="shared" si="43"/>
        <v>Pass - Ready for Confirmation</v>
      </c>
    </row>
    <row r="1392" spans="1:9" x14ac:dyDescent="0.3">
      <c r="A1392" t="str">
        <f>FO_Capture!A1392</f>
        <v>TRD01391</v>
      </c>
      <c r="B1392" t="str">
        <f>FO_Capture!B1392</f>
        <v>INE003A01019</v>
      </c>
      <c r="C1392" t="str">
        <f>IFERROR(VLOOKUP(FO_Capture!C1392, Reference_Data!A:D, 2, FALSE), "UNKNOWN")</f>
        <v>Alpha Partners 3</v>
      </c>
      <c r="D1392" t="str">
        <f>IFERROR(VLOOKUP(FO_Capture!C1392, Reference_Data!A:D, 3, FALSE), "XXX")</f>
        <v>USD</v>
      </c>
      <c r="E1392" t="str">
        <f>IFERROR(VLOOKUP(FO_Capture!C1392, Reference_Data!A:D, 4, FALSE), "MISSING SSI")</f>
        <v>Citi A/C 508769</v>
      </c>
      <c r="F1392">
        <f>FO_Capture!D1392</f>
        <v>500</v>
      </c>
      <c r="G1392">
        <f>FO_Capture!E1392</f>
        <v>354.41000366210938</v>
      </c>
      <c r="H1392">
        <f t="shared" si="42"/>
        <v>177205.00183105469</v>
      </c>
      <c r="I1392" t="str">
        <f t="shared" si="43"/>
        <v>Pass - Ready for Confirmation</v>
      </c>
    </row>
    <row r="1393" spans="1:9" x14ac:dyDescent="0.3">
      <c r="A1393" t="str">
        <f>FO_Capture!A1393</f>
        <v>TRD01392</v>
      </c>
      <c r="B1393" t="str">
        <f>FO_Capture!B1393</f>
        <v>INE008A01057</v>
      </c>
      <c r="C1393" t="str">
        <f>IFERROR(VLOOKUP(FO_Capture!C1393, Reference_Data!A:D, 2, FALSE), "UNKNOWN")</f>
        <v>Alpha Capital 11</v>
      </c>
      <c r="D1393" t="str">
        <f>IFERROR(VLOOKUP(FO_Capture!C1393, Reference_Data!A:D, 3, FALSE), "XXX")</f>
        <v>USD</v>
      </c>
      <c r="E1393" t="str">
        <f>IFERROR(VLOOKUP(FO_Capture!C1393, Reference_Data!A:D, 4, FALSE), "MISSING SSI")</f>
        <v>JPMorgan A/C 987170</v>
      </c>
      <c r="F1393">
        <f>FO_Capture!D1393</f>
        <v>80</v>
      </c>
      <c r="G1393">
        <f>FO_Capture!E1393</f>
        <v>121.62999725341797</v>
      </c>
      <c r="H1393">
        <f t="shared" si="42"/>
        <v>9730.3997802734375</v>
      </c>
      <c r="I1393" t="str">
        <f t="shared" si="43"/>
        <v>Pass - Ready for Confirmation</v>
      </c>
    </row>
    <row r="1394" spans="1:9" x14ac:dyDescent="0.3">
      <c r="A1394" t="str">
        <f>FO_Capture!A1394</f>
        <v>TRD01393</v>
      </c>
      <c r="B1394" t="str">
        <f>FO_Capture!B1394</f>
        <v>INE006A01045</v>
      </c>
      <c r="C1394" t="str">
        <f>IFERROR(VLOOKUP(FO_Capture!C1394, Reference_Data!A:D, 2, FALSE), "UNKNOWN")</f>
        <v>Alpha Investments 40</v>
      </c>
      <c r="D1394" t="str">
        <f>IFERROR(VLOOKUP(FO_Capture!C1394, Reference_Data!A:D, 3, FALSE), "XXX")</f>
        <v>GBP</v>
      </c>
      <c r="E1394" t="str">
        <f>IFERROR(VLOOKUP(FO_Capture!C1394, Reference_Data!A:D, 4, FALSE), "MISSING SSI")</f>
        <v>HDFC A/C 897530</v>
      </c>
      <c r="F1394">
        <f>FO_Capture!D1394</f>
        <v>230</v>
      </c>
      <c r="G1394">
        <f>FO_Capture!E1394</f>
        <v>308.83999633789063</v>
      </c>
      <c r="H1394">
        <f t="shared" si="42"/>
        <v>71033.199157714844</v>
      </c>
      <c r="I1394" t="str">
        <f t="shared" si="43"/>
        <v>Pass - Ready for Confirmation</v>
      </c>
    </row>
    <row r="1395" spans="1:9" x14ac:dyDescent="0.3">
      <c r="A1395" t="str">
        <f>FO_Capture!A1395</f>
        <v>TRD01394</v>
      </c>
      <c r="B1395" t="str">
        <f>FO_Capture!B1395</f>
        <v>INE003A01055</v>
      </c>
      <c r="C1395" t="str">
        <f>IFERROR(VLOOKUP(FO_Capture!C1395, Reference_Data!A:D, 2, FALSE), "UNKNOWN")</f>
        <v>Alpha Capital 11</v>
      </c>
      <c r="D1395" t="str">
        <f>IFERROR(VLOOKUP(FO_Capture!C1395, Reference_Data!A:D, 3, FALSE), "XXX")</f>
        <v>USD</v>
      </c>
      <c r="E1395" t="str">
        <f>IFERROR(VLOOKUP(FO_Capture!C1395, Reference_Data!A:D, 4, FALSE), "MISSING SSI")</f>
        <v>JPMorgan A/C 987170</v>
      </c>
      <c r="F1395">
        <f>FO_Capture!D1395</f>
        <v>30</v>
      </c>
      <c r="G1395">
        <f>FO_Capture!E1395</f>
        <v>366.48001098632813</v>
      </c>
      <c r="H1395">
        <f t="shared" si="42"/>
        <v>10994.400329589844</v>
      </c>
      <c r="I1395" t="str">
        <f t="shared" si="43"/>
        <v>Pass - Ready for Confirmation</v>
      </c>
    </row>
    <row r="1396" spans="1:9" x14ac:dyDescent="0.3">
      <c r="A1396" t="str">
        <f>FO_Capture!A1396</f>
        <v>TRD01395</v>
      </c>
      <c r="B1396" t="str">
        <f>FO_Capture!B1396</f>
        <v>INE006A01097</v>
      </c>
      <c r="C1396" t="str">
        <f>IFERROR(VLOOKUP(FO_Capture!C1396, Reference_Data!A:D, 2, FALSE), "UNKNOWN")</f>
        <v>Alpha Quant Fund 24</v>
      </c>
      <c r="D1396" t="str">
        <f>IFERROR(VLOOKUP(FO_Capture!C1396, Reference_Data!A:D, 3, FALSE), "XXX")</f>
        <v>SGD</v>
      </c>
      <c r="E1396" t="str">
        <f>IFERROR(VLOOKUP(FO_Capture!C1396, Reference_Data!A:D, 4, FALSE), "MISSING SSI")</f>
        <v>JPMorgan A/C 603587</v>
      </c>
      <c r="F1396">
        <f>FO_Capture!D1396</f>
        <v>130</v>
      </c>
      <c r="G1396">
        <f>FO_Capture!E1396</f>
        <v>127.80999755859375</v>
      </c>
      <c r="H1396">
        <f t="shared" si="42"/>
        <v>16615.299682617188</v>
      </c>
      <c r="I1396" t="str">
        <f t="shared" si="43"/>
        <v>Pass - Ready for Confirmation</v>
      </c>
    </row>
    <row r="1397" spans="1:9" x14ac:dyDescent="0.3">
      <c r="A1397" t="str">
        <f>FO_Capture!A1397</f>
        <v>TRD01396</v>
      </c>
      <c r="B1397" t="str">
        <f>FO_Capture!B1397</f>
        <v>INE001A01071</v>
      </c>
      <c r="C1397" t="str">
        <f>IFERROR(VLOOKUP(FO_Capture!C1397, Reference_Data!A:D, 2, FALSE), "UNKNOWN")</f>
        <v>Alpha Partners 26</v>
      </c>
      <c r="D1397" t="str">
        <f>IFERROR(VLOOKUP(FO_Capture!C1397, Reference_Data!A:D, 3, FALSE), "XXX")</f>
        <v>USD</v>
      </c>
      <c r="E1397" t="str">
        <f>IFERROR(VLOOKUP(FO_Capture!C1397, Reference_Data!A:D, 4, FALSE), "MISSING SSI")</f>
        <v>HSBC A/C 867781</v>
      </c>
      <c r="F1397">
        <f>FO_Capture!D1397</f>
        <v>460</v>
      </c>
      <c r="G1397">
        <f>FO_Capture!E1397</f>
        <v>58.880001068115234</v>
      </c>
      <c r="H1397">
        <f t="shared" si="42"/>
        <v>27084.800491333008</v>
      </c>
      <c r="I1397" t="str">
        <f t="shared" si="43"/>
        <v>Pass - Ready for Confirmation</v>
      </c>
    </row>
    <row r="1398" spans="1:9" x14ac:dyDescent="0.3">
      <c r="A1398" t="str">
        <f>FO_Capture!A1398</f>
        <v>TRD01397</v>
      </c>
      <c r="B1398" t="str">
        <f>FO_Capture!B1398</f>
        <v>INE005A01018</v>
      </c>
      <c r="C1398" t="str">
        <f>IFERROR(VLOOKUP(FO_Capture!C1398, Reference_Data!A:D, 2, FALSE), "UNKNOWN")</f>
        <v>Alpha Global 45</v>
      </c>
      <c r="D1398" t="str">
        <f>IFERROR(VLOOKUP(FO_Capture!C1398, Reference_Data!A:D, 3, FALSE), "XXX")</f>
        <v>EUR</v>
      </c>
      <c r="E1398" t="str">
        <f>IFERROR(VLOOKUP(FO_Capture!C1398, Reference_Data!A:D, 4, FALSE), "MISSING SSI")</f>
        <v>HSBC A/C 540659</v>
      </c>
      <c r="F1398">
        <f>FO_Capture!D1398</f>
        <v>490</v>
      </c>
      <c r="G1398">
        <f>FO_Capture!E1398</f>
        <v>508.57998657226563</v>
      </c>
      <c r="H1398">
        <f t="shared" si="42"/>
        <v>249204.19342041016</v>
      </c>
      <c r="I1398" t="str">
        <f t="shared" si="43"/>
        <v>Pass - Ready for Confirmation</v>
      </c>
    </row>
    <row r="1399" spans="1:9" x14ac:dyDescent="0.3">
      <c r="A1399" t="str">
        <f>FO_Capture!A1399</f>
        <v>TRD01398</v>
      </c>
      <c r="B1399" t="str">
        <f>FO_Capture!B1399</f>
        <v>INE002A01062</v>
      </c>
      <c r="C1399" t="str">
        <f>IFERROR(VLOOKUP(FO_Capture!C1399, Reference_Data!A:D, 2, FALSE), "UNKNOWN")</f>
        <v>Alpha Asset Management 5</v>
      </c>
      <c r="D1399" t="str">
        <f>IFERROR(VLOOKUP(FO_Capture!C1399, Reference_Data!A:D, 3, FALSE), "XXX")</f>
        <v>INR</v>
      </c>
      <c r="E1399" t="str">
        <f>IFERROR(VLOOKUP(FO_Capture!C1399, Reference_Data!A:D, 4, FALSE), "MISSING SSI")</f>
        <v>JPMorgan A/C 860462</v>
      </c>
      <c r="F1399">
        <f>FO_Capture!D1399</f>
        <v>460</v>
      </c>
      <c r="G1399">
        <f>FO_Capture!E1399</f>
        <v>458.57998657226563</v>
      </c>
      <c r="H1399">
        <f t="shared" si="42"/>
        <v>210946.79382324219</v>
      </c>
      <c r="I1399" t="str">
        <f t="shared" si="43"/>
        <v>Pass - Ready for Confirmation</v>
      </c>
    </row>
    <row r="1400" spans="1:9" x14ac:dyDescent="0.3">
      <c r="A1400" t="str">
        <f>FO_Capture!A1400</f>
        <v>TRD01399</v>
      </c>
      <c r="B1400" t="str">
        <f>FO_Capture!B1400</f>
        <v>INE007A01073</v>
      </c>
      <c r="C1400" t="str">
        <f>IFERROR(VLOOKUP(FO_Capture!C1400, Reference_Data!A:D, 2, FALSE), "UNKNOWN")</f>
        <v>Alpha Asset Management 8</v>
      </c>
      <c r="D1400" t="str">
        <f>IFERROR(VLOOKUP(FO_Capture!C1400, Reference_Data!A:D, 3, FALSE), "XXX")</f>
        <v>GBP</v>
      </c>
      <c r="E1400" t="str">
        <f>IFERROR(VLOOKUP(FO_Capture!C1400, Reference_Data!A:D, 4, FALSE), "MISSING SSI")</f>
        <v>HDFC A/C 180445</v>
      </c>
      <c r="F1400">
        <f>FO_Capture!D1400</f>
        <v>180</v>
      </c>
      <c r="G1400">
        <f>FO_Capture!E1400</f>
        <v>273.41000366210938</v>
      </c>
      <c r="H1400">
        <f t="shared" si="42"/>
        <v>49213.800659179688</v>
      </c>
      <c r="I1400" t="str">
        <f t="shared" si="43"/>
        <v>Pass - Ready for Confirmation</v>
      </c>
    </row>
    <row r="1401" spans="1:9" x14ac:dyDescent="0.3">
      <c r="A1401" t="str">
        <f>FO_Capture!A1401</f>
        <v>TRD01400</v>
      </c>
      <c r="B1401" t="str">
        <f>FO_Capture!B1401</f>
        <v>INE005A0106</v>
      </c>
      <c r="C1401" t="str">
        <f>IFERROR(VLOOKUP(FO_Capture!C1401, Reference_Data!A:D, 2, FALSE), "UNKNOWN")</f>
        <v>Alpha Partners 6</v>
      </c>
      <c r="D1401" t="str">
        <f>IFERROR(VLOOKUP(FO_Capture!C1401, Reference_Data!A:D, 3, FALSE), "XXX")</f>
        <v>INR</v>
      </c>
      <c r="E1401" t="str">
        <f>IFERROR(VLOOKUP(FO_Capture!C1401, Reference_Data!A:D, 4, FALSE), "MISSING SSI")</f>
        <v>Standard Chartered A/C 441247</v>
      </c>
      <c r="F1401">
        <f>FO_Capture!D1401</f>
        <v>230</v>
      </c>
      <c r="G1401">
        <f>FO_Capture!E1401</f>
        <v>450.3599853515625</v>
      </c>
      <c r="H1401">
        <f t="shared" si="42"/>
        <v>103582.79663085938</v>
      </c>
      <c r="I1401" t="str">
        <f t="shared" si="43"/>
        <v>Pass - Ready for Confirmation</v>
      </c>
    </row>
    <row r="1402" spans="1:9" x14ac:dyDescent="0.3">
      <c r="A1402" t="str">
        <f>FO_Capture!A1402</f>
        <v>TRD01401</v>
      </c>
      <c r="B1402" t="str">
        <f>FO_Capture!B1402</f>
        <v>INE009A01057</v>
      </c>
      <c r="C1402" t="str">
        <f>IFERROR(VLOOKUP(FO_Capture!C1402, Reference_Data!A:D, 2, FALSE), "UNKNOWN")</f>
        <v>Alpha Investments 29</v>
      </c>
      <c r="D1402" t="str">
        <f>IFERROR(VLOOKUP(FO_Capture!C1402, Reference_Data!A:D, 3, FALSE), "XXX")</f>
        <v>INR</v>
      </c>
      <c r="E1402" t="str">
        <f>IFERROR(VLOOKUP(FO_Capture!C1402, Reference_Data!A:D, 4, FALSE), "MISSING SSI")</f>
        <v>HSBC A/C 785870</v>
      </c>
      <c r="F1402">
        <f>FO_Capture!D1402</f>
        <v>240</v>
      </c>
      <c r="G1402">
        <f>FO_Capture!E1402</f>
        <v>369.57000732421875</v>
      </c>
      <c r="H1402">
        <f t="shared" si="42"/>
        <v>88696.8017578125</v>
      </c>
      <c r="I1402" t="str">
        <f t="shared" si="43"/>
        <v>Pass - Ready for Confirmation</v>
      </c>
    </row>
    <row r="1403" spans="1:9" x14ac:dyDescent="0.3">
      <c r="A1403" t="str">
        <f>FO_Capture!A1403</f>
        <v>TRD01402</v>
      </c>
      <c r="B1403" t="str">
        <f>FO_Capture!B1403</f>
        <v>INE003A0109</v>
      </c>
      <c r="C1403" t="str">
        <f>IFERROR(VLOOKUP(FO_Capture!C1403, Reference_Data!A:D, 2, FALSE), "UNKNOWN")</f>
        <v>Alpha Asset Management 4</v>
      </c>
      <c r="D1403" t="str">
        <f>IFERROR(VLOOKUP(FO_Capture!C1403, Reference_Data!A:D, 3, FALSE), "XXX")</f>
        <v>JPY</v>
      </c>
      <c r="E1403" t="str">
        <f>IFERROR(VLOOKUP(FO_Capture!C1403, Reference_Data!A:D, 4, FALSE), "MISSING SSI")</f>
        <v>Deutsche Bank A/C 126543</v>
      </c>
      <c r="F1403">
        <f>FO_Capture!D1403</f>
        <v>110</v>
      </c>
      <c r="G1403">
        <f>FO_Capture!E1403</f>
        <v>43.970001220703125</v>
      </c>
      <c r="H1403">
        <f t="shared" si="42"/>
        <v>4836.7001342773438</v>
      </c>
      <c r="I1403" t="str">
        <f t="shared" si="43"/>
        <v>Pass - Ready for Confirmation</v>
      </c>
    </row>
    <row r="1404" spans="1:9" x14ac:dyDescent="0.3">
      <c r="A1404" t="str">
        <f>FO_Capture!A1404</f>
        <v>TRD01403</v>
      </c>
      <c r="B1404" t="str">
        <f>FO_Capture!B1404</f>
        <v>INE001A01086</v>
      </c>
      <c r="C1404" t="str">
        <f>IFERROR(VLOOKUP(FO_Capture!C1404, Reference_Data!A:D, 2, FALSE), "UNKNOWN")</f>
        <v>Alpha Partners 37</v>
      </c>
      <c r="D1404" t="str">
        <f>IFERROR(VLOOKUP(FO_Capture!C1404, Reference_Data!A:D, 3, FALSE), "XXX")</f>
        <v>JPY</v>
      </c>
      <c r="E1404" t="str">
        <f>IFERROR(VLOOKUP(FO_Capture!C1404, Reference_Data!A:D, 4, FALSE), "MISSING SSI")</f>
        <v>HSBC A/C 994063</v>
      </c>
      <c r="F1404">
        <f>FO_Capture!D1404</f>
        <v>290</v>
      </c>
      <c r="G1404">
        <f>FO_Capture!E1404</f>
        <v>369.32000732421875</v>
      </c>
      <c r="H1404">
        <f t="shared" si="42"/>
        <v>107102.80212402344</v>
      </c>
      <c r="I1404" t="str">
        <f t="shared" si="43"/>
        <v>Pass - Ready for Confirmation</v>
      </c>
    </row>
    <row r="1405" spans="1:9" x14ac:dyDescent="0.3">
      <c r="A1405" t="str">
        <f>FO_Capture!A1405</f>
        <v>TRD01404</v>
      </c>
      <c r="B1405" t="str">
        <f>FO_Capture!B1405</f>
        <v>INE004A0101</v>
      </c>
      <c r="C1405" t="str">
        <f>IFERROR(VLOOKUP(FO_Capture!C1405, Reference_Data!A:D, 2, FALSE), "UNKNOWN")</f>
        <v>Alpha Capital 33</v>
      </c>
      <c r="D1405" t="str">
        <f>IFERROR(VLOOKUP(FO_Capture!C1405, Reference_Data!A:D, 3, FALSE), "XXX")</f>
        <v>JPY</v>
      </c>
      <c r="E1405" t="str">
        <f>IFERROR(VLOOKUP(FO_Capture!C1405, Reference_Data!A:D, 4, FALSE), "MISSING SSI")</f>
        <v>HSBC A/C 172861</v>
      </c>
      <c r="F1405">
        <f>FO_Capture!D1405</f>
        <v>40</v>
      </c>
      <c r="G1405">
        <f>FO_Capture!E1405</f>
        <v>374.17999267578125</v>
      </c>
      <c r="H1405">
        <f t="shared" si="42"/>
        <v>14967.19970703125</v>
      </c>
      <c r="I1405" t="str">
        <f t="shared" si="43"/>
        <v>Pass - Ready for Confirmation</v>
      </c>
    </row>
    <row r="1406" spans="1:9" x14ac:dyDescent="0.3">
      <c r="A1406" t="str">
        <f>FO_Capture!A1406</f>
        <v>TRD01405</v>
      </c>
      <c r="B1406" t="str">
        <f>FO_Capture!B1406</f>
        <v>INE004A0105</v>
      </c>
      <c r="C1406" t="str">
        <f>IFERROR(VLOOKUP(FO_Capture!C1406, Reference_Data!A:D, 2, FALSE), "UNKNOWN")</f>
        <v>Alpha Quant Fund 24</v>
      </c>
      <c r="D1406" t="str">
        <f>IFERROR(VLOOKUP(FO_Capture!C1406, Reference_Data!A:D, 3, FALSE), "XXX")</f>
        <v>SGD</v>
      </c>
      <c r="E1406" t="str">
        <f>IFERROR(VLOOKUP(FO_Capture!C1406, Reference_Data!A:D, 4, FALSE), "MISSING SSI")</f>
        <v>JPMorgan A/C 603587</v>
      </c>
      <c r="F1406">
        <f>FO_Capture!D1406</f>
        <v>120</v>
      </c>
      <c r="G1406">
        <f>FO_Capture!E1406</f>
        <v>469.92999267578125</v>
      </c>
      <c r="H1406">
        <f t="shared" si="42"/>
        <v>56391.59912109375</v>
      </c>
      <c r="I1406" t="str">
        <f t="shared" si="43"/>
        <v>Pass - Ready for Confirmation</v>
      </c>
    </row>
    <row r="1407" spans="1:9" x14ac:dyDescent="0.3">
      <c r="A1407" t="str">
        <f>FO_Capture!A1407</f>
        <v>TRD01406</v>
      </c>
      <c r="B1407" t="str">
        <f>FO_Capture!B1407</f>
        <v>INE003A01037</v>
      </c>
      <c r="C1407" t="str">
        <f>IFERROR(VLOOKUP(FO_Capture!C1407, Reference_Data!A:D, 2, FALSE), "UNKNOWN")</f>
        <v>Alpha Partners 42</v>
      </c>
      <c r="D1407" t="str">
        <f>IFERROR(VLOOKUP(FO_Capture!C1407, Reference_Data!A:D, 3, FALSE), "XXX")</f>
        <v>USD</v>
      </c>
      <c r="E1407" t="str">
        <f>IFERROR(VLOOKUP(FO_Capture!C1407, Reference_Data!A:D, 4, FALSE), "MISSING SSI")</f>
        <v>Citi A/C 416082</v>
      </c>
      <c r="F1407">
        <f>FO_Capture!D1407</f>
        <v>100</v>
      </c>
      <c r="G1407">
        <f>FO_Capture!E1407</f>
        <v>200.77000427246094</v>
      </c>
      <c r="H1407">
        <f t="shared" si="42"/>
        <v>20077.000427246094</v>
      </c>
      <c r="I1407" t="str">
        <f t="shared" si="43"/>
        <v>Pass - Ready for Confirmation</v>
      </c>
    </row>
    <row r="1408" spans="1:9" x14ac:dyDescent="0.3">
      <c r="A1408" t="str">
        <f>FO_Capture!A1408</f>
        <v>TRD01407</v>
      </c>
      <c r="B1408" t="str">
        <f>FO_Capture!B1408</f>
        <v>INE003A01078</v>
      </c>
      <c r="C1408" t="str">
        <f>IFERROR(VLOOKUP(FO_Capture!C1408, Reference_Data!A:D, 2, FALSE), "UNKNOWN")</f>
        <v>Alpha Global 45</v>
      </c>
      <c r="D1408" t="str">
        <f>IFERROR(VLOOKUP(FO_Capture!C1408, Reference_Data!A:D, 3, FALSE), "XXX")</f>
        <v>EUR</v>
      </c>
      <c r="E1408" t="str">
        <f>IFERROR(VLOOKUP(FO_Capture!C1408, Reference_Data!A:D, 4, FALSE), "MISSING SSI")</f>
        <v>HSBC A/C 540659</v>
      </c>
      <c r="F1408">
        <f>FO_Capture!D1408</f>
        <v>100</v>
      </c>
      <c r="G1408">
        <f>FO_Capture!E1408</f>
        <v>493.67999267578125</v>
      </c>
      <c r="H1408">
        <f t="shared" si="42"/>
        <v>49367.999267578125</v>
      </c>
      <c r="I1408" t="str">
        <f t="shared" si="43"/>
        <v>Pass - Ready for Confirmation</v>
      </c>
    </row>
    <row r="1409" spans="1:9" x14ac:dyDescent="0.3">
      <c r="A1409" t="str">
        <f>FO_Capture!A1409</f>
        <v>TRD01408</v>
      </c>
      <c r="B1409" t="str">
        <f>FO_Capture!B1409</f>
        <v>INE003A01097</v>
      </c>
      <c r="C1409" t="str">
        <f>IFERROR(VLOOKUP(FO_Capture!C1409, Reference_Data!A:D, 2, FALSE), "UNKNOWN")</f>
        <v>Alpha Holdings 41</v>
      </c>
      <c r="D1409" t="str">
        <f>IFERROR(VLOOKUP(FO_Capture!C1409, Reference_Data!A:D, 3, FALSE), "XXX")</f>
        <v>JPY</v>
      </c>
      <c r="E1409" t="str">
        <f>IFERROR(VLOOKUP(FO_Capture!C1409, Reference_Data!A:D, 4, FALSE), "MISSING SSI")</f>
        <v>HSBC A/C 468615</v>
      </c>
      <c r="F1409">
        <f>FO_Capture!D1409</f>
        <v>10</v>
      </c>
      <c r="G1409">
        <f>FO_Capture!E1409</f>
        <v>408.48001098632813</v>
      </c>
      <c r="H1409">
        <f t="shared" si="42"/>
        <v>4084.8001098632813</v>
      </c>
      <c r="I1409" t="str">
        <f t="shared" si="43"/>
        <v>Pass - Ready for Confirmation</v>
      </c>
    </row>
    <row r="1410" spans="1:9" x14ac:dyDescent="0.3">
      <c r="A1410" t="str">
        <f>FO_Capture!A1410</f>
        <v>TRD01409</v>
      </c>
      <c r="B1410" t="str">
        <f>FO_Capture!B1410</f>
        <v>INE005A0101</v>
      </c>
      <c r="C1410" t="str">
        <f>IFERROR(VLOOKUP(FO_Capture!C1410, Reference_Data!A:D, 2, FALSE), "UNKNOWN")</f>
        <v>Alpha Investments 15</v>
      </c>
      <c r="D1410" t="str">
        <f>IFERROR(VLOOKUP(FO_Capture!C1410, Reference_Data!A:D, 3, FALSE), "XXX")</f>
        <v>INR</v>
      </c>
      <c r="E1410" t="str">
        <f>IFERROR(VLOOKUP(FO_Capture!C1410, Reference_Data!A:D, 4, FALSE), "MISSING SSI")</f>
        <v>Deutsche Bank A/C 330518</v>
      </c>
      <c r="F1410">
        <f>FO_Capture!D1410</f>
        <v>260</v>
      </c>
      <c r="G1410">
        <f>FO_Capture!E1410</f>
        <v>387.80999755859375</v>
      </c>
      <c r="H1410">
        <f t="shared" si="42"/>
        <v>100830.59936523438</v>
      </c>
      <c r="I1410" t="str">
        <f t="shared" si="43"/>
        <v>Pass - Ready for Confirmation</v>
      </c>
    </row>
    <row r="1411" spans="1:9" x14ac:dyDescent="0.3">
      <c r="A1411" t="str">
        <f>FO_Capture!A1411</f>
        <v>TRD01410</v>
      </c>
      <c r="B1411" t="str">
        <f>FO_Capture!B1411</f>
        <v>INE006A01086</v>
      </c>
      <c r="C1411" t="str">
        <f>IFERROR(VLOOKUP(FO_Capture!C1411, Reference_Data!A:D, 2, FALSE), "UNKNOWN")</f>
        <v>Alpha Partners 3</v>
      </c>
      <c r="D1411" t="str">
        <f>IFERROR(VLOOKUP(FO_Capture!C1411, Reference_Data!A:D, 3, FALSE), "XXX")</f>
        <v>USD</v>
      </c>
      <c r="E1411" t="str">
        <f>IFERROR(VLOOKUP(FO_Capture!C1411, Reference_Data!A:D, 4, FALSE), "MISSING SSI")</f>
        <v>Citi A/C 508769</v>
      </c>
      <c r="F1411">
        <f>FO_Capture!D1411</f>
        <v>25000</v>
      </c>
      <c r="G1411">
        <f>FO_Capture!E1411</f>
        <v>92.980003356933594</v>
      </c>
      <c r="H1411">
        <f t="shared" ref="H1411:H1474" si="44">F1411 * G1411</f>
        <v>2324500.0839233398</v>
      </c>
      <c r="I1411" t="str">
        <f t="shared" ref="I1411:I1474" si="45">IF(C1411="UNKNOWN", "Fail - Missing Ref Data", IF(OR(F1411&lt;=0, G1411&lt;=0), "Fail - Invalid Price/Qty", IF(H1411&gt;1000000, "Exception - Limit Breach", "Pass - Ready for Confirmation")))</f>
        <v>Exception - Limit Breach</v>
      </c>
    </row>
    <row r="1412" spans="1:9" x14ac:dyDescent="0.3">
      <c r="A1412" t="str">
        <f>FO_Capture!A1412</f>
        <v>TRD01411</v>
      </c>
      <c r="B1412" t="str">
        <f>FO_Capture!B1412</f>
        <v>INE009A01085</v>
      </c>
      <c r="C1412" t="str">
        <f>IFERROR(VLOOKUP(FO_Capture!C1412, Reference_Data!A:D, 2, FALSE), "UNKNOWN")</f>
        <v>Alpha Investments 40</v>
      </c>
      <c r="D1412" t="str">
        <f>IFERROR(VLOOKUP(FO_Capture!C1412, Reference_Data!A:D, 3, FALSE), "XXX")</f>
        <v>GBP</v>
      </c>
      <c r="E1412" t="str">
        <f>IFERROR(VLOOKUP(FO_Capture!C1412, Reference_Data!A:D, 4, FALSE), "MISSING SSI")</f>
        <v>HDFC A/C 897530</v>
      </c>
      <c r="F1412">
        <f>FO_Capture!D1412</f>
        <v>340</v>
      </c>
      <c r="G1412">
        <f>FO_Capture!E1412</f>
        <v>252.33000183105469</v>
      </c>
      <c r="H1412">
        <f t="shared" si="44"/>
        <v>85792.200622558594</v>
      </c>
      <c r="I1412" t="str">
        <f t="shared" si="45"/>
        <v>Pass - Ready for Confirmation</v>
      </c>
    </row>
    <row r="1413" spans="1:9" x14ac:dyDescent="0.3">
      <c r="A1413" t="str">
        <f>FO_Capture!A1413</f>
        <v>TRD01412</v>
      </c>
      <c r="B1413" t="str">
        <f>FO_Capture!B1413</f>
        <v>INE004A01087</v>
      </c>
      <c r="C1413" t="str">
        <f>IFERROR(VLOOKUP(FO_Capture!C1413, Reference_Data!A:D, 2, FALSE), "UNKNOWN")</f>
        <v>Alpha Partners 19</v>
      </c>
      <c r="D1413" t="str">
        <f>IFERROR(VLOOKUP(FO_Capture!C1413, Reference_Data!A:D, 3, FALSE), "XXX")</f>
        <v>INR</v>
      </c>
      <c r="E1413" t="str">
        <f>IFERROR(VLOOKUP(FO_Capture!C1413, Reference_Data!A:D, 4, FALSE), "MISSING SSI")</f>
        <v>Citi A/C 543819</v>
      </c>
      <c r="F1413">
        <f>FO_Capture!D1413</f>
        <v>10</v>
      </c>
      <c r="G1413">
        <f>FO_Capture!E1413</f>
        <v>299.1099853515625</v>
      </c>
      <c r="H1413">
        <f t="shared" si="44"/>
        <v>2991.099853515625</v>
      </c>
      <c r="I1413" t="str">
        <f t="shared" si="45"/>
        <v>Pass - Ready for Confirmation</v>
      </c>
    </row>
    <row r="1414" spans="1:9" x14ac:dyDescent="0.3">
      <c r="A1414" t="str">
        <f>FO_Capture!A1414</f>
        <v>TRD01413</v>
      </c>
      <c r="B1414" t="str">
        <f>FO_Capture!B1414</f>
        <v>INE003A01065</v>
      </c>
      <c r="C1414" t="str">
        <f>IFERROR(VLOOKUP(FO_Capture!C1414, Reference_Data!A:D, 2, FALSE), "UNKNOWN")</f>
        <v>Alpha Global 39</v>
      </c>
      <c r="D1414" t="str">
        <f>IFERROR(VLOOKUP(FO_Capture!C1414, Reference_Data!A:D, 3, FALSE), "XXX")</f>
        <v>SGD</v>
      </c>
      <c r="E1414" t="str">
        <f>IFERROR(VLOOKUP(FO_Capture!C1414, Reference_Data!A:D, 4, FALSE), "MISSING SSI")</f>
        <v>Deutsche Bank A/C 917029</v>
      </c>
      <c r="F1414">
        <f>FO_Capture!D1414</f>
        <v>410</v>
      </c>
      <c r="G1414">
        <f>FO_Capture!E1414</f>
        <v>325.3599853515625</v>
      </c>
      <c r="H1414">
        <f t="shared" si="44"/>
        <v>133397.59399414063</v>
      </c>
      <c r="I1414" t="str">
        <f t="shared" si="45"/>
        <v>Pass - Ready for Confirmation</v>
      </c>
    </row>
    <row r="1415" spans="1:9" x14ac:dyDescent="0.3">
      <c r="A1415" t="str">
        <f>FO_Capture!A1415</f>
        <v>TRD01414</v>
      </c>
      <c r="B1415" t="str">
        <f>FO_Capture!B1415</f>
        <v>INE004A01083</v>
      </c>
      <c r="C1415" t="str">
        <f>IFERROR(VLOOKUP(FO_Capture!C1415, Reference_Data!A:D, 2, FALSE), "UNKNOWN")</f>
        <v>Alpha Global 45</v>
      </c>
      <c r="D1415" t="str">
        <f>IFERROR(VLOOKUP(FO_Capture!C1415, Reference_Data!A:D, 3, FALSE), "XXX")</f>
        <v>EUR</v>
      </c>
      <c r="E1415" t="str">
        <f>IFERROR(VLOOKUP(FO_Capture!C1415, Reference_Data!A:D, 4, FALSE), "MISSING SSI")</f>
        <v>HSBC A/C 540659</v>
      </c>
      <c r="F1415">
        <f>FO_Capture!D1415</f>
        <v>470</v>
      </c>
      <c r="G1415">
        <f>FO_Capture!E1415</f>
        <v>212.17999267578125</v>
      </c>
      <c r="H1415">
        <f t="shared" si="44"/>
        <v>99724.596557617188</v>
      </c>
      <c r="I1415" t="str">
        <f t="shared" si="45"/>
        <v>Pass - Ready for Confirmation</v>
      </c>
    </row>
    <row r="1416" spans="1:9" x14ac:dyDescent="0.3">
      <c r="A1416" t="str">
        <f>FO_Capture!A1416</f>
        <v>TRD01415</v>
      </c>
      <c r="B1416" t="str">
        <f>FO_Capture!B1416</f>
        <v>INE001A01030</v>
      </c>
      <c r="C1416" t="str">
        <f>IFERROR(VLOOKUP(FO_Capture!C1416, Reference_Data!A:D, 2, FALSE), "UNKNOWN")</f>
        <v>Alpha Partners 26</v>
      </c>
      <c r="D1416" t="str">
        <f>IFERROR(VLOOKUP(FO_Capture!C1416, Reference_Data!A:D, 3, FALSE), "XXX")</f>
        <v>USD</v>
      </c>
      <c r="E1416" t="str">
        <f>IFERROR(VLOOKUP(FO_Capture!C1416, Reference_Data!A:D, 4, FALSE), "MISSING SSI")</f>
        <v>HSBC A/C 867781</v>
      </c>
      <c r="F1416">
        <f>FO_Capture!D1416</f>
        <v>490</v>
      </c>
      <c r="G1416">
        <f>FO_Capture!E1416</f>
        <v>379.739990234375</v>
      </c>
      <c r="H1416">
        <f t="shared" si="44"/>
        <v>186072.59521484375</v>
      </c>
      <c r="I1416" t="str">
        <f t="shared" si="45"/>
        <v>Pass - Ready for Confirmation</v>
      </c>
    </row>
    <row r="1417" spans="1:9" x14ac:dyDescent="0.3">
      <c r="A1417" t="str">
        <f>FO_Capture!A1417</f>
        <v>TRD01416</v>
      </c>
      <c r="B1417" t="str">
        <f>FO_Capture!B1417</f>
        <v>INE003A01059</v>
      </c>
      <c r="C1417" t="str">
        <f>IFERROR(VLOOKUP(FO_Capture!C1417, Reference_Data!A:D, 2, FALSE), "UNKNOWN")</f>
        <v>Alpha Quant Fund 34</v>
      </c>
      <c r="D1417" t="str">
        <f>IFERROR(VLOOKUP(FO_Capture!C1417, Reference_Data!A:D, 3, FALSE), "XXX")</f>
        <v>JPY</v>
      </c>
      <c r="E1417" t="str">
        <f>IFERROR(VLOOKUP(FO_Capture!C1417, Reference_Data!A:D, 4, FALSE), "MISSING SSI")</f>
        <v>Citi A/C 837378</v>
      </c>
      <c r="F1417">
        <f>FO_Capture!D1417</f>
        <v>300</v>
      </c>
      <c r="G1417">
        <f>FO_Capture!E1417</f>
        <v>37.270000457763672</v>
      </c>
      <c r="H1417">
        <f t="shared" si="44"/>
        <v>11181.000137329102</v>
      </c>
      <c r="I1417" t="str">
        <f t="shared" si="45"/>
        <v>Pass - Ready for Confirmation</v>
      </c>
    </row>
    <row r="1418" spans="1:9" x14ac:dyDescent="0.3">
      <c r="A1418" t="str">
        <f>FO_Capture!A1418</f>
        <v>TRD01417</v>
      </c>
      <c r="B1418" t="str">
        <f>FO_Capture!B1418</f>
        <v>INE002A01048</v>
      </c>
      <c r="C1418" t="str">
        <f>IFERROR(VLOOKUP(FO_Capture!C1418, Reference_Data!A:D, 2, FALSE), "UNKNOWN")</f>
        <v>Alpha Asset Management 13</v>
      </c>
      <c r="D1418" t="str">
        <f>IFERROR(VLOOKUP(FO_Capture!C1418, Reference_Data!A:D, 3, FALSE), "XXX")</f>
        <v>INR</v>
      </c>
      <c r="E1418" t="str">
        <f>IFERROR(VLOOKUP(FO_Capture!C1418, Reference_Data!A:D, 4, FALSE), "MISSING SSI")</f>
        <v>HSBC A/C 972195</v>
      </c>
      <c r="F1418">
        <f>FO_Capture!D1418</f>
        <v>80</v>
      </c>
      <c r="G1418">
        <f>FO_Capture!E1418</f>
        <v>433.04998779296875</v>
      </c>
      <c r="H1418">
        <f t="shared" si="44"/>
        <v>34643.9990234375</v>
      </c>
      <c r="I1418" t="str">
        <f t="shared" si="45"/>
        <v>Pass - Ready for Confirmation</v>
      </c>
    </row>
    <row r="1419" spans="1:9" x14ac:dyDescent="0.3">
      <c r="A1419" t="str">
        <f>FO_Capture!A1419</f>
        <v>TRD01418</v>
      </c>
      <c r="B1419" t="str">
        <f>FO_Capture!B1419</f>
        <v>INE009A01045</v>
      </c>
      <c r="C1419" t="str">
        <f>IFERROR(VLOOKUP(FO_Capture!C1419, Reference_Data!A:D, 2, FALSE), "UNKNOWN")</f>
        <v>Alpha Partners 26</v>
      </c>
      <c r="D1419" t="str">
        <f>IFERROR(VLOOKUP(FO_Capture!C1419, Reference_Data!A:D, 3, FALSE), "XXX")</f>
        <v>USD</v>
      </c>
      <c r="E1419" t="str">
        <f>IFERROR(VLOOKUP(FO_Capture!C1419, Reference_Data!A:D, 4, FALSE), "MISSING SSI")</f>
        <v>HSBC A/C 867781</v>
      </c>
      <c r="F1419">
        <f>FO_Capture!D1419</f>
        <v>60</v>
      </c>
      <c r="G1419">
        <f>FO_Capture!E1419</f>
        <v>104.44999694824219</v>
      </c>
      <c r="H1419">
        <f t="shared" si="44"/>
        <v>6266.9998168945313</v>
      </c>
      <c r="I1419" t="str">
        <f t="shared" si="45"/>
        <v>Pass - Ready for Confirmation</v>
      </c>
    </row>
    <row r="1420" spans="1:9" x14ac:dyDescent="0.3">
      <c r="A1420" t="str">
        <f>FO_Capture!A1420</f>
        <v>TRD01419</v>
      </c>
      <c r="B1420" t="str">
        <f>FO_Capture!B1420</f>
        <v>INE007A01016</v>
      </c>
      <c r="C1420" t="str">
        <f>IFERROR(VLOOKUP(FO_Capture!C1420, Reference_Data!A:D, 2, FALSE), "UNKNOWN")</f>
        <v>Alpha Quant Fund 24</v>
      </c>
      <c r="D1420" t="str">
        <f>IFERROR(VLOOKUP(FO_Capture!C1420, Reference_Data!A:D, 3, FALSE), "XXX")</f>
        <v>SGD</v>
      </c>
      <c r="E1420" t="str">
        <f>IFERROR(VLOOKUP(FO_Capture!C1420, Reference_Data!A:D, 4, FALSE), "MISSING SSI")</f>
        <v>JPMorgan A/C 603587</v>
      </c>
      <c r="F1420">
        <f>FO_Capture!D1420</f>
        <v>300</v>
      </c>
      <c r="G1420">
        <f>FO_Capture!E1420</f>
        <v>127.87999725341797</v>
      </c>
      <c r="H1420">
        <f t="shared" si="44"/>
        <v>38363.999176025391</v>
      </c>
      <c r="I1420" t="str">
        <f t="shared" si="45"/>
        <v>Pass - Ready for Confirmation</v>
      </c>
    </row>
    <row r="1421" spans="1:9" x14ac:dyDescent="0.3">
      <c r="A1421" t="str">
        <f>FO_Capture!A1421</f>
        <v>TRD01420</v>
      </c>
      <c r="B1421" t="str">
        <f>FO_Capture!B1421</f>
        <v>INE006A01098</v>
      </c>
      <c r="C1421" t="str">
        <f>IFERROR(VLOOKUP(FO_Capture!C1421, Reference_Data!A:D, 2, FALSE), "UNKNOWN")</f>
        <v>UNKNOWN</v>
      </c>
      <c r="D1421" t="str">
        <f>IFERROR(VLOOKUP(FO_Capture!C1421, Reference_Data!A:D, 3, FALSE), "XXX")</f>
        <v>XXX</v>
      </c>
      <c r="E1421" t="str">
        <f>IFERROR(VLOOKUP(FO_Capture!C1421, Reference_Data!A:D, 4, FALSE), "MISSING SSI")</f>
        <v>MISSING SSI</v>
      </c>
      <c r="F1421">
        <f>FO_Capture!D1421</f>
        <v>220</v>
      </c>
      <c r="G1421">
        <f>FO_Capture!E1421</f>
        <v>436.85000610351563</v>
      </c>
      <c r="H1421">
        <f t="shared" si="44"/>
        <v>96107.001342773438</v>
      </c>
      <c r="I1421" t="str">
        <f t="shared" si="45"/>
        <v>Fail - Missing Ref Data</v>
      </c>
    </row>
    <row r="1422" spans="1:9" x14ac:dyDescent="0.3">
      <c r="A1422" t="str">
        <f>FO_Capture!A1422</f>
        <v>TRD01421</v>
      </c>
      <c r="B1422" t="str">
        <f>FO_Capture!B1422</f>
        <v>INE007A01088</v>
      </c>
      <c r="C1422" t="str">
        <f>IFERROR(VLOOKUP(FO_Capture!C1422, Reference_Data!A:D, 2, FALSE), "UNKNOWN")</f>
        <v>Alpha Global 46</v>
      </c>
      <c r="D1422" t="str">
        <f>IFERROR(VLOOKUP(FO_Capture!C1422, Reference_Data!A:D, 3, FALSE), "XXX")</f>
        <v>USD</v>
      </c>
      <c r="E1422" t="str">
        <f>IFERROR(VLOOKUP(FO_Capture!C1422, Reference_Data!A:D, 4, FALSE), "MISSING SSI")</f>
        <v>Citi A/C 700450</v>
      </c>
      <c r="F1422">
        <f>FO_Capture!D1422</f>
        <v>280</v>
      </c>
      <c r="G1422">
        <f>FO_Capture!E1422</f>
        <v>403.5</v>
      </c>
      <c r="H1422">
        <f t="shared" si="44"/>
        <v>112980</v>
      </c>
      <c r="I1422" t="str">
        <f t="shared" si="45"/>
        <v>Pass - Ready for Confirmation</v>
      </c>
    </row>
    <row r="1423" spans="1:9" x14ac:dyDescent="0.3">
      <c r="A1423" t="str">
        <f>FO_Capture!A1423</f>
        <v>TRD01422</v>
      </c>
      <c r="B1423" t="str">
        <f>FO_Capture!B1423</f>
        <v>INE004A01062</v>
      </c>
      <c r="C1423" t="str">
        <f>IFERROR(VLOOKUP(FO_Capture!C1423, Reference_Data!A:D, 2, FALSE), "UNKNOWN")</f>
        <v>Alpha Capital 36</v>
      </c>
      <c r="D1423" t="str">
        <f>IFERROR(VLOOKUP(FO_Capture!C1423, Reference_Data!A:D, 3, FALSE), "XXX")</f>
        <v>JPY</v>
      </c>
      <c r="E1423" t="str">
        <f>IFERROR(VLOOKUP(FO_Capture!C1423, Reference_Data!A:D, 4, FALSE), "MISSING SSI")</f>
        <v>Citi A/C 359789</v>
      </c>
      <c r="F1423">
        <f>FO_Capture!D1423</f>
        <v>240</v>
      </c>
      <c r="G1423">
        <f>FO_Capture!E1423</f>
        <v>225.8800048828125</v>
      </c>
      <c r="H1423">
        <f t="shared" si="44"/>
        <v>54211.201171875</v>
      </c>
      <c r="I1423" t="str">
        <f t="shared" si="45"/>
        <v>Pass - Ready for Confirmation</v>
      </c>
    </row>
    <row r="1424" spans="1:9" x14ac:dyDescent="0.3">
      <c r="A1424" t="str">
        <f>FO_Capture!A1424</f>
        <v>TRD01423</v>
      </c>
      <c r="B1424" t="str">
        <f>FO_Capture!B1424</f>
        <v>INE008A01018</v>
      </c>
      <c r="C1424" t="str">
        <f>IFERROR(VLOOKUP(FO_Capture!C1424, Reference_Data!A:D, 2, FALSE), "UNKNOWN")</f>
        <v>Alpha Holdings 23</v>
      </c>
      <c r="D1424" t="str">
        <f>IFERROR(VLOOKUP(FO_Capture!C1424, Reference_Data!A:D, 3, FALSE), "XXX")</f>
        <v>INR</v>
      </c>
      <c r="E1424" t="str">
        <f>IFERROR(VLOOKUP(FO_Capture!C1424, Reference_Data!A:D, 4, FALSE), "MISSING SSI")</f>
        <v>Deutsche Bank A/C 983712</v>
      </c>
      <c r="F1424">
        <f>FO_Capture!D1424</f>
        <v>240</v>
      </c>
      <c r="G1424">
        <f>FO_Capture!E1424</f>
        <v>243.08000183105469</v>
      </c>
      <c r="H1424">
        <f t="shared" si="44"/>
        <v>58339.200439453125</v>
      </c>
      <c r="I1424" t="str">
        <f t="shared" si="45"/>
        <v>Pass - Ready for Confirmation</v>
      </c>
    </row>
    <row r="1425" spans="1:9" x14ac:dyDescent="0.3">
      <c r="A1425" t="str">
        <f>FO_Capture!A1425</f>
        <v>TRD01424</v>
      </c>
      <c r="B1425" t="str">
        <f>FO_Capture!B1425</f>
        <v>INE003A01064</v>
      </c>
      <c r="C1425" t="str">
        <f>IFERROR(VLOOKUP(FO_Capture!C1425, Reference_Data!A:D, 2, FALSE), "UNKNOWN")</f>
        <v>Alpha Asset Management 4</v>
      </c>
      <c r="D1425" t="str">
        <f>IFERROR(VLOOKUP(FO_Capture!C1425, Reference_Data!A:D, 3, FALSE), "XXX")</f>
        <v>JPY</v>
      </c>
      <c r="E1425" t="str">
        <f>IFERROR(VLOOKUP(FO_Capture!C1425, Reference_Data!A:D, 4, FALSE), "MISSING SSI")</f>
        <v>Deutsche Bank A/C 126543</v>
      </c>
      <c r="F1425">
        <f>FO_Capture!D1425</f>
        <v>370</v>
      </c>
      <c r="G1425">
        <f>FO_Capture!E1425</f>
        <v>364.54000854492188</v>
      </c>
      <c r="H1425">
        <f t="shared" si="44"/>
        <v>134879.80316162109</v>
      </c>
      <c r="I1425" t="str">
        <f t="shared" si="45"/>
        <v>Pass - Ready for Confirmation</v>
      </c>
    </row>
    <row r="1426" spans="1:9" x14ac:dyDescent="0.3">
      <c r="A1426" t="str">
        <f>FO_Capture!A1426</f>
        <v>TRD01425</v>
      </c>
      <c r="B1426" t="str">
        <f>FO_Capture!B1426</f>
        <v>INE008A01040</v>
      </c>
      <c r="C1426" t="str">
        <f>IFERROR(VLOOKUP(FO_Capture!C1426, Reference_Data!A:D, 2, FALSE), "UNKNOWN")</f>
        <v>Alpha Global 45</v>
      </c>
      <c r="D1426" t="str">
        <f>IFERROR(VLOOKUP(FO_Capture!C1426, Reference_Data!A:D, 3, FALSE), "XXX")</f>
        <v>EUR</v>
      </c>
      <c r="E1426" t="str">
        <f>IFERROR(VLOOKUP(FO_Capture!C1426, Reference_Data!A:D, 4, FALSE), "MISSING SSI")</f>
        <v>HSBC A/C 540659</v>
      </c>
      <c r="F1426">
        <f>FO_Capture!D1426</f>
        <v>490</v>
      </c>
      <c r="G1426">
        <f>FO_Capture!E1426</f>
        <v>320</v>
      </c>
      <c r="H1426">
        <f t="shared" si="44"/>
        <v>156800</v>
      </c>
      <c r="I1426" t="str">
        <f t="shared" si="45"/>
        <v>Pass - Ready for Confirmation</v>
      </c>
    </row>
    <row r="1427" spans="1:9" x14ac:dyDescent="0.3">
      <c r="A1427" t="str">
        <f>FO_Capture!A1427</f>
        <v>TRD01426</v>
      </c>
      <c r="B1427" t="str">
        <f>FO_Capture!B1427</f>
        <v>INE007A01056</v>
      </c>
      <c r="C1427" t="str">
        <f>IFERROR(VLOOKUP(FO_Capture!C1427, Reference_Data!A:D, 2, FALSE), "UNKNOWN")</f>
        <v>Alpha Capital 7</v>
      </c>
      <c r="D1427" t="str">
        <f>IFERROR(VLOOKUP(FO_Capture!C1427, Reference_Data!A:D, 3, FALSE), "XXX")</f>
        <v>INR</v>
      </c>
      <c r="E1427" t="str">
        <f>IFERROR(VLOOKUP(FO_Capture!C1427, Reference_Data!A:D, 4, FALSE), "MISSING SSI")</f>
        <v>Standard Chartered A/C 682134</v>
      </c>
      <c r="F1427">
        <f>FO_Capture!D1427</f>
        <v>410</v>
      </c>
      <c r="G1427">
        <f>FO_Capture!E1427</f>
        <v>409.489990234375</v>
      </c>
      <c r="H1427">
        <f t="shared" si="44"/>
        <v>167890.89599609375</v>
      </c>
      <c r="I1427" t="str">
        <f t="shared" si="45"/>
        <v>Pass - Ready for Confirmation</v>
      </c>
    </row>
    <row r="1428" spans="1:9" x14ac:dyDescent="0.3">
      <c r="A1428" t="str">
        <f>FO_Capture!A1428</f>
        <v>TRD01427</v>
      </c>
      <c r="B1428" t="str">
        <f>FO_Capture!B1428</f>
        <v>INE005A01055</v>
      </c>
      <c r="C1428" t="str">
        <f>IFERROR(VLOOKUP(FO_Capture!C1428, Reference_Data!A:D, 2, FALSE), "UNKNOWN")</f>
        <v>Alpha Global 20</v>
      </c>
      <c r="D1428" t="str">
        <f>IFERROR(VLOOKUP(FO_Capture!C1428, Reference_Data!A:D, 3, FALSE), "XXX")</f>
        <v>JPY</v>
      </c>
      <c r="E1428" t="str">
        <f>IFERROR(VLOOKUP(FO_Capture!C1428, Reference_Data!A:D, 4, FALSE), "MISSING SSI")</f>
        <v>Barclays A/C 560891</v>
      </c>
      <c r="F1428">
        <f>FO_Capture!D1428</f>
        <v>180</v>
      </c>
      <c r="G1428">
        <f>FO_Capture!E1428</f>
        <v>253.38999938964844</v>
      </c>
      <c r="H1428">
        <f t="shared" si="44"/>
        <v>45610.199890136719</v>
      </c>
      <c r="I1428" t="str">
        <f t="shared" si="45"/>
        <v>Pass - Ready for Confirmation</v>
      </c>
    </row>
    <row r="1429" spans="1:9" x14ac:dyDescent="0.3">
      <c r="A1429" t="str">
        <f>FO_Capture!A1429</f>
        <v>TRD01428</v>
      </c>
      <c r="B1429" t="str">
        <f>FO_Capture!B1429</f>
        <v>INE001A01052</v>
      </c>
      <c r="C1429" t="str">
        <f>IFERROR(VLOOKUP(FO_Capture!C1429, Reference_Data!A:D, 2, FALSE), "UNKNOWN")</f>
        <v>Alpha Capital 10</v>
      </c>
      <c r="D1429" t="str">
        <f>IFERROR(VLOOKUP(FO_Capture!C1429, Reference_Data!A:D, 3, FALSE), "XXX")</f>
        <v>USD</v>
      </c>
      <c r="E1429" t="str">
        <f>IFERROR(VLOOKUP(FO_Capture!C1429, Reference_Data!A:D, 4, FALSE), "MISSING SSI")</f>
        <v>HDFC A/C 543407</v>
      </c>
      <c r="F1429">
        <f>FO_Capture!D1429</f>
        <v>310</v>
      </c>
      <c r="G1429">
        <f>FO_Capture!E1429</f>
        <v>42.360000610351563</v>
      </c>
      <c r="H1429">
        <f t="shared" si="44"/>
        <v>13131.600189208984</v>
      </c>
      <c r="I1429" t="str">
        <f t="shared" si="45"/>
        <v>Pass - Ready for Confirmation</v>
      </c>
    </row>
    <row r="1430" spans="1:9" x14ac:dyDescent="0.3">
      <c r="A1430" t="str">
        <f>FO_Capture!A1430</f>
        <v>TRD01429</v>
      </c>
      <c r="B1430" t="str">
        <f>FO_Capture!B1430</f>
        <v>INE007A01091</v>
      </c>
      <c r="C1430" t="str">
        <f>IFERROR(VLOOKUP(FO_Capture!C1430, Reference_Data!A:D, 2, FALSE), "UNKNOWN")</f>
        <v>Alpha Global 20</v>
      </c>
      <c r="D1430" t="str">
        <f>IFERROR(VLOOKUP(FO_Capture!C1430, Reference_Data!A:D, 3, FALSE), "XXX")</f>
        <v>JPY</v>
      </c>
      <c r="E1430" t="str">
        <f>IFERROR(VLOOKUP(FO_Capture!C1430, Reference_Data!A:D, 4, FALSE), "MISSING SSI")</f>
        <v>Barclays A/C 560891</v>
      </c>
      <c r="F1430">
        <f>FO_Capture!D1430</f>
        <v>60</v>
      </c>
      <c r="G1430">
        <f>FO_Capture!E1430</f>
        <v>287.3900146484375</v>
      </c>
      <c r="H1430">
        <f t="shared" si="44"/>
        <v>17243.40087890625</v>
      </c>
      <c r="I1430" t="str">
        <f t="shared" si="45"/>
        <v>Pass - Ready for Confirmation</v>
      </c>
    </row>
    <row r="1431" spans="1:9" x14ac:dyDescent="0.3">
      <c r="A1431" t="str">
        <f>FO_Capture!A1431</f>
        <v>TRD01430</v>
      </c>
      <c r="B1431" t="str">
        <f>FO_Capture!B1431</f>
        <v>INE009A01091</v>
      </c>
      <c r="C1431" t="str">
        <f>IFERROR(VLOOKUP(FO_Capture!C1431, Reference_Data!A:D, 2, FALSE), "UNKNOWN")</f>
        <v>Alpha Investments 40</v>
      </c>
      <c r="D1431" t="str">
        <f>IFERROR(VLOOKUP(FO_Capture!C1431, Reference_Data!A:D, 3, FALSE), "XXX")</f>
        <v>GBP</v>
      </c>
      <c r="E1431" t="str">
        <f>IFERROR(VLOOKUP(FO_Capture!C1431, Reference_Data!A:D, 4, FALSE), "MISSING SSI")</f>
        <v>HDFC A/C 897530</v>
      </c>
      <c r="F1431">
        <f>FO_Capture!D1431</f>
        <v>140</v>
      </c>
      <c r="G1431">
        <f>FO_Capture!E1431</f>
        <v>69.790000915527344</v>
      </c>
      <c r="H1431">
        <f t="shared" si="44"/>
        <v>9770.6001281738281</v>
      </c>
      <c r="I1431" t="str">
        <f t="shared" si="45"/>
        <v>Pass - Ready for Confirmation</v>
      </c>
    </row>
    <row r="1432" spans="1:9" x14ac:dyDescent="0.3">
      <c r="A1432" t="str">
        <f>FO_Capture!A1432</f>
        <v>TRD01431</v>
      </c>
      <c r="B1432" t="str">
        <f>FO_Capture!B1432</f>
        <v>INE006A0101</v>
      </c>
      <c r="C1432" t="str">
        <f>IFERROR(VLOOKUP(FO_Capture!C1432, Reference_Data!A:D, 2, FALSE), "UNKNOWN")</f>
        <v>Alpha Global 28</v>
      </c>
      <c r="D1432" t="str">
        <f>IFERROR(VLOOKUP(FO_Capture!C1432, Reference_Data!A:D, 3, FALSE), "XXX")</f>
        <v>USD</v>
      </c>
      <c r="E1432" t="str">
        <f>IFERROR(VLOOKUP(FO_Capture!C1432, Reference_Data!A:D, 4, FALSE), "MISSING SSI")</f>
        <v>HDFC A/C 638209</v>
      </c>
      <c r="F1432">
        <f>FO_Capture!D1432</f>
        <v>500</v>
      </c>
      <c r="G1432">
        <f>FO_Capture!E1432</f>
        <v>291.16000366210938</v>
      </c>
      <c r="H1432">
        <f t="shared" si="44"/>
        <v>145580.00183105469</v>
      </c>
      <c r="I1432" t="str">
        <f t="shared" si="45"/>
        <v>Pass - Ready for Confirmation</v>
      </c>
    </row>
    <row r="1433" spans="1:9" x14ac:dyDescent="0.3">
      <c r="A1433" t="str">
        <f>FO_Capture!A1433</f>
        <v>TRD01432</v>
      </c>
      <c r="B1433" t="str">
        <f>FO_Capture!B1433</f>
        <v>INE009A01040</v>
      </c>
      <c r="C1433" t="str">
        <f>IFERROR(VLOOKUP(FO_Capture!C1433, Reference_Data!A:D, 2, FALSE), "UNKNOWN")</f>
        <v>Alpha Capital 38</v>
      </c>
      <c r="D1433" t="str">
        <f>IFERROR(VLOOKUP(FO_Capture!C1433, Reference_Data!A:D, 3, FALSE), "XXX")</f>
        <v>SGD</v>
      </c>
      <c r="E1433" t="str">
        <f>IFERROR(VLOOKUP(FO_Capture!C1433, Reference_Data!A:D, 4, FALSE), "MISSING SSI")</f>
        <v>Deutsche Bank A/C 153521</v>
      </c>
      <c r="F1433">
        <f>FO_Capture!D1433</f>
        <v>70</v>
      </c>
      <c r="G1433">
        <f>FO_Capture!E1433</f>
        <v>423.42001342773438</v>
      </c>
      <c r="H1433">
        <f t="shared" si="44"/>
        <v>29639.400939941406</v>
      </c>
      <c r="I1433" t="str">
        <f t="shared" si="45"/>
        <v>Pass - Ready for Confirmation</v>
      </c>
    </row>
    <row r="1434" spans="1:9" x14ac:dyDescent="0.3">
      <c r="A1434" t="str">
        <f>FO_Capture!A1434</f>
        <v>TRD01433</v>
      </c>
      <c r="B1434" t="str">
        <f>FO_Capture!B1434</f>
        <v>INE006A01059</v>
      </c>
      <c r="C1434" t="str">
        <f>IFERROR(VLOOKUP(FO_Capture!C1434, Reference_Data!A:D, 2, FALSE), "UNKNOWN")</f>
        <v>Alpha Holdings 41</v>
      </c>
      <c r="D1434" t="str">
        <f>IFERROR(VLOOKUP(FO_Capture!C1434, Reference_Data!A:D, 3, FALSE), "XXX")</f>
        <v>JPY</v>
      </c>
      <c r="E1434" t="str">
        <f>IFERROR(VLOOKUP(FO_Capture!C1434, Reference_Data!A:D, 4, FALSE), "MISSING SSI")</f>
        <v>HSBC A/C 468615</v>
      </c>
      <c r="F1434">
        <f>FO_Capture!D1434</f>
        <v>500</v>
      </c>
      <c r="G1434">
        <f>FO_Capture!E1434</f>
        <v>258.82000732421875</v>
      </c>
      <c r="H1434">
        <f t="shared" si="44"/>
        <v>129410.00366210938</v>
      </c>
      <c r="I1434" t="str">
        <f t="shared" si="45"/>
        <v>Pass - Ready for Confirmation</v>
      </c>
    </row>
    <row r="1435" spans="1:9" x14ac:dyDescent="0.3">
      <c r="A1435" t="str">
        <f>FO_Capture!A1435</f>
        <v>TRD01434</v>
      </c>
      <c r="B1435" t="str">
        <f>FO_Capture!B1435</f>
        <v>INE004A01084</v>
      </c>
      <c r="C1435" t="str">
        <f>IFERROR(VLOOKUP(FO_Capture!C1435, Reference_Data!A:D, 2, FALSE), "UNKNOWN")</f>
        <v>Alpha Partners 6</v>
      </c>
      <c r="D1435" t="str">
        <f>IFERROR(VLOOKUP(FO_Capture!C1435, Reference_Data!A:D, 3, FALSE), "XXX")</f>
        <v>INR</v>
      </c>
      <c r="E1435" t="str">
        <f>IFERROR(VLOOKUP(FO_Capture!C1435, Reference_Data!A:D, 4, FALSE), "MISSING SSI")</f>
        <v>Standard Chartered A/C 441247</v>
      </c>
      <c r="F1435">
        <f>FO_Capture!D1435</f>
        <v>420</v>
      </c>
      <c r="G1435">
        <f>FO_Capture!E1435</f>
        <v>159.89999389648438</v>
      </c>
      <c r="H1435">
        <f t="shared" si="44"/>
        <v>67157.997436523438</v>
      </c>
      <c r="I1435" t="str">
        <f t="shared" si="45"/>
        <v>Pass - Ready for Confirmation</v>
      </c>
    </row>
    <row r="1436" spans="1:9" x14ac:dyDescent="0.3">
      <c r="A1436" t="str">
        <f>FO_Capture!A1436</f>
        <v>TRD01435</v>
      </c>
      <c r="B1436" t="str">
        <f>FO_Capture!B1436</f>
        <v>INE004A01069</v>
      </c>
      <c r="C1436" t="str">
        <f>IFERROR(VLOOKUP(FO_Capture!C1436, Reference_Data!A:D, 2, FALSE), "UNKNOWN")</f>
        <v>Alpha Partners 18</v>
      </c>
      <c r="D1436" t="str">
        <f>IFERROR(VLOOKUP(FO_Capture!C1436, Reference_Data!A:D, 3, FALSE), "XXX")</f>
        <v>INR</v>
      </c>
      <c r="E1436" t="str">
        <f>IFERROR(VLOOKUP(FO_Capture!C1436, Reference_Data!A:D, 4, FALSE), "MISSING SSI")</f>
        <v>JPMorgan A/C 704166</v>
      </c>
      <c r="F1436">
        <f>FO_Capture!D1436</f>
        <v>190</v>
      </c>
      <c r="G1436">
        <f>FO_Capture!E1436</f>
        <v>309.51998901367188</v>
      </c>
      <c r="H1436">
        <f t="shared" si="44"/>
        <v>58808.797912597656</v>
      </c>
      <c r="I1436" t="str">
        <f t="shared" si="45"/>
        <v>Pass - Ready for Confirmation</v>
      </c>
    </row>
    <row r="1437" spans="1:9" x14ac:dyDescent="0.3">
      <c r="A1437" t="str">
        <f>FO_Capture!A1437</f>
        <v>TRD01436</v>
      </c>
      <c r="B1437" t="str">
        <f>FO_Capture!B1437</f>
        <v>INE003A01042</v>
      </c>
      <c r="C1437" t="str">
        <f>IFERROR(VLOOKUP(FO_Capture!C1437, Reference_Data!A:D, 2, FALSE), "UNKNOWN")</f>
        <v>Alpha Capital 9</v>
      </c>
      <c r="D1437" t="str">
        <f>IFERROR(VLOOKUP(FO_Capture!C1437, Reference_Data!A:D, 3, FALSE), "XXX")</f>
        <v>JPY</v>
      </c>
      <c r="E1437" t="str">
        <f>IFERROR(VLOOKUP(FO_Capture!C1437, Reference_Data!A:D, 4, FALSE), "MISSING SSI")</f>
        <v>Citi A/C 744145</v>
      </c>
      <c r="F1437">
        <f>FO_Capture!D1437</f>
        <v>140</v>
      </c>
      <c r="G1437">
        <f>FO_Capture!E1437</f>
        <v>460.8599853515625</v>
      </c>
      <c r="H1437">
        <f t="shared" si="44"/>
        <v>64520.39794921875</v>
      </c>
      <c r="I1437" t="str">
        <f t="shared" si="45"/>
        <v>Pass - Ready for Confirmation</v>
      </c>
    </row>
    <row r="1438" spans="1:9" x14ac:dyDescent="0.3">
      <c r="A1438" t="str">
        <f>FO_Capture!A1438</f>
        <v>TRD01437</v>
      </c>
      <c r="B1438" t="str">
        <f>FO_Capture!B1438</f>
        <v>INE008A01058</v>
      </c>
      <c r="C1438" t="str">
        <f>IFERROR(VLOOKUP(FO_Capture!C1438, Reference_Data!A:D, 2, FALSE), "UNKNOWN")</f>
        <v>Alpha Investments 29</v>
      </c>
      <c r="D1438" t="str">
        <f>IFERROR(VLOOKUP(FO_Capture!C1438, Reference_Data!A:D, 3, FALSE), "XXX")</f>
        <v>INR</v>
      </c>
      <c r="E1438" t="str">
        <f>IFERROR(VLOOKUP(FO_Capture!C1438, Reference_Data!A:D, 4, FALSE), "MISSING SSI")</f>
        <v>HSBC A/C 785870</v>
      </c>
      <c r="F1438">
        <f>FO_Capture!D1438</f>
        <v>330</v>
      </c>
      <c r="G1438">
        <f>FO_Capture!E1438</f>
        <v>187.39999389648438</v>
      </c>
      <c r="H1438">
        <f t="shared" si="44"/>
        <v>61841.997985839844</v>
      </c>
      <c r="I1438" t="str">
        <f t="shared" si="45"/>
        <v>Pass - Ready for Confirmation</v>
      </c>
    </row>
    <row r="1439" spans="1:9" x14ac:dyDescent="0.3">
      <c r="A1439" t="str">
        <f>FO_Capture!A1439</f>
        <v>TRD01438</v>
      </c>
      <c r="B1439" t="str">
        <f>FO_Capture!B1439</f>
        <v>INE003A01050</v>
      </c>
      <c r="C1439" t="str">
        <f>IFERROR(VLOOKUP(FO_Capture!C1439, Reference_Data!A:D, 2, FALSE), "UNKNOWN")</f>
        <v>Alpha Global 25</v>
      </c>
      <c r="D1439" t="str">
        <f>IFERROR(VLOOKUP(FO_Capture!C1439, Reference_Data!A:D, 3, FALSE), "XXX")</f>
        <v>EUR</v>
      </c>
      <c r="E1439" t="str">
        <f>IFERROR(VLOOKUP(FO_Capture!C1439, Reference_Data!A:D, 4, FALSE), "MISSING SSI")</f>
        <v>Standard Chartered A/C 438949</v>
      </c>
      <c r="F1439">
        <f>FO_Capture!D1439</f>
        <v>290</v>
      </c>
      <c r="G1439">
        <f>FO_Capture!E1439</f>
        <v>132.94000244140625</v>
      </c>
      <c r="H1439">
        <f t="shared" si="44"/>
        <v>38552.600708007813</v>
      </c>
      <c r="I1439" t="str">
        <f t="shared" si="45"/>
        <v>Pass - Ready for Confirmation</v>
      </c>
    </row>
    <row r="1440" spans="1:9" x14ac:dyDescent="0.3">
      <c r="A1440" t="str">
        <f>FO_Capture!A1440</f>
        <v>TRD01439</v>
      </c>
      <c r="B1440" t="str">
        <f>FO_Capture!B1440</f>
        <v>INE002A01077</v>
      </c>
      <c r="C1440" t="str">
        <f>IFERROR(VLOOKUP(FO_Capture!C1440, Reference_Data!A:D, 2, FALSE), "UNKNOWN")</f>
        <v>Alpha Capital 9</v>
      </c>
      <c r="D1440" t="str">
        <f>IFERROR(VLOOKUP(FO_Capture!C1440, Reference_Data!A:D, 3, FALSE), "XXX")</f>
        <v>JPY</v>
      </c>
      <c r="E1440" t="str">
        <f>IFERROR(VLOOKUP(FO_Capture!C1440, Reference_Data!A:D, 4, FALSE), "MISSING SSI")</f>
        <v>Citi A/C 744145</v>
      </c>
      <c r="F1440">
        <f>FO_Capture!D1440</f>
        <v>280</v>
      </c>
      <c r="G1440">
        <f>FO_Capture!E1440</f>
        <v>261.60000610351563</v>
      </c>
      <c r="H1440">
        <f t="shared" si="44"/>
        <v>73248.001708984375</v>
      </c>
      <c r="I1440" t="str">
        <f t="shared" si="45"/>
        <v>Pass - Ready for Confirmation</v>
      </c>
    </row>
    <row r="1441" spans="1:9" x14ac:dyDescent="0.3">
      <c r="A1441" t="str">
        <f>FO_Capture!A1441</f>
        <v>TRD01440</v>
      </c>
      <c r="B1441" t="str">
        <f>FO_Capture!B1441</f>
        <v>INE002A01074</v>
      </c>
      <c r="C1441" t="str">
        <f>IFERROR(VLOOKUP(FO_Capture!C1441, Reference_Data!A:D, 2, FALSE), "UNKNOWN")</f>
        <v>Alpha Investments 43</v>
      </c>
      <c r="D1441" t="str">
        <f>IFERROR(VLOOKUP(FO_Capture!C1441, Reference_Data!A:D, 3, FALSE), "XXX")</f>
        <v>EUR</v>
      </c>
      <c r="E1441" t="str">
        <f>IFERROR(VLOOKUP(FO_Capture!C1441, Reference_Data!A:D, 4, FALSE), "MISSING SSI")</f>
        <v>Citi A/C 714496</v>
      </c>
      <c r="F1441">
        <f>FO_Capture!D1441</f>
        <v>50</v>
      </c>
      <c r="G1441">
        <f>FO_Capture!E1441</f>
        <v>107.79000091552734</v>
      </c>
      <c r="H1441">
        <f t="shared" si="44"/>
        <v>5389.5000457763672</v>
      </c>
      <c r="I1441" t="str">
        <f t="shared" si="45"/>
        <v>Pass - Ready for Confirmation</v>
      </c>
    </row>
    <row r="1442" spans="1:9" x14ac:dyDescent="0.3">
      <c r="A1442" t="str">
        <f>FO_Capture!A1442</f>
        <v>TRD01441</v>
      </c>
      <c r="B1442" t="str">
        <f>FO_Capture!B1442</f>
        <v>INE007A0104</v>
      </c>
      <c r="C1442" t="str">
        <f>IFERROR(VLOOKUP(FO_Capture!C1442, Reference_Data!A:D, 2, FALSE), "UNKNOWN")</f>
        <v>Alpha Asset Management 4</v>
      </c>
      <c r="D1442" t="str">
        <f>IFERROR(VLOOKUP(FO_Capture!C1442, Reference_Data!A:D, 3, FALSE), "XXX")</f>
        <v>JPY</v>
      </c>
      <c r="E1442" t="str">
        <f>IFERROR(VLOOKUP(FO_Capture!C1442, Reference_Data!A:D, 4, FALSE), "MISSING SSI")</f>
        <v>Deutsche Bank A/C 126543</v>
      </c>
      <c r="F1442">
        <f>FO_Capture!D1442</f>
        <v>60</v>
      </c>
      <c r="G1442">
        <f>FO_Capture!E1442</f>
        <v>26.25</v>
      </c>
      <c r="H1442">
        <f t="shared" si="44"/>
        <v>1575</v>
      </c>
      <c r="I1442" t="str">
        <f t="shared" si="45"/>
        <v>Pass - Ready for Confirmation</v>
      </c>
    </row>
    <row r="1443" spans="1:9" x14ac:dyDescent="0.3">
      <c r="A1443" t="str">
        <f>FO_Capture!A1443</f>
        <v>TRD01442</v>
      </c>
      <c r="B1443" t="str">
        <f>FO_Capture!B1443</f>
        <v>INE001A0105</v>
      </c>
      <c r="C1443" t="str">
        <f>IFERROR(VLOOKUP(FO_Capture!C1443, Reference_Data!A:D, 2, FALSE), "UNKNOWN")</f>
        <v>Alpha Investments 17</v>
      </c>
      <c r="D1443" t="str">
        <f>IFERROR(VLOOKUP(FO_Capture!C1443, Reference_Data!A:D, 3, FALSE), "XXX")</f>
        <v>USD</v>
      </c>
      <c r="E1443" t="str">
        <f>IFERROR(VLOOKUP(FO_Capture!C1443, Reference_Data!A:D, 4, FALSE), "MISSING SSI")</f>
        <v>HDFC A/C 113752</v>
      </c>
      <c r="F1443">
        <f>FO_Capture!D1443</f>
        <v>250</v>
      </c>
      <c r="G1443">
        <f>FO_Capture!E1443</f>
        <v>442.04000854492188</v>
      </c>
      <c r="H1443">
        <f t="shared" si="44"/>
        <v>110510.00213623047</v>
      </c>
      <c r="I1443" t="str">
        <f t="shared" si="45"/>
        <v>Pass - Ready for Confirmation</v>
      </c>
    </row>
    <row r="1444" spans="1:9" x14ac:dyDescent="0.3">
      <c r="A1444" t="str">
        <f>FO_Capture!A1444</f>
        <v>TRD01443</v>
      </c>
      <c r="B1444" t="str">
        <f>FO_Capture!B1444</f>
        <v>INE002A01040</v>
      </c>
      <c r="C1444" t="str">
        <f>IFERROR(VLOOKUP(FO_Capture!C1444, Reference_Data!A:D, 2, FALSE), "UNKNOWN")</f>
        <v>Alpha Holdings 23</v>
      </c>
      <c r="D1444" t="str">
        <f>IFERROR(VLOOKUP(FO_Capture!C1444, Reference_Data!A:D, 3, FALSE), "XXX")</f>
        <v>INR</v>
      </c>
      <c r="E1444" t="str">
        <f>IFERROR(VLOOKUP(FO_Capture!C1444, Reference_Data!A:D, 4, FALSE), "MISSING SSI")</f>
        <v>Deutsche Bank A/C 983712</v>
      </c>
      <c r="F1444">
        <f>FO_Capture!D1444</f>
        <v>290</v>
      </c>
      <c r="G1444">
        <f>FO_Capture!E1444</f>
        <v>100.51000213623047</v>
      </c>
      <c r="H1444">
        <f t="shared" si="44"/>
        <v>29147.900619506836</v>
      </c>
      <c r="I1444" t="str">
        <f t="shared" si="45"/>
        <v>Pass - Ready for Confirmation</v>
      </c>
    </row>
    <row r="1445" spans="1:9" x14ac:dyDescent="0.3">
      <c r="A1445" t="str">
        <f>FO_Capture!A1445</f>
        <v>TRD01444</v>
      </c>
      <c r="B1445" t="str">
        <f>FO_Capture!B1445</f>
        <v>INE001A01054</v>
      </c>
      <c r="C1445" t="str">
        <f>IFERROR(VLOOKUP(FO_Capture!C1445, Reference_Data!A:D, 2, FALSE), "UNKNOWN")</f>
        <v>Alpha Capital 10</v>
      </c>
      <c r="D1445" t="str">
        <f>IFERROR(VLOOKUP(FO_Capture!C1445, Reference_Data!A:D, 3, FALSE), "XXX")</f>
        <v>USD</v>
      </c>
      <c r="E1445" t="str">
        <f>IFERROR(VLOOKUP(FO_Capture!C1445, Reference_Data!A:D, 4, FALSE), "MISSING SSI")</f>
        <v>HDFC A/C 543407</v>
      </c>
      <c r="F1445">
        <f>FO_Capture!D1445</f>
        <v>320</v>
      </c>
      <c r="G1445">
        <f>FO_Capture!E1445</f>
        <v>317.33999633789063</v>
      </c>
      <c r="H1445">
        <f t="shared" si="44"/>
        <v>101548.798828125</v>
      </c>
      <c r="I1445" t="str">
        <f t="shared" si="45"/>
        <v>Pass - Ready for Confirmation</v>
      </c>
    </row>
    <row r="1446" spans="1:9" x14ac:dyDescent="0.3">
      <c r="A1446" t="str">
        <f>FO_Capture!A1446</f>
        <v>TRD01445</v>
      </c>
      <c r="B1446" t="str">
        <f>FO_Capture!B1446</f>
        <v>INE004A01013</v>
      </c>
      <c r="C1446" t="str">
        <f>IFERROR(VLOOKUP(FO_Capture!C1446, Reference_Data!A:D, 2, FALSE), "UNKNOWN")</f>
        <v>Alpha Capital 36</v>
      </c>
      <c r="D1446" t="str">
        <f>IFERROR(VLOOKUP(FO_Capture!C1446, Reference_Data!A:D, 3, FALSE), "XXX")</f>
        <v>JPY</v>
      </c>
      <c r="E1446" t="str">
        <f>IFERROR(VLOOKUP(FO_Capture!C1446, Reference_Data!A:D, 4, FALSE), "MISSING SSI")</f>
        <v>Citi A/C 359789</v>
      </c>
      <c r="F1446">
        <f>FO_Capture!D1446</f>
        <v>210</v>
      </c>
      <c r="G1446">
        <f>FO_Capture!E1446</f>
        <v>228.50999450683594</v>
      </c>
      <c r="H1446">
        <f t="shared" si="44"/>
        <v>47987.098846435547</v>
      </c>
      <c r="I1446" t="str">
        <f t="shared" si="45"/>
        <v>Pass - Ready for Confirmation</v>
      </c>
    </row>
    <row r="1447" spans="1:9" x14ac:dyDescent="0.3">
      <c r="A1447" t="str">
        <f>FO_Capture!A1447</f>
        <v>TRD01446</v>
      </c>
      <c r="B1447" t="str">
        <f>FO_Capture!B1447</f>
        <v>INE008A01062</v>
      </c>
      <c r="C1447" t="str">
        <f>IFERROR(VLOOKUP(FO_Capture!C1447, Reference_Data!A:D, 2, FALSE), "UNKNOWN")</f>
        <v>Alpha Global 2</v>
      </c>
      <c r="D1447" t="str">
        <f>IFERROR(VLOOKUP(FO_Capture!C1447, Reference_Data!A:D, 3, FALSE), "XXX")</f>
        <v>GBP</v>
      </c>
      <c r="E1447" t="str">
        <f>IFERROR(VLOOKUP(FO_Capture!C1447, Reference_Data!A:D, 4, FALSE), "MISSING SSI")</f>
        <v>JPMorgan A/C 582379</v>
      </c>
      <c r="F1447">
        <f>FO_Capture!D1447</f>
        <v>320</v>
      </c>
      <c r="G1447">
        <f>FO_Capture!E1447</f>
        <v>40.330001831054688</v>
      </c>
      <c r="H1447">
        <f t="shared" si="44"/>
        <v>12905.6005859375</v>
      </c>
      <c r="I1447" t="str">
        <f t="shared" si="45"/>
        <v>Pass - Ready for Confirmation</v>
      </c>
    </row>
    <row r="1448" spans="1:9" x14ac:dyDescent="0.3">
      <c r="A1448" t="str">
        <f>FO_Capture!A1448</f>
        <v>TRD01447</v>
      </c>
      <c r="B1448" t="str">
        <f>FO_Capture!B1448</f>
        <v>INE006A01074</v>
      </c>
      <c r="C1448" t="str">
        <f>IFERROR(VLOOKUP(FO_Capture!C1448, Reference_Data!A:D, 2, FALSE), "UNKNOWN")</f>
        <v>Alpha Investments 29</v>
      </c>
      <c r="D1448" t="str">
        <f>IFERROR(VLOOKUP(FO_Capture!C1448, Reference_Data!A:D, 3, FALSE), "XXX")</f>
        <v>INR</v>
      </c>
      <c r="E1448" t="str">
        <f>IFERROR(VLOOKUP(FO_Capture!C1448, Reference_Data!A:D, 4, FALSE), "MISSING SSI")</f>
        <v>HSBC A/C 785870</v>
      </c>
      <c r="F1448">
        <f>FO_Capture!D1448</f>
        <v>220</v>
      </c>
      <c r="G1448">
        <f>FO_Capture!E1448</f>
        <v>279.39999389648438</v>
      </c>
      <c r="H1448">
        <f t="shared" si="44"/>
        <v>61467.998657226563</v>
      </c>
      <c r="I1448" t="str">
        <f t="shared" si="45"/>
        <v>Pass - Ready for Confirmation</v>
      </c>
    </row>
    <row r="1449" spans="1:9" x14ac:dyDescent="0.3">
      <c r="A1449" t="str">
        <f>FO_Capture!A1449</f>
        <v>TRD01448</v>
      </c>
      <c r="B1449" t="str">
        <f>FO_Capture!B1449</f>
        <v>INE001A01094</v>
      </c>
      <c r="C1449" t="str">
        <f>IFERROR(VLOOKUP(FO_Capture!C1449, Reference_Data!A:D, 2, FALSE), "UNKNOWN")</f>
        <v>Alpha Asset Management 32</v>
      </c>
      <c r="D1449" t="str">
        <f>IFERROR(VLOOKUP(FO_Capture!C1449, Reference_Data!A:D, 3, FALSE), "XXX")</f>
        <v>INR</v>
      </c>
      <c r="E1449" t="str">
        <f>IFERROR(VLOOKUP(FO_Capture!C1449, Reference_Data!A:D, 4, FALSE), "MISSING SSI")</f>
        <v>Barclays A/C 302646</v>
      </c>
      <c r="F1449">
        <f>FO_Capture!D1449</f>
        <v>450</v>
      </c>
      <c r="G1449">
        <f>FO_Capture!E1449</f>
        <v>42.639999389648438</v>
      </c>
      <c r="H1449">
        <f t="shared" si="44"/>
        <v>19187.999725341797</v>
      </c>
      <c r="I1449" t="str">
        <f t="shared" si="45"/>
        <v>Pass - Ready for Confirmation</v>
      </c>
    </row>
    <row r="1450" spans="1:9" x14ac:dyDescent="0.3">
      <c r="A1450" t="str">
        <f>FO_Capture!A1450</f>
        <v>TRD01449</v>
      </c>
      <c r="B1450" t="str">
        <f>FO_Capture!B1450</f>
        <v>INE002A0100</v>
      </c>
      <c r="C1450" t="str">
        <f>IFERROR(VLOOKUP(FO_Capture!C1450, Reference_Data!A:D, 2, FALSE), "UNKNOWN")</f>
        <v>Alpha Global 46</v>
      </c>
      <c r="D1450" t="str">
        <f>IFERROR(VLOOKUP(FO_Capture!C1450, Reference_Data!A:D, 3, FALSE), "XXX")</f>
        <v>USD</v>
      </c>
      <c r="E1450" t="str">
        <f>IFERROR(VLOOKUP(FO_Capture!C1450, Reference_Data!A:D, 4, FALSE), "MISSING SSI")</f>
        <v>Citi A/C 700450</v>
      </c>
      <c r="F1450">
        <f>FO_Capture!D1450</f>
        <v>300</v>
      </c>
      <c r="G1450">
        <f>FO_Capture!E1450</f>
        <v>247.30000305175781</v>
      </c>
      <c r="H1450">
        <f t="shared" si="44"/>
        <v>74190.000915527344</v>
      </c>
      <c r="I1450" t="str">
        <f t="shared" si="45"/>
        <v>Pass - Ready for Confirmation</v>
      </c>
    </row>
    <row r="1451" spans="1:9" x14ac:dyDescent="0.3">
      <c r="A1451" t="str">
        <f>FO_Capture!A1451</f>
        <v>TRD01450</v>
      </c>
      <c r="B1451" t="str">
        <f>FO_Capture!B1451</f>
        <v>INE009A01040</v>
      </c>
      <c r="C1451" t="str">
        <f>IFERROR(VLOOKUP(FO_Capture!C1451, Reference_Data!A:D, 2, FALSE), "UNKNOWN")</f>
        <v>Alpha Global 2</v>
      </c>
      <c r="D1451" t="str">
        <f>IFERROR(VLOOKUP(FO_Capture!C1451, Reference_Data!A:D, 3, FALSE), "XXX")</f>
        <v>GBP</v>
      </c>
      <c r="E1451" t="str">
        <f>IFERROR(VLOOKUP(FO_Capture!C1451, Reference_Data!A:D, 4, FALSE), "MISSING SSI")</f>
        <v>JPMorgan A/C 582379</v>
      </c>
      <c r="F1451">
        <f>FO_Capture!D1451</f>
        <v>30</v>
      </c>
      <c r="G1451">
        <f>FO_Capture!E1451</f>
        <v>380.92999267578125</v>
      </c>
      <c r="H1451">
        <f t="shared" si="44"/>
        <v>11427.899780273438</v>
      </c>
      <c r="I1451" t="str">
        <f t="shared" si="45"/>
        <v>Pass - Ready for Confirmation</v>
      </c>
    </row>
    <row r="1452" spans="1:9" x14ac:dyDescent="0.3">
      <c r="A1452" t="str">
        <f>FO_Capture!A1452</f>
        <v>TRD01451</v>
      </c>
      <c r="B1452" t="str">
        <f>FO_Capture!B1452</f>
        <v>INE008A01093</v>
      </c>
      <c r="C1452" t="str">
        <f>IFERROR(VLOOKUP(FO_Capture!C1452, Reference_Data!A:D, 2, FALSE), "UNKNOWN")</f>
        <v>Alpha Holdings 47</v>
      </c>
      <c r="D1452" t="str">
        <f>IFERROR(VLOOKUP(FO_Capture!C1452, Reference_Data!A:D, 3, FALSE), "XXX")</f>
        <v>GBP</v>
      </c>
      <c r="E1452" t="str">
        <f>IFERROR(VLOOKUP(FO_Capture!C1452, Reference_Data!A:D, 4, FALSE), "MISSING SSI")</f>
        <v>Citi A/C 703401</v>
      </c>
      <c r="F1452">
        <f>FO_Capture!D1452</f>
        <v>100</v>
      </c>
      <c r="G1452">
        <f>FO_Capture!E1452</f>
        <v>251.3699951171875</v>
      </c>
      <c r="H1452">
        <f t="shared" si="44"/>
        <v>25136.99951171875</v>
      </c>
      <c r="I1452" t="str">
        <f t="shared" si="45"/>
        <v>Pass - Ready for Confirmation</v>
      </c>
    </row>
    <row r="1453" spans="1:9" x14ac:dyDescent="0.3">
      <c r="A1453" t="str">
        <f>FO_Capture!A1453</f>
        <v>TRD01452</v>
      </c>
      <c r="B1453" t="str">
        <f>FO_Capture!B1453</f>
        <v>INE006A01014</v>
      </c>
      <c r="C1453" t="str">
        <f>IFERROR(VLOOKUP(FO_Capture!C1453, Reference_Data!A:D, 2, FALSE), "UNKNOWN")</f>
        <v>Alpha Quant Fund 27</v>
      </c>
      <c r="D1453" t="str">
        <f>IFERROR(VLOOKUP(FO_Capture!C1453, Reference_Data!A:D, 3, FALSE), "XXX")</f>
        <v>EUR</v>
      </c>
      <c r="E1453" t="str">
        <f>IFERROR(VLOOKUP(FO_Capture!C1453, Reference_Data!A:D, 4, FALSE), "MISSING SSI")</f>
        <v>Standard Chartered A/C 331839</v>
      </c>
      <c r="F1453">
        <f>FO_Capture!D1453</f>
        <v>480</v>
      </c>
      <c r="G1453">
        <f>FO_Capture!E1453</f>
        <v>236.82000732421875</v>
      </c>
      <c r="H1453">
        <f t="shared" si="44"/>
        <v>113673.603515625</v>
      </c>
      <c r="I1453" t="str">
        <f t="shared" si="45"/>
        <v>Pass - Ready for Confirmation</v>
      </c>
    </row>
    <row r="1454" spans="1:9" x14ac:dyDescent="0.3">
      <c r="A1454" t="str">
        <f>FO_Capture!A1454</f>
        <v>TRD01453</v>
      </c>
      <c r="B1454" t="str">
        <f>FO_Capture!B1454</f>
        <v>INE005A01081</v>
      </c>
      <c r="C1454" t="str">
        <f>IFERROR(VLOOKUP(FO_Capture!C1454, Reference_Data!A:D, 2, FALSE), "UNKNOWN")</f>
        <v>Alpha Asset Management 4</v>
      </c>
      <c r="D1454" t="str">
        <f>IFERROR(VLOOKUP(FO_Capture!C1454, Reference_Data!A:D, 3, FALSE), "XXX")</f>
        <v>JPY</v>
      </c>
      <c r="E1454" t="str">
        <f>IFERROR(VLOOKUP(FO_Capture!C1454, Reference_Data!A:D, 4, FALSE), "MISSING SSI")</f>
        <v>Deutsche Bank A/C 126543</v>
      </c>
      <c r="F1454">
        <f>FO_Capture!D1454</f>
        <v>350</v>
      </c>
      <c r="G1454">
        <f>FO_Capture!E1454</f>
        <v>35.740001678466797</v>
      </c>
      <c r="H1454">
        <f t="shared" si="44"/>
        <v>12509.000587463379</v>
      </c>
      <c r="I1454" t="str">
        <f t="shared" si="45"/>
        <v>Pass - Ready for Confirmation</v>
      </c>
    </row>
    <row r="1455" spans="1:9" x14ac:dyDescent="0.3">
      <c r="A1455" t="str">
        <f>FO_Capture!A1455</f>
        <v>TRD01454</v>
      </c>
      <c r="B1455" t="str">
        <f>FO_Capture!B1455</f>
        <v>INE007A01054</v>
      </c>
      <c r="C1455" t="str">
        <f>IFERROR(VLOOKUP(FO_Capture!C1455, Reference_Data!A:D, 2, FALSE), "UNKNOWN")</f>
        <v>Alpha Asset Management 35</v>
      </c>
      <c r="D1455" t="str">
        <f>IFERROR(VLOOKUP(FO_Capture!C1455, Reference_Data!A:D, 3, FALSE), "XXX")</f>
        <v>JPY</v>
      </c>
      <c r="E1455" t="str">
        <f>IFERROR(VLOOKUP(FO_Capture!C1455, Reference_Data!A:D, 4, FALSE), "MISSING SSI")</f>
        <v>HSBC A/C 604357</v>
      </c>
      <c r="F1455">
        <f>FO_Capture!D1455</f>
        <v>370</v>
      </c>
      <c r="G1455">
        <f>FO_Capture!E1455</f>
        <v>416.95999145507813</v>
      </c>
      <c r="H1455">
        <f t="shared" si="44"/>
        <v>154275.19683837891</v>
      </c>
      <c r="I1455" t="str">
        <f t="shared" si="45"/>
        <v>Pass - Ready for Confirmation</v>
      </c>
    </row>
    <row r="1456" spans="1:9" x14ac:dyDescent="0.3">
      <c r="A1456" t="str">
        <f>FO_Capture!A1456</f>
        <v>TRD01455</v>
      </c>
      <c r="B1456" t="str">
        <f>FO_Capture!B1456</f>
        <v>INE003A01015</v>
      </c>
      <c r="C1456" t="str">
        <f>IFERROR(VLOOKUP(FO_Capture!C1456, Reference_Data!A:D, 2, FALSE), "UNKNOWN")</f>
        <v>Alpha Holdings 49</v>
      </c>
      <c r="D1456" t="str">
        <f>IFERROR(VLOOKUP(FO_Capture!C1456, Reference_Data!A:D, 3, FALSE), "XXX")</f>
        <v>JPY</v>
      </c>
      <c r="E1456" t="str">
        <f>IFERROR(VLOOKUP(FO_Capture!C1456, Reference_Data!A:D, 4, FALSE), "MISSING SSI")</f>
        <v>HDFC A/C 679335</v>
      </c>
      <c r="F1456">
        <f>FO_Capture!D1456</f>
        <v>430</v>
      </c>
      <c r="G1456">
        <f>FO_Capture!E1456</f>
        <v>469.55999755859375</v>
      </c>
      <c r="H1456">
        <f t="shared" si="44"/>
        <v>201910.79895019531</v>
      </c>
      <c r="I1456" t="str">
        <f t="shared" si="45"/>
        <v>Pass - Ready for Confirmation</v>
      </c>
    </row>
    <row r="1457" spans="1:9" x14ac:dyDescent="0.3">
      <c r="A1457" t="str">
        <f>FO_Capture!A1457</f>
        <v>TRD01456</v>
      </c>
      <c r="B1457" t="str">
        <f>FO_Capture!B1457</f>
        <v>INE009A01026</v>
      </c>
      <c r="C1457" t="str">
        <f>IFERROR(VLOOKUP(FO_Capture!C1457, Reference_Data!A:D, 2, FALSE), "UNKNOWN")</f>
        <v>Alpha Investments 17</v>
      </c>
      <c r="D1457" t="str">
        <f>IFERROR(VLOOKUP(FO_Capture!C1457, Reference_Data!A:D, 3, FALSE), "XXX")</f>
        <v>USD</v>
      </c>
      <c r="E1457" t="str">
        <f>IFERROR(VLOOKUP(FO_Capture!C1457, Reference_Data!A:D, 4, FALSE), "MISSING SSI")</f>
        <v>HDFC A/C 113752</v>
      </c>
      <c r="F1457">
        <f>FO_Capture!D1457</f>
        <v>400</v>
      </c>
      <c r="G1457">
        <f>FO_Capture!E1457</f>
        <v>352.989990234375</v>
      </c>
      <c r="H1457">
        <f t="shared" si="44"/>
        <v>141195.99609375</v>
      </c>
      <c r="I1457" t="str">
        <f t="shared" si="45"/>
        <v>Pass - Ready for Confirmation</v>
      </c>
    </row>
    <row r="1458" spans="1:9" x14ac:dyDescent="0.3">
      <c r="A1458" t="str">
        <f>FO_Capture!A1458</f>
        <v>TRD01457</v>
      </c>
      <c r="B1458" t="str">
        <f>FO_Capture!B1458</f>
        <v>INE005A01072</v>
      </c>
      <c r="C1458" t="str">
        <f>IFERROR(VLOOKUP(FO_Capture!C1458, Reference_Data!A:D, 2, FALSE), "UNKNOWN")</f>
        <v>Alpha Investments 29</v>
      </c>
      <c r="D1458" t="str">
        <f>IFERROR(VLOOKUP(FO_Capture!C1458, Reference_Data!A:D, 3, FALSE), "XXX")</f>
        <v>INR</v>
      </c>
      <c r="E1458" t="str">
        <f>IFERROR(VLOOKUP(FO_Capture!C1458, Reference_Data!A:D, 4, FALSE), "MISSING SSI")</f>
        <v>HSBC A/C 785870</v>
      </c>
      <c r="F1458">
        <f>FO_Capture!D1458</f>
        <v>360</v>
      </c>
      <c r="G1458">
        <f>FO_Capture!E1458</f>
        <v>46.959999084472656</v>
      </c>
      <c r="H1458">
        <f t="shared" si="44"/>
        <v>16905.599670410156</v>
      </c>
      <c r="I1458" t="str">
        <f t="shared" si="45"/>
        <v>Pass - Ready for Confirmation</v>
      </c>
    </row>
    <row r="1459" spans="1:9" x14ac:dyDescent="0.3">
      <c r="A1459" t="str">
        <f>FO_Capture!A1459</f>
        <v>TRD01458</v>
      </c>
      <c r="B1459" t="str">
        <f>FO_Capture!B1459</f>
        <v>INE004A01018</v>
      </c>
      <c r="C1459" t="str">
        <f>IFERROR(VLOOKUP(FO_Capture!C1459, Reference_Data!A:D, 2, FALSE), "UNKNOWN")</f>
        <v>Alpha Holdings 23</v>
      </c>
      <c r="D1459" t="str">
        <f>IFERROR(VLOOKUP(FO_Capture!C1459, Reference_Data!A:D, 3, FALSE), "XXX")</f>
        <v>INR</v>
      </c>
      <c r="E1459" t="str">
        <f>IFERROR(VLOOKUP(FO_Capture!C1459, Reference_Data!A:D, 4, FALSE), "MISSING SSI")</f>
        <v>Deutsche Bank A/C 983712</v>
      </c>
      <c r="F1459">
        <f>FO_Capture!D1459</f>
        <v>370</v>
      </c>
      <c r="G1459">
        <f>FO_Capture!E1459</f>
        <v>101.55000305175781</v>
      </c>
      <c r="H1459">
        <f t="shared" si="44"/>
        <v>37573.501129150391</v>
      </c>
      <c r="I1459" t="str">
        <f t="shared" si="45"/>
        <v>Pass - Ready for Confirmation</v>
      </c>
    </row>
    <row r="1460" spans="1:9" x14ac:dyDescent="0.3">
      <c r="A1460" t="str">
        <f>FO_Capture!A1460</f>
        <v>TRD01459</v>
      </c>
      <c r="B1460" t="str">
        <f>FO_Capture!B1460</f>
        <v>INE009A01054</v>
      </c>
      <c r="C1460" t="str">
        <f>IFERROR(VLOOKUP(FO_Capture!C1460, Reference_Data!A:D, 2, FALSE), "UNKNOWN")</f>
        <v>Alpha Asset Management 4</v>
      </c>
      <c r="D1460" t="str">
        <f>IFERROR(VLOOKUP(FO_Capture!C1460, Reference_Data!A:D, 3, FALSE), "XXX")</f>
        <v>JPY</v>
      </c>
      <c r="E1460" t="str">
        <f>IFERROR(VLOOKUP(FO_Capture!C1460, Reference_Data!A:D, 4, FALSE), "MISSING SSI")</f>
        <v>Deutsche Bank A/C 126543</v>
      </c>
      <c r="F1460">
        <f>FO_Capture!D1460</f>
        <v>240</v>
      </c>
      <c r="G1460">
        <f>FO_Capture!E1460</f>
        <v>387.08999633789063</v>
      </c>
      <c r="H1460">
        <f t="shared" si="44"/>
        <v>92901.59912109375</v>
      </c>
      <c r="I1460" t="str">
        <f t="shared" si="45"/>
        <v>Pass - Ready for Confirmation</v>
      </c>
    </row>
    <row r="1461" spans="1:9" x14ac:dyDescent="0.3">
      <c r="A1461" t="str">
        <f>FO_Capture!A1461</f>
        <v>TRD01460</v>
      </c>
      <c r="B1461" t="str">
        <f>FO_Capture!B1461</f>
        <v>INE004A01046</v>
      </c>
      <c r="C1461" t="str">
        <f>IFERROR(VLOOKUP(FO_Capture!C1461, Reference_Data!A:D, 2, FALSE), "UNKNOWN")</f>
        <v>Alpha Holdings 21</v>
      </c>
      <c r="D1461" t="str">
        <f>IFERROR(VLOOKUP(FO_Capture!C1461, Reference_Data!A:D, 3, FALSE), "XXX")</f>
        <v>SGD</v>
      </c>
      <c r="E1461" t="str">
        <f>IFERROR(VLOOKUP(FO_Capture!C1461, Reference_Data!A:D, 4, FALSE), "MISSING SSI")</f>
        <v>HSBC A/C 562956</v>
      </c>
      <c r="F1461">
        <f>FO_Capture!D1461</f>
        <v>240</v>
      </c>
      <c r="G1461">
        <f>FO_Capture!E1461</f>
        <v>344.27999877929688</v>
      </c>
      <c r="H1461">
        <f t="shared" si="44"/>
        <v>82627.19970703125</v>
      </c>
      <c r="I1461" t="str">
        <f t="shared" si="45"/>
        <v>Pass - Ready for Confirmation</v>
      </c>
    </row>
    <row r="1462" spans="1:9" x14ac:dyDescent="0.3">
      <c r="A1462" t="str">
        <f>FO_Capture!A1462</f>
        <v>TRD01461</v>
      </c>
      <c r="B1462" t="str">
        <f>FO_Capture!B1462</f>
        <v>INE005A01087</v>
      </c>
      <c r="C1462" t="str">
        <f>IFERROR(VLOOKUP(FO_Capture!C1462, Reference_Data!A:D, 2, FALSE), "UNKNOWN")</f>
        <v>Alpha Capital 44</v>
      </c>
      <c r="D1462" t="str">
        <f>IFERROR(VLOOKUP(FO_Capture!C1462, Reference_Data!A:D, 3, FALSE), "XXX")</f>
        <v>INR</v>
      </c>
      <c r="E1462" t="str">
        <f>IFERROR(VLOOKUP(FO_Capture!C1462, Reference_Data!A:D, 4, FALSE), "MISSING SSI")</f>
        <v>Deutsche Bank A/C 428758</v>
      </c>
      <c r="F1462">
        <f>FO_Capture!D1462</f>
        <v>350</v>
      </c>
      <c r="G1462">
        <f>FO_Capture!E1462</f>
        <v>234.08999633789063</v>
      </c>
      <c r="H1462">
        <f t="shared" si="44"/>
        <v>81931.498718261719</v>
      </c>
      <c r="I1462" t="str">
        <f t="shared" si="45"/>
        <v>Pass - Ready for Confirmation</v>
      </c>
    </row>
    <row r="1463" spans="1:9" x14ac:dyDescent="0.3">
      <c r="A1463" t="str">
        <f>FO_Capture!A1463</f>
        <v>TRD01462</v>
      </c>
      <c r="B1463" t="str">
        <f>FO_Capture!B1463</f>
        <v>INE003A01049</v>
      </c>
      <c r="C1463" t="str">
        <f>IFERROR(VLOOKUP(FO_Capture!C1463, Reference_Data!A:D, 2, FALSE), "UNKNOWN")</f>
        <v>Alpha Capital 36</v>
      </c>
      <c r="D1463" t="str">
        <f>IFERROR(VLOOKUP(FO_Capture!C1463, Reference_Data!A:D, 3, FALSE), "XXX")</f>
        <v>JPY</v>
      </c>
      <c r="E1463" t="str">
        <f>IFERROR(VLOOKUP(FO_Capture!C1463, Reference_Data!A:D, 4, FALSE), "MISSING SSI")</f>
        <v>Citi A/C 359789</v>
      </c>
      <c r="F1463">
        <f>FO_Capture!D1463</f>
        <v>50</v>
      </c>
      <c r="G1463">
        <f>FO_Capture!E1463</f>
        <v>387.82000732421875</v>
      </c>
      <c r="H1463">
        <f t="shared" si="44"/>
        <v>19391.000366210938</v>
      </c>
      <c r="I1463" t="str">
        <f t="shared" si="45"/>
        <v>Pass - Ready for Confirmation</v>
      </c>
    </row>
    <row r="1464" spans="1:9" x14ac:dyDescent="0.3">
      <c r="A1464" t="str">
        <f>FO_Capture!A1464</f>
        <v>TRD01463</v>
      </c>
      <c r="B1464" t="str">
        <f>FO_Capture!B1464</f>
        <v>INE003A01026</v>
      </c>
      <c r="C1464" t="str">
        <f>IFERROR(VLOOKUP(FO_Capture!C1464, Reference_Data!A:D, 2, FALSE), "UNKNOWN")</f>
        <v>UNKNOWN</v>
      </c>
      <c r="D1464" t="str">
        <f>IFERROR(VLOOKUP(FO_Capture!C1464, Reference_Data!A:D, 3, FALSE), "XXX")</f>
        <v>XXX</v>
      </c>
      <c r="E1464" t="str">
        <f>IFERROR(VLOOKUP(FO_Capture!C1464, Reference_Data!A:D, 4, FALSE), "MISSING SSI")</f>
        <v>MISSING SSI</v>
      </c>
      <c r="F1464">
        <f>FO_Capture!D1464</f>
        <v>160</v>
      </c>
      <c r="G1464">
        <f>FO_Capture!E1464</f>
        <v>52.169998168945313</v>
      </c>
      <c r="H1464">
        <f t="shared" si="44"/>
        <v>8347.19970703125</v>
      </c>
      <c r="I1464" t="str">
        <f t="shared" si="45"/>
        <v>Fail - Missing Ref Data</v>
      </c>
    </row>
    <row r="1465" spans="1:9" x14ac:dyDescent="0.3">
      <c r="A1465" t="str">
        <f>FO_Capture!A1465</f>
        <v>TRD01464</v>
      </c>
      <c r="B1465" t="str">
        <f>FO_Capture!B1465</f>
        <v>INE009A0106</v>
      </c>
      <c r="C1465" t="str">
        <f>IFERROR(VLOOKUP(FO_Capture!C1465, Reference_Data!A:D, 2, FALSE), "UNKNOWN")</f>
        <v>Alpha Quant Fund 34</v>
      </c>
      <c r="D1465" t="str">
        <f>IFERROR(VLOOKUP(FO_Capture!C1465, Reference_Data!A:D, 3, FALSE), "XXX")</f>
        <v>JPY</v>
      </c>
      <c r="E1465" t="str">
        <f>IFERROR(VLOOKUP(FO_Capture!C1465, Reference_Data!A:D, 4, FALSE), "MISSING SSI")</f>
        <v>Citi A/C 837378</v>
      </c>
      <c r="F1465">
        <f>FO_Capture!D1465</f>
        <v>140</v>
      </c>
      <c r="G1465">
        <f>FO_Capture!E1465</f>
        <v>13.939999580383301</v>
      </c>
      <c r="H1465">
        <f t="shared" si="44"/>
        <v>1951.5999412536621</v>
      </c>
      <c r="I1465" t="str">
        <f t="shared" si="45"/>
        <v>Pass - Ready for Confirmation</v>
      </c>
    </row>
    <row r="1466" spans="1:9" x14ac:dyDescent="0.3">
      <c r="A1466" t="str">
        <f>FO_Capture!A1466</f>
        <v>TRD01465</v>
      </c>
      <c r="B1466" t="str">
        <f>FO_Capture!B1466</f>
        <v>INE003A01076</v>
      </c>
      <c r="C1466" t="str">
        <f>IFERROR(VLOOKUP(FO_Capture!C1466, Reference_Data!A:D, 2, FALSE), "UNKNOWN")</f>
        <v>Alpha Global 30</v>
      </c>
      <c r="D1466" t="str">
        <f>IFERROR(VLOOKUP(FO_Capture!C1466, Reference_Data!A:D, 3, FALSE), "XXX")</f>
        <v>JPY</v>
      </c>
      <c r="E1466" t="str">
        <f>IFERROR(VLOOKUP(FO_Capture!C1466, Reference_Data!A:D, 4, FALSE), "MISSING SSI")</f>
        <v>Deutsche Bank A/C 917262</v>
      </c>
      <c r="F1466">
        <f>FO_Capture!D1466</f>
        <v>180</v>
      </c>
      <c r="G1466">
        <f>FO_Capture!E1466</f>
        <v>345.5</v>
      </c>
      <c r="H1466">
        <f t="shared" si="44"/>
        <v>62190</v>
      </c>
      <c r="I1466" t="str">
        <f t="shared" si="45"/>
        <v>Pass - Ready for Confirmation</v>
      </c>
    </row>
    <row r="1467" spans="1:9" x14ac:dyDescent="0.3">
      <c r="A1467" t="str">
        <f>FO_Capture!A1467</f>
        <v>TRD01466</v>
      </c>
      <c r="B1467" t="str">
        <f>FO_Capture!B1467</f>
        <v>INE001A01066</v>
      </c>
      <c r="C1467" t="str">
        <f>IFERROR(VLOOKUP(FO_Capture!C1467, Reference_Data!A:D, 2, FALSE), "UNKNOWN")</f>
        <v>Alpha Quant Fund 50</v>
      </c>
      <c r="D1467" t="str">
        <f>IFERROR(VLOOKUP(FO_Capture!C1467, Reference_Data!A:D, 3, FALSE), "XXX")</f>
        <v>SGD</v>
      </c>
      <c r="E1467" t="str">
        <f>IFERROR(VLOOKUP(FO_Capture!C1467, Reference_Data!A:D, 4, FALSE), "MISSING SSI")</f>
        <v>Standard Chartered A/C 307017</v>
      </c>
      <c r="F1467">
        <f>FO_Capture!D1467</f>
        <v>80</v>
      </c>
      <c r="G1467">
        <f>FO_Capture!E1467</f>
        <v>426</v>
      </c>
      <c r="H1467">
        <f t="shared" si="44"/>
        <v>34080</v>
      </c>
      <c r="I1467" t="str">
        <f t="shared" si="45"/>
        <v>Pass - Ready for Confirmation</v>
      </c>
    </row>
    <row r="1468" spans="1:9" x14ac:dyDescent="0.3">
      <c r="A1468" t="str">
        <f>FO_Capture!A1468</f>
        <v>TRD01467</v>
      </c>
      <c r="B1468" t="str">
        <f>FO_Capture!B1468</f>
        <v>INE004A01057</v>
      </c>
      <c r="C1468" t="str">
        <f>IFERROR(VLOOKUP(FO_Capture!C1468, Reference_Data!A:D, 2, FALSE), "UNKNOWN")</f>
        <v>Alpha Global 14</v>
      </c>
      <c r="D1468" t="str">
        <f>IFERROR(VLOOKUP(FO_Capture!C1468, Reference_Data!A:D, 3, FALSE), "XXX")</f>
        <v>USD</v>
      </c>
      <c r="E1468" t="str">
        <f>IFERROR(VLOOKUP(FO_Capture!C1468, Reference_Data!A:D, 4, FALSE), "MISSING SSI")</f>
        <v>HSBC A/C 864249</v>
      </c>
      <c r="F1468">
        <f>FO_Capture!D1468</f>
        <v>380</v>
      </c>
      <c r="G1468">
        <f>FO_Capture!E1468</f>
        <v>361.14999389648438</v>
      </c>
      <c r="H1468">
        <f t="shared" si="44"/>
        <v>137236.99768066406</v>
      </c>
      <c r="I1468" t="str">
        <f t="shared" si="45"/>
        <v>Pass - Ready for Confirmation</v>
      </c>
    </row>
    <row r="1469" spans="1:9" x14ac:dyDescent="0.3">
      <c r="A1469" t="str">
        <f>FO_Capture!A1469</f>
        <v>TRD01468</v>
      </c>
      <c r="B1469" t="str">
        <f>FO_Capture!B1469</f>
        <v>INE003A01039</v>
      </c>
      <c r="C1469" t="str">
        <f>IFERROR(VLOOKUP(FO_Capture!C1469, Reference_Data!A:D, 2, FALSE), "UNKNOWN")</f>
        <v>Alpha Investments 29</v>
      </c>
      <c r="D1469" t="str">
        <f>IFERROR(VLOOKUP(FO_Capture!C1469, Reference_Data!A:D, 3, FALSE), "XXX")</f>
        <v>INR</v>
      </c>
      <c r="E1469" t="str">
        <f>IFERROR(VLOOKUP(FO_Capture!C1469, Reference_Data!A:D, 4, FALSE), "MISSING SSI")</f>
        <v>HSBC A/C 785870</v>
      </c>
      <c r="F1469">
        <f>FO_Capture!D1469</f>
        <v>150</v>
      </c>
      <c r="G1469">
        <f>FO_Capture!E1469</f>
        <v>233.22999572753906</v>
      </c>
      <c r="H1469">
        <f t="shared" si="44"/>
        <v>34984.499359130859</v>
      </c>
      <c r="I1469" t="str">
        <f t="shared" si="45"/>
        <v>Pass - Ready for Confirmation</v>
      </c>
    </row>
    <row r="1470" spans="1:9" x14ac:dyDescent="0.3">
      <c r="A1470" t="str">
        <f>FO_Capture!A1470</f>
        <v>TRD01469</v>
      </c>
      <c r="B1470" t="str">
        <f>FO_Capture!B1470</f>
        <v>INE005A01061</v>
      </c>
      <c r="C1470" t="str">
        <f>IFERROR(VLOOKUP(FO_Capture!C1470, Reference_Data!A:D, 2, FALSE), "UNKNOWN")</f>
        <v>Alpha Quant Fund 12</v>
      </c>
      <c r="D1470" t="str">
        <f>IFERROR(VLOOKUP(FO_Capture!C1470, Reference_Data!A:D, 3, FALSE), "XXX")</f>
        <v>EUR</v>
      </c>
      <c r="E1470" t="str">
        <f>IFERROR(VLOOKUP(FO_Capture!C1470, Reference_Data!A:D, 4, FALSE), "MISSING SSI")</f>
        <v>Deutsche Bank A/C 324710</v>
      </c>
      <c r="F1470">
        <f>FO_Capture!D1470</f>
        <v>190</v>
      </c>
      <c r="G1470">
        <f>FO_Capture!E1470</f>
        <v>351.07998657226563</v>
      </c>
      <c r="H1470">
        <f t="shared" si="44"/>
        <v>66705.197448730469</v>
      </c>
      <c r="I1470" t="str">
        <f t="shared" si="45"/>
        <v>Pass - Ready for Confirmation</v>
      </c>
    </row>
    <row r="1471" spans="1:9" x14ac:dyDescent="0.3">
      <c r="A1471" t="str">
        <f>FO_Capture!A1471</f>
        <v>TRD01470</v>
      </c>
      <c r="B1471" t="str">
        <f>FO_Capture!B1471</f>
        <v>INE008A01078</v>
      </c>
      <c r="C1471" t="str">
        <f>IFERROR(VLOOKUP(FO_Capture!C1471, Reference_Data!A:D, 2, FALSE), "UNKNOWN")</f>
        <v>Alpha Asset Management 13</v>
      </c>
      <c r="D1471" t="str">
        <f>IFERROR(VLOOKUP(FO_Capture!C1471, Reference_Data!A:D, 3, FALSE), "XXX")</f>
        <v>INR</v>
      </c>
      <c r="E1471" t="str">
        <f>IFERROR(VLOOKUP(FO_Capture!C1471, Reference_Data!A:D, 4, FALSE), "MISSING SSI")</f>
        <v>HSBC A/C 972195</v>
      </c>
      <c r="F1471">
        <f>FO_Capture!D1471</f>
        <v>320</v>
      </c>
      <c r="G1471">
        <f>FO_Capture!E1471</f>
        <v>500.08999633789063</v>
      </c>
      <c r="H1471">
        <f t="shared" si="44"/>
        <v>160028.798828125</v>
      </c>
      <c r="I1471" t="str">
        <f t="shared" si="45"/>
        <v>Pass - Ready for Confirmation</v>
      </c>
    </row>
    <row r="1472" spans="1:9" x14ac:dyDescent="0.3">
      <c r="A1472" t="str">
        <f>FO_Capture!A1472</f>
        <v>TRD01471</v>
      </c>
      <c r="B1472" t="str">
        <f>FO_Capture!B1472</f>
        <v>INE002A0105</v>
      </c>
      <c r="C1472" t="str">
        <f>IFERROR(VLOOKUP(FO_Capture!C1472, Reference_Data!A:D, 2, FALSE), "UNKNOWN")</f>
        <v>Alpha Capital 44</v>
      </c>
      <c r="D1472" t="str">
        <f>IFERROR(VLOOKUP(FO_Capture!C1472, Reference_Data!A:D, 3, FALSE), "XXX")</f>
        <v>INR</v>
      </c>
      <c r="E1472" t="str">
        <f>IFERROR(VLOOKUP(FO_Capture!C1472, Reference_Data!A:D, 4, FALSE), "MISSING SSI")</f>
        <v>Deutsche Bank A/C 428758</v>
      </c>
      <c r="F1472">
        <f>FO_Capture!D1472</f>
        <v>140</v>
      </c>
      <c r="G1472">
        <f>FO_Capture!E1472</f>
        <v>192.22999572753906</v>
      </c>
      <c r="H1472">
        <f t="shared" si="44"/>
        <v>26912.199401855469</v>
      </c>
      <c r="I1472" t="str">
        <f t="shared" si="45"/>
        <v>Pass - Ready for Confirmation</v>
      </c>
    </row>
    <row r="1473" spans="1:9" x14ac:dyDescent="0.3">
      <c r="A1473" t="str">
        <f>FO_Capture!A1473</f>
        <v>TRD01472</v>
      </c>
      <c r="B1473" t="str">
        <f>FO_Capture!B1473</f>
        <v>INE007A01062</v>
      </c>
      <c r="C1473" t="str">
        <f>IFERROR(VLOOKUP(FO_Capture!C1473, Reference_Data!A:D, 2, FALSE), "UNKNOWN")</f>
        <v>Alpha Asset Management 4</v>
      </c>
      <c r="D1473" t="str">
        <f>IFERROR(VLOOKUP(FO_Capture!C1473, Reference_Data!A:D, 3, FALSE), "XXX")</f>
        <v>JPY</v>
      </c>
      <c r="E1473" t="str">
        <f>IFERROR(VLOOKUP(FO_Capture!C1473, Reference_Data!A:D, 4, FALSE), "MISSING SSI")</f>
        <v>Deutsche Bank A/C 126543</v>
      </c>
      <c r="F1473">
        <f>FO_Capture!D1473</f>
        <v>210</v>
      </c>
      <c r="G1473">
        <f>FO_Capture!E1473</f>
        <v>416.02999877929688</v>
      </c>
      <c r="H1473">
        <f t="shared" si="44"/>
        <v>87366.299743652344</v>
      </c>
      <c r="I1473" t="str">
        <f t="shared" si="45"/>
        <v>Pass - Ready for Confirmation</v>
      </c>
    </row>
    <row r="1474" spans="1:9" x14ac:dyDescent="0.3">
      <c r="A1474" t="str">
        <f>FO_Capture!A1474</f>
        <v>TRD01473</v>
      </c>
      <c r="B1474" t="str">
        <f>FO_Capture!B1474</f>
        <v>INE002A01029</v>
      </c>
      <c r="C1474" t="str">
        <f>IFERROR(VLOOKUP(FO_Capture!C1474, Reference_Data!A:D, 2, FALSE), "UNKNOWN")</f>
        <v>Alpha Holdings 47</v>
      </c>
      <c r="D1474" t="str">
        <f>IFERROR(VLOOKUP(FO_Capture!C1474, Reference_Data!A:D, 3, FALSE), "XXX")</f>
        <v>GBP</v>
      </c>
      <c r="E1474" t="str">
        <f>IFERROR(VLOOKUP(FO_Capture!C1474, Reference_Data!A:D, 4, FALSE), "MISSING SSI")</f>
        <v>Citi A/C 703401</v>
      </c>
      <c r="F1474">
        <f>FO_Capture!D1474</f>
        <v>390</v>
      </c>
      <c r="G1474">
        <f>FO_Capture!E1474</f>
        <v>386.55999755859375</v>
      </c>
      <c r="H1474">
        <f t="shared" si="44"/>
        <v>150758.39904785156</v>
      </c>
      <c r="I1474" t="str">
        <f t="shared" si="45"/>
        <v>Pass - Ready for Confirmation</v>
      </c>
    </row>
    <row r="1475" spans="1:9" x14ac:dyDescent="0.3">
      <c r="A1475" t="str">
        <f>FO_Capture!A1475</f>
        <v>TRD01474</v>
      </c>
      <c r="B1475" t="str">
        <f>FO_Capture!B1475</f>
        <v>INE007A01093</v>
      </c>
      <c r="C1475" t="str">
        <f>IFERROR(VLOOKUP(FO_Capture!C1475, Reference_Data!A:D, 2, FALSE), "UNKNOWN")</f>
        <v>Alpha Partners 18</v>
      </c>
      <c r="D1475" t="str">
        <f>IFERROR(VLOOKUP(FO_Capture!C1475, Reference_Data!A:D, 3, FALSE), "XXX")</f>
        <v>INR</v>
      </c>
      <c r="E1475" t="str">
        <f>IFERROR(VLOOKUP(FO_Capture!C1475, Reference_Data!A:D, 4, FALSE), "MISSING SSI")</f>
        <v>JPMorgan A/C 704166</v>
      </c>
      <c r="F1475">
        <f>FO_Capture!D1475</f>
        <v>40</v>
      </c>
      <c r="G1475">
        <f>FO_Capture!E1475</f>
        <v>295.489990234375</v>
      </c>
      <c r="H1475">
        <f t="shared" ref="H1475:H1538" si="46">F1475 * G1475</f>
        <v>11819.599609375</v>
      </c>
      <c r="I1475" t="str">
        <f t="shared" ref="I1475:I1538" si="47">IF(C1475="UNKNOWN", "Fail - Missing Ref Data", IF(OR(F1475&lt;=0, G1475&lt;=0), "Fail - Invalid Price/Qty", IF(H1475&gt;1000000, "Exception - Limit Breach", "Pass - Ready for Confirmation")))</f>
        <v>Pass - Ready for Confirmation</v>
      </c>
    </row>
    <row r="1476" spans="1:9" x14ac:dyDescent="0.3">
      <c r="A1476" t="str">
        <f>FO_Capture!A1476</f>
        <v>TRD01475</v>
      </c>
      <c r="B1476" t="str">
        <f>FO_Capture!B1476</f>
        <v>INE007A0101</v>
      </c>
      <c r="C1476" t="str">
        <f>IFERROR(VLOOKUP(FO_Capture!C1476, Reference_Data!A:D, 2, FALSE), "UNKNOWN")</f>
        <v>Alpha Investments 17</v>
      </c>
      <c r="D1476" t="str">
        <f>IFERROR(VLOOKUP(FO_Capture!C1476, Reference_Data!A:D, 3, FALSE), "XXX")</f>
        <v>USD</v>
      </c>
      <c r="E1476" t="str">
        <f>IFERROR(VLOOKUP(FO_Capture!C1476, Reference_Data!A:D, 4, FALSE), "MISSING SSI")</f>
        <v>HDFC A/C 113752</v>
      </c>
      <c r="F1476">
        <f>FO_Capture!D1476</f>
        <v>250</v>
      </c>
      <c r="G1476">
        <f>FO_Capture!E1476</f>
        <v>61.029998779296875</v>
      </c>
      <c r="H1476">
        <f t="shared" si="46"/>
        <v>15257.499694824219</v>
      </c>
      <c r="I1476" t="str">
        <f t="shared" si="47"/>
        <v>Pass - Ready for Confirmation</v>
      </c>
    </row>
    <row r="1477" spans="1:9" x14ac:dyDescent="0.3">
      <c r="A1477" t="str">
        <f>FO_Capture!A1477</f>
        <v>TRD01476</v>
      </c>
      <c r="B1477" t="str">
        <f>FO_Capture!B1477</f>
        <v>INE002A0103</v>
      </c>
      <c r="C1477" t="str">
        <f>IFERROR(VLOOKUP(FO_Capture!C1477, Reference_Data!A:D, 2, FALSE), "UNKNOWN")</f>
        <v>Alpha Capital 33</v>
      </c>
      <c r="D1477" t="str">
        <f>IFERROR(VLOOKUP(FO_Capture!C1477, Reference_Data!A:D, 3, FALSE), "XXX")</f>
        <v>JPY</v>
      </c>
      <c r="E1477" t="str">
        <f>IFERROR(VLOOKUP(FO_Capture!C1477, Reference_Data!A:D, 4, FALSE), "MISSING SSI")</f>
        <v>HSBC A/C 172861</v>
      </c>
      <c r="F1477">
        <f>FO_Capture!D1477</f>
        <v>160</v>
      </c>
      <c r="G1477">
        <f>FO_Capture!E1477</f>
        <v>77.949996948242188</v>
      </c>
      <c r="H1477">
        <f t="shared" si="46"/>
        <v>12471.99951171875</v>
      </c>
      <c r="I1477" t="str">
        <f t="shared" si="47"/>
        <v>Pass - Ready for Confirmation</v>
      </c>
    </row>
    <row r="1478" spans="1:9" x14ac:dyDescent="0.3">
      <c r="A1478" t="str">
        <f>FO_Capture!A1478</f>
        <v>TRD01477</v>
      </c>
      <c r="B1478" t="str">
        <f>FO_Capture!B1478</f>
        <v>INE003A01011</v>
      </c>
      <c r="C1478" t="str">
        <f>IFERROR(VLOOKUP(FO_Capture!C1478, Reference_Data!A:D, 2, FALSE), "UNKNOWN")</f>
        <v>Alpha Global 14</v>
      </c>
      <c r="D1478" t="str">
        <f>IFERROR(VLOOKUP(FO_Capture!C1478, Reference_Data!A:D, 3, FALSE), "XXX")</f>
        <v>USD</v>
      </c>
      <c r="E1478" t="str">
        <f>IFERROR(VLOOKUP(FO_Capture!C1478, Reference_Data!A:D, 4, FALSE), "MISSING SSI")</f>
        <v>HSBC A/C 864249</v>
      </c>
      <c r="F1478">
        <f>FO_Capture!D1478</f>
        <v>130</v>
      </c>
      <c r="G1478">
        <f>FO_Capture!E1478</f>
        <v>467.57998657226563</v>
      </c>
      <c r="H1478">
        <f t="shared" si="46"/>
        <v>60785.398254394531</v>
      </c>
      <c r="I1478" t="str">
        <f t="shared" si="47"/>
        <v>Pass - Ready for Confirmation</v>
      </c>
    </row>
    <row r="1479" spans="1:9" x14ac:dyDescent="0.3">
      <c r="A1479" t="str">
        <f>FO_Capture!A1479</f>
        <v>TRD01478</v>
      </c>
      <c r="B1479" t="str">
        <f>FO_Capture!B1479</f>
        <v>INE006A01042</v>
      </c>
      <c r="C1479" t="str">
        <f>IFERROR(VLOOKUP(FO_Capture!C1479, Reference_Data!A:D, 2, FALSE), "UNKNOWN")</f>
        <v>Alpha Partners 42</v>
      </c>
      <c r="D1479" t="str">
        <f>IFERROR(VLOOKUP(FO_Capture!C1479, Reference_Data!A:D, 3, FALSE), "XXX")</f>
        <v>USD</v>
      </c>
      <c r="E1479" t="str">
        <f>IFERROR(VLOOKUP(FO_Capture!C1479, Reference_Data!A:D, 4, FALSE), "MISSING SSI")</f>
        <v>Citi A/C 416082</v>
      </c>
      <c r="F1479">
        <f>FO_Capture!D1479</f>
        <v>25000</v>
      </c>
      <c r="G1479">
        <f>FO_Capture!E1479</f>
        <v>50.909999847412109</v>
      </c>
      <c r="H1479">
        <f t="shared" si="46"/>
        <v>1272749.9961853027</v>
      </c>
      <c r="I1479" t="str">
        <f t="shared" si="47"/>
        <v>Exception - Limit Breach</v>
      </c>
    </row>
    <row r="1480" spans="1:9" x14ac:dyDescent="0.3">
      <c r="A1480" t="str">
        <f>FO_Capture!A1480</f>
        <v>TRD01479</v>
      </c>
      <c r="B1480" t="str">
        <f>FO_Capture!B1480</f>
        <v>INE006A01020</v>
      </c>
      <c r="C1480" t="str">
        <f>IFERROR(VLOOKUP(FO_Capture!C1480, Reference_Data!A:D, 2, FALSE), "UNKNOWN")</f>
        <v>Alpha Investments 29</v>
      </c>
      <c r="D1480" t="str">
        <f>IFERROR(VLOOKUP(FO_Capture!C1480, Reference_Data!A:D, 3, FALSE), "XXX")</f>
        <v>INR</v>
      </c>
      <c r="E1480" t="str">
        <f>IFERROR(VLOOKUP(FO_Capture!C1480, Reference_Data!A:D, 4, FALSE), "MISSING SSI")</f>
        <v>HSBC A/C 785870</v>
      </c>
      <c r="F1480">
        <f>FO_Capture!D1480</f>
        <v>340</v>
      </c>
      <c r="G1480">
        <f>FO_Capture!E1480</f>
        <v>62.689998626708984</v>
      </c>
      <c r="H1480">
        <f t="shared" si="46"/>
        <v>21314.599533081055</v>
      </c>
      <c r="I1480" t="str">
        <f t="shared" si="47"/>
        <v>Pass - Ready for Confirmation</v>
      </c>
    </row>
    <row r="1481" spans="1:9" x14ac:dyDescent="0.3">
      <c r="A1481" t="str">
        <f>FO_Capture!A1481</f>
        <v>TRD01480</v>
      </c>
      <c r="B1481" t="str">
        <f>FO_Capture!B1481</f>
        <v>INE009A01062</v>
      </c>
      <c r="C1481" t="str">
        <f>IFERROR(VLOOKUP(FO_Capture!C1481, Reference_Data!A:D, 2, FALSE), "UNKNOWN")</f>
        <v>Alpha Investments 15</v>
      </c>
      <c r="D1481" t="str">
        <f>IFERROR(VLOOKUP(FO_Capture!C1481, Reference_Data!A:D, 3, FALSE), "XXX")</f>
        <v>INR</v>
      </c>
      <c r="E1481" t="str">
        <f>IFERROR(VLOOKUP(FO_Capture!C1481, Reference_Data!A:D, 4, FALSE), "MISSING SSI")</f>
        <v>Deutsche Bank A/C 330518</v>
      </c>
      <c r="F1481">
        <f>FO_Capture!D1481</f>
        <v>340</v>
      </c>
      <c r="G1481">
        <f>FO_Capture!E1481</f>
        <v>315.8699951171875</v>
      </c>
      <c r="H1481">
        <f t="shared" si="46"/>
        <v>107395.79833984375</v>
      </c>
      <c r="I1481" t="str">
        <f t="shared" si="47"/>
        <v>Pass - Ready for Confirmation</v>
      </c>
    </row>
    <row r="1482" spans="1:9" x14ac:dyDescent="0.3">
      <c r="A1482" t="str">
        <f>FO_Capture!A1482</f>
        <v>TRD01481</v>
      </c>
      <c r="B1482" t="str">
        <f>FO_Capture!B1482</f>
        <v>INE005A01054</v>
      </c>
      <c r="C1482" t="str">
        <f>IFERROR(VLOOKUP(FO_Capture!C1482, Reference_Data!A:D, 2, FALSE), "UNKNOWN")</f>
        <v>Alpha Holdings 47</v>
      </c>
      <c r="D1482" t="str">
        <f>IFERROR(VLOOKUP(FO_Capture!C1482, Reference_Data!A:D, 3, FALSE), "XXX")</f>
        <v>GBP</v>
      </c>
      <c r="E1482" t="str">
        <f>IFERROR(VLOOKUP(FO_Capture!C1482, Reference_Data!A:D, 4, FALSE), "MISSING SSI")</f>
        <v>Citi A/C 703401</v>
      </c>
      <c r="F1482">
        <f>FO_Capture!D1482</f>
        <v>440</v>
      </c>
      <c r="G1482">
        <f>FO_Capture!E1482</f>
        <v>217.91999816894531</v>
      </c>
      <c r="H1482">
        <f t="shared" si="46"/>
        <v>95884.799194335938</v>
      </c>
      <c r="I1482" t="str">
        <f t="shared" si="47"/>
        <v>Pass - Ready for Confirmation</v>
      </c>
    </row>
    <row r="1483" spans="1:9" x14ac:dyDescent="0.3">
      <c r="A1483" t="str">
        <f>FO_Capture!A1483</f>
        <v>TRD01482</v>
      </c>
      <c r="B1483" t="str">
        <f>FO_Capture!B1483</f>
        <v>INE002A01031</v>
      </c>
      <c r="C1483" t="str">
        <f>IFERROR(VLOOKUP(FO_Capture!C1483, Reference_Data!A:D, 2, FALSE), "UNKNOWN")</f>
        <v>Alpha Partners 26</v>
      </c>
      <c r="D1483" t="str">
        <f>IFERROR(VLOOKUP(FO_Capture!C1483, Reference_Data!A:D, 3, FALSE), "XXX")</f>
        <v>USD</v>
      </c>
      <c r="E1483" t="str">
        <f>IFERROR(VLOOKUP(FO_Capture!C1483, Reference_Data!A:D, 4, FALSE), "MISSING SSI")</f>
        <v>HSBC A/C 867781</v>
      </c>
      <c r="F1483">
        <f>FO_Capture!D1483</f>
        <v>270</v>
      </c>
      <c r="G1483">
        <f>FO_Capture!E1483</f>
        <v>184.1300048828125</v>
      </c>
      <c r="H1483">
        <f t="shared" si="46"/>
        <v>49715.101318359375</v>
      </c>
      <c r="I1483" t="str">
        <f t="shared" si="47"/>
        <v>Pass - Ready for Confirmation</v>
      </c>
    </row>
    <row r="1484" spans="1:9" x14ac:dyDescent="0.3">
      <c r="A1484" t="str">
        <f>FO_Capture!A1484</f>
        <v>TRD01483</v>
      </c>
      <c r="B1484" t="str">
        <f>FO_Capture!B1484</f>
        <v>INE002A01038</v>
      </c>
      <c r="C1484" t="str">
        <f>IFERROR(VLOOKUP(FO_Capture!C1484, Reference_Data!A:D, 2, FALSE), "UNKNOWN")</f>
        <v>Alpha Investments 15</v>
      </c>
      <c r="D1484" t="str">
        <f>IFERROR(VLOOKUP(FO_Capture!C1484, Reference_Data!A:D, 3, FALSE), "XXX")</f>
        <v>INR</v>
      </c>
      <c r="E1484" t="str">
        <f>IFERROR(VLOOKUP(FO_Capture!C1484, Reference_Data!A:D, 4, FALSE), "MISSING SSI")</f>
        <v>Deutsche Bank A/C 330518</v>
      </c>
      <c r="F1484">
        <f>FO_Capture!D1484</f>
        <v>340</v>
      </c>
      <c r="G1484">
        <f>FO_Capture!E1484</f>
        <v>387.58999633789063</v>
      </c>
      <c r="H1484">
        <f t="shared" si="46"/>
        <v>131780.59875488281</v>
      </c>
      <c r="I1484" t="str">
        <f t="shared" si="47"/>
        <v>Pass - Ready for Confirmation</v>
      </c>
    </row>
    <row r="1485" spans="1:9" x14ac:dyDescent="0.3">
      <c r="A1485" t="str">
        <f>FO_Capture!A1485</f>
        <v>TRD01484</v>
      </c>
      <c r="B1485" t="str">
        <f>FO_Capture!B1485</f>
        <v>INE009A01087</v>
      </c>
      <c r="C1485" t="str">
        <f>IFERROR(VLOOKUP(FO_Capture!C1485, Reference_Data!A:D, 2, FALSE), "UNKNOWN")</f>
        <v>Alpha Holdings 16</v>
      </c>
      <c r="D1485" t="str">
        <f>IFERROR(VLOOKUP(FO_Capture!C1485, Reference_Data!A:D, 3, FALSE), "XXX")</f>
        <v>USD</v>
      </c>
      <c r="E1485" t="str">
        <f>IFERROR(VLOOKUP(FO_Capture!C1485, Reference_Data!A:D, 4, FALSE), "MISSING SSI")</f>
        <v>Barclays A/C 197229</v>
      </c>
      <c r="F1485">
        <f>FO_Capture!D1485</f>
        <v>350</v>
      </c>
      <c r="G1485">
        <f>FO_Capture!E1485</f>
        <v>509.20999145507813</v>
      </c>
      <c r="H1485">
        <f t="shared" si="46"/>
        <v>178223.49700927734</v>
      </c>
      <c r="I1485" t="str">
        <f t="shared" si="47"/>
        <v>Pass - Ready for Confirmation</v>
      </c>
    </row>
    <row r="1486" spans="1:9" x14ac:dyDescent="0.3">
      <c r="A1486" t="str">
        <f>FO_Capture!A1486</f>
        <v>TRD01485</v>
      </c>
      <c r="B1486" t="str">
        <f>FO_Capture!B1486</f>
        <v>INE008A0106</v>
      </c>
      <c r="C1486" t="str">
        <f>IFERROR(VLOOKUP(FO_Capture!C1486, Reference_Data!A:D, 2, FALSE), "UNKNOWN")</f>
        <v>Alpha Global 45</v>
      </c>
      <c r="D1486" t="str">
        <f>IFERROR(VLOOKUP(FO_Capture!C1486, Reference_Data!A:D, 3, FALSE), "XXX")</f>
        <v>EUR</v>
      </c>
      <c r="E1486" t="str">
        <f>IFERROR(VLOOKUP(FO_Capture!C1486, Reference_Data!A:D, 4, FALSE), "MISSING SSI")</f>
        <v>HSBC A/C 540659</v>
      </c>
      <c r="F1486">
        <f>FO_Capture!D1486</f>
        <v>400</v>
      </c>
      <c r="G1486">
        <f>FO_Capture!E1486</f>
        <v>487.70999145507813</v>
      </c>
      <c r="H1486">
        <f t="shared" si="46"/>
        <v>195083.99658203125</v>
      </c>
      <c r="I1486" t="str">
        <f t="shared" si="47"/>
        <v>Pass - Ready for Confirmation</v>
      </c>
    </row>
    <row r="1487" spans="1:9" x14ac:dyDescent="0.3">
      <c r="A1487" t="str">
        <f>FO_Capture!A1487</f>
        <v>TRD01486</v>
      </c>
      <c r="B1487" t="str">
        <f>FO_Capture!B1487</f>
        <v>INE006A01082</v>
      </c>
      <c r="C1487" t="str">
        <f>IFERROR(VLOOKUP(FO_Capture!C1487, Reference_Data!A:D, 2, FALSE), "UNKNOWN")</f>
        <v>Alpha Asset Management 5</v>
      </c>
      <c r="D1487" t="str">
        <f>IFERROR(VLOOKUP(FO_Capture!C1487, Reference_Data!A:D, 3, FALSE), "XXX")</f>
        <v>INR</v>
      </c>
      <c r="E1487" t="str">
        <f>IFERROR(VLOOKUP(FO_Capture!C1487, Reference_Data!A:D, 4, FALSE), "MISSING SSI")</f>
        <v>JPMorgan A/C 860462</v>
      </c>
      <c r="F1487">
        <f>FO_Capture!D1487</f>
        <v>260</v>
      </c>
      <c r="G1487">
        <f>FO_Capture!E1487</f>
        <v>269.6300048828125</v>
      </c>
      <c r="H1487">
        <f t="shared" si="46"/>
        <v>70103.80126953125</v>
      </c>
      <c r="I1487" t="str">
        <f t="shared" si="47"/>
        <v>Pass - Ready for Confirmation</v>
      </c>
    </row>
    <row r="1488" spans="1:9" x14ac:dyDescent="0.3">
      <c r="A1488" t="str">
        <f>FO_Capture!A1488</f>
        <v>TRD01487</v>
      </c>
      <c r="B1488" t="str">
        <f>FO_Capture!B1488</f>
        <v>INE003A01020</v>
      </c>
      <c r="C1488" t="str">
        <f>IFERROR(VLOOKUP(FO_Capture!C1488, Reference_Data!A:D, 2, FALSE), "UNKNOWN")</f>
        <v>Alpha Global 14</v>
      </c>
      <c r="D1488" t="str">
        <f>IFERROR(VLOOKUP(FO_Capture!C1488, Reference_Data!A:D, 3, FALSE), "XXX")</f>
        <v>USD</v>
      </c>
      <c r="E1488" t="str">
        <f>IFERROR(VLOOKUP(FO_Capture!C1488, Reference_Data!A:D, 4, FALSE), "MISSING SSI")</f>
        <v>HSBC A/C 864249</v>
      </c>
      <c r="F1488">
        <f>FO_Capture!D1488</f>
        <v>110</v>
      </c>
      <c r="G1488">
        <f>FO_Capture!E1488</f>
        <v>59.299999237060547</v>
      </c>
      <c r="H1488">
        <f t="shared" si="46"/>
        <v>6522.9999160766602</v>
      </c>
      <c r="I1488" t="str">
        <f t="shared" si="47"/>
        <v>Pass - Ready for Confirmation</v>
      </c>
    </row>
    <row r="1489" spans="1:9" x14ac:dyDescent="0.3">
      <c r="A1489" t="str">
        <f>FO_Capture!A1489</f>
        <v>TRD01488</v>
      </c>
      <c r="B1489" t="str">
        <f>FO_Capture!B1489</f>
        <v>INE001A01087</v>
      </c>
      <c r="C1489" t="str">
        <f>IFERROR(VLOOKUP(FO_Capture!C1489, Reference_Data!A:D, 2, FALSE), "UNKNOWN")</f>
        <v>Alpha Partners 26</v>
      </c>
      <c r="D1489" t="str">
        <f>IFERROR(VLOOKUP(FO_Capture!C1489, Reference_Data!A:D, 3, FALSE), "XXX")</f>
        <v>USD</v>
      </c>
      <c r="E1489" t="str">
        <f>IFERROR(VLOOKUP(FO_Capture!C1489, Reference_Data!A:D, 4, FALSE), "MISSING SSI")</f>
        <v>HSBC A/C 867781</v>
      </c>
      <c r="F1489">
        <f>FO_Capture!D1489</f>
        <v>290</v>
      </c>
      <c r="G1489">
        <f>FO_Capture!E1489</f>
        <v>68.889999389648438</v>
      </c>
      <c r="H1489">
        <f t="shared" si="46"/>
        <v>19978.099822998047</v>
      </c>
      <c r="I1489" t="str">
        <f t="shared" si="47"/>
        <v>Pass - Ready for Confirmation</v>
      </c>
    </row>
    <row r="1490" spans="1:9" x14ac:dyDescent="0.3">
      <c r="A1490" t="str">
        <f>FO_Capture!A1490</f>
        <v>TRD01489</v>
      </c>
      <c r="B1490" t="str">
        <f>FO_Capture!B1490</f>
        <v>INE002A01067</v>
      </c>
      <c r="C1490" t="str">
        <f>IFERROR(VLOOKUP(FO_Capture!C1490, Reference_Data!A:D, 2, FALSE), "UNKNOWN")</f>
        <v>Alpha Capital 10</v>
      </c>
      <c r="D1490" t="str">
        <f>IFERROR(VLOOKUP(FO_Capture!C1490, Reference_Data!A:D, 3, FALSE), "XXX")</f>
        <v>USD</v>
      </c>
      <c r="E1490" t="str">
        <f>IFERROR(VLOOKUP(FO_Capture!C1490, Reference_Data!A:D, 4, FALSE), "MISSING SSI")</f>
        <v>HDFC A/C 543407</v>
      </c>
      <c r="F1490">
        <f>FO_Capture!D1490</f>
        <v>70</v>
      </c>
      <c r="G1490">
        <f>FO_Capture!E1490</f>
        <v>268.3599853515625</v>
      </c>
      <c r="H1490">
        <f t="shared" si="46"/>
        <v>18785.198974609375</v>
      </c>
      <c r="I1490" t="str">
        <f t="shared" si="47"/>
        <v>Pass - Ready for Confirmation</v>
      </c>
    </row>
    <row r="1491" spans="1:9" x14ac:dyDescent="0.3">
      <c r="A1491" t="str">
        <f>FO_Capture!A1491</f>
        <v>TRD01490</v>
      </c>
      <c r="B1491" t="str">
        <f>FO_Capture!B1491</f>
        <v>INE003A0104</v>
      </c>
      <c r="C1491" t="str">
        <f>IFERROR(VLOOKUP(FO_Capture!C1491, Reference_Data!A:D, 2, FALSE), "UNKNOWN")</f>
        <v>Alpha Holdings 23</v>
      </c>
      <c r="D1491" t="str">
        <f>IFERROR(VLOOKUP(FO_Capture!C1491, Reference_Data!A:D, 3, FALSE), "XXX")</f>
        <v>INR</v>
      </c>
      <c r="E1491" t="str">
        <f>IFERROR(VLOOKUP(FO_Capture!C1491, Reference_Data!A:D, 4, FALSE), "MISSING SSI")</f>
        <v>Deutsche Bank A/C 983712</v>
      </c>
      <c r="F1491">
        <f>FO_Capture!D1491</f>
        <v>370</v>
      </c>
      <c r="G1491">
        <f>FO_Capture!E1491</f>
        <v>135.50999450683594</v>
      </c>
      <c r="H1491">
        <f t="shared" si="46"/>
        <v>50138.697967529297</v>
      </c>
      <c r="I1491" t="str">
        <f t="shared" si="47"/>
        <v>Pass - Ready for Confirmation</v>
      </c>
    </row>
    <row r="1492" spans="1:9" x14ac:dyDescent="0.3">
      <c r="A1492" t="str">
        <f>FO_Capture!A1492</f>
        <v>TRD01491</v>
      </c>
      <c r="B1492" t="str">
        <f>FO_Capture!B1492</f>
        <v>INE009A01057</v>
      </c>
      <c r="C1492" t="str">
        <f>IFERROR(VLOOKUP(FO_Capture!C1492, Reference_Data!A:D, 2, FALSE), "UNKNOWN")</f>
        <v>Alpha Quant Fund 34</v>
      </c>
      <c r="D1492" t="str">
        <f>IFERROR(VLOOKUP(FO_Capture!C1492, Reference_Data!A:D, 3, FALSE), "XXX")</f>
        <v>JPY</v>
      </c>
      <c r="E1492" t="str">
        <f>IFERROR(VLOOKUP(FO_Capture!C1492, Reference_Data!A:D, 4, FALSE), "MISSING SSI")</f>
        <v>Citi A/C 837378</v>
      </c>
      <c r="F1492">
        <f>FO_Capture!D1492</f>
        <v>30</v>
      </c>
      <c r="G1492">
        <f>FO_Capture!E1492</f>
        <v>405.92999267578125</v>
      </c>
      <c r="H1492">
        <f t="shared" si="46"/>
        <v>12177.899780273438</v>
      </c>
      <c r="I1492" t="str">
        <f t="shared" si="47"/>
        <v>Pass - Ready for Confirmation</v>
      </c>
    </row>
    <row r="1493" spans="1:9" x14ac:dyDescent="0.3">
      <c r="A1493" t="str">
        <f>FO_Capture!A1493</f>
        <v>TRD01492</v>
      </c>
      <c r="B1493" t="str">
        <f>FO_Capture!B1493</f>
        <v>INE004A01053</v>
      </c>
      <c r="C1493" t="str">
        <f>IFERROR(VLOOKUP(FO_Capture!C1493, Reference_Data!A:D, 2, FALSE), "UNKNOWN")</f>
        <v>Alpha Partners 3</v>
      </c>
      <c r="D1493" t="str">
        <f>IFERROR(VLOOKUP(FO_Capture!C1493, Reference_Data!A:D, 3, FALSE), "XXX")</f>
        <v>USD</v>
      </c>
      <c r="E1493" t="str">
        <f>IFERROR(VLOOKUP(FO_Capture!C1493, Reference_Data!A:D, 4, FALSE), "MISSING SSI")</f>
        <v>Citi A/C 508769</v>
      </c>
      <c r="F1493">
        <f>FO_Capture!D1493</f>
        <v>40</v>
      </c>
      <c r="G1493">
        <f>FO_Capture!E1493</f>
        <v>323.01998901367188</v>
      </c>
      <c r="H1493">
        <f t="shared" si="46"/>
        <v>12920.799560546875</v>
      </c>
      <c r="I1493" t="str">
        <f t="shared" si="47"/>
        <v>Pass - Ready for Confirmation</v>
      </c>
    </row>
    <row r="1494" spans="1:9" x14ac:dyDescent="0.3">
      <c r="A1494" t="str">
        <f>FO_Capture!A1494</f>
        <v>TRD01493</v>
      </c>
      <c r="B1494" t="str">
        <f>FO_Capture!B1494</f>
        <v>INE006A01028</v>
      </c>
      <c r="C1494" t="str">
        <f>IFERROR(VLOOKUP(FO_Capture!C1494, Reference_Data!A:D, 2, FALSE), "UNKNOWN")</f>
        <v>Alpha Quant Fund 50</v>
      </c>
      <c r="D1494" t="str">
        <f>IFERROR(VLOOKUP(FO_Capture!C1494, Reference_Data!A:D, 3, FALSE), "XXX")</f>
        <v>SGD</v>
      </c>
      <c r="E1494" t="str">
        <f>IFERROR(VLOOKUP(FO_Capture!C1494, Reference_Data!A:D, 4, FALSE), "MISSING SSI")</f>
        <v>Standard Chartered A/C 307017</v>
      </c>
      <c r="F1494">
        <f>FO_Capture!D1494</f>
        <v>330</v>
      </c>
      <c r="G1494">
        <f>FO_Capture!E1494</f>
        <v>388.010009765625</v>
      </c>
      <c r="H1494">
        <f t="shared" si="46"/>
        <v>128043.30322265625</v>
      </c>
      <c r="I1494" t="str">
        <f t="shared" si="47"/>
        <v>Pass - Ready for Confirmation</v>
      </c>
    </row>
    <row r="1495" spans="1:9" x14ac:dyDescent="0.3">
      <c r="A1495" t="str">
        <f>FO_Capture!A1495</f>
        <v>TRD01494</v>
      </c>
      <c r="B1495" t="str">
        <f>FO_Capture!B1495</f>
        <v>INE001A01084</v>
      </c>
      <c r="C1495" t="str">
        <f>IFERROR(VLOOKUP(FO_Capture!C1495, Reference_Data!A:D, 2, FALSE), "UNKNOWN")</f>
        <v>Alpha Capital 36</v>
      </c>
      <c r="D1495" t="str">
        <f>IFERROR(VLOOKUP(FO_Capture!C1495, Reference_Data!A:D, 3, FALSE), "XXX")</f>
        <v>JPY</v>
      </c>
      <c r="E1495" t="str">
        <f>IFERROR(VLOOKUP(FO_Capture!C1495, Reference_Data!A:D, 4, FALSE), "MISSING SSI")</f>
        <v>Citi A/C 359789</v>
      </c>
      <c r="F1495">
        <f>FO_Capture!D1495</f>
        <v>480</v>
      </c>
      <c r="G1495">
        <f>FO_Capture!E1495</f>
        <v>109.91999816894531</v>
      </c>
      <c r="H1495">
        <f t="shared" si="46"/>
        <v>52761.59912109375</v>
      </c>
      <c r="I1495" t="str">
        <f t="shared" si="47"/>
        <v>Pass - Ready for Confirmation</v>
      </c>
    </row>
    <row r="1496" spans="1:9" x14ac:dyDescent="0.3">
      <c r="A1496" t="str">
        <f>FO_Capture!A1496</f>
        <v>TRD01495</v>
      </c>
      <c r="B1496" t="str">
        <f>FO_Capture!B1496</f>
        <v>INE003A01040</v>
      </c>
      <c r="C1496" t="str">
        <f>IFERROR(VLOOKUP(FO_Capture!C1496, Reference_Data!A:D, 2, FALSE), "UNKNOWN")</f>
        <v>Alpha Quant Fund 34</v>
      </c>
      <c r="D1496" t="str">
        <f>IFERROR(VLOOKUP(FO_Capture!C1496, Reference_Data!A:D, 3, FALSE), "XXX")</f>
        <v>JPY</v>
      </c>
      <c r="E1496" t="str">
        <f>IFERROR(VLOOKUP(FO_Capture!C1496, Reference_Data!A:D, 4, FALSE), "MISSING SSI")</f>
        <v>Citi A/C 837378</v>
      </c>
      <c r="F1496">
        <f>FO_Capture!D1496</f>
        <v>25000</v>
      </c>
      <c r="G1496">
        <f>FO_Capture!E1496</f>
        <v>488.04000854492188</v>
      </c>
      <c r="H1496">
        <f t="shared" si="46"/>
        <v>12201000.213623047</v>
      </c>
      <c r="I1496" t="str">
        <f t="shared" si="47"/>
        <v>Exception - Limit Breach</v>
      </c>
    </row>
    <row r="1497" spans="1:9" x14ac:dyDescent="0.3">
      <c r="A1497" t="str">
        <f>FO_Capture!A1497</f>
        <v>TRD01496</v>
      </c>
      <c r="B1497" t="str">
        <f>FO_Capture!B1497</f>
        <v>INE005A0101</v>
      </c>
      <c r="C1497" t="str">
        <f>IFERROR(VLOOKUP(FO_Capture!C1497, Reference_Data!A:D, 2, FALSE), "UNKNOWN")</f>
        <v>Alpha Asset Management 31</v>
      </c>
      <c r="D1497" t="str">
        <f>IFERROR(VLOOKUP(FO_Capture!C1497, Reference_Data!A:D, 3, FALSE), "XXX")</f>
        <v>USD</v>
      </c>
      <c r="E1497" t="str">
        <f>IFERROR(VLOOKUP(FO_Capture!C1497, Reference_Data!A:D, 4, FALSE), "MISSING SSI")</f>
        <v>Citi A/C 194841</v>
      </c>
      <c r="F1497">
        <f>FO_Capture!D1497</f>
        <v>210</v>
      </c>
      <c r="G1497">
        <f>FO_Capture!E1497</f>
        <v>497.1099853515625</v>
      </c>
      <c r="H1497">
        <f t="shared" si="46"/>
        <v>104393.09692382813</v>
      </c>
      <c r="I1497" t="str">
        <f t="shared" si="47"/>
        <v>Pass - Ready for Confirmation</v>
      </c>
    </row>
    <row r="1498" spans="1:9" x14ac:dyDescent="0.3">
      <c r="A1498" t="str">
        <f>FO_Capture!A1498</f>
        <v>TRD01497</v>
      </c>
      <c r="B1498" t="str">
        <f>FO_Capture!B1498</f>
        <v>INE002A01022</v>
      </c>
      <c r="C1498" t="str">
        <f>IFERROR(VLOOKUP(FO_Capture!C1498, Reference_Data!A:D, 2, FALSE), "UNKNOWN")</f>
        <v>Alpha Capital 44</v>
      </c>
      <c r="D1498" t="str">
        <f>IFERROR(VLOOKUP(FO_Capture!C1498, Reference_Data!A:D, 3, FALSE), "XXX")</f>
        <v>INR</v>
      </c>
      <c r="E1498" t="str">
        <f>IFERROR(VLOOKUP(FO_Capture!C1498, Reference_Data!A:D, 4, FALSE), "MISSING SSI")</f>
        <v>Deutsche Bank A/C 428758</v>
      </c>
      <c r="F1498">
        <f>FO_Capture!D1498</f>
        <v>50</v>
      </c>
      <c r="G1498">
        <f>FO_Capture!E1498</f>
        <v>88.069999694824219</v>
      </c>
      <c r="H1498">
        <f t="shared" si="46"/>
        <v>4403.4999847412109</v>
      </c>
      <c r="I1498" t="str">
        <f t="shared" si="47"/>
        <v>Pass - Ready for Confirmation</v>
      </c>
    </row>
    <row r="1499" spans="1:9" x14ac:dyDescent="0.3">
      <c r="A1499" t="str">
        <f>FO_Capture!A1499</f>
        <v>TRD01498</v>
      </c>
      <c r="B1499" t="str">
        <f>FO_Capture!B1499</f>
        <v>INE003A01018</v>
      </c>
      <c r="C1499" t="str">
        <f>IFERROR(VLOOKUP(FO_Capture!C1499, Reference_Data!A:D, 2, FALSE), "UNKNOWN")</f>
        <v>Alpha Holdings 23</v>
      </c>
      <c r="D1499" t="str">
        <f>IFERROR(VLOOKUP(FO_Capture!C1499, Reference_Data!A:D, 3, FALSE), "XXX")</f>
        <v>INR</v>
      </c>
      <c r="E1499" t="str">
        <f>IFERROR(VLOOKUP(FO_Capture!C1499, Reference_Data!A:D, 4, FALSE), "MISSING SSI")</f>
        <v>Deutsche Bank A/C 983712</v>
      </c>
      <c r="F1499">
        <f>FO_Capture!D1499</f>
        <v>210</v>
      </c>
      <c r="G1499">
        <f>FO_Capture!E1499</f>
        <v>497.489990234375</v>
      </c>
      <c r="H1499">
        <f t="shared" si="46"/>
        <v>104472.89794921875</v>
      </c>
      <c r="I1499" t="str">
        <f t="shared" si="47"/>
        <v>Pass - Ready for Confirmation</v>
      </c>
    </row>
    <row r="1500" spans="1:9" x14ac:dyDescent="0.3">
      <c r="A1500" t="str">
        <f>FO_Capture!A1500</f>
        <v>TRD01499</v>
      </c>
      <c r="B1500" t="str">
        <f>FO_Capture!B1500</f>
        <v>INE001A01015</v>
      </c>
      <c r="C1500" t="str">
        <f>IFERROR(VLOOKUP(FO_Capture!C1500, Reference_Data!A:D, 2, FALSE), "UNKNOWN")</f>
        <v>Alpha Asset Management 35</v>
      </c>
      <c r="D1500" t="str">
        <f>IFERROR(VLOOKUP(FO_Capture!C1500, Reference_Data!A:D, 3, FALSE), "XXX")</f>
        <v>JPY</v>
      </c>
      <c r="E1500" t="str">
        <f>IFERROR(VLOOKUP(FO_Capture!C1500, Reference_Data!A:D, 4, FALSE), "MISSING SSI")</f>
        <v>HSBC A/C 604357</v>
      </c>
      <c r="F1500">
        <f>FO_Capture!D1500</f>
        <v>50</v>
      </c>
      <c r="G1500">
        <f>FO_Capture!E1500</f>
        <v>376</v>
      </c>
      <c r="H1500">
        <f t="shared" si="46"/>
        <v>18800</v>
      </c>
      <c r="I1500" t="str">
        <f t="shared" si="47"/>
        <v>Pass - Ready for Confirmation</v>
      </c>
    </row>
    <row r="1501" spans="1:9" x14ac:dyDescent="0.3">
      <c r="A1501" t="str">
        <f>FO_Capture!A1501</f>
        <v>TRD01500</v>
      </c>
      <c r="B1501" t="str">
        <f>FO_Capture!B1501</f>
        <v>INE008A01085</v>
      </c>
      <c r="C1501" t="str">
        <f>IFERROR(VLOOKUP(FO_Capture!C1501, Reference_Data!A:D, 2, FALSE), "UNKNOWN")</f>
        <v>Alpha Quant Fund 50</v>
      </c>
      <c r="D1501" t="str">
        <f>IFERROR(VLOOKUP(FO_Capture!C1501, Reference_Data!A:D, 3, FALSE), "XXX")</f>
        <v>SGD</v>
      </c>
      <c r="E1501" t="str">
        <f>IFERROR(VLOOKUP(FO_Capture!C1501, Reference_Data!A:D, 4, FALSE), "MISSING SSI")</f>
        <v>Standard Chartered A/C 307017</v>
      </c>
      <c r="F1501">
        <f>FO_Capture!D1501</f>
        <v>390</v>
      </c>
      <c r="G1501">
        <f>FO_Capture!E1501</f>
        <v>38.299999237060547</v>
      </c>
      <c r="H1501">
        <f t="shared" si="46"/>
        <v>14936.999702453613</v>
      </c>
      <c r="I1501" t="str">
        <f t="shared" si="47"/>
        <v>Pass - Ready for Confirmation</v>
      </c>
    </row>
    <row r="1502" spans="1:9" x14ac:dyDescent="0.3">
      <c r="A1502" t="str">
        <f>FO_Capture!A1502</f>
        <v>TRD01501</v>
      </c>
      <c r="B1502" t="str">
        <f>FO_Capture!B1502</f>
        <v>INE004A01094</v>
      </c>
      <c r="C1502" t="str">
        <f>IFERROR(VLOOKUP(FO_Capture!C1502, Reference_Data!A:D, 2, FALSE), "UNKNOWN")</f>
        <v>Alpha Investments 17</v>
      </c>
      <c r="D1502" t="str">
        <f>IFERROR(VLOOKUP(FO_Capture!C1502, Reference_Data!A:D, 3, FALSE), "XXX")</f>
        <v>USD</v>
      </c>
      <c r="E1502" t="str">
        <f>IFERROR(VLOOKUP(FO_Capture!C1502, Reference_Data!A:D, 4, FALSE), "MISSING SSI")</f>
        <v>HDFC A/C 113752</v>
      </c>
      <c r="F1502">
        <f>FO_Capture!D1502</f>
        <v>220</v>
      </c>
      <c r="G1502">
        <f>FO_Capture!E1502</f>
        <v>213.14999389648438</v>
      </c>
      <c r="H1502">
        <f t="shared" si="46"/>
        <v>46892.998657226563</v>
      </c>
      <c r="I1502" t="str">
        <f t="shared" si="47"/>
        <v>Pass - Ready for Confirmation</v>
      </c>
    </row>
    <row r="1503" spans="1:9" x14ac:dyDescent="0.3">
      <c r="A1503" t="str">
        <f>FO_Capture!A1503</f>
        <v>TRD01502</v>
      </c>
      <c r="B1503" t="str">
        <f>FO_Capture!B1503</f>
        <v>INE009A01054</v>
      </c>
      <c r="C1503" t="str">
        <f>IFERROR(VLOOKUP(FO_Capture!C1503, Reference_Data!A:D, 2, FALSE), "UNKNOWN")</f>
        <v>Alpha Capital 38</v>
      </c>
      <c r="D1503" t="str">
        <f>IFERROR(VLOOKUP(FO_Capture!C1503, Reference_Data!A:D, 3, FALSE), "XXX")</f>
        <v>SGD</v>
      </c>
      <c r="E1503" t="str">
        <f>IFERROR(VLOOKUP(FO_Capture!C1503, Reference_Data!A:D, 4, FALSE), "MISSING SSI")</f>
        <v>Deutsche Bank A/C 153521</v>
      </c>
      <c r="F1503">
        <f>FO_Capture!D1503</f>
        <v>500</v>
      </c>
      <c r="G1503">
        <f>FO_Capture!E1503</f>
        <v>293.3699951171875</v>
      </c>
      <c r="H1503">
        <f t="shared" si="46"/>
        <v>146684.99755859375</v>
      </c>
      <c r="I1503" t="str">
        <f t="shared" si="47"/>
        <v>Pass - Ready for Confirmation</v>
      </c>
    </row>
    <row r="1504" spans="1:9" x14ac:dyDescent="0.3">
      <c r="A1504" t="str">
        <f>FO_Capture!A1504</f>
        <v>TRD01503</v>
      </c>
      <c r="B1504" t="str">
        <f>FO_Capture!B1504</f>
        <v>INE004A01071</v>
      </c>
      <c r="C1504" t="str">
        <f>IFERROR(VLOOKUP(FO_Capture!C1504, Reference_Data!A:D, 2, FALSE), "UNKNOWN")</f>
        <v>Alpha Global 46</v>
      </c>
      <c r="D1504" t="str">
        <f>IFERROR(VLOOKUP(FO_Capture!C1504, Reference_Data!A:D, 3, FALSE), "XXX")</f>
        <v>USD</v>
      </c>
      <c r="E1504" t="str">
        <f>IFERROR(VLOOKUP(FO_Capture!C1504, Reference_Data!A:D, 4, FALSE), "MISSING SSI")</f>
        <v>Citi A/C 700450</v>
      </c>
      <c r="F1504">
        <f>FO_Capture!D1504</f>
        <v>380</v>
      </c>
      <c r="G1504">
        <f>FO_Capture!E1504</f>
        <v>85.849998474121094</v>
      </c>
      <c r="H1504">
        <f t="shared" si="46"/>
        <v>32622.999420166016</v>
      </c>
      <c r="I1504" t="str">
        <f t="shared" si="47"/>
        <v>Pass - Ready for Confirmation</v>
      </c>
    </row>
    <row r="1505" spans="1:9" x14ac:dyDescent="0.3">
      <c r="A1505" t="str">
        <f>FO_Capture!A1505</f>
        <v>TRD01504</v>
      </c>
      <c r="B1505" t="str">
        <f>FO_Capture!B1505</f>
        <v>INE005A0100</v>
      </c>
      <c r="C1505" t="str">
        <f>IFERROR(VLOOKUP(FO_Capture!C1505, Reference_Data!A:D, 2, FALSE), "UNKNOWN")</f>
        <v>Alpha Quant Fund 27</v>
      </c>
      <c r="D1505" t="str">
        <f>IFERROR(VLOOKUP(FO_Capture!C1505, Reference_Data!A:D, 3, FALSE), "XXX")</f>
        <v>EUR</v>
      </c>
      <c r="E1505" t="str">
        <f>IFERROR(VLOOKUP(FO_Capture!C1505, Reference_Data!A:D, 4, FALSE), "MISSING SSI")</f>
        <v>Standard Chartered A/C 331839</v>
      </c>
      <c r="F1505">
        <f>FO_Capture!D1505</f>
        <v>450</v>
      </c>
      <c r="G1505">
        <f>FO_Capture!E1505</f>
        <v>61.540000915527344</v>
      </c>
      <c r="H1505">
        <f t="shared" si="46"/>
        <v>27693.000411987305</v>
      </c>
      <c r="I1505" t="str">
        <f t="shared" si="47"/>
        <v>Pass - Ready for Confirmation</v>
      </c>
    </row>
    <row r="1506" spans="1:9" x14ac:dyDescent="0.3">
      <c r="A1506" t="str">
        <f>FO_Capture!A1506</f>
        <v>TRD01505</v>
      </c>
      <c r="B1506" t="str">
        <f>FO_Capture!B1506</f>
        <v>INE001A01085</v>
      </c>
      <c r="C1506" t="str">
        <f>IFERROR(VLOOKUP(FO_Capture!C1506, Reference_Data!A:D, 2, FALSE), "UNKNOWN")</f>
        <v>Alpha Capital 44</v>
      </c>
      <c r="D1506" t="str">
        <f>IFERROR(VLOOKUP(FO_Capture!C1506, Reference_Data!A:D, 3, FALSE), "XXX")</f>
        <v>INR</v>
      </c>
      <c r="E1506" t="str">
        <f>IFERROR(VLOOKUP(FO_Capture!C1506, Reference_Data!A:D, 4, FALSE), "MISSING SSI")</f>
        <v>Deutsche Bank A/C 428758</v>
      </c>
      <c r="F1506">
        <f>FO_Capture!D1506</f>
        <v>500</v>
      </c>
      <c r="G1506">
        <f>FO_Capture!E1506</f>
        <v>105.44000244140625</v>
      </c>
      <c r="H1506">
        <f t="shared" si="46"/>
        <v>52720.001220703125</v>
      </c>
      <c r="I1506" t="str">
        <f t="shared" si="47"/>
        <v>Pass - Ready for Confirmation</v>
      </c>
    </row>
    <row r="1507" spans="1:9" x14ac:dyDescent="0.3">
      <c r="A1507" t="str">
        <f>FO_Capture!A1507</f>
        <v>TRD01506</v>
      </c>
      <c r="B1507" t="str">
        <f>FO_Capture!B1507</f>
        <v>INE001A01022</v>
      </c>
      <c r="C1507" t="str">
        <f>IFERROR(VLOOKUP(FO_Capture!C1507, Reference_Data!A:D, 2, FALSE), "UNKNOWN")</f>
        <v>Alpha Partners 18</v>
      </c>
      <c r="D1507" t="str">
        <f>IFERROR(VLOOKUP(FO_Capture!C1507, Reference_Data!A:D, 3, FALSE), "XXX")</f>
        <v>INR</v>
      </c>
      <c r="E1507" t="str">
        <f>IFERROR(VLOOKUP(FO_Capture!C1507, Reference_Data!A:D, 4, FALSE), "MISSING SSI")</f>
        <v>JPMorgan A/C 704166</v>
      </c>
      <c r="F1507">
        <f>FO_Capture!D1507</f>
        <v>260</v>
      </c>
      <c r="G1507">
        <f>FO_Capture!E1507</f>
        <v>266.6199951171875</v>
      </c>
      <c r="H1507">
        <f t="shared" si="46"/>
        <v>69321.19873046875</v>
      </c>
      <c r="I1507" t="str">
        <f t="shared" si="47"/>
        <v>Pass - Ready for Confirmation</v>
      </c>
    </row>
    <row r="1508" spans="1:9" x14ac:dyDescent="0.3">
      <c r="A1508" t="str">
        <f>FO_Capture!A1508</f>
        <v>TRD01507</v>
      </c>
      <c r="B1508" t="str">
        <f>FO_Capture!B1508</f>
        <v>INE009A01097</v>
      </c>
      <c r="C1508" t="str">
        <f>IFERROR(VLOOKUP(FO_Capture!C1508, Reference_Data!A:D, 2, FALSE), "UNKNOWN")</f>
        <v>Alpha Capital 44</v>
      </c>
      <c r="D1508" t="str">
        <f>IFERROR(VLOOKUP(FO_Capture!C1508, Reference_Data!A:D, 3, FALSE), "XXX")</f>
        <v>INR</v>
      </c>
      <c r="E1508" t="str">
        <f>IFERROR(VLOOKUP(FO_Capture!C1508, Reference_Data!A:D, 4, FALSE), "MISSING SSI")</f>
        <v>Deutsche Bank A/C 428758</v>
      </c>
      <c r="F1508">
        <f>FO_Capture!D1508</f>
        <v>170</v>
      </c>
      <c r="G1508">
        <f>FO_Capture!E1508</f>
        <v>508.23001098632813</v>
      </c>
      <c r="H1508">
        <f t="shared" si="46"/>
        <v>86399.101867675781</v>
      </c>
      <c r="I1508" t="str">
        <f t="shared" si="47"/>
        <v>Pass - Ready for Confirmation</v>
      </c>
    </row>
    <row r="1509" spans="1:9" x14ac:dyDescent="0.3">
      <c r="A1509" t="str">
        <f>FO_Capture!A1509</f>
        <v>TRD01508</v>
      </c>
      <c r="B1509" t="str">
        <f>FO_Capture!B1509</f>
        <v>INE002A01046</v>
      </c>
      <c r="C1509" t="str">
        <f>IFERROR(VLOOKUP(FO_Capture!C1509, Reference_Data!A:D, 2, FALSE), "UNKNOWN")</f>
        <v>Alpha Global 25</v>
      </c>
      <c r="D1509" t="str">
        <f>IFERROR(VLOOKUP(FO_Capture!C1509, Reference_Data!A:D, 3, FALSE), "XXX")</f>
        <v>EUR</v>
      </c>
      <c r="E1509" t="str">
        <f>IFERROR(VLOOKUP(FO_Capture!C1509, Reference_Data!A:D, 4, FALSE), "MISSING SSI")</f>
        <v>Standard Chartered A/C 438949</v>
      </c>
      <c r="F1509">
        <f>FO_Capture!D1509</f>
        <v>90</v>
      </c>
      <c r="G1509">
        <f>FO_Capture!E1509</f>
        <v>457.45999145507813</v>
      </c>
      <c r="H1509">
        <f t="shared" si="46"/>
        <v>41171.399230957031</v>
      </c>
      <c r="I1509" t="str">
        <f t="shared" si="47"/>
        <v>Pass - Ready for Confirmation</v>
      </c>
    </row>
    <row r="1510" spans="1:9" x14ac:dyDescent="0.3">
      <c r="A1510" t="str">
        <f>FO_Capture!A1510</f>
        <v>TRD01509</v>
      </c>
      <c r="B1510" t="str">
        <f>FO_Capture!B1510</f>
        <v>INE007A01096</v>
      </c>
      <c r="C1510" t="str">
        <f>IFERROR(VLOOKUP(FO_Capture!C1510, Reference_Data!A:D, 2, FALSE), "UNKNOWN")</f>
        <v>Alpha Holdings 41</v>
      </c>
      <c r="D1510" t="str">
        <f>IFERROR(VLOOKUP(FO_Capture!C1510, Reference_Data!A:D, 3, FALSE), "XXX")</f>
        <v>JPY</v>
      </c>
      <c r="E1510" t="str">
        <f>IFERROR(VLOOKUP(FO_Capture!C1510, Reference_Data!A:D, 4, FALSE), "MISSING SSI")</f>
        <v>HSBC A/C 468615</v>
      </c>
      <c r="F1510">
        <f>FO_Capture!D1510</f>
        <v>100</v>
      </c>
      <c r="G1510">
        <f>FO_Capture!E1510</f>
        <v>155.55999755859375</v>
      </c>
      <c r="H1510">
        <f t="shared" si="46"/>
        <v>15555.999755859375</v>
      </c>
      <c r="I1510" t="str">
        <f t="shared" si="47"/>
        <v>Pass - Ready for Confirmation</v>
      </c>
    </row>
    <row r="1511" spans="1:9" x14ac:dyDescent="0.3">
      <c r="A1511" t="str">
        <f>FO_Capture!A1511</f>
        <v>TRD01510</v>
      </c>
      <c r="B1511" t="str">
        <f>FO_Capture!B1511</f>
        <v>INE006A01023</v>
      </c>
      <c r="C1511" t="str">
        <f>IFERROR(VLOOKUP(FO_Capture!C1511, Reference_Data!A:D, 2, FALSE), "UNKNOWN")</f>
        <v>Alpha Partners 26</v>
      </c>
      <c r="D1511" t="str">
        <f>IFERROR(VLOOKUP(FO_Capture!C1511, Reference_Data!A:D, 3, FALSE), "XXX")</f>
        <v>USD</v>
      </c>
      <c r="E1511" t="str">
        <f>IFERROR(VLOOKUP(FO_Capture!C1511, Reference_Data!A:D, 4, FALSE), "MISSING SSI")</f>
        <v>HSBC A/C 867781</v>
      </c>
      <c r="F1511">
        <f>FO_Capture!D1511</f>
        <v>210</v>
      </c>
      <c r="G1511">
        <f>FO_Capture!E1511</f>
        <v>307.8699951171875</v>
      </c>
      <c r="H1511">
        <f t="shared" si="46"/>
        <v>64652.698974609375</v>
      </c>
      <c r="I1511" t="str">
        <f t="shared" si="47"/>
        <v>Pass - Ready for Confirmation</v>
      </c>
    </row>
    <row r="1512" spans="1:9" x14ac:dyDescent="0.3">
      <c r="A1512" t="str">
        <f>FO_Capture!A1512</f>
        <v>TRD01511</v>
      </c>
      <c r="B1512" t="str">
        <f>FO_Capture!B1512</f>
        <v>INE003A01095</v>
      </c>
      <c r="C1512" t="str">
        <f>IFERROR(VLOOKUP(FO_Capture!C1512, Reference_Data!A:D, 2, FALSE), "UNKNOWN")</f>
        <v>Alpha Investments 43</v>
      </c>
      <c r="D1512" t="str">
        <f>IFERROR(VLOOKUP(FO_Capture!C1512, Reference_Data!A:D, 3, FALSE), "XXX")</f>
        <v>EUR</v>
      </c>
      <c r="E1512" t="str">
        <f>IFERROR(VLOOKUP(FO_Capture!C1512, Reference_Data!A:D, 4, FALSE), "MISSING SSI")</f>
        <v>Citi A/C 714496</v>
      </c>
      <c r="F1512">
        <f>FO_Capture!D1512</f>
        <v>140</v>
      </c>
      <c r="G1512">
        <f>FO_Capture!E1512</f>
        <v>33.759998321533203</v>
      </c>
      <c r="H1512">
        <f t="shared" si="46"/>
        <v>4726.3997650146484</v>
      </c>
      <c r="I1512" t="str">
        <f t="shared" si="47"/>
        <v>Pass - Ready for Confirmation</v>
      </c>
    </row>
    <row r="1513" spans="1:9" x14ac:dyDescent="0.3">
      <c r="A1513" t="str">
        <f>FO_Capture!A1513</f>
        <v>TRD01512</v>
      </c>
      <c r="B1513" t="str">
        <f>FO_Capture!B1513</f>
        <v>INE005A01028</v>
      </c>
      <c r="C1513" t="str">
        <f>IFERROR(VLOOKUP(FO_Capture!C1513, Reference_Data!A:D, 2, FALSE), "UNKNOWN")</f>
        <v>Alpha Capital 9</v>
      </c>
      <c r="D1513" t="str">
        <f>IFERROR(VLOOKUP(FO_Capture!C1513, Reference_Data!A:D, 3, FALSE), "XXX")</f>
        <v>JPY</v>
      </c>
      <c r="E1513" t="str">
        <f>IFERROR(VLOOKUP(FO_Capture!C1513, Reference_Data!A:D, 4, FALSE), "MISSING SSI")</f>
        <v>Citi A/C 744145</v>
      </c>
      <c r="F1513">
        <f>FO_Capture!D1513</f>
        <v>30</v>
      </c>
      <c r="G1513">
        <f>FO_Capture!E1513</f>
        <v>116.69000244140625</v>
      </c>
      <c r="H1513">
        <f t="shared" si="46"/>
        <v>3500.7000732421875</v>
      </c>
      <c r="I1513" t="str">
        <f t="shared" si="47"/>
        <v>Pass - Ready for Confirmation</v>
      </c>
    </row>
    <row r="1514" spans="1:9" x14ac:dyDescent="0.3">
      <c r="A1514" t="str">
        <f>FO_Capture!A1514</f>
        <v>TRD01513</v>
      </c>
      <c r="B1514" t="str">
        <f>FO_Capture!B1514</f>
        <v>INE009A01032</v>
      </c>
      <c r="C1514" t="str">
        <f>IFERROR(VLOOKUP(FO_Capture!C1514, Reference_Data!A:D, 2, FALSE), "UNKNOWN")</f>
        <v>Alpha Global 20</v>
      </c>
      <c r="D1514" t="str">
        <f>IFERROR(VLOOKUP(FO_Capture!C1514, Reference_Data!A:D, 3, FALSE), "XXX")</f>
        <v>JPY</v>
      </c>
      <c r="E1514" t="str">
        <f>IFERROR(VLOOKUP(FO_Capture!C1514, Reference_Data!A:D, 4, FALSE), "MISSING SSI")</f>
        <v>Barclays A/C 560891</v>
      </c>
      <c r="F1514">
        <f>FO_Capture!D1514</f>
        <v>230</v>
      </c>
      <c r="G1514">
        <f>FO_Capture!E1514</f>
        <v>254.14999389648438</v>
      </c>
      <c r="H1514">
        <f t="shared" si="46"/>
        <v>58454.498596191406</v>
      </c>
      <c r="I1514" t="str">
        <f t="shared" si="47"/>
        <v>Pass - Ready for Confirmation</v>
      </c>
    </row>
    <row r="1515" spans="1:9" x14ac:dyDescent="0.3">
      <c r="A1515" t="str">
        <f>FO_Capture!A1515</f>
        <v>TRD01514</v>
      </c>
      <c r="B1515" t="str">
        <f>FO_Capture!B1515</f>
        <v>INE001A01062</v>
      </c>
      <c r="C1515" t="str">
        <f>IFERROR(VLOOKUP(FO_Capture!C1515, Reference_Data!A:D, 2, FALSE), "UNKNOWN")</f>
        <v>Alpha Partners 26</v>
      </c>
      <c r="D1515" t="str">
        <f>IFERROR(VLOOKUP(FO_Capture!C1515, Reference_Data!A:D, 3, FALSE), "XXX")</f>
        <v>USD</v>
      </c>
      <c r="E1515" t="str">
        <f>IFERROR(VLOOKUP(FO_Capture!C1515, Reference_Data!A:D, 4, FALSE), "MISSING SSI")</f>
        <v>HSBC A/C 867781</v>
      </c>
      <c r="F1515">
        <f>FO_Capture!D1515</f>
        <v>50</v>
      </c>
      <c r="G1515">
        <f>FO_Capture!E1515</f>
        <v>307.73001098632813</v>
      </c>
      <c r="H1515">
        <f t="shared" si="46"/>
        <v>15386.500549316406</v>
      </c>
      <c r="I1515" t="str">
        <f t="shared" si="47"/>
        <v>Pass - Ready for Confirmation</v>
      </c>
    </row>
    <row r="1516" spans="1:9" x14ac:dyDescent="0.3">
      <c r="A1516" t="str">
        <f>FO_Capture!A1516</f>
        <v>TRD01515</v>
      </c>
      <c r="B1516" t="str">
        <f>FO_Capture!B1516</f>
        <v>INE002A01069</v>
      </c>
      <c r="C1516" t="str">
        <f>IFERROR(VLOOKUP(FO_Capture!C1516, Reference_Data!A:D, 2, FALSE), "UNKNOWN")</f>
        <v>Alpha Partners 6</v>
      </c>
      <c r="D1516" t="str">
        <f>IFERROR(VLOOKUP(FO_Capture!C1516, Reference_Data!A:D, 3, FALSE), "XXX")</f>
        <v>INR</v>
      </c>
      <c r="E1516" t="str">
        <f>IFERROR(VLOOKUP(FO_Capture!C1516, Reference_Data!A:D, 4, FALSE), "MISSING SSI")</f>
        <v>Standard Chartered A/C 441247</v>
      </c>
      <c r="F1516">
        <f>FO_Capture!D1516</f>
        <v>480</v>
      </c>
      <c r="G1516">
        <f>FO_Capture!E1516</f>
        <v>53.060001373291016</v>
      </c>
      <c r="H1516">
        <f t="shared" si="46"/>
        <v>25468.800659179688</v>
      </c>
      <c r="I1516" t="str">
        <f t="shared" si="47"/>
        <v>Pass - Ready for Confirmation</v>
      </c>
    </row>
    <row r="1517" spans="1:9" x14ac:dyDescent="0.3">
      <c r="A1517" t="str">
        <f>FO_Capture!A1517</f>
        <v>TRD01516</v>
      </c>
      <c r="B1517" t="str">
        <f>FO_Capture!B1517</f>
        <v>INE001A01049</v>
      </c>
      <c r="C1517" t="str">
        <f>IFERROR(VLOOKUP(FO_Capture!C1517, Reference_Data!A:D, 2, FALSE), "UNKNOWN")</f>
        <v>Alpha Partners 42</v>
      </c>
      <c r="D1517" t="str">
        <f>IFERROR(VLOOKUP(FO_Capture!C1517, Reference_Data!A:D, 3, FALSE), "XXX")</f>
        <v>USD</v>
      </c>
      <c r="E1517" t="str">
        <f>IFERROR(VLOOKUP(FO_Capture!C1517, Reference_Data!A:D, 4, FALSE), "MISSING SSI")</f>
        <v>Citi A/C 416082</v>
      </c>
      <c r="F1517">
        <f>FO_Capture!D1517</f>
        <v>450</v>
      </c>
      <c r="G1517">
        <f>FO_Capture!E1517</f>
        <v>429.83999633789063</v>
      </c>
      <c r="H1517">
        <f t="shared" si="46"/>
        <v>193427.99835205078</v>
      </c>
      <c r="I1517" t="str">
        <f t="shared" si="47"/>
        <v>Pass - Ready for Confirmation</v>
      </c>
    </row>
    <row r="1518" spans="1:9" x14ac:dyDescent="0.3">
      <c r="A1518" t="str">
        <f>FO_Capture!A1518</f>
        <v>TRD01517</v>
      </c>
      <c r="B1518" t="str">
        <f>FO_Capture!B1518</f>
        <v>INE006A01094</v>
      </c>
      <c r="C1518" t="str">
        <f>IFERROR(VLOOKUP(FO_Capture!C1518, Reference_Data!A:D, 2, FALSE), "UNKNOWN")</f>
        <v>Alpha Global 46</v>
      </c>
      <c r="D1518" t="str">
        <f>IFERROR(VLOOKUP(FO_Capture!C1518, Reference_Data!A:D, 3, FALSE), "XXX")</f>
        <v>USD</v>
      </c>
      <c r="E1518" t="str">
        <f>IFERROR(VLOOKUP(FO_Capture!C1518, Reference_Data!A:D, 4, FALSE), "MISSING SSI")</f>
        <v>Citi A/C 700450</v>
      </c>
      <c r="F1518">
        <f>FO_Capture!D1518</f>
        <v>90</v>
      </c>
      <c r="G1518">
        <f>FO_Capture!E1518</f>
        <v>291.82998657226563</v>
      </c>
      <c r="H1518">
        <f t="shared" si="46"/>
        <v>26264.698791503906</v>
      </c>
      <c r="I1518" t="str">
        <f t="shared" si="47"/>
        <v>Pass - Ready for Confirmation</v>
      </c>
    </row>
    <row r="1519" spans="1:9" x14ac:dyDescent="0.3">
      <c r="A1519" t="str">
        <f>FO_Capture!A1519</f>
        <v>TRD01518</v>
      </c>
      <c r="B1519" t="str">
        <f>FO_Capture!B1519</f>
        <v>INE002A01041</v>
      </c>
      <c r="C1519" t="str">
        <f>IFERROR(VLOOKUP(FO_Capture!C1519, Reference_Data!A:D, 2, FALSE), "UNKNOWN")</f>
        <v>Alpha Capital 33</v>
      </c>
      <c r="D1519" t="str">
        <f>IFERROR(VLOOKUP(FO_Capture!C1519, Reference_Data!A:D, 3, FALSE), "XXX")</f>
        <v>JPY</v>
      </c>
      <c r="E1519" t="str">
        <f>IFERROR(VLOOKUP(FO_Capture!C1519, Reference_Data!A:D, 4, FALSE), "MISSING SSI")</f>
        <v>HSBC A/C 172861</v>
      </c>
      <c r="F1519">
        <f>FO_Capture!D1519</f>
        <v>490</v>
      </c>
      <c r="G1519">
        <f>FO_Capture!E1519</f>
        <v>156.83999633789063</v>
      </c>
      <c r="H1519">
        <f t="shared" si="46"/>
        <v>76851.598205566406</v>
      </c>
      <c r="I1519" t="str">
        <f t="shared" si="47"/>
        <v>Pass - Ready for Confirmation</v>
      </c>
    </row>
    <row r="1520" spans="1:9" x14ac:dyDescent="0.3">
      <c r="A1520" t="str">
        <f>FO_Capture!A1520</f>
        <v>TRD01519</v>
      </c>
      <c r="B1520" t="str">
        <f>FO_Capture!B1520</f>
        <v>INE002A01021</v>
      </c>
      <c r="C1520" t="str">
        <f>IFERROR(VLOOKUP(FO_Capture!C1520, Reference_Data!A:D, 2, FALSE), "UNKNOWN")</f>
        <v>Alpha Partners 48</v>
      </c>
      <c r="D1520" t="str">
        <f>IFERROR(VLOOKUP(FO_Capture!C1520, Reference_Data!A:D, 3, FALSE), "XXX")</f>
        <v>SGD</v>
      </c>
      <c r="E1520" t="str">
        <f>IFERROR(VLOOKUP(FO_Capture!C1520, Reference_Data!A:D, 4, FALSE), "MISSING SSI")</f>
        <v>JPMorgan A/C 391364</v>
      </c>
      <c r="F1520">
        <f>FO_Capture!D1520</f>
        <v>410</v>
      </c>
      <c r="G1520">
        <f>FO_Capture!E1520</f>
        <v>456.76998901367188</v>
      </c>
      <c r="H1520">
        <f t="shared" si="46"/>
        <v>187275.69549560547</v>
      </c>
      <c r="I1520" t="str">
        <f t="shared" si="47"/>
        <v>Pass - Ready for Confirmation</v>
      </c>
    </row>
    <row r="1521" spans="1:9" x14ac:dyDescent="0.3">
      <c r="A1521" t="str">
        <f>FO_Capture!A1521</f>
        <v>TRD01520</v>
      </c>
      <c r="B1521" t="str">
        <f>FO_Capture!B1521</f>
        <v>INE006A01013</v>
      </c>
      <c r="C1521" t="str">
        <f>IFERROR(VLOOKUP(FO_Capture!C1521, Reference_Data!A:D, 2, FALSE), "UNKNOWN")</f>
        <v>Alpha Global 39</v>
      </c>
      <c r="D1521" t="str">
        <f>IFERROR(VLOOKUP(FO_Capture!C1521, Reference_Data!A:D, 3, FALSE), "XXX")</f>
        <v>SGD</v>
      </c>
      <c r="E1521" t="str">
        <f>IFERROR(VLOOKUP(FO_Capture!C1521, Reference_Data!A:D, 4, FALSE), "MISSING SSI")</f>
        <v>Deutsche Bank A/C 917029</v>
      </c>
      <c r="F1521">
        <f>FO_Capture!D1521</f>
        <v>70</v>
      </c>
      <c r="G1521">
        <f>FO_Capture!E1521</f>
        <v>287.55999755859375</v>
      </c>
      <c r="H1521">
        <f t="shared" si="46"/>
        <v>20129.199829101563</v>
      </c>
      <c r="I1521" t="str">
        <f t="shared" si="47"/>
        <v>Pass - Ready for Confirmation</v>
      </c>
    </row>
    <row r="1522" spans="1:9" x14ac:dyDescent="0.3">
      <c r="A1522" t="str">
        <f>FO_Capture!A1522</f>
        <v>TRD01521</v>
      </c>
      <c r="B1522" t="str">
        <f>FO_Capture!B1522</f>
        <v>INE002A01087</v>
      </c>
      <c r="C1522" t="str">
        <f>IFERROR(VLOOKUP(FO_Capture!C1522, Reference_Data!A:D, 2, FALSE), "UNKNOWN")</f>
        <v>Alpha Capital 33</v>
      </c>
      <c r="D1522" t="str">
        <f>IFERROR(VLOOKUP(FO_Capture!C1522, Reference_Data!A:D, 3, FALSE), "XXX")</f>
        <v>JPY</v>
      </c>
      <c r="E1522" t="str">
        <f>IFERROR(VLOOKUP(FO_Capture!C1522, Reference_Data!A:D, 4, FALSE), "MISSING SSI")</f>
        <v>HSBC A/C 172861</v>
      </c>
      <c r="F1522">
        <f>FO_Capture!D1522</f>
        <v>380</v>
      </c>
      <c r="G1522">
        <f>FO_Capture!E1522</f>
        <v>159.21000671386719</v>
      </c>
      <c r="H1522">
        <f t="shared" si="46"/>
        <v>60499.802551269531</v>
      </c>
      <c r="I1522" t="str">
        <f t="shared" si="47"/>
        <v>Pass - Ready for Confirmation</v>
      </c>
    </row>
    <row r="1523" spans="1:9" x14ac:dyDescent="0.3">
      <c r="A1523" t="str">
        <f>FO_Capture!A1523</f>
        <v>TRD01522</v>
      </c>
      <c r="B1523" t="str">
        <f>FO_Capture!B1523</f>
        <v>INE005A01063</v>
      </c>
      <c r="C1523" t="str">
        <f>IFERROR(VLOOKUP(FO_Capture!C1523, Reference_Data!A:D, 2, FALSE), "UNKNOWN")</f>
        <v>Alpha Capital 11</v>
      </c>
      <c r="D1523" t="str">
        <f>IFERROR(VLOOKUP(FO_Capture!C1523, Reference_Data!A:D, 3, FALSE), "XXX")</f>
        <v>USD</v>
      </c>
      <c r="E1523" t="str">
        <f>IFERROR(VLOOKUP(FO_Capture!C1523, Reference_Data!A:D, 4, FALSE), "MISSING SSI")</f>
        <v>JPMorgan A/C 987170</v>
      </c>
      <c r="F1523">
        <f>FO_Capture!D1523</f>
        <v>210</v>
      </c>
      <c r="G1523">
        <f>FO_Capture!E1523</f>
        <v>245.82000732421875</v>
      </c>
      <c r="H1523">
        <f t="shared" si="46"/>
        <v>51622.201538085938</v>
      </c>
      <c r="I1523" t="str">
        <f t="shared" si="47"/>
        <v>Pass - Ready for Confirmation</v>
      </c>
    </row>
    <row r="1524" spans="1:9" x14ac:dyDescent="0.3">
      <c r="A1524" t="str">
        <f>FO_Capture!A1524</f>
        <v>TRD01523</v>
      </c>
      <c r="B1524" t="str">
        <f>FO_Capture!B1524</f>
        <v>INE001A01055</v>
      </c>
      <c r="C1524" t="str">
        <f>IFERROR(VLOOKUP(FO_Capture!C1524, Reference_Data!A:D, 2, FALSE), "UNKNOWN")</f>
        <v>UNKNOWN</v>
      </c>
      <c r="D1524" t="str">
        <f>IFERROR(VLOOKUP(FO_Capture!C1524, Reference_Data!A:D, 3, FALSE), "XXX")</f>
        <v>XXX</v>
      </c>
      <c r="E1524" t="str">
        <f>IFERROR(VLOOKUP(FO_Capture!C1524, Reference_Data!A:D, 4, FALSE), "MISSING SSI")</f>
        <v>MISSING SSI</v>
      </c>
      <c r="F1524">
        <f>FO_Capture!D1524</f>
        <v>360</v>
      </c>
      <c r="G1524">
        <f>FO_Capture!E1524</f>
        <v>117.84999847412109</v>
      </c>
      <c r="H1524">
        <f t="shared" si="46"/>
        <v>42425.999450683594</v>
      </c>
      <c r="I1524" t="str">
        <f t="shared" si="47"/>
        <v>Fail - Missing Ref Data</v>
      </c>
    </row>
    <row r="1525" spans="1:9" x14ac:dyDescent="0.3">
      <c r="A1525" t="str">
        <f>FO_Capture!A1525</f>
        <v>TRD01524</v>
      </c>
      <c r="B1525" t="str">
        <f>FO_Capture!B1525</f>
        <v>INE003A01067</v>
      </c>
      <c r="C1525" t="str">
        <f>IFERROR(VLOOKUP(FO_Capture!C1525, Reference_Data!A:D, 2, FALSE), "UNKNOWN")</f>
        <v>Alpha Partners 42</v>
      </c>
      <c r="D1525" t="str">
        <f>IFERROR(VLOOKUP(FO_Capture!C1525, Reference_Data!A:D, 3, FALSE), "XXX")</f>
        <v>USD</v>
      </c>
      <c r="E1525" t="str">
        <f>IFERROR(VLOOKUP(FO_Capture!C1525, Reference_Data!A:D, 4, FALSE), "MISSING SSI")</f>
        <v>Citi A/C 416082</v>
      </c>
      <c r="F1525">
        <f>FO_Capture!D1525</f>
        <v>420</v>
      </c>
      <c r="G1525">
        <f>FO_Capture!E1525</f>
        <v>84.529998779296875</v>
      </c>
      <c r="H1525">
        <f t="shared" si="46"/>
        <v>35502.599487304688</v>
      </c>
      <c r="I1525" t="str">
        <f t="shared" si="47"/>
        <v>Pass - Ready for Confirmation</v>
      </c>
    </row>
    <row r="1526" spans="1:9" x14ac:dyDescent="0.3">
      <c r="A1526" t="str">
        <f>FO_Capture!A1526</f>
        <v>TRD01525</v>
      </c>
      <c r="B1526" t="str">
        <f>FO_Capture!B1526</f>
        <v>INE002A01043</v>
      </c>
      <c r="C1526" t="str">
        <f>IFERROR(VLOOKUP(FO_Capture!C1526, Reference_Data!A:D, 2, FALSE), "UNKNOWN")</f>
        <v>Alpha Holdings 47</v>
      </c>
      <c r="D1526" t="str">
        <f>IFERROR(VLOOKUP(FO_Capture!C1526, Reference_Data!A:D, 3, FALSE), "XXX")</f>
        <v>GBP</v>
      </c>
      <c r="E1526" t="str">
        <f>IFERROR(VLOOKUP(FO_Capture!C1526, Reference_Data!A:D, 4, FALSE), "MISSING SSI")</f>
        <v>Citi A/C 703401</v>
      </c>
      <c r="F1526">
        <f>FO_Capture!D1526</f>
        <v>440</v>
      </c>
      <c r="G1526">
        <f>FO_Capture!E1526</f>
        <v>313.29000854492188</v>
      </c>
      <c r="H1526">
        <f t="shared" si="46"/>
        <v>137847.60375976563</v>
      </c>
      <c r="I1526" t="str">
        <f t="shared" si="47"/>
        <v>Pass - Ready for Confirmation</v>
      </c>
    </row>
    <row r="1527" spans="1:9" x14ac:dyDescent="0.3">
      <c r="A1527" t="str">
        <f>FO_Capture!A1527</f>
        <v>TRD01526</v>
      </c>
      <c r="B1527" t="str">
        <f>FO_Capture!B1527</f>
        <v>INE005A01081</v>
      </c>
      <c r="C1527" t="str">
        <f>IFERROR(VLOOKUP(FO_Capture!C1527, Reference_Data!A:D, 2, FALSE), "UNKNOWN")</f>
        <v>Alpha Investments 40</v>
      </c>
      <c r="D1527" t="str">
        <f>IFERROR(VLOOKUP(FO_Capture!C1527, Reference_Data!A:D, 3, FALSE), "XXX")</f>
        <v>GBP</v>
      </c>
      <c r="E1527" t="str">
        <f>IFERROR(VLOOKUP(FO_Capture!C1527, Reference_Data!A:D, 4, FALSE), "MISSING SSI")</f>
        <v>HDFC A/C 897530</v>
      </c>
      <c r="F1527">
        <f>FO_Capture!D1527</f>
        <v>130</v>
      </c>
      <c r="G1527">
        <f>FO_Capture!E1527</f>
        <v>444.04000854492188</v>
      </c>
      <c r="H1527">
        <f t="shared" si="46"/>
        <v>57725.201110839844</v>
      </c>
      <c r="I1527" t="str">
        <f t="shared" si="47"/>
        <v>Pass - Ready for Confirmation</v>
      </c>
    </row>
    <row r="1528" spans="1:9" x14ac:dyDescent="0.3">
      <c r="A1528" t="str">
        <f>FO_Capture!A1528</f>
        <v>TRD01527</v>
      </c>
      <c r="B1528" t="str">
        <f>FO_Capture!B1528</f>
        <v>INE009A01035</v>
      </c>
      <c r="C1528" t="str">
        <f>IFERROR(VLOOKUP(FO_Capture!C1528, Reference_Data!A:D, 2, FALSE), "UNKNOWN")</f>
        <v>Alpha Asset Management 4</v>
      </c>
      <c r="D1528" t="str">
        <f>IFERROR(VLOOKUP(FO_Capture!C1528, Reference_Data!A:D, 3, FALSE), "XXX")</f>
        <v>JPY</v>
      </c>
      <c r="E1528" t="str">
        <f>IFERROR(VLOOKUP(FO_Capture!C1528, Reference_Data!A:D, 4, FALSE), "MISSING SSI")</f>
        <v>Deutsche Bank A/C 126543</v>
      </c>
      <c r="F1528">
        <f>FO_Capture!D1528</f>
        <v>300</v>
      </c>
      <c r="G1528">
        <f>FO_Capture!E1528</f>
        <v>311.98001098632813</v>
      </c>
      <c r="H1528">
        <f t="shared" si="46"/>
        <v>93594.003295898438</v>
      </c>
      <c r="I1528" t="str">
        <f t="shared" si="47"/>
        <v>Pass - Ready for Confirmation</v>
      </c>
    </row>
    <row r="1529" spans="1:9" x14ac:dyDescent="0.3">
      <c r="A1529" t="str">
        <f>FO_Capture!A1529</f>
        <v>TRD01528</v>
      </c>
      <c r="B1529" t="str">
        <f>FO_Capture!B1529</f>
        <v>INE009A0105</v>
      </c>
      <c r="C1529" t="str">
        <f>IFERROR(VLOOKUP(FO_Capture!C1529, Reference_Data!A:D, 2, FALSE), "UNKNOWN")</f>
        <v>Alpha Partners 6</v>
      </c>
      <c r="D1529" t="str">
        <f>IFERROR(VLOOKUP(FO_Capture!C1529, Reference_Data!A:D, 3, FALSE), "XXX")</f>
        <v>INR</v>
      </c>
      <c r="E1529" t="str">
        <f>IFERROR(VLOOKUP(FO_Capture!C1529, Reference_Data!A:D, 4, FALSE), "MISSING SSI")</f>
        <v>Standard Chartered A/C 441247</v>
      </c>
      <c r="F1529">
        <f>FO_Capture!D1529</f>
        <v>110</v>
      </c>
      <c r="G1529">
        <f>FO_Capture!E1529</f>
        <v>197.6300048828125</v>
      </c>
      <c r="H1529">
        <f t="shared" si="46"/>
        <v>21739.300537109375</v>
      </c>
      <c r="I1529" t="str">
        <f t="shared" si="47"/>
        <v>Pass - Ready for Confirmation</v>
      </c>
    </row>
    <row r="1530" spans="1:9" x14ac:dyDescent="0.3">
      <c r="A1530" t="str">
        <f>FO_Capture!A1530</f>
        <v>TRD01529</v>
      </c>
      <c r="B1530" t="str">
        <f>FO_Capture!B1530</f>
        <v>INE004A01097</v>
      </c>
      <c r="C1530" t="str">
        <f>IFERROR(VLOOKUP(FO_Capture!C1530, Reference_Data!A:D, 2, FALSE), "UNKNOWN")</f>
        <v>Alpha Holdings 16</v>
      </c>
      <c r="D1530" t="str">
        <f>IFERROR(VLOOKUP(FO_Capture!C1530, Reference_Data!A:D, 3, FALSE), "XXX")</f>
        <v>USD</v>
      </c>
      <c r="E1530" t="str">
        <f>IFERROR(VLOOKUP(FO_Capture!C1530, Reference_Data!A:D, 4, FALSE), "MISSING SSI")</f>
        <v>Barclays A/C 197229</v>
      </c>
      <c r="F1530">
        <f>FO_Capture!D1530</f>
        <v>300</v>
      </c>
      <c r="G1530">
        <f>FO_Capture!E1530</f>
        <v>76.80999755859375</v>
      </c>
      <c r="H1530">
        <f t="shared" si="46"/>
        <v>23042.999267578125</v>
      </c>
      <c r="I1530" t="str">
        <f t="shared" si="47"/>
        <v>Pass - Ready for Confirmation</v>
      </c>
    </row>
    <row r="1531" spans="1:9" x14ac:dyDescent="0.3">
      <c r="A1531" t="str">
        <f>FO_Capture!A1531</f>
        <v>TRD01530</v>
      </c>
      <c r="B1531" t="str">
        <f>FO_Capture!B1531</f>
        <v>INE008A01069</v>
      </c>
      <c r="C1531" t="str">
        <f>IFERROR(VLOOKUP(FO_Capture!C1531, Reference_Data!A:D, 2, FALSE), "UNKNOWN")</f>
        <v>Alpha Investments 40</v>
      </c>
      <c r="D1531" t="str">
        <f>IFERROR(VLOOKUP(FO_Capture!C1531, Reference_Data!A:D, 3, FALSE), "XXX")</f>
        <v>GBP</v>
      </c>
      <c r="E1531" t="str">
        <f>IFERROR(VLOOKUP(FO_Capture!C1531, Reference_Data!A:D, 4, FALSE), "MISSING SSI")</f>
        <v>HDFC A/C 897530</v>
      </c>
      <c r="F1531">
        <f>FO_Capture!D1531</f>
        <v>490</v>
      </c>
      <c r="G1531">
        <f>FO_Capture!E1531</f>
        <v>370.67999267578125</v>
      </c>
      <c r="H1531">
        <f t="shared" si="46"/>
        <v>181633.19641113281</v>
      </c>
      <c r="I1531" t="str">
        <f t="shared" si="47"/>
        <v>Pass - Ready for Confirmation</v>
      </c>
    </row>
    <row r="1532" spans="1:9" x14ac:dyDescent="0.3">
      <c r="A1532" t="str">
        <f>FO_Capture!A1532</f>
        <v>TRD01531</v>
      </c>
      <c r="B1532" t="str">
        <f>FO_Capture!B1532</f>
        <v>INE004A01077</v>
      </c>
      <c r="C1532" t="str">
        <f>IFERROR(VLOOKUP(FO_Capture!C1532, Reference_Data!A:D, 2, FALSE), "UNKNOWN")</f>
        <v>Alpha Global 39</v>
      </c>
      <c r="D1532" t="str">
        <f>IFERROR(VLOOKUP(FO_Capture!C1532, Reference_Data!A:D, 3, FALSE), "XXX")</f>
        <v>SGD</v>
      </c>
      <c r="E1532" t="str">
        <f>IFERROR(VLOOKUP(FO_Capture!C1532, Reference_Data!A:D, 4, FALSE), "MISSING SSI")</f>
        <v>Deutsche Bank A/C 917029</v>
      </c>
      <c r="F1532">
        <f>FO_Capture!D1532</f>
        <v>390</v>
      </c>
      <c r="G1532">
        <f>FO_Capture!E1532</f>
        <v>195.67999267578125</v>
      </c>
      <c r="H1532">
        <f t="shared" si="46"/>
        <v>76315.197143554688</v>
      </c>
      <c r="I1532" t="str">
        <f t="shared" si="47"/>
        <v>Pass - Ready for Confirmation</v>
      </c>
    </row>
    <row r="1533" spans="1:9" x14ac:dyDescent="0.3">
      <c r="A1533" t="str">
        <f>FO_Capture!A1533</f>
        <v>TRD01532</v>
      </c>
      <c r="B1533" t="str">
        <f>FO_Capture!B1533</f>
        <v>INE007A01033</v>
      </c>
      <c r="C1533" t="str">
        <f>IFERROR(VLOOKUP(FO_Capture!C1533, Reference_Data!A:D, 2, FALSE), "UNKNOWN")</f>
        <v>Alpha Asset Management 5</v>
      </c>
      <c r="D1533" t="str">
        <f>IFERROR(VLOOKUP(FO_Capture!C1533, Reference_Data!A:D, 3, FALSE), "XXX")</f>
        <v>INR</v>
      </c>
      <c r="E1533" t="str">
        <f>IFERROR(VLOOKUP(FO_Capture!C1533, Reference_Data!A:D, 4, FALSE), "MISSING SSI")</f>
        <v>JPMorgan A/C 860462</v>
      </c>
      <c r="F1533">
        <f>FO_Capture!D1533</f>
        <v>70</v>
      </c>
      <c r="G1533">
        <f>FO_Capture!E1533</f>
        <v>113.58999633789063</v>
      </c>
      <c r="H1533">
        <f t="shared" si="46"/>
        <v>7951.2997436523438</v>
      </c>
      <c r="I1533" t="str">
        <f t="shared" si="47"/>
        <v>Pass - Ready for Confirmation</v>
      </c>
    </row>
    <row r="1534" spans="1:9" x14ac:dyDescent="0.3">
      <c r="A1534" t="str">
        <f>FO_Capture!A1534</f>
        <v>TRD01533</v>
      </c>
      <c r="B1534" t="str">
        <f>FO_Capture!B1534</f>
        <v>INE001A01046</v>
      </c>
      <c r="C1534" t="str">
        <f>IFERROR(VLOOKUP(FO_Capture!C1534, Reference_Data!A:D, 2, FALSE), "UNKNOWN")</f>
        <v>Alpha Global 39</v>
      </c>
      <c r="D1534" t="str">
        <f>IFERROR(VLOOKUP(FO_Capture!C1534, Reference_Data!A:D, 3, FALSE), "XXX")</f>
        <v>SGD</v>
      </c>
      <c r="E1534" t="str">
        <f>IFERROR(VLOOKUP(FO_Capture!C1534, Reference_Data!A:D, 4, FALSE), "MISSING SSI")</f>
        <v>Deutsche Bank A/C 917029</v>
      </c>
      <c r="F1534">
        <f>FO_Capture!D1534</f>
        <v>180</v>
      </c>
      <c r="G1534">
        <f>FO_Capture!E1534</f>
        <v>381.48001098632813</v>
      </c>
      <c r="H1534">
        <f t="shared" si="46"/>
        <v>68666.401977539063</v>
      </c>
      <c r="I1534" t="str">
        <f t="shared" si="47"/>
        <v>Pass - Ready for Confirmation</v>
      </c>
    </row>
    <row r="1535" spans="1:9" x14ac:dyDescent="0.3">
      <c r="A1535" t="str">
        <f>FO_Capture!A1535</f>
        <v>TRD01534</v>
      </c>
      <c r="B1535" t="str">
        <f>FO_Capture!B1535</f>
        <v>INE003A01080</v>
      </c>
      <c r="C1535" t="str">
        <f>IFERROR(VLOOKUP(FO_Capture!C1535, Reference_Data!A:D, 2, FALSE), "UNKNOWN")</f>
        <v>Alpha Quant Fund 24</v>
      </c>
      <c r="D1535" t="str">
        <f>IFERROR(VLOOKUP(FO_Capture!C1535, Reference_Data!A:D, 3, FALSE), "XXX")</f>
        <v>SGD</v>
      </c>
      <c r="E1535" t="str">
        <f>IFERROR(VLOOKUP(FO_Capture!C1535, Reference_Data!A:D, 4, FALSE), "MISSING SSI")</f>
        <v>JPMorgan A/C 603587</v>
      </c>
      <c r="F1535">
        <f>FO_Capture!D1535</f>
        <v>250</v>
      </c>
      <c r="G1535">
        <f>FO_Capture!E1535</f>
        <v>201.74000549316406</v>
      </c>
      <c r="H1535">
        <f t="shared" si="46"/>
        <v>50435.001373291016</v>
      </c>
      <c r="I1535" t="str">
        <f t="shared" si="47"/>
        <v>Pass - Ready for Confirmation</v>
      </c>
    </row>
    <row r="1536" spans="1:9" x14ac:dyDescent="0.3">
      <c r="A1536" t="str">
        <f>FO_Capture!A1536</f>
        <v>TRD01535</v>
      </c>
      <c r="B1536" t="str">
        <f>FO_Capture!B1536</f>
        <v>INE007A0100</v>
      </c>
      <c r="C1536" t="str">
        <f>IFERROR(VLOOKUP(FO_Capture!C1536, Reference_Data!A:D, 2, FALSE), "UNKNOWN")</f>
        <v>Alpha Holdings 49</v>
      </c>
      <c r="D1536" t="str">
        <f>IFERROR(VLOOKUP(FO_Capture!C1536, Reference_Data!A:D, 3, FALSE), "XXX")</f>
        <v>JPY</v>
      </c>
      <c r="E1536" t="str">
        <f>IFERROR(VLOOKUP(FO_Capture!C1536, Reference_Data!A:D, 4, FALSE), "MISSING SSI")</f>
        <v>HDFC A/C 679335</v>
      </c>
      <c r="F1536">
        <f>FO_Capture!D1536</f>
        <v>390</v>
      </c>
      <c r="G1536">
        <f>FO_Capture!E1536</f>
        <v>472.08999633789063</v>
      </c>
      <c r="H1536">
        <f t="shared" si="46"/>
        <v>184115.09857177734</v>
      </c>
      <c r="I1536" t="str">
        <f t="shared" si="47"/>
        <v>Pass - Ready for Confirmation</v>
      </c>
    </row>
    <row r="1537" spans="1:9" x14ac:dyDescent="0.3">
      <c r="A1537" t="str">
        <f>FO_Capture!A1537</f>
        <v>TRD01536</v>
      </c>
      <c r="B1537" t="str">
        <f>FO_Capture!B1537</f>
        <v>INE004A01019</v>
      </c>
      <c r="C1537" t="str">
        <f>IFERROR(VLOOKUP(FO_Capture!C1537, Reference_Data!A:D, 2, FALSE), "UNKNOWN")</f>
        <v>Alpha Asset Management 35</v>
      </c>
      <c r="D1537" t="str">
        <f>IFERROR(VLOOKUP(FO_Capture!C1537, Reference_Data!A:D, 3, FALSE), "XXX")</f>
        <v>JPY</v>
      </c>
      <c r="E1537" t="str">
        <f>IFERROR(VLOOKUP(FO_Capture!C1537, Reference_Data!A:D, 4, FALSE), "MISSING SSI")</f>
        <v>HSBC A/C 604357</v>
      </c>
      <c r="F1537">
        <f>FO_Capture!D1537</f>
        <v>70</v>
      </c>
      <c r="G1537">
        <f>FO_Capture!E1537</f>
        <v>35.529998779296875</v>
      </c>
      <c r="H1537">
        <f t="shared" si="46"/>
        <v>2487.0999145507813</v>
      </c>
      <c r="I1537" t="str">
        <f t="shared" si="47"/>
        <v>Pass - Ready for Confirmation</v>
      </c>
    </row>
    <row r="1538" spans="1:9" x14ac:dyDescent="0.3">
      <c r="A1538" t="str">
        <f>FO_Capture!A1538</f>
        <v>TRD01537</v>
      </c>
      <c r="B1538" t="str">
        <f>FO_Capture!B1538</f>
        <v>INE009A01056</v>
      </c>
      <c r="C1538" t="str">
        <f>IFERROR(VLOOKUP(FO_Capture!C1538, Reference_Data!A:D, 2, FALSE), "UNKNOWN")</f>
        <v>Alpha Capital 10</v>
      </c>
      <c r="D1538" t="str">
        <f>IFERROR(VLOOKUP(FO_Capture!C1538, Reference_Data!A:D, 3, FALSE), "XXX")</f>
        <v>USD</v>
      </c>
      <c r="E1538" t="str">
        <f>IFERROR(VLOOKUP(FO_Capture!C1538, Reference_Data!A:D, 4, FALSE), "MISSING SSI")</f>
        <v>HDFC A/C 543407</v>
      </c>
      <c r="F1538">
        <f>FO_Capture!D1538</f>
        <v>360</v>
      </c>
      <c r="G1538">
        <f>FO_Capture!E1538</f>
        <v>430.39999389648438</v>
      </c>
      <c r="H1538">
        <f t="shared" si="46"/>
        <v>154943.99780273438</v>
      </c>
      <c r="I1538" t="str">
        <f t="shared" si="47"/>
        <v>Pass - Ready for Confirmation</v>
      </c>
    </row>
    <row r="1539" spans="1:9" x14ac:dyDescent="0.3">
      <c r="A1539" t="str">
        <f>FO_Capture!A1539</f>
        <v>TRD01538</v>
      </c>
      <c r="B1539" t="str">
        <f>FO_Capture!B1539</f>
        <v>INE005A01081</v>
      </c>
      <c r="C1539" t="str">
        <f>IFERROR(VLOOKUP(FO_Capture!C1539, Reference_Data!A:D, 2, FALSE), "UNKNOWN")</f>
        <v>Alpha Capital 36</v>
      </c>
      <c r="D1539" t="str">
        <f>IFERROR(VLOOKUP(FO_Capture!C1539, Reference_Data!A:D, 3, FALSE), "XXX")</f>
        <v>JPY</v>
      </c>
      <c r="E1539" t="str">
        <f>IFERROR(VLOOKUP(FO_Capture!C1539, Reference_Data!A:D, 4, FALSE), "MISSING SSI")</f>
        <v>Citi A/C 359789</v>
      </c>
      <c r="F1539">
        <f>FO_Capture!D1539</f>
        <v>190</v>
      </c>
      <c r="G1539">
        <f>FO_Capture!E1539</f>
        <v>140.33999633789063</v>
      </c>
      <c r="H1539">
        <f t="shared" ref="H1539:H1602" si="48">F1539 * G1539</f>
        <v>26664.599304199219</v>
      </c>
      <c r="I1539" t="str">
        <f t="shared" ref="I1539:I1602" si="49">IF(C1539="UNKNOWN", "Fail - Missing Ref Data", IF(OR(F1539&lt;=0, G1539&lt;=0), "Fail - Invalid Price/Qty", IF(H1539&gt;1000000, "Exception - Limit Breach", "Pass - Ready for Confirmation")))</f>
        <v>Pass - Ready for Confirmation</v>
      </c>
    </row>
    <row r="1540" spans="1:9" x14ac:dyDescent="0.3">
      <c r="A1540" t="str">
        <f>FO_Capture!A1540</f>
        <v>TRD01539</v>
      </c>
      <c r="B1540" t="str">
        <f>FO_Capture!B1540</f>
        <v>INE006A01064</v>
      </c>
      <c r="C1540" t="str">
        <f>IFERROR(VLOOKUP(FO_Capture!C1540, Reference_Data!A:D, 2, FALSE), "UNKNOWN")</f>
        <v>Alpha Global 30</v>
      </c>
      <c r="D1540" t="str">
        <f>IFERROR(VLOOKUP(FO_Capture!C1540, Reference_Data!A:D, 3, FALSE), "XXX")</f>
        <v>JPY</v>
      </c>
      <c r="E1540" t="str">
        <f>IFERROR(VLOOKUP(FO_Capture!C1540, Reference_Data!A:D, 4, FALSE), "MISSING SSI")</f>
        <v>Deutsche Bank A/C 917262</v>
      </c>
      <c r="F1540">
        <f>FO_Capture!D1540</f>
        <v>70</v>
      </c>
      <c r="G1540">
        <f>FO_Capture!E1540</f>
        <v>344.30999755859375</v>
      </c>
      <c r="H1540">
        <f t="shared" si="48"/>
        <v>24101.699829101563</v>
      </c>
      <c r="I1540" t="str">
        <f t="shared" si="49"/>
        <v>Pass - Ready for Confirmation</v>
      </c>
    </row>
    <row r="1541" spans="1:9" x14ac:dyDescent="0.3">
      <c r="A1541" t="str">
        <f>FO_Capture!A1541</f>
        <v>TRD01540</v>
      </c>
      <c r="B1541" t="str">
        <f>FO_Capture!B1541</f>
        <v>INE008A01027</v>
      </c>
      <c r="C1541" t="str">
        <f>IFERROR(VLOOKUP(FO_Capture!C1541, Reference_Data!A:D, 2, FALSE), "UNKNOWN")</f>
        <v>Alpha Holdings 41</v>
      </c>
      <c r="D1541" t="str">
        <f>IFERROR(VLOOKUP(FO_Capture!C1541, Reference_Data!A:D, 3, FALSE), "XXX")</f>
        <v>JPY</v>
      </c>
      <c r="E1541" t="str">
        <f>IFERROR(VLOOKUP(FO_Capture!C1541, Reference_Data!A:D, 4, FALSE), "MISSING SSI")</f>
        <v>HSBC A/C 468615</v>
      </c>
      <c r="F1541">
        <f>FO_Capture!D1541</f>
        <v>380</v>
      </c>
      <c r="G1541">
        <f>FO_Capture!E1541</f>
        <v>166.58000183105469</v>
      </c>
      <c r="H1541">
        <f t="shared" si="48"/>
        <v>63300.400695800781</v>
      </c>
      <c r="I1541" t="str">
        <f t="shared" si="49"/>
        <v>Pass - Ready for Confirmation</v>
      </c>
    </row>
    <row r="1542" spans="1:9" x14ac:dyDescent="0.3">
      <c r="A1542" t="str">
        <f>FO_Capture!A1542</f>
        <v>TRD01541</v>
      </c>
      <c r="B1542" t="str">
        <f>FO_Capture!B1542</f>
        <v>INE008A01092</v>
      </c>
      <c r="C1542" t="str">
        <f>IFERROR(VLOOKUP(FO_Capture!C1542, Reference_Data!A:D, 2, FALSE), "UNKNOWN")</f>
        <v>Alpha Global 25</v>
      </c>
      <c r="D1542" t="str">
        <f>IFERROR(VLOOKUP(FO_Capture!C1542, Reference_Data!A:D, 3, FALSE), "XXX")</f>
        <v>EUR</v>
      </c>
      <c r="E1542" t="str">
        <f>IFERROR(VLOOKUP(FO_Capture!C1542, Reference_Data!A:D, 4, FALSE), "MISSING SSI")</f>
        <v>Standard Chartered A/C 438949</v>
      </c>
      <c r="F1542">
        <f>FO_Capture!D1542</f>
        <v>100</v>
      </c>
      <c r="G1542">
        <f>FO_Capture!E1542</f>
        <v>426.70999145507813</v>
      </c>
      <c r="H1542">
        <f t="shared" si="48"/>
        <v>42670.999145507813</v>
      </c>
      <c r="I1542" t="str">
        <f t="shared" si="49"/>
        <v>Pass - Ready for Confirmation</v>
      </c>
    </row>
    <row r="1543" spans="1:9" x14ac:dyDescent="0.3">
      <c r="A1543" t="str">
        <f>FO_Capture!A1543</f>
        <v>TRD01542</v>
      </c>
      <c r="B1543" t="str">
        <f>FO_Capture!B1543</f>
        <v>INE002A01038</v>
      </c>
      <c r="C1543" t="str">
        <f>IFERROR(VLOOKUP(FO_Capture!C1543, Reference_Data!A:D, 2, FALSE), "UNKNOWN")</f>
        <v>Alpha Partners 22</v>
      </c>
      <c r="D1543" t="str">
        <f>IFERROR(VLOOKUP(FO_Capture!C1543, Reference_Data!A:D, 3, FALSE), "XXX")</f>
        <v>GBP</v>
      </c>
      <c r="E1543" t="str">
        <f>IFERROR(VLOOKUP(FO_Capture!C1543, Reference_Data!A:D, 4, FALSE), "MISSING SSI")</f>
        <v>JPMorgan A/C 488546</v>
      </c>
      <c r="F1543">
        <f>FO_Capture!D1543</f>
        <v>60</v>
      </c>
      <c r="G1543">
        <f>FO_Capture!E1543</f>
        <v>389.6199951171875</v>
      </c>
      <c r="H1543">
        <f t="shared" si="48"/>
        <v>23377.19970703125</v>
      </c>
      <c r="I1543" t="str">
        <f t="shared" si="49"/>
        <v>Pass - Ready for Confirmation</v>
      </c>
    </row>
    <row r="1544" spans="1:9" x14ac:dyDescent="0.3">
      <c r="A1544" t="str">
        <f>FO_Capture!A1544</f>
        <v>TRD01543</v>
      </c>
      <c r="B1544" t="str">
        <f>FO_Capture!B1544</f>
        <v>INE009A01038</v>
      </c>
      <c r="C1544" t="str">
        <f>IFERROR(VLOOKUP(FO_Capture!C1544, Reference_Data!A:D, 2, FALSE), "UNKNOWN")</f>
        <v>Alpha Quant Fund 27</v>
      </c>
      <c r="D1544" t="str">
        <f>IFERROR(VLOOKUP(FO_Capture!C1544, Reference_Data!A:D, 3, FALSE), "XXX")</f>
        <v>EUR</v>
      </c>
      <c r="E1544" t="str">
        <f>IFERROR(VLOOKUP(FO_Capture!C1544, Reference_Data!A:D, 4, FALSE), "MISSING SSI")</f>
        <v>Standard Chartered A/C 331839</v>
      </c>
      <c r="F1544">
        <f>FO_Capture!D1544</f>
        <v>190</v>
      </c>
      <c r="G1544">
        <f>FO_Capture!E1544</f>
        <v>15.489999771118164</v>
      </c>
      <c r="H1544">
        <f t="shared" si="48"/>
        <v>2943.0999565124512</v>
      </c>
      <c r="I1544" t="str">
        <f t="shared" si="49"/>
        <v>Pass - Ready for Confirmation</v>
      </c>
    </row>
    <row r="1545" spans="1:9" x14ac:dyDescent="0.3">
      <c r="A1545" t="str">
        <f>FO_Capture!A1545</f>
        <v>TRD01544</v>
      </c>
      <c r="B1545" t="str">
        <f>FO_Capture!B1545</f>
        <v>INE006A01023</v>
      </c>
      <c r="C1545" t="str">
        <f>IFERROR(VLOOKUP(FO_Capture!C1545, Reference_Data!A:D, 2, FALSE), "UNKNOWN")</f>
        <v>Alpha Partners 18</v>
      </c>
      <c r="D1545" t="str">
        <f>IFERROR(VLOOKUP(FO_Capture!C1545, Reference_Data!A:D, 3, FALSE), "XXX")</f>
        <v>INR</v>
      </c>
      <c r="E1545" t="str">
        <f>IFERROR(VLOOKUP(FO_Capture!C1545, Reference_Data!A:D, 4, FALSE), "MISSING SSI")</f>
        <v>JPMorgan A/C 704166</v>
      </c>
      <c r="F1545">
        <f>FO_Capture!D1545</f>
        <v>260</v>
      </c>
      <c r="G1545">
        <f>FO_Capture!E1545</f>
        <v>209.86000061035156</v>
      </c>
      <c r="H1545">
        <f t="shared" si="48"/>
        <v>54563.600158691406</v>
      </c>
      <c r="I1545" t="str">
        <f t="shared" si="49"/>
        <v>Pass - Ready for Confirmation</v>
      </c>
    </row>
    <row r="1546" spans="1:9" x14ac:dyDescent="0.3">
      <c r="A1546" t="str">
        <f>FO_Capture!A1546</f>
        <v>TRD01545</v>
      </c>
      <c r="B1546" t="str">
        <f>FO_Capture!B1546</f>
        <v>INE005A01021</v>
      </c>
      <c r="C1546" t="str">
        <f>IFERROR(VLOOKUP(FO_Capture!C1546, Reference_Data!A:D, 2, FALSE), "UNKNOWN")</f>
        <v>Alpha Investments 29</v>
      </c>
      <c r="D1546" t="str">
        <f>IFERROR(VLOOKUP(FO_Capture!C1546, Reference_Data!A:D, 3, FALSE), "XXX")</f>
        <v>INR</v>
      </c>
      <c r="E1546" t="str">
        <f>IFERROR(VLOOKUP(FO_Capture!C1546, Reference_Data!A:D, 4, FALSE), "MISSING SSI")</f>
        <v>HSBC A/C 785870</v>
      </c>
      <c r="F1546">
        <f>FO_Capture!D1546</f>
        <v>160</v>
      </c>
      <c r="G1546">
        <f>FO_Capture!E1546</f>
        <v>73.540000915527344</v>
      </c>
      <c r="H1546">
        <f t="shared" si="48"/>
        <v>11766.400146484375</v>
      </c>
      <c r="I1546" t="str">
        <f t="shared" si="49"/>
        <v>Pass - Ready for Confirmation</v>
      </c>
    </row>
    <row r="1547" spans="1:9" x14ac:dyDescent="0.3">
      <c r="A1547" t="str">
        <f>FO_Capture!A1547</f>
        <v>TRD01546</v>
      </c>
      <c r="B1547" t="str">
        <f>FO_Capture!B1547</f>
        <v>INE003A01015</v>
      </c>
      <c r="C1547" t="str">
        <f>IFERROR(VLOOKUP(FO_Capture!C1547, Reference_Data!A:D, 2, FALSE), "UNKNOWN")</f>
        <v>Alpha Global 28</v>
      </c>
      <c r="D1547" t="str">
        <f>IFERROR(VLOOKUP(FO_Capture!C1547, Reference_Data!A:D, 3, FALSE), "XXX")</f>
        <v>USD</v>
      </c>
      <c r="E1547" t="str">
        <f>IFERROR(VLOOKUP(FO_Capture!C1547, Reference_Data!A:D, 4, FALSE), "MISSING SSI")</f>
        <v>HDFC A/C 638209</v>
      </c>
      <c r="F1547">
        <f>FO_Capture!D1547</f>
        <v>140</v>
      </c>
      <c r="G1547">
        <f>FO_Capture!E1547</f>
        <v>152.67999267578125</v>
      </c>
      <c r="H1547">
        <f t="shared" si="48"/>
        <v>21375.198974609375</v>
      </c>
      <c r="I1547" t="str">
        <f t="shared" si="49"/>
        <v>Pass - Ready for Confirmation</v>
      </c>
    </row>
    <row r="1548" spans="1:9" x14ac:dyDescent="0.3">
      <c r="A1548" t="str">
        <f>FO_Capture!A1548</f>
        <v>TRD01547</v>
      </c>
      <c r="B1548" t="str">
        <f>FO_Capture!B1548</f>
        <v>INE004A01087</v>
      </c>
      <c r="C1548" t="str">
        <f>IFERROR(VLOOKUP(FO_Capture!C1548, Reference_Data!A:D, 2, FALSE), "UNKNOWN")</f>
        <v>Alpha Partners 37</v>
      </c>
      <c r="D1548" t="str">
        <f>IFERROR(VLOOKUP(FO_Capture!C1548, Reference_Data!A:D, 3, FALSE), "XXX")</f>
        <v>JPY</v>
      </c>
      <c r="E1548" t="str">
        <f>IFERROR(VLOOKUP(FO_Capture!C1548, Reference_Data!A:D, 4, FALSE), "MISSING SSI")</f>
        <v>HSBC A/C 994063</v>
      </c>
      <c r="F1548">
        <f>FO_Capture!D1548</f>
        <v>10</v>
      </c>
      <c r="G1548">
        <f>FO_Capture!E1548</f>
        <v>188.74000549316406</v>
      </c>
      <c r="H1548">
        <f t="shared" si="48"/>
        <v>1887.4000549316406</v>
      </c>
      <c r="I1548" t="str">
        <f t="shared" si="49"/>
        <v>Pass - Ready for Confirmation</v>
      </c>
    </row>
    <row r="1549" spans="1:9" x14ac:dyDescent="0.3">
      <c r="A1549" t="str">
        <f>FO_Capture!A1549</f>
        <v>TRD01548</v>
      </c>
      <c r="B1549" t="str">
        <f>FO_Capture!B1549</f>
        <v>INE007A01072</v>
      </c>
      <c r="C1549" t="str">
        <f>IFERROR(VLOOKUP(FO_Capture!C1549, Reference_Data!A:D, 2, FALSE), "UNKNOWN")</f>
        <v>Alpha Asset Management 13</v>
      </c>
      <c r="D1549" t="str">
        <f>IFERROR(VLOOKUP(FO_Capture!C1549, Reference_Data!A:D, 3, FALSE), "XXX")</f>
        <v>INR</v>
      </c>
      <c r="E1549" t="str">
        <f>IFERROR(VLOOKUP(FO_Capture!C1549, Reference_Data!A:D, 4, FALSE), "MISSING SSI")</f>
        <v>HSBC A/C 972195</v>
      </c>
      <c r="F1549">
        <f>FO_Capture!D1549</f>
        <v>470</v>
      </c>
      <c r="G1549">
        <f>FO_Capture!E1549</f>
        <v>368.489990234375</v>
      </c>
      <c r="H1549">
        <f t="shared" si="48"/>
        <v>173190.29541015625</v>
      </c>
      <c r="I1549" t="str">
        <f t="shared" si="49"/>
        <v>Pass - Ready for Confirmation</v>
      </c>
    </row>
    <row r="1550" spans="1:9" x14ac:dyDescent="0.3">
      <c r="A1550" t="str">
        <f>FO_Capture!A1550</f>
        <v>TRD01549</v>
      </c>
      <c r="B1550" t="str">
        <f>FO_Capture!B1550</f>
        <v>INE007A0107</v>
      </c>
      <c r="C1550" t="str">
        <f>IFERROR(VLOOKUP(FO_Capture!C1550, Reference_Data!A:D, 2, FALSE), "UNKNOWN")</f>
        <v>Alpha Partners 18</v>
      </c>
      <c r="D1550" t="str">
        <f>IFERROR(VLOOKUP(FO_Capture!C1550, Reference_Data!A:D, 3, FALSE), "XXX")</f>
        <v>INR</v>
      </c>
      <c r="E1550" t="str">
        <f>IFERROR(VLOOKUP(FO_Capture!C1550, Reference_Data!A:D, 4, FALSE), "MISSING SSI")</f>
        <v>JPMorgan A/C 704166</v>
      </c>
      <c r="F1550">
        <f>FO_Capture!D1550</f>
        <v>320</v>
      </c>
      <c r="G1550">
        <f>FO_Capture!E1550</f>
        <v>74</v>
      </c>
      <c r="H1550">
        <f t="shared" si="48"/>
        <v>23680</v>
      </c>
      <c r="I1550" t="str">
        <f t="shared" si="49"/>
        <v>Pass - Ready for Confirmation</v>
      </c>
    </row>
    <row r="1551" spans="1:9" x14ac:dyDescent="0.3">
      <c r="A1551" t="str">
        <f>FO_Capture!A1551</f>
        <v>TRD01550</v>
      </c>
      <c r="B1551" t="str">
        <f>FO_Capture!B1551</f>
        <v>INE005A01078</v>
      </c>
      <c r="C1551" t="str">
        <f>IFERROR(VLOOKUP(FO_Capture!C1551, Reference_Data!A:D, 2, FALSE), "UNKNOWN")</f>
        <v>Alpha Holdings 47</v>
      </c>
      <c r="D1551" t="str">
        <f>IFERROR(VLOOKUP(FO_Capture!C1551, Reference_Data!A:D, 3, FALSE), "XXX")</f>
        <v>GBP</v>
      </c>
      <c r="E1551" t="str">
        <f>IFERROR(VLOOKUP(FO_Capture!C1551, Reference_Data!A:D, 4, FALSE), "MISSING SSI")</f>
        <v>Citi A/C 703401</v>
      </c>
      <c r="F1551">
        <f>FO_Capture!D1551</f>
        <v>180</v>
      </c>
      <c r="G1551">
        <f>FO_Capture!E1551</f>
        <v>132.66999816894531</v>
      </c>
      <c r="H1551">
        <f t="shared" si="48"/>
        <v>23880.599670410156</v>
      </c>
      <c r="I1551" t="str">
        <f t="shared" si="49"/>
        <v>Pass - Ready for Confirmation</v>
      </c>
    </row>
    <row r="1552" spans="1:9" x14ac:dyDescent="0.3">
      <c r="A1552" t="str">
        <f>FO_Capture!A1552</f>
        <v>TRD01551</v>
      </c>
      <c r="B1552" t="str">
        <f>FO_Capture!B1552</f>
        <v>INE007A01076</v>
      </c>
      <c r="C1552" t="str">
        <f>IFERROR(VLOOKUP(FO_Capture!C1552, Reference_Data!A:D, 2, FALSE), "UNKNOWN")</f>
        <v>Alpha Partners 3</v>
      </c>
      <c r="D1552" t="str">
        <f>IFERROR(VLOOKUP(FO_Capture!C1552, Reference_Data!A:D, 3, FALSE), "XXX")</f>
        <v>USD</v>
      </c>
      <c r="E1552" t="str">
        <f>IFERROR(VLOOKUP(FO_Capture!C1552, Reference_Data!A:D, 4, FALSE), "MISSING SSI")</f>
        <v>Citi A/C 508769</v>
      </c>
      <c r="F1552">
        <f>FO_Capture!D1552</f>
        <v>310</v>
      </c>
      <c r="G1552">
        <f>FO_Capture!E1552</f>
        <v>67.199996948242188</v>
      </c>
      <c r="H1552">
        <f t="shared" si="48"/>
        <v>20831.999053955078</v>
      </c>
      <c r="I1552" t="str">
        <f t="shared" si="49"/>
        <v>Pass - Ready for Confirmation</v>
      </c>
    </row>
    <row r="1553" spans="1:9" x14ac:dyDescent="0.3">
      <c r="A1553" t="str">
        <f>FO_Capture!A1553</f>
        <v>TRD01552</v>
      </c>
      <c r="B1553" t="str">
        <f>FO_Capture!B1553</f>
        <v>INE008A01041</v>
      </c>
      <c r="C1553" t="str">
        <f>IFERROR(VLOOKUP(FO_Capture!C1553, Reference_Data!A:D, 2, FALSE), "UNKNOWN")</f>
        <v>Alpha Partners 19</v>
      </c>
      <c r="D1553" t="str">
        <f>IFERROR(VLOOKUP(FO_Capture!C1553, Reference_Data!A:D, 3, FALSE), "XXX")</f>
        <v>INR</v>
      </c>
      <c r="E1553" t="str">
        <f>IFERROR(VLOOKUP(FO_Capture!C1553, Reference_Data!A:D, 4, FALSE), "MISSING SSI")</f>
        <v>Citi A/C 543819</v>
      </c>
      <c r="F1553">
        <f>FO_Capture!D1553</f>
        <v>290</v>
      </c>
      <c r="G1553">
        <f>FO_Capture!E1553</f>
        <v>345.6099853515625</v>
      </c>
      <c r="H1553">
        <f t="shared" si="48"/>
        <v>100226.89575195313</v>
      </c>
      <c r="I1553" t="str">
        <f t="shared" si="49"/>
        <v>Pass - Ready for Confirmation</v>
      </c>
    </row>
    <row r="1554" spans="1:9" x14ac:dyDescent="0.3">
      <c r="A1554" t="str">
        <f>FO_Capture!A1554</f>
        <v>TRD01553</v>
      </c>
      <c r="B1554" t="str">
        <f>FO_Capture!B1554</f>
        <v>INE003A01016</v>
      </c>
      <c r="C1554" t="str">
        <f>IFERROR(VLOOKUP(FO_Capture!C1554, Reference_Data!A:D, 2, FALSE), "UNKNOWN")</f>
        <v>Alpha Capital 36</v>
      </c>
      <c r="D1554" t="str">
        <f>IFERROR(VLOOKUP(FO_Capture!C1554, Reference_Data!A:D, 3, FALSE), "XXX")</f>
        <v>JPY</v>
      </c>
      <c r="E1554" t="str">
        <f>IFERROR(VLOOKUP(FO_Capture!C1554, Reference_Data!A:D, 4, FALSE), "MISSING SSI")</f>
        <v>Citi A/C 359789</v>
      </c>
      <c r="F1554">
        <f>FO_Capture!D1554</f>
        <v>330</v>
      </c>
      <c r="G1554">
        <f>FO_Capture!E1554</f>
        <v>131.22999572753906</v>
      </c>
      <c r="H1554">
        <f t="shared" si="48"/>
        <v>43305.898590087891</v>
      </c>
      <c r="I1554" t="str">
        <f t="shared" si="49"/>
        <v>Pass - Ready for Confirmation</v>
      </c>
    </row>
    <row r="1555" spans="1:9" x14ac:dyDescent="0.3">
      <c r="A1555" t="str">
        <f>FO_Capture!A1555</f>
        <v>TRD01554</v>
      </c>
      <c r="B1555" t="str">
        <f>FO_Capture!B1555</f>
        <v>INE006A01094</v>
      </c>
      <c r="C1555" t="str">
        <f>IFERROR(VLOOKUP(FO_Capture!C1555, Reference_Data!A:D, 2, FALSE), "UNKNOWN")</f>
        <v>Alpha Quant Fund 27</v>
      </c>
      <c r="D1555" t="str">
        <f>IFERROR(VLOOKUP(FO_Capture!C1555, Reference_Data!A:D, 3, FALSE), "XXX")</f>
        <v>EUR</v>
      </c>
      <c r="E1555" t="str">
        <f>IFERROR(VLOOKUP(FO_Capture!C1555, Reference_Data!A:D, 4, FALSE), "MISSING SSI")</f>
        <v>Standard Chartered A/C 331839</v>
      </c>
      <c r="F1555">
        <f>FO_Capture!D1555</f>
        <v>460</v>
      </c>
      <c r="G1555">
        <f>FO_Capture!E1555</f>
        <v>32.700000762939453</v>
      </c>
      <c r="H1555">
        <f t="shared" si="48"/>
        <v>15042.000350952148</v>
      </c>
      <c r="I1555" t="str">
        <f t="shared" si="49"/>
        <v>Pass - Ready for Confirmation</v>
      </c>
    </row>
    <row r="1556" spans="1:9" x14ac:dyDescent="0.3">
      <c r="A1556" t="str">
        <f>FO_Capture!A1556</f>
        <v>TRD01555</v>
      </c>
      <c r="B1556" t="str">
        <f>FO_Capture!B1556</f>
        <v>INE009A01071</v>
      </c>
      <c r="C1556" t="str">
        <f>IFERROR(VLOOKUP(FO_Capture!C1556, Reference_Data!A:D, 2, FALSE), "UNKNOWN")</f>
        <v>Alpha Partners 22</v>
      </c>
      <c r="D1556" t="str">
        <f>IFERROR(VLOOKUP(FO_Capture!C1556, Reference_Data!A:D, 3, FALSE), "XXX")</f>
        <v>GBP</v>
      </c>
      <c r="E1556" t="str">
        <f>IFERROR(VLOOKUP(FO_Capture!C1556, Reference_Data!A:D, 4, FALSE), "MISSING SSI")</f>
        <v>JPMorgan A/C 488546</v>
      </c>
      <c r="F1556">
        <f>FO_Capture!D1556</f>
        <v>350</v>
      </c>
      <c r="G1556">
        <f>FO_Capture!E1556</f>
        <v>353.98001098632813</v>
      </c>
      <c r="H1556">
        <f t="shared" si="48"/>
        <v>123893.00384521484</v>
      </c>
      <c r="I1556" t="str">
        <f t="shared" si="49"/>
        <v>Pass - Ready for Confirmation</v>
      </c>
    </row>
    <row r="1557" spans="1:9" x14ac:dyDescent="0.3">
      <c r="A1557" t="str">
        <f>FO_Capture!A1557</f>
        <v>TRD01556</v>
      </c>
      <c r="B1557" t="str">
        <f>FO_Capture!B1557</f>
        <v>INE006A01095</v>
      </c>
      <c r="C1557" t="str">
        <f>IFERROR(VLOOKUP(FO_Capture!C1557, Reference_Data!A:D, 2, FALSE), "UNKNOWN")</f>
        <v>Alpha Capital 33</v>
      </c>
      <c r="D1557" t="str">
        <f>IFERROR(VLOOKUP(FO_Capture!C1557, Reference_Data!A:D, 3, FALSE), "XXX")</f>
        <v>JPY</v>
      </c>
      <c r="E1557" t="str">
        <f>IFERROR(VLOOKUP(FO_Capture!C1557, Reference_Data!A:D, 4, FALSE), "MISSING SSI")</f>
        <v>HSBC A/C 172861</v>
      </c>
      <c r="F1557">
        <f>FO_Capture!D1557</f>
        <v>480</v>
      </c>
      <c r="G1557">
        <f>FO_Capture!E1557</f>
        <v>344.32998657226563</v>
      </c>
      <c r="H1557">
        <f t="shared" si="48"/>
        <v>165278.3935546875</v>
      </c>
      <c r="I1557" t="str">
        <f t="shared" si="49"/>
        <v>Pass - Ready for Confirmation</v>
      </c>
    </row>
    <row r="1558" spans="1:9" x14ac:dyDescent="0.3">
      <c r="A1558" t="str">
        <f>FO_Capture!A1558</f>
        <v>TRD01557</v>
      </c>
      <c r="B1558" t="str">
        <f>FO_Capture!B1558</f>
        <v>INE009A01014</v>
      </c>
      <c r="C1558" t="str">
        <f>IFERROR(VLOOKUP(FO_Capture!C1558, Reference_Data!A:D, 2, FALSE), "UNKNOWN")</f>
        <v>Alpha Investments 29</v>
      </c>
      <c r="D1558" t="str">
        <f>IFERROR(VLOOKUP(FO_Capture!C1558, Reference_Data!A:D, 3, FALSE), "XXX")</f>
        <v>INR</v>
      </c>
      <c r="E1558" t="str">
        <f>IFERROR(VLOOKUP(FO_Capture!C1558, Reference_Data!A:D, 4, FALSE), "MISSING SSI")</f>
        <v>HSBC A/C 785870</v>
      </c>
      <c r="F1558">
        <f>FO_Capture!D1558</f>
        <v>460</v>
      </c>
      <c r="G1558">
        <f>FO_Capture!E1558</f>
        <v>448.33999633789063</v>
      </c>
      <c r="H1558">
        <f t="shared" si="48"/>
        <v>206236.39831542969</v>
      </c>
      <c r="I1558" t="str">
        <f t="shared" si="49"/>
        <v>Pass - Ready for Confirmation</v>
      </c>
    </row>
    <row r="1559" spans="1:9" x14ac:dyDescent="0.3">
      <c r="A1559" t="str">
        <f>FO_Capture!A1559</f>
        <v>TRD01558</v>
      </c>
      <c r="B1559" t="str">
        <f>FO_Capture!B1559</f>
        <v>INE005A01028</v>
      </c>
      <c r="C1559" t="str">
        <f>IFERROR(VLOOKUP(FO_Capture!C1559, Reference_Data!A:D, 2, FALSE), "UNKNOWN")</f>
        <v>Alpha Quant Fund 12</v>
      </c>
      <c r="D1559" t="str">
        <f>IFERROR(VLOOKUP(FO_Capture!C1559, Reference_Data!A:D, 3, FALSE), "XXX")</f>
        <v>EUR</v>
      </c>
      <c r="E1559" t="str">
        <f>IFERROR(VLOOKUP(FO_Capture!C1559, Reference_Data!A:D, 4, FALSE), "MISSING SSI")</f>
        <v>Deutsche Bank A/C 324710</v>
      </c>
      <c r="F1559">
        <f>FO_Capture!D1559</f>
        <v>250</v>
      </c>
      <c r="G1559">
        <f>FO_Capture!E1559</f>
        <v>55.900001525878906</v>
      </c>
      <c r="H1559">
        <f t="shared" si="48"/>
        <v>13975.000381469727</v>
      </c>
      <c r="I1559" t="str">
        <f t="shared" si="49"/>
        <v>Pass - Ready for Confirmation</v>
      </c>
    </row>
    <row r="1560" spans="1:9" x14ac:dyDescent="0.3">
      <c r="A1560" t="str">
        <f>FO_Capture!A1560</f>
        <v>TRD01559</v>
      </c>
      <c r="B1560" t="str">
        <f>FO_Capture!B1560</f>
        <v>INE006A01039</v>
      </c>
      <c r="C1560" t="str">
        <f>IFERROR(VLOOKUP(FO_Capture!C1560, Reference_Data!A:D, 2, FALSE), "UNKNOWN")</f>
        <v>Alpha Capital 38</v>
      </c>
      <c r="D1560" t="str">
        <f>IFERROR(VLOOKUP(FO_Capture!C1560, Reference_Data!A:D, 3, FALSE), "XXX")</f>
        <v>SGD</v>
      </c>
      <c r="E1560" t="str">
        <f>IFERROR(VLOOKUP(FO_Capture!C1560, Reference_Data!A:D, 4, FALSE), "MISSING SSI")</f>
        <v>Deutsche Bank A/C 153521</v>
      </c>
      <c r="F1560">
        <f>FO_Capture!D1560</f>
        <v>390</v>
      </c>
      <c r="G1560">
        <f>FO_Capture!E1560</f>
        <v>252.19999694824219</v>
      </c>
      <c r="H1560">
        <f t="shared" si="48"/>
        <v>98357.998809814453</v>
      </c>
      <c r="I1560" t="str">
        <f t="shared" si="49"/>
        <v>Pass - Ready for Confirmation</v>
      </c>
    </row>
    <row r="1561" spans="1:9" x14ac:dyDescent="0.3">
      <c r="A1561" t="str">
        <f>FO_Capture!A1561</f>
        <v>TRD01560</v>
      </c>
      <c r="B1561" t="str">
        <f>FO_Capture!B1561</f>
        <v>INE002A0101</v>
      </c>
      <c r="C1561" t="str">
        <f>IFERROR(VLOOKUP(FO_Capture!C1561, Reference_Data!A:D, 2, FALSE), "UNKNOWN")</f>
        <v>Alpha Quant Fund 50</v>
      </c>
      <c r="D1561" t="str">
        <f>IFERROR(VLOOKUP(FO_Capture!C1561, Reference_Data!A:D, 3, FALSE), "XXX")</f>
        <v>SGD</v>
      </c>
      <c r="E1561" t="str">
        <f>IFERROR(VLOOKUP(FO_Capture!C1561, Reference_Data!A:D, 4, FALSE), "MISSING SSI")</f>
        <v>Standard Chartered A/C 307017</v>
      </c>
      <c r="F1561">
        <f>FO_Capture!D1561</f>
        <v>300</v>
      </c>
      <c r="G1561">
        <f>FO_Capture!E1561</f>
        <v>67.779998779296875</v>
      </c>
      <c r="H1561">
        <f t="shared" si="48"/>
        <v>20333.999633789063</v>
      </c>
      <c r="I1561" t="str">
        <f t="shared" si="49"/>
        <v>Pass - Ready for Confirmation</v>
      </c>
    </row>
    <row r="1562" spans="1:9" x14ac:dyDescent="0.3">
      <c r="A1562" t="str">
        <f>FO_Capture!A1562</f>
        <v>TRD01561</v>
      </c>
      <c r="B1562" t="str">
        <f>FO_Capture!B1562</f>
        <v>INE005A01067</v>
      </c>
      <c r="C1562" t="str">
        <f>IFERROR(VLOOKUP(FO_Capture!C1562, Reference_Data!A:D, 2, FALSE), "UNKNOWN")</f>
        <v>Alpha Investments 43</v>
      </c>
      <c r="D1562" t="str">
        <f>IFERROR(VLOOKUP(FO_Capture!C1562, Reference_Data!A:D, 3, FALSE), "XXX")</f>
        <v>EUR</v>
      </c>
      <c r="E1562" t="str">
        <f>IFERROR(VLOOKUP(FO_Capture!C1562, Reference_Data!A:D, 4, FALSE), "MISSING SSI")</f>
        <v>Citi A/C 714496</v>
      </c>
      <c r="F1562">
        <f>FO_Capture!D1562</f>
        <v>480</v>
      </c>
      <c r="G1562">
        <f>FO_Capture!E1562</f>
        <v>228.46000671386719</v>
      </c>
      <c r="H1562">
        <f t="shared" si="48"/>
        <v>109660.80322265625</v>
      </c>
      <c r="I1562" t="str">
        <f t="shared" si="49"/>
        <v>Pass - Ready for Confirmation</v>
      </c>
    </row>
    <row r="1563" spans="1:9" x14ac:dyDescent="0.3">
      <c r="A1563" t="str">
        <f>FO_Capture!A1563</f>
        <v>TRD01562</v>
      </c>
      <c r="B1563" t="str">
        <f>FO_Capture!B1563</f>
        <v>INE008A01045</v>
      </c>
      <c r="C1563" t="str">
        <f>IFERROR(VLOOKUP(FO_Capture!C1563, Reference_Data!A:D, 2, FALSE), "UNKNOWN")</f>
        <v>Alpha Holdings 47</v>
      </c>
      <c r="D1563" t="str">
        <f>IFERROR(VLOOKUP(FO_Capture!C1563, Reference_Data!A:D, 3, FALSE), "XXX")</f>
        <v>GBP</v>
      </c>
      <c r="E1563" t="str">
        <f>IFERROR(VLOOKUP(FO_Capture!C1563, Reference_Data!A:D, 4, FALSE), "MISSING SSI")</f>
        <v>Citi A/C 703401</v>
      </c>
      <c r="F1563">
        <f>FO_Capture!D1563</f>
        <v>290</v>
      </c>
      <c r="G1563">
        <f>FO_Capture!E1563</f>
        <v>405.3900146484375</v>
      </c>
      <c r="H1563">
        <f t="shared" si="48"/>
        <v>117563.10424804688</v>
      </c>
      <c r="I1563" t="str">
        <f t="shared" si="49"/>
        <v>Pass - Ready for Confirmation</v>
      </c>
    </row>
    <row r="1564" spans="1:9" x14ac:dyDescent="0.3">
      <c r="A1564" t="str">
        <f>FO_Capture!A1564</f>
        <v>TRD01563</v>
      </c>
      <c r="B1564" t="str">
        <f>FO_Capture!B1564</f>
        <v>INE005A01043</v>
      </c>
      <c r="C1564" t="str">
        <f>IFERROR(VLOOKUP(FO_Capture!C1564, Reference_Data!A:D, 2, FALSE), "UNKNOWN")</f>
        <v>Alpha Partners 48</v>
      </c>
      <c r="D1564" t="str">
        <f>IFERROR(VLOOKUP(FO_Capture!C1564, Reference_Data!A:D, 3, FALSE), "XXX")</f>
        <v>SGD</v>
      </c>
      <c r="E1564" t="str">
        <f>IFERROR(VLOOKUP(FO_Capture!C1564, Reference_Data!A:D, 4, FALSE), "MISSING SSI")</f>
        <v>JPMorgan A/C 391364</v>
      </c>
      <c r="F1564">
        <f>FO_Capture!D1564</f>
        <v>200</v>
      </c>
      <c r="G1564">
        <f>FO_Capture!E1564</f>
        <v>465.010009765625</v>
      </c>
      <c r="H1564">
        <f t="shared" si="48"/>
        <v>93002.001953125</v>
      </c>
      <c r="I1564" t="str">
        <f t="shared" si="49"/>
        <v>Pass - Ready for Confirmation</v>
      </c>
    </row>
    <row r="1565" spans="1:9" x14ac:dyDescent="0.3">
      <c r="A1565" t="str">
        <f>FO_Capture!A1565</f>
        <v>TRD01564</v>
      </c>
      <c r="B1565" t="str">
        <f>FO_Capture!B1565</f>
        <v>INE009A01021</v>
      </c>
      <c r="C1565" t="str">
        <f>IFERROR(VLOOKUP(FO_Capture!C1565, Reference_Data!A:D, 2, FALSE), "UNKNOWN")</f>
        <v>Alpha Global 14</v>
      </c>
      <c r="D1565" t="str">
        <f>IFERROR(VLOOKUP(FO_Capture!C1565, Reference_Data!A:D, 3, FALSE), "XXX")</f>
        <v>USD</v>
      </c>
      <c r="E1565" t="str">
        <f>IFERROR(VLOOKUP(FO_Capture!C1565, Reference_Data!A:D, 4, FALSE), "MISSING SSI")</f>
        <v>HSBC A/C 864249</v>
      </c>
      <c r="F1565">
        <f>FO_Capture!D1565</f>
        <v>20</v>
      </c>
      <c r="G1565">
        <f>FO_Capture!E1565</f>
        <v>219.10000610351563</v>
      </c>
      <c r="H1565">
        <f t="shared" si="48"/>
        <v>4382.0001220703125</v>
      </c>
      <c r="I1565" t="str">
        <f t="shared" si="49"/>
        <v>Pass - Ready for Confirmation</v>
      </c>
    </row>
    <row r="1566" spans="1:9" x14ac:dyDescent="0.3">
      <c r="A1566" t="str">
        <f>FO_Capture!A1566</f>
        <v>TRD01565</v>
      </c>
      <c r="B1566" t="str">
        <f>FO_Capture!B1566</f>
        <v>INE007A01040</v>
      </c>
      <c r="C1566" t="str">
        <f>IFERROR(VLOOKUP(FO_Capture!C1566, Reference_Data!A:D, 2, FALSE), "UNKNOWN")</f>
        <v>Alpha Partners 22</v>
      </c>
      <c r="D1566" t="str">
        <f>IFERROR(VLOOKUP(FO_Capture!C1566, Reference_Data!A:D, 3, FALSE), "XXX")</f>
        <v>GBP</v>
      </c>
      <c r="E1566" t="str">
        <f>IFERROR(VLOOKUP(FO_Capture!C1566, Reference_Data!A:D, 4, FALSE), "MISSING SSI")</f>
        <v>JPMorgan A/C 488546</v>
      </c>
      <c r="F1566">
        <f>FO_Capture!D1566</f>
        <v>150</v>
      </c>
      <c r="G1566">
        <f>FO_Capture!E1566</f>
        <v>174.72999572753906</v>
      </c>
      <c r="H1566">
        <f t="shared" si="48"/>
        <v>26209.499359130859</v>
      </c>
      <c r="I1566" t="str">
        <f t="shared" si="49"/>
        <v>Pass - Ready for Confirmation</v>
      </c>
    </row>
    <row r="1567" spans="1:9" x14ac:dyDescent="0.3">
      <c r="A1567" t="str">
        <f>FO_Capture!A1567</f>
        <v>TRD01566</v>
      </c>
      <c r="B1567" t="str">
        <f>FO_Capture!B1567</f>
        <v>INE004A01012</v>
      </c>
      <c r="C1567" t="str">
        <f>IFERROR(VLOOKUP(FO_Capture!C1567, Reference_Data!A:D, 2, FALSE), "UNKNOWN")</f>
        <v>Alpha Quant Fund 27</v>
      </c>
      <c r="D1567" t="str">
        <f>IFERROR(VLOOKUP(FO_Capture!C1567, Reference_Data!A:D, 3, FALSE), "XXX")</f>
        <v>EUR</v>
      </c>
      <c r="E1567" t="str">
        <f>IFERROR(VLOOKUP(FO_Capture!C1567, Reference_Data!A:D, 4, FALSE), "MISSING SSI")</f>
        <v>Standard Chartered A/C 331839</v>
      </c>
      <c r="F1567">
        <f>FO_Capture!D1567</f>
        <v>370</v>
      </c>
      <c r="G1567">
        <f>FO_Capture!E1567</f>
        <v>284.29998779296875</v>
      </c>
      <c r="H1567">
        <f t="shared" si="48"/>
        <v>105190.99548339844</v>
      </c>
      <c r="I1567" t="str">
        <f t="shared" si="49"/>
        <v>Pass - Ready for Confirmation</v>
      </c>
    </row>
    <row r="1568" spans="1:9" x14ac:dyDescent="0.3">
      <c r="A1568" t="str">
        <f>FO_Capture!A1568</f>
        <v>TRD01567</v>
      </c>
      <c r="B1568" t="str">
        <f>FO_Capture!B1568</f>
        <v>INE005A01051</v>
      </c>
      <c r="C1568" t="str">
        <f>IFERROR(VLOOKUP(FO_Capture!C1568, Reference_Data!A:D, 2, FALSE), "UNKNOWN")</f>
        <v>Alpha Global 45</v>
      </c>
      <c r="D1568" t="str">
        <f>IFERROR(VLOOKUP(FO_Capture!C1568, Reference_Data!A:D, 3, FALSE), "XXX")</f>
        <v>EUR</v>
      </c>
      <c r="E1568" t="str">
        <f>IFERROR(VLOOKUP(FO_Capture!C1568, Reference_Data!A:D, 4, FALSE), "MISSING SSI")</f>
        <v>HSBC A/C 540659</v>
      </c>
      <c r="F1568">
        <f>FO_Capture!D1568</f>
        <v>50</v>
      </c>
      <c r="G1568">
        <f>FO_Capture!E1568</f>
        <v>195.50999450683594</v>
      </c>
      <c r="H1568">
        <f t="shared" si="48"/>
        <v>9775.4997253417969</v>
      </c>
      <c r="I1568" t="str">
        <f t="shared" si="49"/>
        <v>Pass - Ready for Confirmation</v>
      </c>
    </row>
    <row r="1569" spans="1:9" x14ac:dyDescent="0.3">
      <c r="A1569" t="str">
        <f>FO_Capture!A1569</f>
        <v>TRD01568</v>
      </c>
      <c r="B1569" t="str">
        <f>FO_Capture!B1569</f>
        <v>INE009A01024</v>
      </c>
      <c r="C1569" t="str">
        <f>IFERROR(VLOOKUP(FO_Capture!C1569, Reference_Data!A:D, 2, FALSE), "UNKNOWN")</f>
        <v>Alpha Holdings 23</v>
      </c>
      <c r="D1569" t="str">
        <f>IFERROR(VLOOKUP(FO_Capture!C1569, Reference_Data!A:D, 3, FALSE), "XXX")</f>
        <v>INR</v>
      </c>
      <c r="E1569" t="str">
        <f>IFERROR(VLOOKUP(FO_Capture!C1569, Reference_Data!A:D, 4, FALSE), "MISSING SSI")</f>
        <v>Deutsche Bank A/C 983712</v>
      </c>
      <c r="F1569">
        <f>FO_Capture!D1569</f>
        <v>400</v>
      </c>
      <c r="G1569">
        <f>FO_Capture!E1569</f>
        <v>501.3900146484375</v>
      </c>
      <c r="H1569">
        <f t="shared" si="48"/>
        <v>200556.005859375</v>
      </c>
      <c r="I1569" t="str">
        <f t="shared" si="49"/>
        <v>Pass - Ready for Confirmation</v>
      </c>
    </row>
    <row r="1570" spans="1:9" x14ac:dyDescent="0.3">
      <c r="A1570" t="str">
        <f>FO_Capture!A1570</f>
        <v>TRD01569</v>
      </c>
      <c r="B1570" t="str">
        <f>FO_Capture!B1570</f>
        <v>INE005A01097</v>
      </c>
      <c r="C1570" t="str">
        <f>IFERROR(VLOOKUP(FO_Capture!C1570, Reference_Data!A:D, 2, FALSE), "UNKNOWN")</f>
        <v>Alpha Quant Fund 12</v>
      </c>
      <c r="D1570" t="str">
        <f>IFERROR(VLOOKUP(FO_Capture!C1570, Reference_Data!A:D, 3, FALSE), "XXX")</f>
        <v>EUR</v>
      </c>
      <c r="E1570" t="str">
        <f>IFERROR(VLOOKUP(FO_Capture!C1570, Reference_Data!A:D, 4, FALSE), "MISSING SSI")</f>
        <v>Deutsche Bank A/C 324710</v>
      </c>
      <c r="F1570">
        <f>FO_Capture!D1570</f>
        <v>240</v>
      </c>
      <c r="G1570">
        <f>FO_Capture!E1570</f>
        <v>490.25</v>
      </c>
      <c r="H1570">
        <f t="shared" si="48"/>
        <v>117660</v>
      </c>
      <c r="I1570" t="str">
        <f t="shared" si="49"/>
        <v>Pass - Ready for Confirmation</v>
      </c>
    </row>
    <row r="1571" spans="1:9" x14ac:dyDescent="0.3">
      <c r="A1571" t="str">
        <f>FO_Capture!A1571</f>
        <v>TRD01570</v>
      </c>
      <c r="B1571" t="str">
        <f>FO_Capture!B1571</f>
        <v>INE009A01092</v>
      </c>
      <c r="C1571" t="str">
        <f>IFERROR(VLOOKUP(FO_Capture!C1571, Reference_Data!A:D, 2, FALSE), "UNKNOWN")</f>
        <v>Alpha Holdings 49</v>
      </c>
      <c r="D1571" t="str">
        <f>IFERROR(VLOOKUP(FO_Capture!C1571, Reference_Data!A:D, 3, FALSE), "XXX")</f>
        <v>JPY</v>
      </c>
      <c r="E1571" t="str">
        <f>IFERROR(VLOOKUP(FO_Capture!C1571, Reference_Data!A:D, 4, FALSE), "MISSING SSI")</f>
        <v>HDFC A/C 679335</v>
      </c>
      <c r="F1571">
        <f>FO_Capture!D1571</f>
        <v>250</v>
      </c>
      <c r="G1571">
        <f>FO_Capture!E1571</f>
        <v>395.75</v>
      </c>
      <c r="H1571">
        <f t="shared" si="48"/>
        <v>98937.5</v>
      </c>
      <c r="I1571" t="str">
        <f t="shared" si="49"/>
        <v>Pass - Ready for Confirmation</v>
      </c>
    </row>
    <row r="1572" spans="1:9" x14ac:dyDescent="0.3">
      <c r="A1572" t="str">
        <f>FO_Capture!A1572</f>
        <v>TRD01571</v>
      </c>
      <c r="B1572" t="str">
        <f>FO_Capture!B1572</f>
        <v>INE004A01027</v>
      </c>
      <c r="C1572" t="str">
        <f>IFERROR(VLOOKUP(FO_Capture!C1572, Reference_Data!A:D, 2, FALSE), "UNKNOWN")</f>
        <v>Alpha Quant Fund 27</v>
      </c>
      <c r="D1572" t="str">
        <f>IFERROR(VLOOKUP(FO_Capture!C1572, Reference_Data!A:D, 3, FALSE), "XXX")</f>
        <v>EUR</v>
      </c>
      <c r="E1572" t="str">
        <f>IFERROR(VLOOKUP(FO_Capture!C1572, Reference_Data!A:D, 4, FALSE), "MISSING SSI")</f>
        <v>Standard Chartered A/C 331839</v>
      </c>
      <c r="F1572">
        <f>FO_Capture!D1572</f>
        <v>200</v>
      </c>
      <c r="G1572">
        <f>FO_Capture!E1572</f>
        <v>146.83999633789063</v>
      </c>
      <c r="H1572">
        <f t="shared" si="48"/>
        <v>29367.999267578125</v>
      </c>
      <c r="I1572" t="str">
        <f t="shared" si="49"/>
        <v>Pass - Ready for Confirmation</v>
      </c>
    </row>
    <row r="1573" spans="1:9" x14ac:dyDescent="0.3">
      <c r="A1573" t="str">
        <f>FO_Capture!A1573</f>
        <v>TRD01572</v>
      </c>
      <c r="B1573" t="str">
        <f>FO_Capture!B1573</f>
        <v>INE008A01074</v>
      </c>
      <c r="C1573" t="str">
        <f>IFERROR(VLOOKUP(FO_Capture!C1573, Reference_Data!A:D, 2, FALSE), "UNKNOWN")</f>
        <v>Alpha Partners 19</v>
      </c>
      <c r="D1573" t="str">
        <f>IFERROR(VLOOKUP(FO_Capture!C1573, Reference_Data!A:D, 3, FALSE), "XXX")</f>
        <v>INR</v>
      </c>
      <c r="E1573" t="str">
        <f>IFERROR(VLOOKUP(FO_Capture!C1573, Reference_Data!A:D, 4, FALSE), "MISSING SSI")</f>
        <v>Citi A/C 543819</v>
      </c>
      <c r="F1573">
        <f>FO_Capture!D1573</f>
        <v>210</v>
      </c>
      <c r="G1573">
        <f>FO_Capture!E1573</f>
        <v>117.79000091552734</v>
      </c>
      <c r="H1573">
        <f t="shared" si="48"/>
        <v>24735.900192260742</v>
      </c>
      <c r="I1573" t="str">
        <f t="shared" si="49"/>
        <v>Pass - Ready for Confirmation</v>
      </c>
    </row>
    <row r="1574" spans="1:9" x14ac:dyDescent="0.3">
      <c r="A1574" t="str">
        <f>FO_Capture!A1574</f>
        <v>TRD01573</v>
      </c>
      <c r="B1574" t="str">
        <f>FO_Capture!B1574</f>
        <v>INE004A0108</v>
      </c>
      <c r="C1574" t="str">
        <f>IFERROR(VLOOKUP(FO_Capture!C1574, Reference_Data!A:D, 2, FALSE), "UNKNOWN")</f>
        <v>Alpha Asset Management 8</v>
      </c>
      <c r="D1574" t="str">
        <f>IFERROR(VLOOKUP(FO_Capture!C1574, Reference_Data!A:D, 3, FALSE), "XXX")</f>
        <v>GBP</v>
      </c>
      <c r="E1574" t="str">
        <f>IFERROR(VLOOKUP(FO_Capture!C1574, Reference_Data!A:D, 4, FALSE), "MISSING SSI")</f>
        <v>HDFC A/C 180445</v>
      </c>
      <c r="F1574">
        <f>FO_Capture!D1574</f>
        <v>20</v>
      </c>
      <c r="G1574">
        <f>FO_Capture!E1574</f>
        <v>378.17001342773438</v>
      </c>
      <c r="H1574">
        <f t="shared" si="48"/>
        <v>7563.4002685546875</v>
      </c>
      <c r="I1574" t="str">
        <f t="shared" si="49"/>
        <v>Pass - Ready for Confirmation</v>
      </c>
    </row>
    <row r="1575" spans="1:9" x14ac:dyDescent="0.3">
      <c r="A1575" t="str">
        <f>FO_Capture!A1575</f>
        <v>TRD01574</v>
      </c>
      <c r="B1575" t="str">
        <f>FO_Capture!B1575</f>
        <v>INE003A01053</v>
      </c>
      <c r="C1575" t="str">
        <f>IFERROR(VLOOKUP(FO_Capture!C1575, Reference_Data!A:D, 2, FALSE), "UNKNOWN")</f>
        <v>Alpha Capital 7</v>
      </c>
      <c r="D1575" t="str">
        <f>IFERROR(VLOOKUP(FO_Capture!C1575, Reference_Data!A:D, 3, FALSE), "XXX")</f>
        <v>INR</v>
      </c>
      <c r="E1575" t="str">
        <f>IFERROR(VLOOKUP(FO_Capture!C1575, Reference_Data!A:D, 4, FALSE), "MISSING SSI")</f>
        <v>Standard Chartered A/C 682134</v>
      </c>
      <c r="F1575">
        <f>FO_Capture!D1575</f>
        <v>190</v>
      </c>
      <c r="G1575">
        <f>FO_Capture!E1575</f>
        <v>442.8800048828125</v>
      </c>
      <c r="H1575">
        <f t="shared" si="48"/>
        <v>84147.200927734375</v>
      </c>
      <c r="I1575" t="str">
        <f t="shared" si="49"/>
        <v>Pass - Ready for Confirmation</v>
      </c>
    </row>
    <row r="1576" spans="1:9" x14ac:dyDescent="0.3">
      <c r="A1576" t="str">
        <f>FO_Capture!A1576</f>
        <v>TRD01575</v>
      </c>
      <c r="B1576" t="str">
        <f>FO_Capture!B1576</f>
        <v>INE009A01037</v>
      </c>
      <c r="C1576" t="str">
        <f>IFERROR(VLOOKUP(FO_Capture!C1576, Reference_Data!A:D, 2, FALSE), "UNKNOWN")</f>
        <v>Alpha Partners 37</v>
      </c>
      <c r="D1576" t="str">
        <f>IFERROR(VLOOKUP(FO_Capture!C1576, Reference_Data!A:D, 3, FALSE), "XXX")</f>
        <v>JPY</v>
      </c>
      <c r="E1576" t="str">
        <f>IFERROR(VLOOKUP(FO_Capture!C1576, Reference_Data!A:D, 4, FALSE), "MISSING SSI")</f>
        <v>HSBC A/C 994063</v>
      </c>
      <c r="F1576">
        <f>FO_Capture!D1576</f>
        <v>410</v>
      </c>
      <c r="G1576">
        <f>FO_Capture!E1576</f>
        <v>22.120000839233398</v>
      </c>
      <c r="H1576">
        <f t="shared" si="48"/>
        <v>9069.2003440856934</v>
      </c>
      <c r="I1576" t="str">
        <f t="shared" si="49"/>
        <v>Pass - Ready for Confirmation</v>
      </c>
    </row>
    <row r="1577" spans="1:9" x14ac:dyDescent="0.3">
      <c r="A1577" t="str">
        <f>FO_Capture!A1577</f>
        <v>TRD01576</v>
      </c>
      <c r="B1577" t="str">
        <f>FO_Capture!B1577</f>
        <v>INE004A01038</v>
      </c>
      <c r="C1577" t="str">
        <f>IFERROR(VLOOKUP(FO_Capture!C1577, Reference_Data!A:D, 2, FALSE), "UNKNOWN")</f>
        <v>Alpha Quant Fund 50</v>
      </c>
      <c r="D1577" t="str">
        <f>IFERROR(VLOOKUP(FO_Capture!C1577, Reference_Data!A:D, 3, FALSE), "XXX")</f>
        <v>SGD</v>
      </c>
      <c r="E1577" t="str">
        <f>IFERROR(VLOOKUP(FO_Capture!C1577, Reference_Data!A:D, 4, FALSE), "MISSING SSI")</f>
        <v>Standard Chartered A/C 307017</v>
      </c>
      <c r="F1577">
        <f>FO_Capture!D1577</f>
        <v>220</v>
      </c>
      <c r="G1577">
        <f>FO_Capture!E1577</f>
        <v>271.42001342773438</v>
      </c>
      <c r="H1577">
        <f t="shared" si="48"/>
        <v>59712.402954101563</v>
      </c>
      <c r="I1577" t="str">
        <f t="shared" si="49"/>
        <v>Pass - Ready for Confirmation</v>
      </c>
    </row>
    <row r="1578" spans="1:9" x14ac:dyDescent="0.3">
      <c r="A1578" t="str">
        <f>FO_Capture!A1578</f>
        <v>TRD01577</v>
      </c>
      <c r="B1578" t="str">
        <f>FO_Capture!B1578</f>
        <v>INE004A01035</v>
      </c>
      <c r="C1578" t="str">
        <f>IFERROR(VLOOKUP(FO_Capture!C1578, Reference_Data!A:D, 2, FALSE), "UNKNOWN")</f>
        <v>Alpha Partners 6</v>
      </c>
      <c r="D1578" t="str">
        <f>IFERROR(VLOOKUP(FO_Capture!C1578, Reference_Data!A:D, 3, FALSE), "XXX")</f>
        <v>INR</v>
      </c>
      <c r="E1578" t="str">
        <f>IFERROR(VLOOKUP(FO_Capture!C1578, Reference_Data!A:D, 4, FALSE), "MISSING SSI")</f>
        <v>Standard Chartered A/C 441247</v>
      </c>
      <c r="F1578">
        <f>FO_Capture!D1578</f>
        <v>240</v>
      </c>
      <c r="G1578">
        <f>FO_Capture!E1578</f>
        <v>41.590000152587891</v>
      </c>
      <c r="H1578">
        <f t="shared" si="48"/>
        <v>9981.6000366210938</v>
      </c>
      <c r="I1578" t="str">
        <f t="shared" si="49"/>
        <v>Pass - Ready for Confirmation</v>
      </c>
    </row>
    <row r="1579" spans="1:9" x14ac:dyDescent="0.3">
      <c r="A1579" t="str">
        <f>FO_Capture!A1579</f>
        <v>TRD01578</v>
      </c>
      <c r="B1579" t="str">
        <f>FO_Capture!B1579</f>
        <v>INE003A01060</v>
      </c>
      <c r="C1579" t="str">
        <f>IFERROR(VLOOKUP(FO_Capture!C1579, Reference_Data!A:D, 2, FALSE), "UNKNOWN")</f>
        <v>Alpha Holdings 47</v>
      </c>
      <c r="D1579" t="str">
        <f>IFERROR(VLOOKUP(FO_Capture!C1579, Reference_Data!A:D, 3, FALSE), "XXX")</f>
        <v>GBP</v>
      </c>
      <c r="E1579" t="str">
        <f>IFERROR(VLOOKUP(FO_Capture!C1579, Reference_Data!A:D, 4, FALSE), "MISSING SSI")</f>
        <v>Citi A/C 703401</v>
      </c>
      <c r="F1579">
        <f>FO_Capture!D1579</f>
        <v>460</v>
      </c>
      <c r="G1579">
        <f>FO_Capture!E1579</f>
        <v>128.80000305175781</v>
      </c>
      <c r="H1579">
        <f t="shared" si="48"/>
        <v>59248.001403808594</v>
      </c>
      <c r="I1579" t="str">
        <f t="shared" si="49"/>
        <v>Pass - Ready for Confirmation</v>
      </c>
    </row>
    <row r="1580" spans="1:9" x14ac:dyDescent="0.3">
      <c r="A1580" t="str">
        <f>FO_Capture!A1580</f>
        <v>TRD01579</v>
      </c>
      <c r="B1580" t="str">
        <f>FO_Capture!B1580</f>
        <v>INE008A01047</v>
      </c>
      <c r="C1580" t="str">
        <f>IFERROR(VLOOKUP(FO_Capture!C1580, Reference_Data!A:D, 2, FALSE), "UNKNOWN")</f>
        <v>Alpha Holdings 21</v>
      </c>
      <c r="D1580" t="str">
        <f>IFERROR(VLOOKUP(FO_Capture!C1580, Reference_Data!A:D, 3, FALSE), "XXX")</f>
        <v>SGD</v>
      </c>
      <c r="E1580" t="str">
        <f>IFERROR(VLOOKUP(FO_Capture!C1580, Reference_Data!A:D, 4, FALSE), "MISSING SSI")</f>
        <v>HSBC A/C 562956</v>
      </c>
      <c r="F1580">
        <f>FO_Capture!D1580</f>
        <v>460</v>
      </c>
      <c r="G1580">
        <f>FO_Capture!E1580</f>
        <v>24.479999542236328</v>
      </c>
      <c r="H1580">
        <f t="shared" si="48"/>
        <v>11260.799789428711</v>
      </c>
      <c r="I1580" t="str">
        <f t="shared" si="49"/>
        <v>Pass - Ready for Confirmation</v>
      </c>
    </row>
    <row r="1581" spans="1:9" x14ac:dyDescent="0.3">
      <c r="A1581" t="str">
        <f>FO_Capture!A1581</f>
        <v>TRD01580</v>
      </c>
      <c r="B1581" t="str">
        <f>FO_Capture!B1581</f>
        <v>INE005A01079</v>
      </c>
      <c r="C1581" t="str">
        <f>IFERROR(VLOOKUP(FO_Capture!C1581, Reference_Data!A:D, 2, FALSE), "UNKNOWN")</f>
        <v>Alpha Capital 10</v>
      </c>
      <c r="D1581" t="str">
        <f>IFERROR(VLOOKUP(FO_Capture!C1581, Reference_Data!A:D, 3, FALSE), "XXX")</f>
        <v>USD</v>
      </c>
      <c r="E1581" t="str">
        <f>IFERROR(VLOOKUP(FO_Capture!C1581, Reference_Data!A:D, 4, FALSE), "MISSING SSI")</f>
        <v>HDFC A/C 543407</v>
      </c>
      <c r="F1581">
        <f>FO_Capture!D1581</f>
        <v>190</v>
      </c>
      <c r="G1581">
        <f>FO_Capture!E1581</f>
        <v>165.39999389648438</v>
      </c>
      <c r="H1581">
        <f t="shared" si="48"/>
        <v>31425.998840332031</v>
      </c>
      <c r="I1581" t="str">
        <f t="shared" si="49"/>
        <v>Pass - Ready for Confirmation</v>
      </c>
    </row>
    <row r="1582" spans="1:9" x14ac:dyDescent="0.3">
      <c r="A1582" t="str">
        <f>FO_Capture!A1582</f>
        <v>TRD01581</v>
      </c>
      <c r="B1582" t="str">
        <f>FO_Capture!B1582</f>
        <v>INE003A01044</v>
      </c>
      <c r="C1582" t="str">
        <f>IFERROR(VLOOKUP(FO_Capture!C1582, Reference_Data!A:D, 2, FALSE), "UNKNOWN")</f>
        <v>Alpha Partners 1</v>
      </c>
      <c r="D1582" t="str">
        <f>IFERROR(VLOOKUP(FO_Capture!C1582, Reference_Data!A:D, 3, FALSE), "XXX")</f>
        <v>JPY</v>
      </c>
      <c r="E1582" t="str">
        <f>IFERROR(VLOOKUP(FO_Capture!C1582, Reference_Data!A:D, 4, FALSE), "MISSING SSI")</f>
        <v>Standard Chartered A/C 277005</v>
      </c>
      <c r="F1582">
        <f>FO_Capture!D1582</f>
        <v>180</v>
      </c>
      <c r="G1582">
        <f>FO_Capture!E1582</f>
        <v>183.66000366210938</v>
      </c>
      <c r="H1582">
        <f t="shared" si="48"/>
        <v>33058.800659179688</v>
      </c>
      <c r="I1582" t="str">
        <f t="shared" si="49"/>
        <v>Pass - Ready for Confirmation</v>
      </c>
    </row>
    <row r="1583" spans="1:9" x14ac:dyDescent="0.3">
      <c r="A1583" t="str">
        <f>FO_Capture!A1583</f>
        <v>TRD01582</v>
      </c>
      <c r="B1583" t="str">
        <f>FO_Capture!B1583</f>
        <v>INE007A01079</v>
      </c>
      <c r="C1583" t="str">
        <f>IFERROR(VLOOKUP(FO_Capture!C1583, Reference_Data!A:D, 2, FALSE), "UNKNOWN")</f>
        <v>Alpha Global 14</v>
      </c>
      <c r="D1583" t="str">
        <f>IFERROR(VLOOKUP(FO_Capture!C1583, Reference_Data!A:D, 3, FALSE), "XXX")</f>
        <v>USD</v>
      </c>
      <c r="E1583" t="str">
        <f>IFERROR(VLOOKUP(FO_Capture!C1583, Reference_Data!A:D, 4, FALSE), "MISSING SSI")</f>
        <v>HSBC A/C 864249</v>
      </c>
      <c r="F1583">
        <f>FO_Capture!D1583</f>
        <v>320</v>
      </c>
      <c r="G1583">
        <f>FO_Capture!E1583</f>
        <v>156.6300048828125</v>
      </c>
      <c r="H1583">
        <f t="shared" si="48"/>
        <v>50121.6015625</v>
      </c>
      <c r="I1583" t="str">
        <f t="shared" si="49"/>
        <v>Pass - Ready for Confirmation</v>
      </c>
    </row>
    <row r="1584" spans="1:9" x14ac:dyDescent="0.3">
      <c r="A1584" t="str">
        <f>FO_Capture!A1584</f>
        <v>TRD01583</v>
      </c>
      <c r="B1584" t="str">
        <f>FO_Capture!B1584</f>
        <v>INE009A01023</v>
      </c>
      <c r="C1584" t="str">
        <f>IFERROR(VLOOKUP(FO_Capture!C1584, Reference_Data!A:D, 2, FALSE), "UNKNOWN")</f>
        <v>Alpha Global 25</v>
      </c>
      <c r="D1584" t="str">
        <f>IFERROR(VLOOKUP(FO_Capture!C1584, Reference_Data!A:D, 3, FALSE), "XXX")</f>
        <v>EUR</v>
      </c>
      <c r="E1584" t="str">
        <f>IFERROR(VLOOKUP(FO_Capture!C1584, Reference_Data!A:D, 4, FALSE), "MISSING SSI")</f>
        <v>Standard Chartered A/C 438949</v>
      </c>
      <c r="F1584">
        <f>FO_Capture!D1584</f>
        <v>110</v>
      </c>
      <c r="G1584">
        <f>FO_Capture!E1584</f>
        <v>357.02999877929688</v>
      </c>
      <c r="H1584">
        <f t="shared" si="48"/>
        <v>39273.299865722656</v>
      </c>
      <c r="I1584" t="str">
        <f t="shared" si="49"/>
        <v>Pass - Ready for Confirmation</v>
      </c>
    </row>
    <row r="1585" spans="1:9" x14ac:dyDescent="0.3">
      <c r="A1585" t="str">
        <f>FO_Capture!A1585</f>
        <v>TRD01584</v>
      </c>
      <c r="B1585" t="str">
        <f>FO_Capture!B1585</f>
        <v>INE008A01066</v>
      </c>
      <c r="C1585" t="str">
        <f>IFERROR(VLOOKUP(FO_Capture!C1585, Reference_Data!A:D, 2, FALSE), "UNKNOWN")</f>
        <v>Alpha Global 45</v>
      </c>
      <c r="D1585" t="str">
        <f>IFERROR(VLOOKUP(FO_Capture!C1585, Reference_Data!A:D, 3, FALSE), "XXX")</f>
        <v>EUR</v>
      </c>
      <c r="E1585" t="str">
        <f>IFERROR(VLOOKUP(FO_Capture!C1585, Reference_Data!A:D, 4, FALSE), "MISSING SSI")</f>
        <v>HSBC A/C 540659</v>
      </c>
      <c r="F1585">
        <f>FO_Capture!D1585</f>
        <v>390</v>
      </c>
      <c r="G1585">
        <f>FO_Capture!E1585</f>
        <v>502.8699951171875</v>
      </c>
      <c r="H1585">
        <f t="shared" si="48"/>
        <v>196119.29809570313</v>
      </c>
      <c r="I1585" t="str">
        <f t="shared" si="49"/>
        <v>Pass - Ready for Confirmation</v>
      </c>
    </row>
    <row r="1586" spans="1:9" x14ac:dyDescent="0.3">
      <c r="A1586" t="str">
        <f>FO_Capture!A1586</f>
        <v>TRD01585</v>
      </c>
      <c r="B1586" t="str">
        <f>FO_Capture!B1586</f>
        <v>INE006A0103</v>
      </c>
      <c r="C1586" t="str">
        <f>IFERROR(VLOOKUP(FO_Capture!C1586, Reference_Data!A:D, 2, FALSE), "UNKNOWN")</f>
        <v>Alpha Capital 38</v>
      </c>
      <c r="D1586" t="str">
        <f>IFERROR(VLOOKUP(FO_Capture!C1586, Reference_Data!A:D, 3, FALSE), "XXX")</f>
        <v>SGD</v>
      </c>
      <c r="E1586" t="str">
        <f>IFERROR(VLOOKUP(FO_Capture!C1586, Reference_Data!A:D, 4, FALSE), "MISSING SSI")</f>
        <v>Deutsche Bank A/C 153521</v>
      </c>
      <c r="F1586">
        <f>FO_Capture!D1586</f>
        <v>100</v>
      </c>
      <c r="G1586">
        <f>FO_Capture!E1586</f>
        <v>507.48001098632813</v>
      </c>
      <c r="H1586">
        <f t="shared" si="48"/>
        <v>50748.001098632813</v>
      </c>
      <c r="I1586" t="str">
        <f t="shared" si="49"/>
        <v>Pass - Ready for Confirmation</v>
      </c>
    </row>
    <row r="1587" spans="1:9" x14ac:dyDescent="0.3">
      <c r="A1587" t="str">
        <f>FO_Capture!A1587</f>
        <v>TRD01586</v>
      </c>
      <c r="B1587" t="str">
        <f>FO_Capture!B1587</f>
        <v>INE003A01074</v>
      </c>
      <c r="C1587" t="str">
        <f>IFERROR(VLOOKUP(FO_Capture!C1587, Reference_Data!A:D, 2, FALSE), "UNKNOWN")</f>
        <v>Alpha Partners 3</v>
      </c>
      <c r="D1587" t="str">
        <f>IFERROR(VLOOKUP(FO_Capture!C1587, Reference_Data!A:D, 3, FALSE), "XXX")</f>
        <v>USD</v>
      </c>
      <c r="E1587" t="str">
        <f>IFERROR(VLOOKUP(FO_Capture!C1587, Reference_Data!A:D, 4, FALSE), "MISSING SSI")</f>
        <v>Citi A/C 508769</v>
      </c>
      <c r="F1587">
        <f>FO_Capture!D1587</f>
        <v>50</v>
      </c>
      <c r="G1587">
        <f>FO_Capture!E1587</f>
        <v>229.50999450683594</v>
      </c>
      <c r="H1587">
        <f t="shared" si="48"/>
        <v>11475.499725341797</v>
      </c>
      <c r="I1587" t="str">
        <f t="shared" si="49"/>
        <v>Pass - Ready for Confirmation</v>
      </c>
    </row>
    <row r="1588" spans="1:9" x14ac:dyDescent="0.3">
      <c r="A1588" t="str">
        <f>FO_Capture!A1588</f>
        <v>TRD01587</v>
      </c>
      <c r="B1588" t="str">
        <f>FO_Capture!B1588</f>
        <v>INE001A01029</v>
      </c>
      <c r="C1588" t="str">
        <f>IFERROR(VLOOKUP(FO_Capture!C1588, Reference_Data!A:D, 2, FALSE), "UNKNOWN")</f>
        <v>Alpha Capital 44</v>
      </c>
      <c r="D1588" t="str">
        <f>IFERROR(VLOOKUP(FO_Capture!C1588, Reference_Data!A:D, 3, FALSE), "XXX")</f>
        <v>INR</v>
      </c>
      <c r="E1588" t="str">
        <f>IFERROR(VLOOKUP(FO_Capture!C1588, Reference_Data!A:D, 4, FALSE), "MISSING SSI")</f>
        <v>Deutsche Bank A/C 428758</v>
      </c>
      <c r="F1588">
        <f>FO_Capture!D1588</f>
        <v>120</v>
      </c>
      <c r="G1588">
        <f>FO_Capture!E1588</f>
        <v>222.91000366210938</v>
      </c>
      <c r="H1588">
        <f t="shared" si="48"/>
        <v>26749.200439453125</v>
      </c>
      <c r="I1588" t="str">
        <f t="shared" si="49"/>
        <v>Pass - Ready for Confirmation</v>
      </c>
    </row>
    <row r="1589" spans="1:9" x14ac:dyDescent="0.3">
      <c r="A1589" t="str">
        <f>FO_Capture!A1589</f>
        <v>TRD01588</v>
      </c>
      <c r="B1589" t="str">
        <f>FO_Capture!B1589</f>
        <v>INE003A01062</v>
      </c>
      <c r="C1589" t="str">
        <f>IFERROR(VLOOKUP(FO_Capture!C1589, Reference_Data!A:D, 2, FALSE), "UNKNOWN")</f>
        <v>Alpha Quant Fund 50</v>
      </c>
      <c r="D1589" t="str">
        <f>IFERROR(VLOOKUP(FO_Capture!C1589, Reference_Data!A:D, 3, FALSE), "XXX")</f>
        <v>SGD</v>
      </c>
      <c r="E1589" t="str">
        <f>IFERROR(VLOOKUP(FO_Capture!C1589, Reference_Data!A:D, 4, FALSE), "MISSING SSI")</f>
        <v>Standard Chartered A/C 307017</v>
      </c>
      <c r="F1589">
        <f>FO_Capture!D1589</f>
        <v>80</v>
      </c>
      <c r="G1589">
        <f>FO_Capture!E1589</f>
        <v>486.95001220703125</v>
      </c>
      <c r="H1589">
        <f t="shared" si="48"/>
        <v>38956.0009765625</v>
      </c>
      <c r="I1589" t="str">
        <f t="shared" si="49"/>
        <v>Pass - Ready for Confirmation</v>
      </c>
    </row>
    <row r="1590" spans="1:9" x14ac:dyDescent="0.3">
      <c r="A1590" t="str">
        <f>FO_Capture!A1590</f>
        <v>TRD01589</v>
      </c>
      <c r="B1590" t="str">
        <f>FO_Capture!B1590</f>
        <v>INE004A01074</v>
      </c>
      <c r="C1590" t="str">
        <f>IFERROR(VLOOKUP(FO_Capture!C1590, Reference_Data!A:D, 2, FALSE), "UNKNOWN")</f>
        <v>Alpha Asset Management 13</v>
      </c>
      <c r="D1590" t="str">
        <f>IFERROR(VLOOKUP(FO_Capture!C1590, Reference_Data!A:D, 3, FALSE), "XXX")</f>
        <v>INR</v>
      </c>
      <c r="E1590" t="str">
        <f>IFERROR(VLOOKUP(FO_Capture!C1590, Reference_Data!A:D, 4, FALSE), "MISSING SSI")</f>
        <v>HSBC A/C 972195</v>
      </c>
      <c r="F1590">
        <f>FO_Capture!D1590</f>
        <v>270</v>
      </c>
      <c r="G1590">
        <f>FO_Capture!E1590</f>
        <v>216.19999694824219</v>
      </c>
      <c r="H1590">
        <f t="shared" si="48"/>
        <v>58373.999176025391</v>
      </c>
      <c r="I1590" t="str">
        <f t="shared" si="49"/>
        <v>Pass - Ready for Confirmation</v>
      </c>
    </row>
    <row r="1591" spans="1:9" x14ac:dyDescent="0.3">
      <c r="A1591" t="str">
        <f>FO_Capture!A1591</f>
        <v>TRD01590</v>
      </c>
      <c r="B1591" t="str">
        <f>FO_Capture!B1591</f>
        <v>INE007A01014</v>
      </c>
      <c r="C1591" t="str">
        <f>IFERROR(VLOOKUP(FO_Capture!C1591, Reference_Data!A:D, 2, FALSE), "UNKNOWN")</f>
        <v>Alpha Capital 9</v>
      </c>
      <c r="D1591" t="str">
        <f>IFERROR(VLOOKUP(FO_Capture!C1591, Reference_Data!A:D, 3, FALSE), "XXX")</f>
        <v>JPY</v>
      </c>
      <c r="E1591" t="str">
        <f>IFERROR(VLOOKUP(FO_Capture!C1591, Reference_Data!A:D, 4, FALSE), "MISSING SSI")</f>
        <v>Citi A/C 744145</v>
      </c>
      <c r="F1591">
        <f>FO_Capture!D1591</f>
        <v>400</v>
      </c>
      <c r="G1591">
        <f>FO_Capture!E1591</f>
        <v>50.560001373291016</v>
      </c>
      <c r="H1591">
        <f t="shared" si="48"/>
        <v>20224.000549316406</v>
      </c>
      <c r="I1591" t="str">
        <f t="shared" si="49"/>
        <v>Pass - Ready for Confirmation</v>
      </c>
    </row>
    <row r="1592" spans="1:9" x14ac:dyDescent="0.3">
      <c r="A1592" t="str">
        <f>FO_Capture!A1592</f>
        <v>TRD01591</v>
      </c>
      <c r="B1592" t="str">
        <f>FO_Capture!B1592</f>
        <v>INE009A01033</v>
      </c>
      <c r="C1592" t="str">
        <f>IFERROR(VLOOKUP(FO_Capture!C1592, Reference_Data!A:D, 2, FALSE), "UNKNOWN")</f>
        <v>Alpha Holdings 23</v>
      </c>
      <c r="D1592" t="str">
        <f>IFERROR(VLOOKUP(FO_Capture!C1592, Reference_Data!A:D, 3, FALSE), "XXX")</f>
        <v>INR</v>
      </c>
      <c r="E1592" t="str">
        <f>IFERROR(VLOOKUP(FO_Capture!C1592, Reference_Data!A:D, 4, FALSE), "MISSING SSI")</f>
        <v>Deutsche Bank A/C 983712</v>
      </c>
      <c r="F1592">
        <f>FO_Capture!D1592</f>
        <v>260</v>
      </c>
      <c r="G1592">
        <f>FO_Capture!E1592</f>
        <v>325.239990234375</v>
      </c>
      <c r="H1592">
        <f t="shared" si="48"/>
        <v>84562.3974609375</v>
      </c>
      <c r="I1592" t="str">
        <f t="shared" si="49"/>
        <v>Pass - Ready for Confirmation</v>
      </c>
    </row>
    <row r="1593" spans="1:9" x14ac:dyDescent="0.3">
      <c r="A1593" t="str">
        <f>FO_Capture!A1593</f>
        <v>TRD01592</v>
      </c>
      <c r="B1593" t="str">
        <f>FO_Capture!B1593</f>
        <v>INE005A01035</v>
      </c>
      <c r="C1593" t="str">
        <f>IFERROR(VLOOKUP(FO_Capture!C1593, Reference_Data!A:D, 2, FALSE), "UNKNOWN")</f>
        <v>Alpha Partners 19</v>
      </c>
      <c r="D1593" t="str">
        <f>IFERROR(VLOOKUP(FO_Capture!C1593, Reference_Data!A:D, 3, FALSE), "XXX")</f>
        <v>INR</v>
      </c>
      <c r="E1593" t="str">
        <f>IFERROR(VLOOKUP(FO_Capture!C1593, Reference_Data!A:D, 4, FALSE), "MISSING SSI")</f>
        <v>Citi A/C 543819</v>
      </c>
      <c r="F1593">
        <f>FO_Capture!D1593</f>
        <v>30</v>
      </c>
      <c r="G1593">
        <f>FO_Capture!E1593</f>
        <v>320.75</v>
      </c>
      <c r="H1593">
        <f t="shared" si="48"/>
        <v>9622.5</v>
      </c>
      <c r="I1593" t="str">
        <f t="shared" si="49"/>
        <v>Pass - Ready for Confirmation</v>
      </c>
    </row>
    <row r="1594" spans="1:9" x14ac:dyDescent="0.3">
      <c r="A1594" t="str">
        <f>FO_Capture!A1594</f>
        <v>TRD01593</v>
      </c>
      <c r="B1594" t="str">
        <f>FO_Capture!B1594</f>
        <v>INE003A01025</v>
      </c>
      <c r="C1594" t="str">
        <f>IFERROR(VLOOKUP(FO_Capture!C1594, Reference_Data!A:D, 2, FALSE), "UNKNOWN")</f>
        <v>Alpha Global 20</v>
      </c>
      <c r="D1594" t="str">
        <f>IFERROR(VLOOKUP(FO_Capture!C1594, Reference_Data!A:D, 3, FALSE), "XXX")</f>
        <v>JPY</v>
      </c>
      <c r="E1594" t="str">
        <f>IFERROR(VLOOKUP(FO_Capture!C1594, Reference_Data!A:D, 4, FALSE), "MISSING SSI")</f>
        <v>Barclays A/C 560891</v>
      </c>
      <c r="F1594">
        <f>FO_Capture!D1594</f>
        <v>450</v>
      </c>
      <c r="G1594">
        <f>FO_Capture!E1594</f>
        <v>12.930000305175781</v>
      </c>
      <c r="H1594">
        <f t="shared" si="48"/>
        <v>5818.5001373291016</v>
      </c>
      <c r="I1594" t="str">
        <f t="shared" si="49"/>
        <v>Pass - Ready for Confirmation</v>
      </c>
    </row>
    <row r="1595" spans="1:9" x14ac:dyDescent="0.3">
      <c r="A1595" t="str">
        <f>FO_Capture!A1595</f>
        <v>TRD01594</v>
      </c>
      <c r="B1595" t="str">
        <f>FO_Capture!B1595</f>
        <v>INE009A01060</v>
      </c>
      <c r="C1595" t="str">
        <f>IFERROR(VLOOKUP(FO_Capture!C1595, Reference_Data!A:D, 2, FALSE), "UNKNOWN")</f>
        <v>Alpha Investments 29</v>
      </c>
      <c r="D1595" t="str">
        <f>IFERROR(VLOOKUP(FO_Capture!C1595, Reference_Data!A:D, 3, FALSE), "XXX")</f>
        <v>INR</v>
      </c>
      <c r="E1595" t="str">
        <f>IFERROR(VLOOKUP(FO_Capture!C1595, Reference_Data!A:D, 4, FALSE), "MISSING SSI")</f>
        <v>HSBC A/C 785870</v>
      </c>
      <c r="F1595">
        <f>FO_Capture!D1595</f>
        <v>140</v>
      </c>
      <c r="G1595">
        <f>FO_Capture!E1595</f>
        <v>322.91000366210938</v>
      </c>
      <c r="H1595">
        <f t="shared" si="48"/>
        <v>45207.400512695313</v>
      </c>
      <c r="I1595" t="str">
        <f t="shared" si="49"/>
        <v>Pass - Ready for Confirmation</v>
      </c>
    </row>
    <row r="1596" spans="1:9" x14ac:dyDescent="0.3">
      <c r="A1596" t="str">
        <f>FO_Capture!A1596</f>
        <v>TRD01595</v>
      </c>
      <c r="B1596" t="str">
        <f>FO_Capture!B1596</f>
        <v>INE004A01097</v>
      </c>
      <c r="C1596" t="str">
        <f>IFERROR(VLOOKUP(FO_Capture!C1596, Reference_Data!A:D, 2, FALSE), "UNKNOWN")</f>
        <v>Alpha Asset Management 8</v>
      </c>
      <c r="D1596" t="str">
        <f>IFERROR(VLOOKUP(FO_Capture!C1596, Reference_Data!A:D, 3, FALSE), "XXX")</f>
        <v>GBP</v>
      </c>
      <c r="E1596" t="str">
        <f>IFERROR(VLOOKUP(FO_Capture!C1596, Reference_Data!A:D, 4, FALSE), "MISSING SSI")</f>
        <v>HDFC A/C 180445</v>
      </c>
      <c r="F1596">
        <f>FO_Capture!D1596</f>
        <v>300</v>
      </c>
      <c r="G1596">
        <f>FO_Capture!E1596</f>
        <v>367.14999389648438</v>
      </c>
      <c r="H1596">
        <f t="shared" si="48"/>
        <v>110144.99816894531</v>
      </c>
      <c r="I1596" t="str">
        <f t="shared" si="49"/>
        <v>Pass - Ready for Confirmation</v>
      </c>
    </row>
    <row r="1597" spans="1:9" x14ac:dyDescent="0.3">
      <c r="A1597" t="str">
        <f>FO_Capture!A1597</f>
        <v>TRD01596</v>
      </c>
      <c r="B1597" t="str">
        <f>FO_Capture!B1597</f>
        <v>INE004A01048</v>
      </c>
      <c r="C1597" t="str">
        <f>IFERROR(VLOOKUP(FO_Capture!C1597, Reference_Data!A:D, 2, FALSE), "UNKNOWN")</f>
        <v>Alpha Quant Fund 50</v>
      </c>
      <c r="D1597" t="str">
        <f>IFERROR(VLOOKUP(FO_Capture!C1597, Reference_Data!A:D, 3, FALSE), "XXX")</f>
        <v>SGD</v>
      </c>
      <c r="E1597" t="str">
        <f>IFERROR(VLOOKUP(FO_Capture!C1597, Reference_Data!A:D, 4, FALSE), "MISSING SSI")</f>
        <v>Standard Chartered A/C 307017</v>
      </c>
      <c r="F1597">
        <f>FO_Capture!D1597</f>
        <v>500</v>
      </c>
      <c r="G1597">
        <f>FO_Capture!E1597</f>
        <v>207.41000366210938</v>
      </c>
      <c r="H1597">
        <f t="shared" si="48"/>
        <v>103705.00183105469</v>
      </c>
      <c r="I1597" t="str">
        <f t="shared" si="49"/>
        <v>Pass - Ready for Confirmation</v>
      </c>
    </row>
    <row r="1598" spans="1:9" x14ac:dyDescent="0.3">
      <c r="A1598" t="str">
        <f>FO_Capture!A1598</f>
        <v>TRD01597</v>
      </c>
      <c r="B1598" t="str">
        <f>FO_Capture!B1598</f>
        <v>INE002A01022</v>
      </c>
      <c r="C1598" t="str">
        <f>IFERROR(VLOOKUP(FO_Capture!C1598, Reference_Data!A:D, 2, FALSE), "UNKNOWN")</f>
        <v>Alpha Asset Management 5</v>
      </c>
      <c r="D1598" t="str">
        <f>IFERROR(VLOOKUP(FO_Capture!C1598, Reference_Data!A:D, 3, FALSE), "XXX")</f>
        <v>INR</v>
      </c>
      <c r="E1598" t="str">
        <f>IFERROR(VLOOKUP(FO_Capture!C1598, Reference_Data!A:D, 4, FALSE), "MISSING SSI")</f>
        <v>JPMorgan A/C 860462</v>
      </c>
      <c r="F1598">
        <f>FO_Capture!D1598</f>
        <v>25000</v>
      </c>
      <c r="G1598">
        <f>FO_Capture!E1598</f>
        <v>412.26998901367188</v>
      </c>
      <c r="H1598">
        <f t="shared" si="48"/>
        <v>10306749.725341797</v>
      </c>
      <c r="I1598" t="str">
        <f t="shared" si="49"/>
        <v>Exception - Limit Breach</v>
      </c>
    </row>
    <row r="1599" spans="1:9" x14ac:dyDescent="0.3">
      <c r="A1599" t="str">
        <f>FO_Capture!A1599</f>
        <v>TRD01598</v>
      </c>
      <c r="B1599" t="str">
        <f>FO_Capture!B1599</f>
        <v>INE002A01060</v>
      </c>
      <c r="C1599" t="str">
        <f>IFERROR(VLOOKUP(FO_Capture!C1599, Reference_Data!A:D, 2, FALSE), "UNKNOWN")</f>
        <v>Alpha Capital 7</v>
      </c>
      <c r="D1599" t="str">
        <f>IFERROR(VLOOKUP(FO_Capture!C1599, Reference_Data!A:D, 3, FALSE), "XXX")</f>
        <v>INR</v>
      </c>
      <c r="E1599" t="str">
        <f>IFERROR(VLOOKUP(FO_Capture!C1599, Reference_Data!A:D, 4, FALSE), "MISSING SSI")</f>
        <v>Standard Chartered A/C 682134</v>
      </c>
      <c r="F1599">
        <f>FO_Capture!D1599</f>
        <v>40</v>
      </c>
      <c r="G1599">
        <f>FO_Capture!E1599</f>
        <v>37.849998474121094</v>
      </c>
      <c r="H1599">
        <f t="shared" si="48"/>
        <v>1513.9999389648438</v>
      </c>
      <c r="I1599" t="str">
        <f t="shared" si="49"/>
        <v>Pass - Ready for Confirmation</v>
      </c>
    </row>
    <row r="1600" spans="1:9" x14ac:dyDescent="0.3">
      <c r="A1600" t="str">
        <f>FO_Capture!A1600</f>
        <v>TRD01599</v>
      </c>
      <c r="B1600" t="str">
        <f>FO_Capture!B1600</f>
        <v>INE005A0106</v>
      </c>
      <c r="C1600" t="str">
        <f>IFERROR(VLOOKUP(FO_Capture!C1600, Reference_Data!A:D, 2, FALSE), "UNKNOWN")</f>
        <v>Alpha Holdings 47</v>
      </c>
      <c r="D1600" t="str">
        <f>IFERROR(VLOOKUP(FO_Capture!C1600, Reference_Data!A:D, 3, FALSE), "XXX")</f>
        <v>GBP</v>
      </c>
      <c r="E1600" t="str">
        <f>IFERROR(VLOOKUP(FO_Capture!C1600, Reference_Data!A:D, 4, FALSE), "MISSING SSI")</f>
        <v>Citi A/C 703401</v>
      </c>
      <c r="F1600">
        <f>FO_Capture!D1600</f>
        <v>450</v>
      </c>
      <c r="G1600">
        <f>FO_Capture!E1600</f>
        <v>500.3900146484375</v>
      </c>
      <c r="H1600">
        <f t="shared" si="48"/>
        <v>225175.50659179688</v>
      </c>
      <c r="I1600" t="str">
        <f t="shared" si="49"/>
        <v>Pass - Ready for Confirmation</v>
      </c>
    </row>
    <row r="1601" spans="1:9" x14ac:dyDescent="0.3">
      <c r="A1601" t="str">
        <f>FO_Capture!A1601</f>
        <v>TRD01600</v>
      </c>
      <c r="B1601" t="str">
        <f>FO_Capture!B1601</f>
        <v>INE001A01060</v>
      </c>
      <c r="C1601" t="str">
        <f>IFERROR(VLOOKUP(FO_Capture!C1601, Reference_Data!A:D, 2, FALSE), "UNKNOWN")</f>
        <v>Alpha Global 45</v>
      </c>
      <c r="D1601" t="str">
        <f>IFERROR(VLOOKUP(FO_Capture!C1601, Reference_Data!A:D, 3, FALSE), "XXX")</f>
        <v>EUR</v>
      </c>
      <c r="E1601" t="str">
        <f>IFERROR(VLOOKUP(FO_Capture!C1601, Reference_Data!A:D, 4, FALSE), "MISSING SSI")</f>
        <v>HSBC A/C 540659</v>
      </c>
      <c r="F1601">
        <f>FO_Capture!D1601</f>
        <v>160</v>
      </c>
      <c r="G1601">
        <f>FO_Capture!E1601</f>
        <v>268.8800048828125</v>
      </c>
      <c r="H1601">
        <f t="shared" si="48"/>
        <v>43020.80078125</v>
      </c>
      <c r="I1601" t="str">
        <f t="shared" si="49"/>
        <v>Pass - Ready for Confirmation</v>
      </c>
    </row>
    <row r="1602" spans="1:9" x14ac:dyDescent="0.3">
      <c r="A1602" t="str">
        <f>FO_Capture!A1602</f>
        <v>TRD01601</v>
      </c>
      <c r="B1602" t="str">
        <f>FO_Capture!B1602</f>
        <v>INE007A01069</v>
      </c>
      <c r="C1602" t="str">
        <f>IFERROR(VLOOKUP(FO_Capture!C1602, Reference_Data!A:D, 2, FALSE), "UNKNOWN")</f>
        <v>Alpha Holdings 49</v>
      </c>
      <c r="D1602" t="str">
        <f>IFERROR(VLOOKUP(FO_Capture!C1602, Reference_Data!A:D, 3, FALSE), "XXX")</f>
        <v>JPY</v>
      </c>
      <c r="E1602" t="str">
        <f>IFERROR(VLOOKUP(FO_Capture!C1602, Reference_Data!A:D, 4, FALSE), "MISSING SSI")</f>
        <v>HDFC A/C 679335</v>
      </c>
      <c r="F1602">
        <f>FO_Capture!D1602</f>
        <v>220</v>
      </c>
      <c r="G1602">
        <f>FO_Capture!E1602</f>
        <v>413.8599853515625</v>
      </c>
      <c r="H1602">
        <f t="shared" si="48"/>
        <v>91049.19677734375</v>
      </c>
      <c r="I1602" t="str">
        <f t="shared" si="49"/>
        <v>Pass - Ready for Confirmation</v>
      </c>
    </row>
    <row r="1603" spans="1:9" x14ac:dyDescent="0.3">
      <c r="A1603" t="str">
        <f>FO_Capture!A1603</f>
        <v>TRD01602</v>
      </c>
      <c r="B1603" t="str">
        <f>FO_Capture!B1603</f>
        <v>INE004A01059</v>
      </c>
      <c r="C1603" t="str">
        <f>IFERROR(VLOOKUP(FO_Capture!C1603, Reference_Data!A:D, 2, FALSE), "UNKNOWN")</f>
        <v>Alpha Asset Management 31</v>
      </c>
      <c r="D1603" t="str">
        <f>IFERROR(VLOOKUP(FO_Capture!C1603, Reference_Data!A:D, 3, FALSE), "XXX")</f>
        <v>USD</v>
      </c>
      <c r="E1603" t="str">
        <f>IFERROR(VLOOKUP(FO_Capture!C1603, Reference_Data!A:D, 4, FALSE), "MISSING SSI")</f>
        <v>Citi A/C 194841</v>
      </c>
      <c r="F1603">
        <f>FO_Capture!D1603</f>
        <v>80</v>
      </c>
      <c r="G1603">
        <f>FO_Capture!E1603</f>
        <v>357.47000122070313</v>
      </c>
      <c r="H1603">
        <f t="shared" ref="H1603:H1666" si="50">F1603 * G1603</f>
        <v>28597.60009765625</v>
      </c>
      <c r="I1603" t="str">
        <f t="shared" ref="I1603:I1666" si="51">IF(C1603="UNKNOWN", "Fail - Missing Ref Data", IF(OR(F1603&lt;=0, G1603&lt;=0), "Fail - Invalid Price/Qty", IF(H1603&gt;1000000, "Exception - Limit Breach", "Pass - Ready for Confirmation")))</f>
        <v>Pass - Ready for Confirmation</v>
      </c>
    </row>
    <row r="1604" spans="1:9" x14ac:dyDescent="0.3">
      <c r="A1604" t="str">
        <f>FO_Capture!A1604</f>
        <v>TRD01603</v>
      </c>
      <c r="B1604" t="str">
        <f>FO_Capture!B1604</f>
        <v>INE001A01089</v>
      </c>
      <c r="C1604" t="str">
        <f>IFERROR(VLOOKUP(FO_Capture!C1604, Reference_Data!A:D, 2, FALSE), "UNKNOWN")</f>
        <v>Alpha Capital 10</v>
      </c>
      <c r="D1604" t="str">
        <f>IFERROR(VLOOKUP(FO_Capture!C1604, Reference_Data!A:D, 3, FALSE), "XXX")</f>
        <v>USD</v>
      </c>
      <c r="E1604" t="str">
        <f>IFERROR(VLOOKUP(FO_Capture!C1604, Reference_Data!A:D, 4, FALSE), "MISSING SSI")</f>
        <v>HDFC A/C 543407</v>
      </c>
      <c r="F1604">
        <f>FO_Capture!D1604</f>
        <v>310</v>
      </c>
      <c r="G1604">
        <f>FO_Capture!E1604</f>
        <v>123.38999938964844</v>
      </c>
      <c r="H1604">
        <f t="shared" si="50"/>
        <v>38250.899810791016</v>
      </c>
      <c r="I1604" t="str">
        <f t="shared" si="51"/>
        <v>Pass - Ready for Confirmation</v>
      </c>
    </row>
    <row r="1605" spans="1:9" x14ac:dyDescent="0.3">
      <c r="A1605" t="str">
        <f>FO_Capture!A1605</f>
        <v>TRD01604</v>
      </c>
      <c r="B1605" t="str">
        <f>FO_Capture!B1605</f>
        <v>INE002A0103</v>
      </c>
      <c r="C1605" t="str">
        <f>IFERROR(VLOOKUP(FO_Capture!C1605, Reference_Data!A:D, 2, FALSE), "UNKNOWN")</f>
        <v>Alpha Quant Fund 27</v>
      </c>
      <c r="D1605" t="str">
        <f>IFERROR(VLOOKUP(FO_Capture!C1605, Reference_Data!A:D, 3, FALSE), "XXX")</f>
        <v>EUR</v>
      </c>
      <c r="E1605" t="str">
        <f>IFERROR(VLOOKUP(FO_Capture!C1605, Reference_Data!A:D, 4, FALSE), "MISSING SSI")</f>
        <v>Standard Chartered A/C 331839</v>
      </c>
      <c r="F1605">
        <f>FO_Capture!D1605</f>
        <v>380</v>
      </c>
      <c r="G1605">
        <f>FO_Capture!E1605</f>
        <v>86.849998474121094</v>
      </c>
      <c r="H1605">
        <f t="shared" si="50"/>
        <v>33002.999420166016</v>
      </c>
      <c r="I1605" t="str">
        <f t="shared" si="51"/>
        <v>Pass - Ready for Confirmation</v>
      </c>
    </row>
    <row r="1606" spans="1:9" x14ac:dyDescent="0.3">
      <c r="A1606" t="str">
        <f>FO_Capture!A1606</f>
        <v>TRD01605</v>
      </c>
      <c r="B1606" t="str">
        <f>FO_Capture!B1606</f>
        <v>INE008A01074</v>
      </c>
      <c r="C1606" t="str">
        <f>IFERROR(VLOOKUP(FO_Capture!C1606, Reference_Data!A:D, 2, FALSE), "UNKNOWN")</f>
        <v>Alpha Holdings 23</v>
      </c>
      <c r="D1606" t="str">
        <f>IFERROR(VLOOKUP(FO_Capture!C1606, Reference_Data!A:D, 3, FALSE), "XXX")</f>
        <v>INR</v>
      </c>
      <c r="E1606" t="str">
        <f>IFERROR(VLOOKUP(FO_Capture!C1606, Reference_Data!A:D, 4, FALSE), "MISSING SSI")</f>
        <v>Deutsche Bank A/C 983712</v>
      </c>
      <c r="F1606">
        <f>FO_Capture!D1606</f>
        <v>370</v>
      </c>
      <c r="G1606">
        <f>FO_Capture!E1606</f>
        <v>224.66000366210938</v>
      </c>
      <c r="H1606">
        <f t="shared" si="50"/>
        <v>83124.201354980469</v>
      </c>
      <c r="I1606" t="str">
        <f t="shared" si="51"/>
        <v>Pass - Ready for Confirmation</v>
      </c>
    </row>
    <row r="1607" spans="1:9" x14ac:dyDescent="0.3">
      <c r="A1607" t="str">
        <f>FO_Capture!A1607</f>
        <v>TRD01606</v>
      </c>
      <c r="B1607" t="str">
        <f>FO_Capture!B1607</f>
        <v>INE009A01064</v>
      </c>
      <c r="C1607" t="str">
        <f>IFERROR(VLOOKUP(FO_Capture!C1607, Reference_Data!A:D, 2, FALSE), "UNKNOWN")</f>
        <v>Alpha Capital 10</v>
      </c>
      <c r="D1607" t="str">
        <f>IFERROR(VLOOKUP(FO_Capture!C1607, Reference_Data!A:D, 3, FALSE), "XXX")</f>
        <v>USD</v>
      </c>
      <c r="E1607" t="str">
        <f>IFERROR(VLOOKUP(FO_Capture!C1607, Reference_Data!A:D, 4, FALSE), "MISSING SSI")</f>
        <v>HDFC A/C 543407</v>
      </c>
      <c r="F1607">
        <f>FO_Capture!D1607</f>
        <v>260</v>
      </c>
      <c r="G1607">
        <f>FO_Capture!E1607</f>
        <v>365.20001220703125</v>
      </c>
      <c r="H1607">
        <f t="shared" si="50"/>
        <v>94952.003173828125</v>
      </c>
      <c r="I1607" t="str">
        <f t="shared" si="51"/>
        <v>Pass - Ready for Confirmation</v>
      </c>
    </row>
    <row r="1608" spans="1:9" x14ac:dyDescent="0.3">
      <c r="A1608" t="str">
        <f>FO_Capture!A1608</f>
        <v>TRD01607</v>
      </c>
      <c r="B1608" t="str">
        <f>FO_Capture!B1608</f>
        <v>INE007A01061</v>
      </c>
      <c r="C1608" t="str">
        <f>IFERROR(VLOOKUP(FO_Capture!C1608, Reference_Data!A:D, 2, FALSE), "UNKNOWN")</f>
        <v>Alpha Global 46</v>
      </c>
      <c r="D1608" t="str">
        <f>IFERROR(VLOOKUP(FO_Capture!C1608, Reference_Data!A:D, 3, FALSE), "XXX")</f>
        <v>USD</v>
      </c>
      <c r="E1608" t="str">
        <f>IFERROR(VLOOKUP(FO_Capture!C1608, Reference_Data!A:D, 4, FALSE), "MISSING SSI")</f>
        <v>Citi A/C 700450</v>
      </c>
      <c r="F1608">
        <f>FO_Capture!D1608</f>
        <v>150</v>
      </c>
      <c r="G1608">
        <f>FO_Capture!E1608</f>
        <v>438.39999389648438</v>
      </c>
      <c r="H1608">
        <f t="shared" si="50"/>
        <v>65759.999084472656</v>
      </c>
      <c r="I1608" t="str">
        <f t="shared" si="51"/>
        <v>Pass - Ready for Confirmation</v>
      </c>
    </row>
    <row r="1609" spans="1:9" x14ac:dyDescent="0.3">
      <c r="A1609" t="str">
        <f>FO_Capture!A1609</f>
        <v>TRD01608</v>
      </c>
      <c r="B1609" t="str">
        <f>FO_Capture!B1609</f>
        <v>INE003A01040</v>
      </c>
      <c r="C1609" t="str">
        <f>IFERROR(VLOOKUP(FO_Capture!C1609, Reference_Data!A:D, 2, FALSE), "UNKNOWN")</f>
        <v>Alpha Investments 15</v>
      </c>
      <c r="D1609" t="str">
        <f>IFERROR(VLOOKUP(FO_Capture!C1609, Reference_Data!A:D, 3, FALSE), "XXX")</f>
        <v>INR</v>
      </c>
      <c r="E1609" t="str">
        <f>IFERROR(VLOOKUP(FO_Capture!C1609, Reference_Data!A:D, 4, FALSE), "MISSING SSI")</f>
        <v>Deutsche Bank A/C 330518</v>
      </c>
      <c r="F1609">
        <f>FO_Capture!D1609</f>
        <v>30</v>
      </c>
      <c r="G1609">
        <f>FO_Capture!E1609</f>
        <v>225.74000549316406</v>
      </c>
      <c r="H1609">
        <f t="shared" si="50"/>
        <v>6772.2001647949219</v>
      </c>
      <c r="I1609" t="str">
        <f t="shared" si="51"/>
        <v>Pass - Ready for Confirmation</v>
      </c>
    </row>
    <row r="1610" spans="1:9" x14ac:dyDescent="0.3">
      <c r="A1610" t="str">
        <f>FO_Capture!A1610</f>
        <v>TRD01609</v>
      </c>
      <c r="B1610" t="str">
        <f>FO_Capture!B1610</f>
        <v>INE004A0108</v>
      </c>
      <c r="C1610" t="str">
        <f>IFERROR(VLOOKUP(FO_Capture!C1610, Reference_Data!A:D, 2, FALSE), "UNKNOWN")</f>
        <v>Alpha Holdings 47</v>
      </c>
      <c r="D1610" t="str">
        <f>IFERROR(VLOOKUP(FO_Capture!C1610, Reference_Data!A:D, 3, FALSE), "XXX")</f>
        <v>GBP</v>
      </c>
      <c r="E1610" t="str">
        <f>IFERROR(VLOOKUP(FO_Capture!C1610, Reference_Data!A:D, 4, FALSE), "MISSING SSI")</f>
        <v>Citi A/C 703401</v>
      </c>
      <c r="F1610">
        <f>FO_Capture!D1610</f>
        <v>30</v>
      </c>
      <c r="G1610">
        <f>FO_Capture!E1610</f>
        <v>110.29000091552734</v>
      </c>
      <c r="H1610">
        <f t="shared" si="50"/>
        <v>3308.7000274658203</v>
      </c>
      <c r="I1610" t="str">
        <f t="shared" si="51"/>
        <v>Pass - Ready for Confirmation</v>
      </c>
    </row>
    <row r="1611" spans="1:9" x14ac:dyDescent="0.3">
      <c r="A1611" t="str">
        <f>FO_Capture!A1611</f>
        <v>TRD01610</v>
      </c>
      <c r="B1611" t="str">
        <f>FO_Capture!B1611</f>
        <v>INE003A01054</v>
      </c>
      <c r="C1611" t="str">
        <f>IFERROR(VLOOKUP(FO_Capture!C1611, Reference_Data!A:D, 2, FALSE), "UNKNOWN")</f>
        <v>Alpha Global 45</v>
      </c>
      <c r="D1611" t="str">
        <f>IFERROR(VLOOKUP(FO_Capture!C1611, Reference_Data!A:D, 3, FALSE), "XXX")</f>
        <v>EUR</v>
      </c>
      <c r="E1611" t="str">
        <f>IFERROR(VLOOKUP(FO_Capture!C1611, Reference_Data!A:D, 4, FALSE), "MISSING SSI")</f>
        <v>HSBC A/C 540659</v>
      </c>
      <c r="F1611">
        <f>FO_Capture!D1611</f>
        <v>160</v>
      </c>
      <c r="G1611">
        <f>FO_Capture!E1611</f>
        <v>326.67001342773438</v>
      </c>
      <c r="H1611">
        <f t="shared" si="50"/>
        <v>52267.2021484375</v>
      </c>
      <c r="I1611" t="str">
        <f t="shared" si="51"/>
        <v>Pass - Ready for Confirmation</v>
      </c>
    </row>
    <row r="1612" spans="1:9" x14ac:dyDescent="0.3">
      <c r="A1612" t="str">
        <f>FO_Capture!A1612</f>
        <v>TRD01611</v>
      </c>
      <c r="B1612" t="str">
        <f>FO_Capture!B1612</f>
        <v>INE009A0100</v>
      </c>
      <c r="C1612" t="str">
        <f>IFERROR(VLOOKUP(FO_Capture!C1612, Reference_Data!A:D, 2, FALSE), "UNKNOWN")</f>
        <v>Alpha Asset Management 8</v>
      </c>
      <c r="D1612" t="str">
        <f>IFERROR(VLOOKUP(FO_Capture!C1612, Reference_Data!A:D, 3, FALSE), "XXX")</f>
        <v>GBP</v>
      </c>
      <c r="E1612" t="str">
        <f>IFERROR(VLOOKUP(FO_Capture!C1612, Reference_Data!A:D, 4, FALSE), "MISSING SSI")</f>
        <v>HDFC A/C 180445</v>
      </c>
      <c r="F1612">
        <f>FO_Capture!D1612</f>
        <v>40</v>
      </c>
      <c r="G1612">
        <f>FO_Capture!E1612</f>
        <v>211.05000305175781</v>
      </c>
      <c r="H1612">
        <f t="shared" si="50"/>
        <v>8442.0001220703125</v>
      </c>
      <c r="I1612" t="str">
        <f t="shared" si="51"/>
        <v>Pass - Ready for Confirmation</v>
      </c>
    </row>
    <row r="1613" spans="1:9" x14ac:dyDescent="0.3">
      <c r="A1613" t="str">
        <f>FO_Capture!A1613</f>
        <v>TRD01612</v>
      </c>
      <c r="B1613" t="str">
        <f>FO_Capture!B1613</f>
        <v>INE009A01052</v>
      </c>
      <c r="C1613" t="str">
        <f>IFERROR(VLOOKUP(FO_Capture!C1613, Reference_Data!A:D, 2, FALSE), "UNKNOWN")</f>
        <v>Alpha Capital 10</v>
      </c>
      <c r="D1613" t="str">
        <f>IFERROR(VLOOKUP(FO_Capture!C1613, Reference_Data!A:D, 3, FALSE), "XXX")</f>
        <v>USD</v>
      </c>
      <c r="E1613" t="str">
        <f>IFERROR(VLOOKUP(FO_Capture!C1613, Reference_Data!A:D, 4, FALSE), "MISSING SSI")</f>
        <v>HDFC A/C 543407</v>
      </c>
      <c r="F1613">
        <f>FO_Capture!D1613</f>
        <v>200</v>
      </c>
      <c r="G1613">
        <f>FO_Capture!E1613</f>
        <v>451.17999267578125</v>
      </c>
      <c r="H1613">
        <f t="shared" si="50"/>
        <v>90235.99853515625</v>
      </c>
      <c r="I1613" t="str">
        <f t="shared" si="51"/>
        <v>Pass - Ready for Confirmation</v>
      </c>
    </row>
    <row r="1614" spans="1:9" x14ac:dyDescent="0.3">
      <c r="A1614" t="str">
        <f>FO_Capture!A1614</f>
        <v>TRD01613</v>
      </c>
      <c r="B1614" t="str">
        <f>FO_Capture!B1614</f>
        <v>INE007A01047</v>
      </c>
      <c r="C1614" t="str">
        <f>IFERROR(VLOOKUP(FO_Capture!C1614, Reference_Data!A:D, 2, FALSE), "UNKNOWN")</f>
        <v>Alpha Partners 22</v>
      </c>
      <c r="D1614" t="str">
        <f>IFERROR(VLOOKUP(FO_Capture!C1614, Reference_Data!A:D, 3, FALSE), "XXX")</f>
        <v>GBP</v>
      </c>
      <c r="E1614" t="str">
        <f>IFERROR(VLOOKUP(FO_Capture!C1614, Reference_Data!A:D, 4, FALSE), "MISSING SSI")</f>
        <v>JPMorgan A/C 488546</v>
      </c>
      <c r="F1614">
        <f>FO_Capture!D1614</f>
        <v>300</v>
      </c>
      <c r="G1614">
        <f>FO_Capture!E1614</f>
        <v>336.3800048828125</v>
      </c>
      <c r="H1614">
        <f t="shared" si="50"/>
        <v>100914.00146484375</v>
      </c>
      <c r="I1614" t="str">
        <f t="shared" si="51"/>
        <v>Pass - Ready for Confirmation</v>
      </c>
    </row>
    <row r="1615" spans="1:9" x14ac:dyDescent="0.3">
      <c r="A1615" t="str">
        <f>FO_Capture!A1615</f>
        <v>TRD01614</v>
      </c>
      <c r="B1615" t="str">
        <f>FO_Capture!B1615</f>
        <v>INE008A0107</v>
      </c>
      <c r="C1615" t="str">
        <f>IFERROR(VLOOKUP(FO_Capture!C1615, Reference_Data!A:D, 2, FALSE), "UNKNOWN")</f>
        <v>Alpha Partners 37</v>
      </c>
      <c r="D1615" t="str">
        <f>IFERROR(VLOOKUP(FO_Capture!C1615, Reference_Data!A:D, 3, FALSE), "XXX")</f>
        <v>JPY</v>
      </c>
      <c r="E1615" t="str">
        <f>IFERROR(VLOOKUP(FO_Capture!C1615, Reference_Data!A:D, 4, FALSE), "MISSING SSI")</f>
        <v>HSBC A/C 994063</v>
      </c>
      <c r="F1615">
        <f>FO_Capture!D1615</f>
        <v>360</v>
      </c>
      <c r="G1615">
        <f>FO_Capture!E1615</f>
        <v>507.489990234375</v>
      </c>
      <c r="H1615">
        <f t="shared" si="50"/>
        <v>182696.396484375</v>
      </c>
      <c r="I1615" t="str">
        <f t="shared" si="51"/>
        <v>Pass - Ready for Confirmation</v>
      </c>
    </row>
    <row r="1616" spans="1:9" x14ac:dyDescent="0.3">
      <c r="A1616" t="str">
        <f>FO_Capture!A1616</f>
        <v>TRD01615</v>
      </c>
      <c r="B1616" t="str">
        <f>FO_Capture!B1616</f>
        <v>INE001A01083</v>
      </c>
      <c r="C1616" t="str">
        <f>IFERROR(VLOOKUP(FO_Capture!C1616, Reference_Data!A:D, 2, FALSE), "UNKNOWN")</f>
        <v>Alpha Global 46</v>
      </c>
      <c r="D1616" t="str">
        <f>IFERROR(VLOOKUP(FO_Capture!C1616, Reference_Data!A:D, 3, FALSE), "XXX")</f>
        <v>USD</v>
      </c>
      <c r="E1616" t="str">
        <f>IFERROR(VLOOKUP(FO_Capture!C1616, Reference_Data!A:D, 4, FALSE), "MISSING SSI")</f>
        <v>Citi A/C 700450</v>
      </c>
      <c r="F1616">
        <f>FO_Capture!D1616</f>
        <v>70</v>
      </c>
      <c r="G1616">
        <f>FO_Capture!E1616</f>
        <v>206.97000122070313</v>
      </c>
      <c r="H1616">
        <f t="shared" si="50"/>
        <v>14487.900085449219</v>
      </c>
      <c r="I1616" t="str">
        <f t="shared" si="51"/>
        <v>Pass - Ready for Confirmation</v>
      </c>
    </row>
    <row r="1617" spans="1:9" x14ac:dyDescent="0.3">
      <c r="A1617" t="str">
        <f>FO_Capture!A1617</f>
        <v>TRD01616</v>
      </c>
      <c r="B1617" t="str">
        <f>FO_Capture!B1617</f>
        <v>INE005A01015</v>
      </c>
      <c r="C1617" t="str">
        <f>IFERROR(VLOOKUP(FO_Capture!C1617, Reference_Data!A:D, 2, FALSE), "UNKNOWN")</f>
        <v>Alpha Asset Management 13</v>
      </c>
      <c r="D1617" t="str">
        <f>IFERROR(VLOOKUP(FO_Capture!C1617, Reference_Data!A:D, 3, FALSE), "XXX")</f>
        <v>INR</v>
      </c>
      <c r="E1617" t="str">
        <f>IFERROR(VLOOKUP(FO_Capture!C1617, Reference_Data!A:D, 4, FALSE), "MISSING SSI")</f>
        <v>HSBC A/C 972195</v>
      </c>
      <c r="F1617">
        <f>FO_Capture!D1617</f>
        <v>460</v>
      </c>
      <c r="G1617">
        <f>FO_Capture!E1617</f>
        <v>28.799999237060547</v>
      </c>
      <c r="H1617">
        <f t="shared" si="50"/>
        <v>13247.999649047852</v>
      </c>
      <c r="I1617" t="str">
        <f t="shared" si="51"/>
        <v>Pass - Ready for Confirmation</v>
      </c>
    </row>
    <row r="1618" spans="1:9" x14ac:dyDescent="0.3">
      <c r="A1618" t="str">
        <f>FO_Capture!A1618</f>
        <v>TRD01617</v>
      </c>
      <c r="B1618" t="str">
        <f>FO_Capture!B1618</f>
        <v>INE001A01070</v>
      </c>
      <c r="C1618" t="str">
        <f>IFERROR(VLOOKUP(FO_Capture!C1618, Reference_Data!A:D, 2, FALSE), "UNKNOWN")</f>
        <v>Alpha Quant Fund 50</v>
      </c>
      <c r="D1618" t="str">
        <f>IFERROR(VLOOKUP(FO_Capture!C1618, Reference_Data!A:D, 3, FALSE), "XXX")</f>
        <v>SGD</v>
      </c>
      <c r="E1618" t="str">
        <f>IFERROR(VLOOKUP(FO_Capture!C1618, Reference_Data!A:D, 4, FALSE), "MISSING SSI")</f>
        <v>Standard Chartered A/C 307017</v>
      </c>
      <c r="F1618">
        <f>FO_Capture!D1618</f>
        <v>230</v>
      </c>
      <c r="G1618">
        <f>FO_Capture!E1618</f>
        <v>168.53999328613281</v>
      </c>
      <c r="H1618">
        <f t="shared" si="50"/>
        <v>38764.198455810547</v>
      </c>
      <c r="I1618" t="str">
        <f t="shared" si="51"/>
        <v>Pass - Ready for Confirmation</v>
      </c>
    </row>
    <row r="1619" spans="1:9" x14ac:dyDescent="0.3">
      <c r="A1619" t="str">
        <f>FO_Capture!A1619</f>
        <v>TRD01618</v>
      </c>
      <c r="B1619" t="str">
        <f>FO_Capture!B1619</f>
        <v>INE001A0101</v>
      </c>
      <c r="C1619" t="str">
        <f>IFERROR(VLOOKUP(FO_Capture!C1619, Reference_Data!A:D, 2, FALSE), "UNKNOWN")</f>
        <v>Alpha Global 39</v>
      </c>
      <c r="D1619" t="str">
        <f>IFERROR(VLOOKUP(FO_Capture!C1619, Reference_Data!A:D, 3, FALSE), "XXX")</f>
        <v>SGD</v>
      </c>
      <c r="E1619" t="str">
        <f>IFERROR(VLOOKUP(FO_Capture!C1619, Reference_Data!A:D, 4, FALSE), "MISSING SSI")</f>
        <v>Deutsche Bank A/C 917029</v>
      </c>
      <c r="F1619">
        <f>FO_Capture!D1619</f>
        <v>450</v>
      </c>
      <c r="G1619">
        <f>FO_Capture!E1619</f>
        <v>173.30000305175781</v>
      </c>
      <c r="H1619">
        <f t="shared" si="50"/>
        <v>77985.001373291016</v>
      </c>
      <c r="I1619" t="str">
        <f t="shared" si="51"/>
        <v>Pass - Ready for Confirmation</v>
      </c>
    </row>
    <row r="1620" spans="1:9" x14ac:dyDescent="0.3">
      <c r="A1620" t="str">
        <f>FO_Capture!A1620</f>
        <v>TRD01619</v>
      </c>
      <c r="B1620" t="str">
        <f>FO_Capture!B1620</f>
        <v>INE006A01090</v>
      </c>
      <c r="C1620" t="str">
        <f>IFERROR(VLOOKUP(FO_Capture!C1620, Reference_Data!A:D, 2, FALSE), "UNKNOWN")</f>
        <v>Alpha Asset Management 13</v>
      </c>
      <c r="D1620" t="str">
        <f>IFERROR(VLOOKUP(FO_Capture!C1620, Reference_Data!A:D, 3, FALSE), "XXX")</f>
        <v>INR</v>
      </c>
      <c r="E1620" t="str">
        <f>IFERROR(VLOOKUP(FO_Capture!C1620, Reference_Data!A:D, 4, FALSE), "MISSING SSI")</f>
        <v>HSBC A/C 972195</v>
      </c>
      <c r="F1620">
        <f>FO_Capture!D1620</f>
        <v>300</v>
      </c>
      <c r="G1620">
        <f>FO_Capture!E1620</f>
        <v>191.77999877929688</v>
      </c>
      <c r="H1620">
        <f t="shared" si="50"/>
        <v>57533.999633789063</v>
      </c>
      <c r="I1620" t="str">
        <f t="shared" si="51"/>
        <v>Pass - Ready for Confirmation</v>
      </c>
    </row>
    <row r="1621" spans="1:9" x14ac:dyDescent="0.3">
      <c r="A1621" t="str">
        <f>FO_Capture!A1621</f>
        <v>TRD01620</v>
      </c>
      <c r="B1621" t="str">
        <f>FO_Capture!B1621</f>
        <v>INE004A0109</v>
      </c>
      <c r="C1621" t="str">
        <f>IFERROR(VLOOKUP(FO_Capture!C1621, Reference_Data!A:D, 2, FALSE), "UNKNOWN")</f>
        <v>Alpha Quant Fund 27</v>
      </c>
      <c r="D1621" t="str">
        <f>IFERROR(VLOOKUP(FO_Capture!C1621, Reference_Data!A:D, 3, FALSE), "XXX")</f>
        <v>EUR</v>
      </c>
      <c r="E1621" t="str">
        <f>IFERROR(VLOOKUP(FO_Capture!C1621, Reference_Data!A:D, 4, FALSE), "MISSING SSI")</f>
        <v>Standard Chartered A/C 331839</v>
      </c>
      <c r="F1621">
        <f>FO_Capture!D1621</f>
        <v>390</v>
      </c>
      <c r="G1621">
        <f>FO_Capture!E1621</f>
        <v>224.21000671386719</v>
      </c>
      <c r="H1621">
        <f t="shared" si="50"/>
        <v>87441.902618408203</v>
      </c>
      <c r="I1621" t="str">
        <f t="shared" si="51"/>
        <v>Pass - Ready for Confirmation</v>
      </c>
    </row>
    <row r="1622" spans="1:9" x14ac:dyDescent="0.3">
      <c r="A1622" t="str">
        <f>FO_Capture!A1622</f>
        <v>TRD01621</v>
      </c>
      <c r="B1622" t="str">
        <f>FO_Capture!B1622</f>
        <v>INE001A01055</v>
      </c>
      <c r="C1622" t="str">
        <f>IFERROR(VLOOKUP(FO_Capture!C1622, Reference_Data!A:D, 2, FALSE), "UNKNOWN")</f>
        <v>Alpha Asset Management 31</v>
      </c>
      <c r="D1622" t="str">
        <f>IFERROR(VLOOKUP(FO_Capture!C1622, Reference_Data!A:D, 3, FALSE), "XXX")</f>
        <v>USD</v>
      </c>
      <c r="E1622" t="str">
        <f>IFERROR(VLOOKUP(FO_Capture!C1622, Reference_Data!A:D, 4, FALSE), "MISSING SSI")</f>
        <v>Citi A/C 194841</v>
      </c>
      <c r="F1622">
        <f>FO_Capture!D1622</f>
        <v>420</v>
      </c>
      <c r="G1622">
        <f>FO_Capture!E1622</f>
        <v>372.39999389648438</v>
      </c>
      <c r="H1622">
        <f t="shared" si="50"/>
        <v>156407.99743652344</v>
      </c>
      <c r="I1622" t="str">
        <f t="shared" si="51"/>
        <v>Pass - Ready for Confirmation</v>
      </c>
    </row>
    <row r="1623" spans="1:9" x14ac:dyDescent="0.3">
      <c r="A1623" t="str">
        <f>FO_Capture!A1623</f>
        <v>TRD01622</v>
      </c>
      <c r="B1623" t="str">
        <f>FO_Capture!B1623</f>
        <v>INE002A01013</v>
      </c>
      <c r="C1623" t="str">
        <f>IFERROR(VLOOKUP(FO_Capture!C1623, Reference_Data!A:D, 2, FALSE), "UNKNOWN")</f>
        <v>Alpha Global 2</v>
      </c>
      <c r="D1623" t="str">
        <f>IFERROR(VLOOKUP(FO_Capture!C1623, Reference_Data!A:D, 3, FALSE), "XXX")</f>
        <v>GBP</v>
      </c>
      <c r="E1623" t="str">
        <f>IFERROR(VLOOKUP(FO_Capture!C1623, Reference_Data!A:D, 4, FALSE), "MISSING SSI")</f>
        <v>JPMorgan A/C 582379</v>
      </c>
      <c r="F1623">
        <f>FO_Capture!D1623</f>
        <v>490</v>
      </c>
      <c r="G1623">
        <f>FO_Capture!E1623</f>
        <v>89.730003356933594</v>
      </c>
      <c r="H1623">
        <f t="shared" si="50"/>
        <v>43967.701644897461</v>
      </c>
      <c r="I1623" t="str">
        <f t="shared" si="51"/>
        <v>Pass - Ready for Confirmation</v>
      </c>
    </row>
    <row r="1624" spans="1:9" x14ac:dyDescent="0.3">
      <c r="A1624" t="str">
        <f>FO_Capture!A1624</f>
        <v>TRD01623</v>
      </c>
      <c r="B1624" t="str">
        <f>FO_Capture!B1624</f>
        <v>INE008A01098</v>
      </c>
      <c r="C1624" t="str">
        <f>IFERROR(VLOOKUP(FO_Capture!C1624, Reference_Data!A:D, 2, FALSE), "UNKNOWN")</f>
        <v>Alpha Capital 10</v>
      </c>
      <c r="D1624" t="str">
        <f>IFERROR(VLOOKUP(FO_Capture!C1624, Reference_Data!A:D, 3, FALSE), "XXX")</f>
        <v>USD</v>
      </c>
      <c r="E1624" t="str">
        <f>IFERROR(VLOOKUP(FO_Capture!C1624, Reference_Data!A:D, 4, FALSE), "MISSING SSI")</f>
        <v>HDFC A/C 543407</v>
      </c>
      <c r="F1624">
        <f>FO_Capture!D1624</f>
        <v>330</v>
      </c>
      <c r="G1624">
        <f>FO_Capture!E1624</f>
        <v>431.1099853515625</v>
      </c>
      <c r="H1624">
        <f t="shared" si="50"/>
        <v>142266.29516601563</v>
      </c>
      <c r="I1624" t="str">
        <f t="shared" si="51"/>
        <v>Pass - Ready for Confirmation</v>
      </c>
    </row>
    <row r="1625" spans="1:9" x14ac:dyDescent="0.3">
      <c r="A1625" t="str">
        <f>FO_Capture!A1625</f>
        <v>TRD01624</v>
      </c>
      <c r="B1625" t="str">
        <f>FO_Capture!B1625</f>
        <v>INE001A01010</v>
      </c>
      <c r="C1625" t="str">
        <f>IFERROR(VLOOKUP(FO_Capture!C1625, Reference_Data!A:D, 2, FALSE), "UNKNOWN")</f>
        <v>Alpha Global 2</v>
      </c>
      <c r="D1625" t="str">
        <f>IFERROR(VLOOKUP(FO_Capture!C1625, Reference_Data!A:D, 3, FALSE), "XXX")</f>
        <v>GBP</v>
      </c>
      <c r="E1625" t="str">
        <f>IFERROR(VLOOKUP(FO_Capture!C1625, Reference_Data!A:D, 4, FALSE), "MISSING SSI")</f>
        <v>JPMorgan A/C 582379</v>
      </c>
      <c r="F1625">
        <f>FO_Capture!D1625</f>
        <v>70</v>
      </c>
      <c r="G1625">
        <f>FO_Capture!E1625</f>
        <v>303.04998779296875</v>
      </c>
      <c r="H1625">
        <f t="shared" si="50"/>
        <v>21213.499145507813</v>
      </c>
      <c r="I1625" t="str">
        <f t="shared" si="51"/>
        <v>Pass - Ready for Confirmation</v>
      </c>
    </row>
    <row r="1626" spans="1:9" x14ac:dyDescent="0.3">
      <c r="A1626" t="str">
        <f>FO_Capture!A1626</f>
        <v>TRD01625</v>
      </c>
      <c r="B1626" t="str">
        <f>FO_Capture!B1626</f>
        <v>INE009A01080</v>
      </c>
      <c r="C1626" t="str">
        <f>IFERROR(VLOOKUP(FO_Capture!C1626, Reference_Data!A:D, 2, FALSE), "UNKNOWN")</f>
        <v>Alpha Partners 19</v>
      </c>
      <c r="D1626" t="str">
        <f>IFERROR(VLOOKUP(FO_Capture!C1626, Reference_Data!A:D, 3, FALSE), "XXX")</f>
        <v>INR</v>
      </c>
      <c r="E1626" t="str">
        <f>IFERROR(VLOOKUP(FO_Capture!C1626, Reference_Data!A:D, 4, FALSE), "MISSING SSI")</f>
        <v>Citi A/C 543819</v>
      </c>
      <c r="F1626">
        <f>FO_Capture!D1626</f>
        <v>430</v>
      </c>
      <c r="G1626">
        <f>FO_Capture!E1626</f>
        <v>213.60000610351563</v>
      </c>
      <c r="H1626">
        <f t="shared" si="50"/>
        <v>91848.002624511719</v>
      </c>
      <c r="I1626" t="str">
        <f t="shared" si="51"/>
        <v>Pass - Ready for Confirmation</v>
      </c>
    </row>
    <row r="1627" spans="1:9" x14ac:dyDescent="0.3">
      <c r="A1627" t="str">
        <f>FO_Capture!A1627</f>
        <v>TRD01626</v>
      </c>
      <c r="B1627" t="str">
        <f>FO_Capture!B1627</f>
        <v>INE008A01023</v>
      </c>
      <c r="C1627" t="str">
        <f>IFERROR(VLOOKUP(FO_Capture!C1627, Reference_Data!A:D, 2, FALSE), "UNKNOWN")</f>
        <v>Alpha Quant Fund 27</v>
      </c>
      <c r="D1627" t="str">
        <f>IFERROR(VLOOKUP(FO_Capture!C1627, Reference_Data!A:D, 3, FALSE), "XXX")</f>
        <v>EUR</v>
      </c>
      <c r="E1627" t="str">
        <f>IFERROR(VLOOKUP(FO_Capture!C1627, Reference_Data!A:D, 4, FALSE), "MISSING SSI")</f>
        <v>Standard Chartered A/C 331839</v>
      </c>
      <c r="F1627">
        <f>FO_Capture!D1627</f>
        <v>70</v>
      </c>
      <c r="G1627">
        <f>FO_Capture!E1627</f>
        <v>22.379999160766602</v>
      </c>
      <c r="H1627">
        <f t="shared" si="50"/>
        <v>1566.5999412536621</v>
      </c>
      <c r="I1627" t="str">
        <f t="shared" si="51"/>
        <v>Pass - Ready for Confirmation</v>
      </c>
    </row>
    <row r="1628" spans="1:9" x14ac:dyDescent="0.3">
      <c r="A1628" t="str">
        <f>FO_Capture!A1628</f>
        <v>TRD01627</v>
      </c>
      <c r="B1628" t="str">
        <f>FO_Capture!B1628</f>
        <v>INE003A01085</v>
      </c>
      <c r="C1628" t="str">
        <f>IFERROR(VLOOKUP(FO_Capture!C1628, Reference_Data!A:D, 2, FALSE), "UNKNOWN")</f>
        <v>Alpha Capital 38</v>
      </c>
      <c r="D1628" t="str">
        <f>IFERROR(VLOOKUP(FO_Capture!C1628, Reference_Data!A:D, 3, FALSE), "XXX")</f>
        <v>SGD</v>
      </c>
      <c r="E1628" t="str">
        <f>IFERROR(VLOOKUP(FO_Capture!C1628, Reference_Data!A:D, 4, FALSE), "MISSING SSI")</f>
        <v>Deutsche Bank A/C 153521</v>
      </c>
      <c r="F1628">
        <f>FO_Capture!D1628</f>
        <v>230</v>
      </c>
      <c r="G1628">
        <f>FO_Capture!E1628</f>
        <v>190.58000183105469</v>
      </c>
      <c r="H1628">
        <f t="shared" si="50"/>
        <v>43833.400421142578</v>
      </c>
      <c r="I1628" t="str">
        <f t="shared" si="51"/>
        <v>Pass - Ready for Confirmation</v>
      </c>
    </row>
    <row r="1629" spans="1:9" x14ac:dyDescent="0.3">
      <c r="A1629" t="str">
        <f>FO_Capture!A1629</f>
        <v>TRD01628</v>
      </c>
      <c r="B1629" t="str">
        <f>FO_Capture!B1629</f>
        <v>INE008A01097</v>
      </c>
      <c r="C1629" t="str">
        <f>IFERROR(VLOOKUP(FO_Capture!C1629, Reference_Data!A:D, 2, FALSE), "UNKNOWN")</f>
        <v>Alpha Investments 40</v>
      </c>
      <c r="D1629" t="str">
        <f>IFERROR(VLOOKUP(FO_Capture!C1629, Reference_Data!A:D, 3, FALSE), "XXX")</f>
        <v>GBP</v>
      </c>
      <c r="E1629" t="str">
        <f>IFERROR(VLOOKUP(FO_Capture!C1629, Reference_Data!A:D, 4, FALSE), "MISSING SSI")</f>
        <v>HDFC A/C 897530</v>
      </c>
      <c r="F1629">
        <f>FO_Capture!D1629</f>
        <v>70</v>
      </c>
      <c r="G1629">
        <f>FO_Capture!E1629</f>
        <v>30.930000305175781</v>
      </c>
      <c r="H1629">
        <f t="shared" si="50"/>
        <v>2165.1000213623047</v>
      </c>
      <c r="I1629" t="str">
        <f t="shared" si="51"/>
        <v>Pass - Ready for Confirmation</v>
      </c>
    </row>
    <row r="1630" spans="1:9" x14ac:dyDescent="0.3">
      <c r="A1630" t="str">
        <f>FO_Capture!A1630</f>
        <v>TRD01629</v>
      </c>
      <c r="B1630" t="str">
        <f>FO_Capture!B1630</f>
        <v>INE002A01024</v>
      </c>
      <c r="C1630" t="str">
        <f>IFERROR(VLOOKUP(FO_Capture!C1630, Reference_Data!A:D, 2, FALSE), "UNKNOWN")</f>
        <v>Alpha Asset Management 13</v>
      </c>
      <c r="D1630" t="str">
        <f>IFERROR(VLOOKUP(FO_Capture!C1630, Reference_Data!A:D, 3, FALSE), "XXX")</f>
        <v>INR</v>
      </c>
      <c r="E1630" t="str">
        <f>IFERROR(VLOOKUP(FO_Capture!C1630, Reference_Data!A:D, 4, FALSE), "MISSING SSI")</f>
        <v>HSBC A/C 972195</v>
      </c>
      <c r="F1630">
        <f>FO_Capture!D1630</f>
        <v>360</v>
      </c>
      <c r="G1630">
        <f>FO_Capture!E1630</f>
        <v>457.75</v>
      </c>
      <c r="H1630">
        <f t="shared" si="50"/>
        <v>164790</v>
      </c>
      <c r="I1630" t="str">
        <f t="shared" si="51"/>
        <v>Pass - Ready for Confirmation</v>
      </c>
    </row>
    <row r="1631" spans="1:9" x14ac:dyDescent="0.3">
      <c r="A1631" t="str">
        <f>FO_Capture!A1631</f>
        <v>TRD01630</v>
      </c>
      <c r="B1631" t="str">
        <f>FO_Capture!B1631</f>
        <v>INE003A0108</v>
      </c>
      <c r="C1631" t="str">
        <f>IFERROR(VLOOKUP(FO_Capture!C1631, Reference_Data!A:D, 2, FALSE), "UNKNOWN")</f>
        <v>Alpha Holdings 16</v>
      </c>
      <c r="D1631" t="str">
        <f>IFERROR(VLOOKUP(FO_Capture!C1631, Reference_Data!A:D, 3, FALSE), "XXX")</f>
        <v>USD</v>
      </c>
      <c r="E1631" t="str">
        <f>IFERROR(VLOOKUP(FO_Capture!C1631, Reference_Data!A:D, 4, FALSE), "MISSING SSI")</f>
        <v>Barclays A/C 197229</v>
      </c>
      <c r="F1631">
        <f>FO_Capture!D1631</f>
        <v>260</v>
      </c>
      <c r="G1631">
        <f>FO_Capture!E1631</f>
        <v>236.89999389648438</v>
      </c>
      <c r="H1631">
        <f t="shared" si="50"/>
        <v>61593.998413085938</v>
      </c>
      <c r="I1631" t="str">
        <f t="shared" si="51"/>
        <v>Pass - Ready for Confirmation</v>
      </c>
    </row>
    <row r="1632" spans="1:9" x14ac:dyDescent="0.3">
      <c r="A1632" t="str">
        <f>FO_Capture!A1632</f>
        <v>TRD01631</v>
      </c>
      <c r="B1632" t="str">
        <f>FO_Capture!B1632</f>
        <v>INE002A01030</v>
      </c>
      <c r="C1632" t="str">
        <f>IFERROR(VLOOKUP(FO_Capture!C1632, Reference_Data!A:D, 2, FALSE), "UNKNOWN")</f>
        <v>Alpha Quant Fund 50</v>
      </c>
      <c r="D1632" t="str">
        <f>IFERROR(VLOOKUP(FO_Capture!C1632, Reference_Data!A:D, 3, FALSE), "XXX")</f>
        <v>SGD</v>
      </c>
      <c r="E1632" t="str">
        <f>IFERROR(VLOOKUP(FO_Capture!C1632, Reference_Data!A:D, 4, FALSE), "MISSING SSI")</f>
        <v>Standard Chartered A/C 307017</v>
      </c>
      <c r="F1632">
        <f>FO_Capture!D1632</f>
        <v>70</v>
      </c>
      <c r="G1632">
        <f>FO_Capture!E1632</f>
        <v>235.80999755859375</v>
      </c>
      <c r="H1632">
        <f t="shared" si="50"/>
        <v>16506.699829101563</v>
      </c>
      <c r="I1632" t="str">
        <f t="shared" si="51"/>
        <v>Pass - Ready for Confirmation</v>
      </c>
    </row>
    <row r="1633" spans="1:9" x14ac:dyDescent="0.3">
      <c r="A1633" t="str">
        <f>FO_Capture!A1633</f>
        <v>TRD01632</v>
      </c>
      <c r="B1633" t="str">
        <f>FO_Capture!B1633</f>
        <v>INE001A01050</v>
      </c>
      <c r="C1633" t="str">
        <f>IFERROR(VLOOKUP(FO_Capture!C1633, Reference_Data!A:D, 2, FALSE), "UNKNOWN")</f>
        <v>Alpha Partners 42</v>
      </c>
      <c r="D1633" t="str">
        <f>IFERROR(VLOOKUP(FO_Capture!C1633, Reference_Data!A:D, 3, FALSE), "XXX")</f>
        <v>USD</v>
      </c>
      <c r="E1633" t="str">
        <f>IFERROR(VLOOKUP(FO_Capture!C1633, Reference_Data!A:D, 4, FALSE), "MISSING SSI")</f>
        <v>Citi A/C 416082</v>
      </c>
      <c r="F1633">
        <f>FO_Capture!D1633</f>
        <v>470</v>
      </c>
      <c r="G1633">
        <f>FO_Capture!E1633</f>
        <v>173.49000549316406</v>
      </c>
      <c r="H1633">
        <f t="shared" si="50"/>
        <v>81540.302581787109</v>
      </c>
      <c r="I1633" t="str">
        <f t="shared" si="51"/>
        <v>Pass - Ready for Confirmation</v>
      </c>
    </row>
    <row r="1634" spans="1:9" x14ac:dyDescent="0.3">
      <c r="A1634" t="str">
        <f>FO_Capture!A1634</f>
        <v>TRD01633</v>
      </c>
      <c r="B1634" t="str">
        <f>FO_Capture!B1634</f>
        <v>INE002A01063</v>
      </c>
      <c r="C1634" t="str">
        <f>IFERROR(VLOOKUP(FO_Capture!C1634, Reference_Data!A:D, 2, FALSE), "UNKNOWN")</f>
        <v>Alpha Investments 17</v>
      </c>
      <c r="D1634" t="str">
        <f>IFERROR(VLOOKUP(FO_Capture!C1634, Reference_Data!A:D, 3, FALSE), "XXX")</f>
        <v>USD</v>
      </c>
      <c r="E1634" t="str">
        <f>IFERROR(VLOOKUP(FO_Capture!C1634, Reference_Data!A:D, 4, FALSE), "MISSING SSI")</f>
        <v>HDFC A/C 113752</v>
      </c>
      <c r="F1634">
        <f>FO_Capture!D1634</f>
        <v>270</v>
      </c>
      <c r="G1634">
        <f>FO_Capture!E1634</f>
        <v>370.48001098632813</v>
      </c>
      <c r="H1634">
        <f t="shared" si="50"/>
        <v>100029.60296630859</v>
      </c>
      <c r="I1634" t="str">
        <f t="shared" si="51"/>
        <v>Pass - Ready for Confirmation</v>
      </c>
    </row>
    <row r="1635" spans="1:9" x14ac:dyDescent="0.3">
      <c r="A1635" t="str">
        <f>FO_Capture!A1635</f>
        <v>TRD01634</v>
      </c>
      <c r="B1635" t="str">
        <f>FO_Capture!B1635</f>
        <v>INE009A01046</v>
      </c>
      <c r="C1635" t="str">
        <f>IFERROR(VLOOKUP(FO_Capture!C1635, Reference_Data!A:D, 2, FALSE), "UNKNOWN")</f>
        <v>Alpha Global 20</v>
      </c>
      <c r="D1635" t="str">
        <f>IFERROR(VLOOKUP(FO_Capture!C1635, Reference_Data!A:D, 3, FALSE), "XXX")</f>
        <v>JPY</v>
      </c>
      <c r="E1635" t="str">
        <f>IFERROR(VLOOKUP(FO_Capture!C1635, Reference_Data!A:D, 4, FALSE), "MISSING SSI")</f>
        <v>Barclays A/C 560891</v>
      </c>
      <c r="F1635">
        <f>FO_Capture!D1635</f>
        <v>150</v>
      </c>
      <c r="G1635">
        <f>FO_Capture!E1635</f>
        <v>498.89999389648438</v>
      </c>
      <c r="H1635">
        <f t="shared" si="50"/>
        <v>74834.999084472656</v>
      </c>
      <c r="I1635" t="str">
        <f t="shared" si="51"/>
        <v>Pass - Ready for Confirmation</v>
      </c>
    </row>
    <row r="1636" spans="1:9" x14ac:dyDescent="0.3">
      <c r="A1636" t="str">
        <f>FO_Capture!A1636</f>
        <v>TRD01635</v>
      </c>
      <c r="B1636" t="str">
        <f>FO_Capture!B1636</f>
        <v>INE001A01010</v>
      </c>
      <c r="C1636" t="str">
        <f>IFERROR(VLOOKUP(FO_Capture!C1636, Reference_Data!A:D, 2, FALSE), "UNKNOWN")</f>
        <v>Alpha Global 46</v>
      </c>
      <c r="D1636" t="str">
        <f>IFERROR(VLOOKUP(FO_Capture!C1636, Reference_Data!A:D, 3, FALSE), "XXX")</f>
        <v>USD</v>
      </c>
      <c r="E1636" t="str">
        <f>IFERROR(VLOOKUP(FO_Capture!C1636, Reference_Data!A:D, 4, FALSE), "MISSING SSI")</f>
        <v>Citi A/C 700450</v>
      </c>
      <c r="F1636">
        <f>FO_Capture!D1636</f>
        <v>440</v>
      </c>
      <c r="G1636">
        <f>FO_Capture!E1636</f>
        <v>332.44000244140625</v>
      </c>
      <c r="H1636">
        <f t="shared" si="50"/>
        <v>146273.60107421875</v>
      </c>
      <c r="I1636" t="str">
        <f t="shared" si="51"/>
        <v>Pass - Ready for Confirmation</v>
      </c>
    </row>
    <row r="1637" spans="1:9" x14ac:dyDescent="0.3">
      <c r="A1637" t="str">
        <f>FO_Capture!A1637</f>
        <v>TRD01636</v>
      </c>
      <c r="B1637" t="str">
        <f>FO_Capture!B1637</f>
        <v>INE003A01044</v>
      </c>
      <c r="C1637" t="str">
        <f>IFERROR(VLOOKUP(FO_Capture!C1637, Reference_Data!A:D, 2, FALSE), "UNKNOWN")</f>
        <v>Alpha Capital 11</v>
      </c>
      <c r="D1637" t="str">
        <f>IFERROR(VLOOKUP(FO_Capture!C1637, Reference_Data!A:D, 3, FALSE), "XXX")</f>
        <v>USD</v>
      </c>
      <c r="E1637" t="str">
        <f>IFERROR(VLOOKUP(FO_Capture!C1637, Reference_Data!A:D, 4, FALSE), "MISSING SSI")</f>
        <v>JPMorgan A/C 987170</v>
      </c>
      <c r="F1637">
        <f>FO_Capture!D1637</f>
        <v>360</v>
      </c>
      <c r="G1637">
        <f>FO_Capture!E1637</f>
        <v>496.33999633789063</v>
      </c>
      <c r="H1637">
        <f t="shared" si="50"/>
        <v>178682.39868164063</v>
      </c>
      <c r="I1637" t="str">
        <f t="shared" si="51"/>
        <v>Pass - Ready for Confirmation</v>
      </c>
    </row>
    <row r="1638" spans="1:9" x14ac:dyDescent="0.3">
      <c r="A1638" t="str">
        <f>FO_Capture!A1638</f>
        <v>TRD01637</v>
      </c>
      <c r="B1638" t="str">
        <f>FO_Capture!B1638</f>
        <v>INE003A01077</v>
      </c>
      <c r="C1638" t="str">
        <f>IFERROR(VLOOKUP(FO_Capture!C1638, Reference_Data!A:D, 2, FALSE), "UNKNOWN")</f>
        <v>Alpha Asset Management 31</v>
      </c>
      <c r="D1638" t="str">
        <f>IFERROR(VLOOKUP(FO_Capture!C1638, Reference_Data!A:D, 3, FALSE), "XXX")</f>
        <v>USD</v>
      </c>
      <c r="E1638" t="str">
        <f>IFERROR(VLOOKUP(FO_Capture!C1638, Reference_Data!A:D, 4, FALSE), "MISSING SSI")</f>
        <v>Citi A/C 194841</v>
      </c>
      <c r="F1638">
        <f>FO_Capture!D1638</f>
        <v>240</v>
      </c>
      <c r="G1638">
        <f>FO_Capture!E1638</f>
        <v>217.41000366210938</v>
      </c>
      <c r="H1638">
        <f t="shared" si="50"/>
        <v>52178.40087890625</v>
      </c>
      <c r="I1638" t="str">
        <f t="shared" si="51"/>
        <v>Pass - Ready for Confirmation</v>
      </c>
    </row>
    <row r="1639" spans="1:9" x14ac:dyDescent="0.3">
      <c r="A1639" t="str">
        <f>FO_Capture!A1639</f>
        <v>TRD01638</v>
      </c>
      <c r="B1639" t="str">
        <f>FO_Capture!B1639</f>
        <v>INE004A01017</v>
      </c>
      <c r="C1639" t="str">
        <f>IFERROR(VLOOKUP(FO_Capture!C1639, Reference_Data!A:D, 2, FALSE), "UNKNOWN")</f>
        <v>Alpha Holdings 41</v>
      </c>
      <c r="D1639" t="str">
        <f>IFERROR(VLOOKUP(FO_Capture!C1639, Reference_Data!A:D, 3, FALSE), "XXX")</f>
        <v>JPY</v>
      </c>
      <c r="E1639" t="str">
        <f>IFERROR(VLOOKUP(FO_Capture!C1639, Reference_Data!A:D, 4, FALSE), "MISSING SSI")</f>
        <v>HSBC A/C 468615</v>
      </c>
      <c r="F1639">
        <f>FO_Capture!D1639</f>
        <v>300</v>
      </c>
      <c r="G1639">
        <f>FO_Capture!E1639</f>
        <v>74.010002136230469</v>
      </c>
      <c r="H1639">
        <f t="shared" si="50"/>
        <v>22203.000640869141</v>
      </c>
      <c r="I1639" t="str">
        <f t="shared" si="51"/>
        <v>Pass - Ready for Confirmation</v>
      </c>
    </row>
    <row r="1640" spans="1:9" x14ac:dyDescent="0.3">
      <c r="A1640" t="str">
        <f>FO_Capture!A1640</f>
        <v>TRD01639</v>
      </c>
      <c r="B1640" t="str">
        <f>FO_Capture!B1640</f>
        <v>INE004A0103</v>
      </c>
      <c r="C1640" t="str">
        <f>IFERROR(VLOOKUP(FO_Capture!C1640, Reference_Data!A:D, 2, FALSE), "UNKNOWN")</f>
        <v>Alpha Global 28</v>
      </c>
      <c r="D1640" t="str">
        <f>IFERROR(VLOOKUP(FO_Capture!C1640, Reference_Data!A:D, 3, FALSE), "XXX")</f>
        <v>USD</v>
      </c>
      <c r="E1640" t="str">
        <f>IFERROR(VLOOKUP(FO_Capture!C1640, Reference_Data!A:D, 4, FALSE), "MISSING SSI")</f>
        <v>HDFC A/C 638209</v>
      </c>
      <c r="F1640">
        <f>FO_Capture!D1640</f>
        <v>410</v>
      </c>
      <c r="G1640">
        <f>FO_Capture!E1640</f>
        <v>246.08000183105469</v>
      </c>
      <c r="H1640">
        <f t="shared" si="50"/>
        <v>100892.80075073242</v>
      </c>
      <c r="I1640" t="str">
        <f t="shared" si="51"/>
        <v>Pass - Ready for Confirmation</v>
      </c>
    </row>
    <row r="1641" spans="1:9" x14ac:dyDescent="0.3">
      <c r="A1641" t="str">
        <f>FO_Capture!A1641</f>
        <v>TRD01640</v>
      </c>
      <c r="B1641" t="str">
        <f>FO_Capture!B1641</f>
        <v>INE008A01060</v>
      </c>
      <c r="C1641" t="str">
        <f>IFERROR(VLOOKUP(FO_Capture!C1641, Reference_Data!A:D, 2, FALSE), "UNKNOWN")</f>
        <v>Alpha Partners 48</v>
      </c>
      <c r="D1641" t="str">
        <f>IFERROR(VLOOKUP(FO_Capture!C1641, Reference_Data!A:D, 3, FALSE), "XXX")</f>
        <v>SGD</v>
      </c>
      <c r="E1641" t="str">
        <f>IFERROR(VLOOKUP(FO_Capture!C1641, Reference_Data!A:D, 4, FALSE), "MISSING SSI")</f>
        <v>JPMorgan A/C 391364</v>
      </c>
      <c r="F1641">
        <f>FO_Capture!D1641</f>
        <v>300</v>
      </c>
      <c r="G1641">
        <f>FO_Capture!E1641</f>
        <v>265.1199951171875</v>
      </c>
      <c r="H1641">
        <f t="shared" si="50"/>
        <v>79535.99853515625</v>
      </c>
      <c r="I1641" t="str">
        <f t="shared" si="51"/>
        <v>Pass - Ready for Confirmation</v>
      </c>
    </row>
    <row r="1642" spans="1:9" x14ac:dyDescent="0.3">
      <c r="A1642" t="str">
        <f>FO_Capture!A1642</f>
        <v>TRD01641</v>
      </c>
      <c r="B1642" t="str">
        <f>FO_Capture!B1642</f>
        <v>INE001A01045</v>
      </c>
      <c r="C1642" t="str">
        <f>IFERROR(VLOOKUP(FO_Capture!C1642, Reference_Data!A:D, 2, FALSE), "UNKNOWN")</f>
        <v>Alpha Capital 7</v>
      </c>
      <c r="D1642" t="str">
        <f>IFERROR(VLOOKUP(FO_Capture!C1642, Reference_Data!A:D, 3, FALSE), "XXX")</f>
        <v>INR</v>
      </c>
      <c r="E1642" t="str">
        <f>IFERROR(VLOOKUP(FO_Capture!C1642, Reference_Data!A:D, 4, FALSE), "MISSING SSI")</f>
        <v>Standard Chartered A/C 682134</v>
      </c>
      <c r="F1642">
        <f>FO_Capture!D1642</f>
        <v>350</v>
      </c>
      <c r="G1642">
        <f>FO_Capture!E1642</f>
        <v>264.17001342773438</v>
      </c>
      <c r="H1642">
        <f t="shared" si="50"/>
        <v>92459.504699707031</v>
      </c>
      <c r="I1642" t="str">
        <f t="shared" si="51"/>
        <v>Pass - Ready for Confirmation</v>
      </c>
    </row>
    <row r="1643" spans="1:9" x14ac:dyDescent="0.3">
      <c r="A1643" t="str">
        <f>FO_Capture!A1643</f>
        <v>TRD01642</v>
      </c>
      <c r="B1643" t="str">
        <f>FO_Capture!B1643</f>
        <v>INE007A01096</v>
      </c>
      <c r="C1643" t="str">
        <f>IFERROR(VLOOKUP(FO_Capture!C1643, Reference_Data!A:D, 2, FALSE), "UNKNOWN")</f>
        <v>Alpha Asset Management 32</v>
      </c>
      <c r="D1643" t="str">
        <f>IFERROR(VLOOKUP(FO_Capture!C1643, Reference_Data!A:D, 3, FALSE), "XXX")</f>
        <v>INR</v>
      </c>
      <c r="E1643" t="str">
        <f>IFERROR(VLOOKUP(FO_Capture!C1643, Reference_Data!A:D, 4, FALSE), "MISSING SSI")</f>
        <v>Barclays A/C 302646</v>
      </c>
      <c r="F1643">
        <f>FO_Capture!D1643</f>
        <v>310</v>
      </c>
      <c r="G1643">
        <f>FO_Capture!E1643</f>
        <v>227.86000061035156</v>
      </c>
      <c r="H1643">
        <f t="shared" si="50"/>
        <v>70636.600189208984</v>
      </c>
      <c r="I1643" t="str">
        <f t="shared" si="51"/>
        <v>Pass - Ready for Confirmation</v>
      </c>
    </row>
    <row r="1644" spans="1:9" x14ac:dyDescent="0.3">
      <c r="A1644" t="str">
        <f>FO_Capture!A1644</f>
        <v>TRD01643</v>
      </c>
      <c r="B1644" t="str">
        <f>FO_Capture!B1644</f>
        <v>INE004A01087</v>
      </c>
      <c r="C1644" t="str">
        <f>IFERROR(VLOOKUP(FO_Capture!C1644, Reference_Data!A:D, 2, FALSE), "UNKNOWN")</f>
        <v>Alpha Partners 48</v>
      </c>
      <c r="D1644" t="str">
        <f>IFERROR(VLOOKUP(FO_Capture!C1644, Reference_Data!A:D, 3, FALSE), "XXX")</f>
        <v>SGD</v>
      </c>
      <c r="E1644" t="str">
        <f>IFERROR(VLOOKUP(FO_Capture!C1644, Reference_Data!A:D, 4, FALSE), "MISSING SSI")</f>
        <v>JPMorgan A/C 391364</v>
      </c>
      <c r="F1644">
        <f>FO_Capture!D1644</f>
        <v>60</v>
      </c>
      <c r="G1644">
        <f>FO_Capture!E1644</f>
        <v>242.3699951171875</v>
      </c>
      <c r="H1644">
        <f t="shared" si="50"/>
        <v>14542.19970703125</v>
      </c>
      <c r="I1644" t="str">
        <f t="shared" si="51"/>
        <v>Pass - Ready for Confirmation</v>
      </c>
    </row>
    <row r="1645" spans="1:9" x14ac:dyDescent="0.3">
      <c r="A1645" t="str">
        <f>FO_Capture!A1645</f>
        <v>TRD01644</v>
      </c>
      <c r="B1645" t="str">
        <f>FO_Capture!B1645</f>
        <v>INE002A01073</v>
      </c>
      <c r="C1645" t="str">
        <f>IFERROR(VLOOKUP(FO_Capture!C1645, Reference_Data!A:D, 2, FALSE), "UNKNOWN")</f>
        <v>Alpha Asset Management 4</v>
      </c>
      <c r="D1645" t="str">
        <f>IFERROR(VLOOKUP(FO_Capture!C1645, Reference_Data!A:D, 3, FALSE), "XXX")</f>
        <v>JPY</v>
      </c>
      <c r="E1645" t="str">
        <f>IFERROR(VLOOKUP(FO_Capture!C1645, Reference_Data!A:D, 4, FALSE), "MISSING SSI")</f>
        <v>Deutsche Bank A/C 126543</v>
      </c>
      <c r="F1645">
        <f>FO_Capture!D1645</f>
        <v>390</v>
      </c>
      <c r="G1645">
        <f>FO_Capture!E1645</f>
        <v>245.44000244140625</v>
      </c>
      <c r="H1645">
        <f t="shared" si="50"/>
        <v>95721.600952148438</v>
      </c>
      <c r="I1645" t="str">
        <f t="shared" si="51"/>
        <v>Pass - Ready for Confirmation</v>
      </c>
    </row>
    <row r="1646" spans="1:9" x14ac:dyDescent="0.3">
      <c r="A1646" t="str">
        <f>FO_Capture!A1646</f>
        <v>TRD01645</v>
      </c>
      <c r="B1646" t="str">
        <f>FO_Capture!B1646</f>
        <v>INE008A01042</v>
      </c>
      <c r="C1646" t="str">
        <f>IFERROR(VLOOKUP(FO_Capture!C1646, Reference_Data!A:D, 2, FALSE), "UNKNOWN")</f>
        <v>Alpha Global 46</v>
      </c>
      <c r="D1646" t="str">
        <f>IFERROR(VLOOKUP(FO_Capture!C1646, Reference_Data!A:D, 3, FALSE), "XXX")</f>
        <v>USD</v>
      </c>
      <c r="E1646" t="str">
        <f>IFERROR(VLOOKUP(FO_Capture!C1646, Reference_Data!A:D, 4, FALSE), "MISSING SSI")</f>
        <v>Citi A/C 700450</v>
      </c>
      <c r="F1646">
        <f>FO_Capture!D1646</f>
        <v>180</v>
      </c>
      <c r="G1646">
        <f>FO_Capture!E1646</f>
        <v>276.3900146484375</v>
      </c>
      <c r="H1646">
        <f t="shared" si="50"/>
        <v>49750.20263671875</v>
      </c>
      <c r="I1646" t="str">
        <f t="shared" si="51"/>
        <v>Pass - Ready for Confirmation</v>
      </c>
    </row>
    <row r="1647" spans="1:9" x14ac:dyDescent="0.3">
      <c r="A1647" t="str">
        <f>FO_Capture!A1647</f>
        <v>TRD01646</v>
      </c>
      <c r="B1647" t="str">
        <f>FO_Capture!B1647</f>
        <v>INE006A01064</v>
      </c>
      <c r="C1647" t="str">
        <f>IFERROR(VLOOKUP(FO_Capture!C1647, Reference_Data!A:D, 2, FALSE), "UNKNOWN")</f>
        <v>Alpha Partners 42</v>
      </c>
      <c r="D1647" t="str">
        <f>IFERROR(VLOOKUP(FO_Capture!C1647, Reference_Data!A:D, 3, FALSE), "XXX")</f>
        <v>USD</v>
      </c>
      <c r="E1647" t="str">
        <f>IFERROR(VLOOKUP(FO_Capture!C1647, Reference_Data!A:D, 4, FALSE), "MISSING SSI")</f>
        <v>Citi A/C 416082</v>
      </c>
      <c r="F1647">
        <f>FO_Capture!D1647</f>
        <v>240</v>
      </c>
      <c r="G1647">
        <f>FO_Capture!E1647</f>
        <v>226.07000732421875</v>
      </c>
      <c r="H1647">
        <f t="shared" si="50"/>
        <v>54256.8017578125</v>
      </c>
      <c r="I1647" t="str">
        <f t="shared" si="51"/>
        <v>Pass - Ready for Confirmation</v>
      </c>
    </row>
    <row r="1648" spans="1:9" x14ac:dyDescent="0.3">
      <c r="A1648" t="str">
        <f>FO_Capture!A1648</f>
        <v>TRD01647</v>
      </c>
      <c r="B1648" t="str">
        <f>FO_Capture!B1648</f>
        <v>INE007A01043</v>
      </c>
      <c r="C1648" t="str">
        <f>IFERROR(VLOOKUP(FO_Capture!C1648, Reference_Data!A:D, 2, FALSE), "UNKNOWN")</f>
        <v>Alpha Capital 7</v>
      </c>
      <c r="D1648" t="str">
        <f>IFERROR(VLOOKUP(FO_Capture!C1648, Reference_Data!A:D, 3, FALSE), "XXX")</f>
        <v>INR</v>
      </c>
      <c r="E1648" t="str">
        <f>IFERROR(VLOOKUP(FO_Capture!C1648, Reference_Data!A:D, 4, FALSE), "MISSING SSI")</f>
        <v>Standard Chartered A/C 682134</v>
      </c>
      <c r="F1648">
        <f>FO_Capture!D1648</f>
        <v>470</v>
      </c>
      <c r="G1648">
        <f>FO_Capture!E1648</f>
        <v>86.919998168945313</v>
      </c>
      <c r="H1648">
        <f t="shared" si="50"/>
        <v>40852.399139404297</v>
      </c>
      <c r="I1648" t="str">
        <f t="shared" si="51"/>
        <v>Pass - Ready for Confirmation</v>
      </c>
    </row>
    <row r="1649" spans="1:9" x14ac:dyDescent="0.3">
      <c r="A1649" t="str">
        <f>FO_Capture!A1649</f>
        <v>TRD01648</v>
      </c>
      <c r="B1649" t="str">
        <f>FO_Capture!B1649</f>
        <v>INE006A01064</v>
      </c>
      <c r="C1649" t="str">
        <f>IFERROR(VLOOKUP(FO_Capture!C1649, Reference_Data!A:D, 2, FALSE), "UNKNOWN")</f>
        <v>Alpha Asset Management 32</v>
      </c>
      <c r="D1649" t="str">
        <f>IFERROR(VLOOKUP(FO_Capture!C1649, Reference_Data!A:D, 3, FALSE), "XXX")</f>
        <v>INR</v>
      </c>
      <c r="E1649" t="str">
        <f>IFERROR(VLOOKUP(FO_Capture!C1649, Reference_Data!A:D, 4, FALSE), "MISSING SSI")</f>
        <v>Barclays A/C 302646</v>
      </c>
      <c r="F1649">
        <f>FO_Capture!D1649</f>
        <v>190</v>
      </c>
      <c r="G1649">
        <f>FO_Capture!E1649</f>
        <v>202.94000244140625</v>
      </c>
      <c r="H1649">
        <f t="shared" si="50"/>
        <v>38558.600463867188</v>
      </c>
      <c r="I1649" t="str">
        <f t="shared" si="51"/>
        <v>Pass - Ready for Confirmation</v>
      </c>
    </row>
    <row r="1650" spans="1:9" x14ac:dyDescent="0.3">
      <c r="A1650" t="str">
        <f>FO_Capture!A1650</f>
        <v>TRD01649</v>
      </c>
      <c r="B1650" t="str">
        <f>FO_Capture!B1650</f>
        <v>INE009A01049</v>
      </c>
      <c r="C1650" t="str">
        <f>IFERROR(VLOOKUP(FO_Capture!C1650, Reference_Data!A:D, 2, FALSE), "UNKNOWN")</f>
        <v>Alpha Partners 1</v>
      </c>
      <c r="D1650" t="str">
        <f>IFERROR(VLOOKUP(FO_Capture!C1650, Reference_Data!A:D, 3, FALSE), "XXX")</f>
        <v>JPY</v>
      </c>
      <c r="E1650" t="str">
        <f>IFERROR(VLOOKUP(FO_Capture!C1650, Reference_Data!A:D, 4, FALSE), "MISSING SSI")</f>
        <v>Standard Chartered A/C 277005</v>
      </c>
      <c r="F1650">
        <f>FO_Capture!D1650</f>
        <v>320</v>
      </c>
      <c r="G1650">
        <f>FO_Capture!E1650</f>
        <v>19.680000305175781</v>
      </c>
      <c r="H1650">
        <f t="shared" si="50"/>
        <v>6297.60009765625</v>
      </c>
      <c r="I1650" t="str">
        <f t="shared" si="51"/>
        <v>Pass - Ready for Confirmation</v>
      </c>
    </row>
    <row r="1651" spans="1:9" x14ac:dyDescent="0.3">
      <c r="A1651" t="str">
        <f>FO_Capture!A1651</f>
        <v>TRD01650</v>
      </c>
      <c r="B1651" t="str">
        <f>FO_Capture!B1651</f>
        <v>INE003A01097</v>
      </c>
      <c r="C1651" t="str">
        <f>IFERROR(VLOOKUP(FO_Capture!C1651, Reference_Data!A:D, 2, FALSE), "UNKNOWN")</f>
        <v>Alpha Quant Fund 24</v>
      </c>
      <c r="D1651" t="str">
        <f>IFERROR(VLOOKUP(FO_Capture!C1651, Reference_Data!A:D, 3, FALSE), "XXX")</f>
        <v>SGD</v>
      </c>
      <c r="E1651" t="str">
        <f>IFERROR(VLOOKUP(FO_Capture!C1651, Reference_Data!A:D, 4, FALSE), "MISSING SSI")</f>
        <v>JPMorgan A/C 603587</v>
      </c>
      <c r="F1651">
        <f>FO_Capture!D1651</f>
        <v>180</v>
      </c>
      <c r="G1651">
        <f>FO_Capture!E1651</f>
        <v>334.260009765625</v>
      </c>
      <c r="H1651">
        <f t="shared" si="50"/>
        <v>60166.8017578125</v>
      </c>
      <c r="I1651" t="str">
        <f t="shared" si="51"/>
        <v>Pass - Ready for Confirmation</v>
      </c>
    </row>
    <row r="1652" spans="1:9" x14ac:dyDescent="0.3">
      <c r="A1652" t="str">
        <f>FO_Capture!A1652</f>
        <v>TRD01651</v>
      </c>
      <c r="B1652" t="str">
        <f>FO_Capture!B1652</f>
        <v>INE005A01046</v>
      </c>
      <c r="C1652" t="str">
        <f>IFERROR(VLOOKUP(FO_Capture!C1652, Reference_Data!A:D, 2, FALSE), "UNKNOWN")</f>
        <v>Alpha Asset Management 8</v>
      </c>
      <c r="D1652" t="str">
        <f>IFERROR(VLOOKUP(FO_Capture!C1652, Reference_Data!A:D, 3, FALSE), "XXX")</f>
        <v>GBP</v>
      </c>
      <c r="E1652" t="str">
        <f>IFERROR(VLOOKUP(FO_Capture!C1652, Reference_Data!A:D, 4, FALSE), "MISSING SSI")</f>
        <v>HDFC A/C 180445</v>
      </c>
      <c r="F1652">
        <f>FO_Capture!D1652</f>
        <v>220</v>
      </c>
      <c r="G1652">
        <f>FO_Capture!E1652</f>
        <v>45.369998931884766</v>
      </c>
      <c r="H1652">
        <f t="shared" si="50"/>
        <v>9981.3997650146484</v>
      </c>
      <c r="I1652" t="str">
        <f t="shared" si="51"/>
        <v>Pass - Ready for Confirmation</v>
      </c>
    </row>
    <row r="1653" spans="1:9" x14ac:dyDescent="0.3">
      <c r="A1653" t="str">
        <f>FO_Capture!A1653</f>
        <v>TRD01652</v>
      </c>
      <c r="B1653" t="str">
        <f>FO_Capture!B1653</f>
        <v>INE007A01011</v>
      </c>
      <c r="C1653" t="str">
        <f>IFERROR(VLOOKUP(FO_Capture!C1653, Reference_Data!A:D, 2, FALSE), "UNKNOWN")</f>
        <v>Alpha Asset Management 31</v>
      </c>
      <c r="D1653" t="str">
        <f>IFERROR(VLOOKUP(FO_Capture!C1653, Reference_Data!A:D, 3, FALSE), "XXX")</f>
        <v>USD</v>
      </c>
      <c r="E1653" t="str">
        <f>IFERROR(VLOOKUP(FO_Capture!C1653, Reference_Data!A:D, 4, FALSE), "MISSING SSI")</f>
        <v>Citi A/C 194841</v>
      </c>
      <c r="F1653">
        <f>FO_Capture!D1653</f>
        <v>280</v>
      </c>
      <c r="G1653">
        <f>FO_Capture!E1653</f>
        <v>403.239990234375</v>
      </c>
      <c r="H1653">
        <f t="shared" si="50"/>
        <v>112907.197265625</v>
      </c>
      <c r="I1653" t="str">
        <f t="shared" si="51"/>
        <v>Pass - Ready for Confirmation</v>
      </c>
    </row>
    <row r="1654" spans="1:9" x14ac:dyDescent="0.3">
      <c r="A1654" t="str">
        <f>FO_Capture!A1654</f>
        <v>TRD01653</v>
      </c>
      <c r="B1654" t="str">
        <f>FO_Capture!B1654</f>
        <v>INE008A01043</v>
      </c>
      <c r="C1654" t="str">
        <f>IFERROR(VLOOKUP(FO_Capture!C1654, Reference_Data!A:D, 2, FALSE), "UNKNOWN")</f>
        <v>Alpha Partners 22</v>
      </c>
      <c r="D1654" t="str">
        <f>IFERROR(VLOOKUP(FO_Capture!C1654, Reference_Data!A:D, 3, FALSE), "XXX")</f>
        <v>GBP</v>
      </c>
      <c r="E1654" t="str">
        <f>IFERROR(VLOOKUP(FO_Capture!C1654, Reference_Data!A:D, 4, FALSE), "MISSING SSI")</f>
        <v>JPMorgan A/C 488546</v>
      </c>
      <c r="F1654">
        <f>FO_Capture!D1654</f>
        <v>320</v>
      </c>
      <c r="G1654">
        <f>FO_Capture!E1654</f>
        <v>259.67999267578125</v>
      </c>
      <c r="H1654">
        <f t="shared" si="50"/>
        <v>83097.59765625</v>
      </c>
      <c r="I1654" t="str">
        <f t="shared" si="51"/>
        <v>Pass - Ready for Confirmation</v>
      </c>
    </row>
    <row r="1655" spans="1:9" x14ac:dyDescent="0.3">
      <c r="A1655" t="str">
        <f>FO_Capture!A1655</f>
        <v>TRD01654</v>
      </c>
      <c r="B1655" t="str">
        <f>FO_Capture!B1655</f>
        <v>INE003A01075</v>
      </c>
      <c r="C1655" t="str">
        <f>IFERROR(VLOOKUP(FO_Capture!C1655, Reference_Data!A:D, 2, FALSE), "UNKNOWN")</f>
        <v>Alpha Investments 29</v>
      </c>
      <c r="D1655" t="str">
        <f>IFERROR(VLOOKUP(FO_Capture!C1655, Reference_Data!A:D, 3, FALSE), "XXX")</f>
        <v>INR</v>
      </c>
      <c r="E1655" t="str">
        <f>IFERROR(VLOOKUP(FO_Capture!C1655, Reference_Data!A:D, 4, FALSE), "MISSING SSI")</f>
        <v>HSBC A/C 785870</v>
      </c>
      <c r="F1655">
        <f>FO_Capture!D1655</f>
        <v>200</v>
      </c>
      <c r="G1655">
        <f>FO_Capture!E1655</f>
        <v>318.07000732421875</v>
      </c>
      <c r="H1655">
        <f t="shared" si="50"/>
        <v>63614.00146484375</v>
      </c>
      <c r="I1655" t="str">
        <f t="shared" si="51"/>
        <v>Pass - Ready for Confirmation</v>
      </c>
    </row>
    <row r="1656" spans="1:9" x14ac:dyDescent="0.3">
      <c r="A1656" t="str">
        <f>FO_Capture!A1656</f>
        <v>TRD01655</v>
      </c>
      <c r="B1656" t="str">
        <f>FO_Capture!B1656</f>
        <v>INE004A01074</v>
      </c>
      <c r="C1656" t="str">
        <f>IFERROR(VLOOKUP(FO_Capture!C1656, Reference_Data!A:D, 2, FALSE), "UNKNOWN")</f>
        <v>Alpha Quant Fund 50</v>
      </c>
      <c r="D1656" t="str">
        <f>IFERROR(VLOOKUP(FO_Capture!C1656, Reference_Data!A:D, 3, FALSE), "XXX")</f>
        <v>SGD</v>
      </c>
      <c r="E1656" t="str">
        <f>IFERROR(VLOOKUP(FO_Capture!C1656, Reference_Data!A:D, 4, FALSE), "MISSING SSI")</f>
        <v>Standard Chartered A/C 307017</v>
      </c>
      <c r="F1656">
        <f>FO_Capture!D1656</f>
        <v>380</v>
      </c>
      <c r="G1656">
        <f>FO_Capture!E1656</f>
        <v>383.32998657226563</v>
      </c>
      <c r="H1656">
        <f t="shared" si="50"/>
        <v>145665.39489746094</v>
      </c>
      <c r="I1656" t="str">
        <f t="shared" si="51"/>
        <v>Pass - Ready for Confirmation</v>
      </c>
    </row>
    <row r="1657" spans="1:9" x14ac:dyDescent="0.3">
      <c r="A1657" t="str">
        <f>FO_Capture!A1657</f>
        <v>TRD01656</v>
      </c>
      <c r="B1657" t="str">
        <f>FO_Capture!B1657</f>
        <v>INE007A01089</v>
      </c>
      <c r="C1657" t="str">
        <f>IFERROR(VLOOKUP(FO_Capture!C1657, Reference_Data!A:D, 2, FALSE), "UNKNOWN")</f>
        <v>Alpha Asset Management 5</v>
      </c>
      <c r="D1657" t="str">
        <f>IFERROR(VLOOKUP(FO_Capture!C1657, Reference_Data!A:D, 3, FALSE), "XXX")</f>
        <v>INR</v>
      </c>
      <c r="E1657" t="str">
        <f>IFERROR(VLOOKUP(FO_Capture!C1657, Reference_Data!A:D, 4, FALSE), "MISSING SSI")</f>
        <v>JPMorgan A/C 860462</v>
      </c>
      <c r="F1657">
        <f>FO_Capture!D1657</f>
        <v>250</v>
      </c>
      <c r="G1657">
        <f>FO_Capture!E1657</f>
        <v>111.94999694824219</v>
      </c>
      <c r="H1657">
        <f t="shared" si="50"/>
        <v>27987.499237060547</v>
      </c>
      <c r="I1657" t="str">
        <f t="shared" si="51"/>
        <v>Pass - Ready for Confirmation</v>
      </c>
    </row>
    <row r="1658" spans="1:9" x14ac:dyDescent="0.3">
      <c r="A1658" t="str">
        <f>FO_Capture!A1658</f>
        <v>TRD01657</v>
      </c>
      <c r="B1658" t="str">
        <f>FO_Capture!B1658</f>
        <v>INE009A0102</v>
      </c>
      <c r="C1658" t="str">
        <f>IFERROR(VLOOKUP(FO_Capture!C1658, Reference_Data!A:D, 2, FALSE), "UNKNOWN")</f>
        <v>Alpha Capital 11</v>
      </c>
      <c r="D1658" t="str">
        <f>IFERROR(VLOOKUP(FO_Capture!C1658, Reference_Data!A:D, 3, FALSE), "XXX")</f>
        <v>USD</v>
      </c>
      <c r="E1658" t="str">
        <f>IFERROR(VLOOKUP(FO_Capture!C1658, Reference_Data!A:D, 4, FALSE), "MISSING SSI")</f>
        <v>JPMorgan A/C 987170</v>
      </c>
      <c r="F1658">
        <f>FO_Capture!D1658</f>
        <v>290</v>
      </c>
      <c r="G1658">
        <f>FO_Capture!E1658</f>
        <v>262.010009765625</v>
      </c>
      <c r="H1658">
        <f t="shared" si="50"/>
        <v>75982.90283203125</v>
      </c>
      <c r="I1658" t="str">
        <f t="shared" si="51"/>
        <v>Pass - Ready for Confirmation</v>
      </c>
    </row>
    <row r="1659" spans="1:9" x14ac:dyDescent="0.3">
      <c r="A1659" t="str">
        <f>FO_Capture!A1659</f>
        <v>TRD01658</v>
      </c>
      <c r="B1659" t="str">
        <f>FO_Capture!B1659</f>
        <v>INE009A01075</v>
      </c>
      <c r="C1659" t="str">
        <f>IFERROR(VLOOKUP(FO_Capture!C1659, Reference_Data!A:D, 2, FALSE), "UNKNOWN")</f>
        <v>Alpha Capital 9</v>
      </c>
      <c r="D1659" t="str">
        <f>IFERROR(VLOOKUP(FO_Capture!C1659, Reference_Data!A:D, 3, FALSE), "XXX")</f>
        <v>JPY</v>
      </c>
      <c r="E1659" t="str">
        <f>IFERROR(VLOOKUP(FO_Capture!C1659, Reference_Data!A:D, 4, FALSE), "MISSING SSI")</f>
        <v>Citi A/C 744145</v>
      </c>
      <c r="F1659">
        <f>FO_Capture!D1659</f>
        <v>380</v>
      </c>
      <c r="G1659">
        <f>FO_Capture!E1659</f>
        <v>443.10000610351563</v>
      </c>
      <c r="H1659">
        <f t="shared" si="50"/>
        <v>168378.00231933594</v>
      </c>
      <c r="I1659" t="str">
        <f t="shared" si="51"/>
        <v>Pass - Ready for Confirmation</v>
      </c>
    </row>
    <row r="1660" spans="1:9" x14ac:dyDescent="0.3">
      <c r="A1660" t="str">
        <f>FO_Capture!A1660</f>
        <v>TRD01659</v>
      </c>
      <c r="B1660" t="str">
        <f>FO_Capture!B1660</f>
        <v>INE006A0108</v>
      </c>
      <c r="C1660" t="str">
        <f>IFERROR(VLOOKUP(FO_Capture!C1660, Reference_Data!A:D, 2, FALSE), "UNKNOWN")</f>
        <v>Alpha Partners 37</v>
      </c>
      <c r="D1660" t="str">
        <f>IFERROR(VLOOKUP(FO_Capture!C1660, Reference_Data!A:D, 3, FALSE), "XXX")</f>
        <v>JPY</v>
      </c>
      <c r="E1660" t="str">
        <f>IFERROR(VLOOKUP(FO_Capture!C1660, Reference_Data!A:D, 4, FALSE), "MISSING SSI")</f>
        <v>HSBC A/C 994063</v>
      </c>
      <c r="F1660">
        <f>FO_Capture!D1660</f>
        <v>40</v>
      </c>
      <c r="G1660">
        <f>FO_Capture!E1660</f>
        <v>366.42999267578125</v>
      </c>
      <c r="H1660">
        <f t="shared" si="50"/>
        <v>14657.19970703125</v>
      </c>
      <c r="I1660" t="str">
        <f t="shared" si="51"/>
        <v>Pass - Ready for Confirmation</v>
      </c>
    </row>
    <row r="1661" spans="1:9" x14ac:dyDescent="0.3">
      <c r="A1661" t="str">
        <f>FO_Capture!A1661</f>
        <v>TRD01660</v>
      </c>
      <c r="B1661" t="str">
        <f>FO_Capture!B1661</f>
        <v>INE002A01080</v>
      </c>
      <c r="C1661" t="str">
        <f>IFERROR(VLOOKUP(FO_Capture!C1661, Reference_Data!A:D, 2, FALSE), "UNKNOWN")</f>
        <v>Alpha Asset Management 5</v>
      </c>
      <c r="D1661" t="str">
        <f>IFERROR(VLOOKUP(FO_Capture!C1661, Reference_Data!A:D, 3, FALSE), "XXX")</f>
        <v>INR</v>
      </c>
      <c r="E1661" t="str">
        <f>IFERROR(VLOOKUP(FO_Capture!C1661, Reference_Data!A:D, 4, FALSE), "MISSING SSI")</f>
        <v>JPMorgan A/C 860462</v>
      </c>
      <c r="F1661">
        <f>FO_Capture!D1661</f>
        <v>160</v>
      </c>
      <c r="G1661">
        <f>FO_Capture!E1661</f>
        <v>94.720001220703125</v>
      </c>
      <c r="H1661">
        <f t="shared" si="50"/>
        <v>15155.2001953125</v>
      </c>
      <c r="I1661" t="str">
        <f t="shared" si="51"/>
        <v>Pass - Ready for Confirmation</v>
      </c>
    </row>
    <row r="1662" spans="1:9" x14ac:dyDescent="0.3">
      <c r="A1662" t="str">
        <f>FO_Capture!A1662</f>
        <v>TRD01661</v>
      </c>
      <c r="B1662" t="str">
        <f>FO_Capture!B1662</f>
        <v>INE006A0104</v>
      </c>
      <c r="C1662" t="str">
        <f>IFERROR(VLOOKUP(FO_Capture!C1662, Reference_Data!A:D, 2, FALSE), "UNKNOWN")</f>
        <v>Alpha Holdings 21</v>
      </c>
      <c r="D1662" t="str">
        <f>IFERROR(VLOOKUP(FO_Capture!C1662, Reference_Data!A:D, 3, FALSE), "XXX")</f>
        <v>SGD</v>
      </c>
      <c r="E1662" t="str">
        <f>IFERROR(VLOOKUP(FO_Capture!C1662, Reference_Data!A:D, 4, FALSE), "MISSING SSI")</f>
        <v>HSBC A/C 562956</v>
      </c>
      <c r="F1662">
        <f>FO_Capture!D1662</f>
        <v>280</v>
      </c>
      <c r="G1662">
        <f>FO_Capture!E1662</f>
        <v>292.29000854492188</v>
      </c>
      <c r="H1662">
        <f t="shared" si="50"/>
        <v>81841.202392578125</v>
      </c>
      <c r="I1662" t="str">
        <f t="shared" si="51"/>
        <v>Pass - Ready for Confirmation</v>
      </c>
    </row>
    <row r="1663" spans="1:9" x14ac:dyDescent="0.3">
      <c r="A1663" t="str">
        <f>FO_Capture!A1663</f>
        <v>TRD01662</v>
      </c>
      <c r="B1663" t="str">
        <f>FO_Capture!B1663</f>
        <v>INE007A01075</v>
      </c>
      <c r="C1663" t="str">
        <f>IFERROR(VLOOKUP(FO_Capture!C1663, Reference_Data!A:D, 2, FALSE), "UNKNOWN")</f>
        <v>Alpha Holdings 16</v>
      </c>
      <c r="D1663" t="str">
        <f>IFERROR(VLOOKUP(FO_Capture!C1663, Reference_Data!A:D, 3, FALSE), "XXX")</f>
        <v>USD</v>
      </c>
      <c r="E1663" t="str">
        <f>IFERROR(VLOOKUP(FO_Capture!C1663, Reference_Data!A:D, 4, FALSE), "MISSING SSI")</f>
        <v>Barclays A/C 197229</v>
      </c>
      <c r="F1663">
        <f>FO_Capture!D1663</f>
        <v>300</v>
      </c>
      <c r="G1663">
        <f>FO_Capture!E1663</f>
        <v>475</v>
      </c>
      <c r="H1663">
        <f t="shared" si="50"/>
        <v>142500</v>
      </c>
      <c r="I1663" t="str">
        <f t="shared" si="51"/>
        <v>Pass - Ready for Confirmation</v>
      </c>
    </row>
    <row r="1664" spans="1:9" x14ac:dyDescent="0.3">
      <c r="A1664" t="str">
        <f>FO_Capture!A1664</f>
        <v>TRD01663</v>
      </c>
      <c r="B1664" t="str">
        <f>FO_Capture!B1664</f>
        <v>INE006A01024</v>
      </c>
      <c r="C1664" t="str">
        <f>IFERROR(VLOOKUP(FO_Capture!C1664, Reference_Data!A:D, 2, FALSE), "UNKNOWN")</f>
        <v>Alpha Partners 19</v>
      </c>
      <c r="D1664" t="str">
        <f>IFERROR(VLOOKUP(FO_Capture!C1664, Reference_Data!A:D, 3, FALSE), "XXX")</f>
        <v>INR</v>
      </c>
      <c r="E1664" t="str">
        <f>IFERROR(VLOOKUP(FO_Capture!C1664, Reference_Data!A:D, 4, FALSE), "MISSING SSI")</f>
        <v>Citi A/C 543819</v>
      </c>
      <c r="F1664">
        <f>FO_Capture!D1664</f>
        <v>270</v>
      </c>
      <c r="G1664">
        <f>FO_Capture!E1664</f>
        <v>260.29998779296875</v>
      </c>
      <c r="H1664">
        <f t="shared" si="50"/>
        <v>70280.996704101563</v>
      </c>
      <c r="I1664" t="str">
        <f t="shared" si="51"/>
        <v>Pass - Ready for Confirmation</v>
      </c>
    </row>
    <row r="1665" spans="1:9" x14ac:dyDescent="0.3">
      <c r="A1665" t="str">
        <f>FO_Capture!A1665</f>
        <v>TRD01664</v>
      </c>
      <c r="B1665" t="str">
        <f>FO_Capture!B1665</f>
        <v>INE003A01059</v>
      </c>
      <c r="C1665" t="str">
        <f>IFERROR(VLOOKUP(FO_Capture!C1665, Reference_Data!A:D, 2, FALSE), "UNKNOWN")</f>
        <v>Alpha Asset Management 31</v>
      </c>
      <c r="D1665" t="str">
        <f>IFERROR(VLOOKUP(FO_Capture!C1665, Reference_Data!A:D, 3, FALSE), "XXX")</f>
        <v>USD</v>
      </c>
      <c r="E1665" t="str">
        <f>IFERROR(VLOOKUP(FO_Capture!C1665, Reference_Data!A:D, 4, FALSE), "MISSING SSI")</f>
        <v>Citi A/C 194841</v>
      </c>
      <c r="F1665">
        <f>FO_Capture!D1665</f>
        <v>110</v>
      </c>
      <c r="G1665">
        <f>FO_Capture!E1665</f>
        <v>117.16000366210938</v>
      </c>
      <c r="H1665">
        <f t="shared" si="50"/>
        <v>12887.600402832031</v>
      </c>
      <c r="I1665" t="str">
        <f t="shared" si="51"/>
        <v>Pass - Ready for Confirmation</v>
      </c>
    </row>
    <row r="1666" spans="1:9" x14ac:dyDescent="0.3">
      <c r="A1666" t="str">
        <f>FO_Capture!A1666</f>
        <v>TRD01665</v>
      </c>
      <c r="B1666" t="str">
        <f>FO_Capture!B1666</f>
        <v>INE004A01028</v>
      </c>
      <c r="C1666" t="str">
        <f>IFERROR(VLOOKUP(FO_Capture!C1666, Reference_Data!A:D, 2, FALSE), "UNKNOWN")</f>
        <v>Alpha Partners 1</v>
      </c>
      <c r="D1666" t="str">
        <f>IFERROR(VLOOKUP(FO_Capture!C1666, Reference_Data!A:D, 3, FALSE), "XXX")</f>
        <v>JPY</v>
      </c>
      <c r="E1666" t="str">
        <f>IFERROR(VLOOKUP(FO_Capture!C1666, Reference_Data!A:D, 4, FALSE), "MISSING SSI")</f>
        <v>Standard Chartered A/C 277005</v>
      </c>
      <c r="F1666">
        <f>FO_Capture!D1666</f>
        <v>380</v>
      </c>
      <c r="G1666">
        <f>FO_Capture!E1666</f>
        <v>116.15000152587891</v>
      </c>
      <c r="H1666">
        <f t="shared" si="50"/>
        <v>44137.000579833984</v>
      </c>
      <c r="I1666" t="str">
        <f t="shared" si="51"/>
        <v>Pass - Ready for Confirmation</v>
      </c>
    </row>
    <row r="1667" spans="1:9" x14ac:dyDescent="0.3">
      <c r="A1667" t="str">
        <f>FO_Capture!A1667</f>
        <v>TRD01666</v>
      </c>
      <c r="B1667" t="str">
        <f>FO_Capture!B1667</f>
        <v>INE009A01054</v>
      </c>
      <c r="C1667" t="str">
        <f>IFERROR(VLOOKUP(FO_Capture!C1667, Reference_Data!A:D, 2, FALSE), "UNKNOWN")</f>
        <v>Alpha Partners 1</v>
      </c>
      <c r="D1667" t="str">
        <f>IFERROR(VLOOKUP(FO_Capture!C1667, Reference_Data!A:D, 3, FALSE), "XXX")</f>
        <v>JPY</v>
      </c>
      <c r="E1667" t="str">
        <f>IFERROR(VLOOKUP(FO_Capture!C1667, Reference_Data!A:D, 4, FALSE), "MISSING SSI")</f>
        <v>Standard Chartered A/C 277005</v>
      </c>
      <c r="F1667">
        <f>FO_Capture!D1667</f>
        <v>40</v>
      </c>
      <c r="G1667">
        <f>FO_Capture!E1667</f>
        <v>179.38999938964844</v>
      </c>
      <c r="H1667">
        <f t="shared" ref="H1667:H1730" si="52">F1667 * G1667</f>
        <v>7175.5999755859375</v>
      </c>
      <c r="I1667" t="str">
        <f t="shared" ref="I1667:I1730" si="53">IF(C1667="UNKNOWN", "Fail - Missing Ref Data", IF(OR(F1667&lt;=0, G1667&lt;=0), "Fail - Invalid Price/Qty", IF(H1667&gt;1000000, "Exception - Limit Breach", "Pass - Ready for Confirmation")))</f>
        <v>Pass - Ready for Confirmation</v>
      </c>
    </row>
    <row r="1668" spans="1:9" x14ac:dyDescent="0.3">
      <c r="A1668" t="str">
        <f>FO_Capture!A1668</f>
        <v>TRD01667</v>
      </c>
      <c r="B1668" t="str">
        <f>FO_Capture!B1668</f>
        <v>INE009A0100</v>
      </c>
      <c r="C1668" t="str">
        <f>IFERROR(VLOOKUP(FO_Capture!C1668, Reference_Data!A:D, 2, FALSE), "UNKNOWN")</f>
        <v>Alpha Partners 48</v>
      </c>
      <c r="D1668" t="str">
        <f>IFERROR(VLOOKUP(FO_Capture!C1668, Reference_Data!A:D, 3, FALSE), "XXX")</f>
        <v>SGD</v>
      </c>
      <c r="E1668" t="str">
        <f>IFERROR(VLOOKUP(FO_Capture!C1668, Reference_Data!A:D, 4, FALSE), "MISSING SSI")</f>
        <v>JPMorgan A/C 391364</v>
      </c>
      <c r="F1668">
        <f>FO_Capture!D1668</f>
        <v>140</v>
      </c>
      <c r="G1668">
        <f>FO_Capture!E1668</f>
        <v>330.55999755859375</v>
      </c>
      <c r="H1668">
        <f t="shared" si="52"/>
        <v>46278.399658203125</v>
      </c>
      <c r="I1668" t="str">
        <f t="shared" si="53"/>
        <v>Pass - Ready for Confirmation</v>
      </c>
    </row>
    <row r="1669" spans="1:9" x14ac:dyDescent="0.3">
      <c r="A1669" t="str">
        <f>FO_Capture!A1669</f>
        <v>TRD01668</v>
      </c>
      <c r="B1669" t="str">
        <f>FO_Capture!B1669</f>
        <v>INE007A0107</v>
      </c>
      <c r="C1669" t="str">
        <f>IFERROR(VLOOKUP(FO_Capture!C1669, Reference_Data!A:D, 2, FALSE), "UNKNOWN")</f>
        <v>Alpha Partners 37</v>
      </c>
      <c r="D1669" t="str">
        <f>IFERROR(VLOOKUP(FO_Capture!C1669, Reference_Data!A:D, 3, FALSE), "XXX")</f>
        <v>JPY</v>
      </c>
      <c r="E1669" t="str">
        <f>IFERROR(VLOOKUP(FO_Capture!C1669, Reference_Data!A:D, 4, FALSE), "MISSING SSI")</f>
        <v>HSBC A/C 994063</v>
      </c>
      <c r="F1669">
        <f>FO_Capture!D1669</f>
        <v>160</v>
      </c>
      <c r="G1669">
        <f>FO_Capture!E1669</f>
        <v>444.89999389648438</v>
      </c>
      <c r="H1669">
        <f t="shared" si="52"/>
        <v>71183.9990234375</v>
      </c>
      <c r="I1669" t="str">
        <f t="shared" si="53"/>
        <v>Pass - Ready for Confirmation</v>
      </c>
    </row>
    <row r="1670" spans="1:9" x14ac:dyDescent="0.3">
      <c r="A1670" t="str">
        <f>FO_Capture!A1670</f>
        <v>TRD01669</v>
      </c>
      <c r="B1670" t="str">
        <f>FO_Capture!B1670</f>
        <v>INE005A01050</v>
      </c>
      <c r="C1670" t="str">
        <f>IFERROR(VLOOKUP(FO_Capture!C1670, Reference_Data!A:D, 2, FALSE), "UNKNOWN")</f>
        <v>Alpha Asset Management 5</v>
      </c>
      <c r="D1670" t="str">
        <f>IFERROR(VLOOKUP(FO_Capture!C1670, Reference_Data!A:D, 3, FALSE), "XXX")</f>
        <v>INR</v>
      </c>
      <c r="E1670" t="str">
        <f>IFERROR(VLOOKUP(FO_Capture!C1670, Reference_Data!A:D, 4, FALSE), "MISSING SSI")</f>
        <v>JPMorgan A/C 860462</v>
      </c>
      <c r="F1670">
        <f>FO_Capture!D1670</f>
        <v>180</v>
      </c>
      <c r="G1670">
        <f>FO_Capture!E1670</f>
        <v>499.22000122070313</v>
      </c>
      <c r="H1670">
        <f t="shared" si="52"/>
        <v>89859.600219726563</v>
      </c>
      <c r="I1670" t="str">
        <f t="shared" si="53"/>
        <v>Pass - Ready for Confirmation</v>
      </c>
    </row>
    <row r="1671" spans="1:9" x14ac:dyDescent="0.3">
      <c r="A1671" t="str">
        <f>FO_Capture!A1671</f>
        <v>TRD01670</v>
      </c>
      <c r="B1671" t="str">
        <f>FO_Capture!B1671</f>
        <v>INE001A01089</v>
      </c>
      <c r="C1671" t="str">
        <f>IFERROR(VLOOKUP(FO_Capture!C1671, Reference_Data!A:D, 2, FALSE), "UNKNOWN")</f>
        <v>Alpha Investments 15</v>
      </c>
      <c r="D1671" t="str">
        <f>IFERROR(VLOOKUP(FO_Capture!C1671, Reference_Data!A:D, 3, FALSE), "XXX")</f>
        <v>INR</v>
      </c>
      <c r="E1671" t="str">
        <f>IFERROR(VLOOKUP(FO_Capture!C1671, Reference_Data!A:D, 4, FALSE), "MISSING SSI")</f>
        <v>Deutsche Bank A/C 330518</v>
      </c>
      <c r="F1671">
        <f>FO_Capture!D1671</f>
        <v>170</v>
      </c>
      <c r="G1671">
        <f>FO_Capture!E1671</f>
        <v>321.8800048828125</v>
      </c>
      <c r="H1671">
        <f t="shared" si="52"/>
        <v>54719.600830078125</v>
      </c>
      <c r="I1671" t="str">
        <f t="shared" si="53"/>
        <v>Pass - Ready for Confirmation</v>
      </c>
    </row>
    <row r="1672" spans="1:9" x14ac:dyDescent="0.3">
      <c r="A1672" t="str">
        <f>FO_Capture!A1672</f>
        <v>TRD01671</v>
      </c>
      <c r="B1672" t="str">
        <f>FO_Capture!B1672</f>
        <v>INE008A01015</v>
      </c>
      <c r="C1672" t="str">
        <f>IFERROR(VLOOKUP(FO_Capture!C1672, Reference_Data!A:D, 2, FALSE), "UNKNOWN")</f>
        <v>Alpha Partners 26</v>
      </c>
      <c r="D1672" t="str">
        <f>IFERROR(VLOOKUP(FO_Capture!C1672, Reference_Data!A:D, 3, FALSE), "XXX")</f>
        <v>USD</v>
      </c>
      <c r="E1672" t="str">
        <f>IFERROR(VLOOKUP(FO_Capture!C1672, Reference_Data!A:D, 4, FALSE), "MISSING SSI")</f>
        <v>HSBC A/C 867781</v>
      </c>
      <c r="F1672">
        <f>FO_Capture!D1672</f>
        <v>250</v>
      </c>
      <c r="G1672">
        <f>FO_Capture!E1672</f>
        <v>342.82998657226563</v>
      </c>
      <c r="H1672">
        <f t="shared" si="52"/>
        <v>85707.496643066406</v>
      </c>
      <c r="I1672" t="str">
        <f t="shared" si="53"/>
        <v>Pass - Ready for Confirmation</v>
      </c>
    </row>
    <row r="1673" spans="1:9" x14ac:dyDescent="0.3">
      <c r="A1673" t="str">
        <f>FO_Capture!A1673</f>
        <v>TRD01672</v>
      </c>
      <c r="B1673" t="str">
        <f>FO_Capture!B1673</f>
        <v>INE006A0100</v>
      </c>
      <c r="C1673" t="str">
        <f>IFERROR(VLOOKUP(FO_Capture!C1673, Reference_Data!A:D, 2, FALSE), "UNKNOWN")</f>
        <v>Alpha Partners 22</v>
      </c>
      <c r="D1673" t="str">
        <f>IFERROR(VLOOKUP(FO_Capture!C1673, Reference_Data!A:D, 3, FALSE), "XXX")</f>
        <v>GBP</v>
      </c>
      <c r="E1673" t="str">
        <f>IFERROR(VLOOKUP(FO_Capture!C1673, Reference_Data!A:D, 4, FALSE), "MISSING SSI")</f>
        <v>JPMorgan A/C 488546</v>
      </c>
      <c r="F1673">
        <f>FO_Capture!D1673</f>
        <v>-50</v>
      </c>
      <c r="G1673">
        <f>FO_Capture!E1673</f>
        <v>147.3800048828125</v>
      </c>
      <c r="H1673">
        <f t="shared" si="52"/>
        <v>-7369.000244140625</v>
      </c>
      <c r="I1673" t="str">
        <f t="shared" si="53"/>
        <v>Fail - Invalid Price/Qty</v>
      </c>
    </row>
    <row r="1674" spans="1:9" x14ac:dyDescent="0.3">
      <c r="A1674" t="str">
        <f>FO_Capture!A1674</f>
        <v>TRD01673</v>
      </c>
      <c r="B1674" t="str">
        <f>FO_Capture!B1674</f>
        <v>INE008A01066</v>
      </c>
      <c r="C1674" t="str">
        <f>IFERROR(VLOOKUP(FO_Capture!C1674, Reference_Data!A:D, 2, FALSE), "UNKNOWN")</f>
        <v>Alpha Quant Fund 27</v>
      </c>
      <c r="D1674" t="str">
        <f>IFERROR(VLOOKUP(FO_Capture!C1674, Reference_Data!A:D, 3, FALSE), "XXX")</f>
        <v>EUR</v>
      </c>
      <c r="E1674" t="str">
        <f>IFERROR(VLOOKUP(FO_Capture!C1674, Reference_Data!A:D, 4, FALSE), "MISSING SSI")</f>
        <v>Standard Chartered A/C 331839</v>
      </c>
      <c r="F1674">
        <f>FO_Capture!D1674</f>
        <v>410</v>
      </c>
      <c r="G1674">
        <f>FO_Capture!E1674</f>
        <v>17.799999237060547</v>
      </c>
      <c r="H1674">
        <f t="shared" si="52"/>
        <v>7297.9996871948242</v>
      </c>
      <c r="I1674" t="str">
        <f t="shared" si="53"/>
        <v>Pass - Ready for Confirmation</v>
      </c>
    </row>
    <row r="1675" spans="1:9" x14ac:dyDescent="0.3">
      <c r="A1675" t="str">
        <f>FO_Capture!A1675</f>
        <v>TRD01674</v>
      </c>
      <c r="B1675" t="str">
        <f>FO_Capture!B1675</f>
        <v>INE005A01039</v>
      </c>
      <c r="C1675" t="str">
        <f>IFERROR(VLOOKUP(FO_Capture!C1675, Reference_Data!A:D, 2, FALSE), "UNKNOWN")</f>
        <v>Alpha Asset Management 31</v>
      </c>
      <c r="D1675" t="str">
        <f>IFERROR(VLOOKUP(FO_Capture!C1675, Reference_Data!A:D, 3, FALSE), "XXX")</f>
        <v>USD</v>
      </c>
      <c r="E1675" t="str">
        <f>IFERROR(VLOOKUP(FO_Capture!C1675, Reference_Data!A:D, 4, FALSE), "MISSING SSI")</f>
        <v>Citi A/C 194841</v>
      </c>
      <c r="F1675">
        <f>FO_Capture!D1675</f>
        <v>100</v>
      </c>
      <c r="G1675">
        <f>FO_Capture!E1675</f>
        <v>188.97000122070313</v>
      </c>
      <c r="H1675">
        <f t="shared" si="52"/>
        <v>18897.000122070313</v>
      </c>
      <c r="I1675" t="str">
        <f t="shared" si="53"/>
        <v>Pass - Ready for Confirmation</v>
      </c>
    </row>
    <row r="1676" spans="1:9" x14ac:dyDescent="0.3">
      <c r="A1676" t="str">
        <f>FO_Capture!A1676</f>
        <v>TRD01675</v>
      </c>
      <c r="B1676" t="str">
        <f>FO_Capture!B1676</f>
        <v>INE005A01031</v>
      </c>
      <c r="C1676" t="str">
        <f>IFERROR(VLOOKUP(FO_Capture!C1676, Reference_Data!A:D, 2, FALSE), "UNKNOWN")</f>
        <v>Alpha Quant Fund 24</v>
      </c>
      <c r="D1676" t="str">
        <f>IFERROR(VLOOKUP(FO_Capture!C1676, Reference_Data!A:D, 3, FALSE), "XXX")</f>
        <v>SGD</v>
      </c>
      <c r="E1676" t="str">
        <f>IFERROR(VLOOKUP(FO_Capture!C1676, Reference_Data!A:D, 4, FALSE), "MISSING SSI")</f>
        <v>JPMorgan A/C 603587</v>
      </c>
      <c r="F1676">
        <f>FO_Capture!D1676</f>
        <v>300</v>
      </c>
      <c r="G1676">
        <f>FO_Capture!E1676</f>
        <v>198.25999450683594</v>
      </c>
      <c r="H1676">
        <f t="shared" si="52"/>
        <v>59477.998352050781</v>
      </c>
      <c r="I1676" t="str">
        <f t="shared" si="53"/>
        <v>Pass - Ready for Confirmation</v>
      </c>
    </row>
    <row r="1677" spans="1:9" x14ac:dyDescent="0.3">
      <c r="A1677" t="str">
        <f>FO_Capture!A1677</f>
        <v>TRD01676</v>
      </c>
      <c r="B1677" t="str">
        <f>FO_Capture!B1677</f>
        <v>INE003A01010</v>
      </c>
      <c r="C1677" t="str">
        <f>IFERROR(VLOOKUP(FO_Capture!C1677, Reference_Data!A:D, 2, FALSE), "UNKNOWN")</f>
        <v>Alpha Capital 9</v>
      </c>
      <c r="D1677" t="str">
        <f>IFERROR(VLOOKUP(FO_Capture!C1677, Reference_Data!A:D, 3, FALSE), "XXX")</f>
        <v>JPY</v>
      </c>
      <c r="E1677" t="str">
        <f>IFERROR(VLOOKUP(FO_Capture!C1677, Reference_Data!A:D, 4, FALSE), "MISSING SSI")</f>
        <v>Citi A/C 744145</v>
      </c>
      <c r="F1677">
        <f>FO_Capture!D1677</f>
        <v>70</v>
      </c>
      <c r="G1677">
        <f>FO_Capture!E1677</f>
        <v>122.08000183105469</v>
      </c>
      <c r="H1677">
        <f t="shared" si="52"/>
        <v>8545.6001281738281</v>
      </c>
      <c r="I1677" t="str">
        <f t="shared" si="53"/>
        <v>Pass - Ready for Confirmation</v>
      </c>
    </row>
    <row r="1678" spans="1:9" x14ac:dyDescent="0.3">
      <c r="A1678" t="str">
        <f>FO_Capture!A1678</f>
        <v>TRD01677</v>
      </c>
      <c r="B1678" t="str">
        <f>FO_Capture!B1678</f>
        <v>INE007A01013</v>
      </c>
      <c r="C1678" t="str">
        <f>IFERROR(VLOOKUP(FO_Capture!C1678, Reference_Data!A:D, 2, FALSE), "UNKNOWN")</f>
        <v>Alpha Asset Management 5</v>
      </c>
      <c r="D1678" t="str">
        <f>IFERROR(VLOOKUP(FO_Capture!C1678, Reference_Data!A:D, 3, FALSE), "XXX")</f>
        <v>INR</v>
      </c>
      <c r="E1678" t="str">
        <f>IFERROR(VLOOKUP(FO_Capture!C1678, Reference_Data!A:D, 4, FALSE), "MISSING SSI")</f>
        <v>JPMorgan A/C 860462</v>
      </c>
      <c r="F1678">
        <f>FO_Capture!D1678</f>
        <v>50</v>
      </c>
      <c r="G1678">
        <f>FO_Capture!E1678</f>
        <v>325.89999389648438</v>
      </c>
      <c r="H1678">
        <f t="shared" si="52"/>
        <v>16294.999694824219</v>
      </c>
      <c r="I1678" t="str">
        <f t="shared" si="53"/>
        <v>Pass - Ready for Confirmation</v>
      </c>
    </row>
    <row r="1679" spans="1:9" x14ac:dyDescent="0.3">
      <c r="A1679" t="str">
        <f>FO_Capture!A1679</f>
        <v>TRD01678</v>
      </c>
      <c r="B1679" t="str">
        <f>FO_Capture!B1679</f>
        <v>INE003A01098</v>
      </c>
      <c r="C1679" t="str">
        <f>IFERROR(VLOOKUP(FO_Capture!C1679, Reference_Data!A:D, 2, FALSE), "UNKNOWN")</f>
        <v>Alpha Partners 22</v>
      </c>
      <c r="D1679" t="str">
        <f>IFERROR(VLOOKUP(FO_Capture!C1679, Reference_Data!A:D, 3, FALSE), "XXX")</f>
        <v>GBP</v>
      </c>
      <c r="E1679" t="str">
        <f>IFERROR(VLOOKUP(FO_Capture!C1679, Reference_Data!A:D, 4, FALSE), "MISSING SSI")</f>
        <v>JPMorgan A/C 488546</v>
      </c>
      <c r="F1679">
        <f>FO_Capture!D1679</f>
        <v>180</v>
      </c>
      <c r="G1679">
        <f>FO_Capture!E1679</f>
        <v>214.27000427246094</v>
      </c>
      <c r="H1679">
        <f t="shared" si="52"/>
        <v>38568.600769042969</v>
      </c>
      <c r="I1679" t="str">
        <f t="shared" si="53"/>
        <v>Pass - Ready for Confirmation</v>
      </c>
    </row>
    <row r="1680" spans="1:9" x14ac:dyDescent="0.3">
      <c r="A1680" t="str">
        <f>FO_Capture!A1680</f>
        <v>TRD01679</v>
      </c>
      <c r="B1680" t="str">
        <f>FO_Capture!B1680</f>
        <v>INE008A01093</v>
      </c>
      <c r="C1680" t="str">
        <f>IFERROR(VLOOKUP(FO_Capture!C1680, Reference_Data!A:D, 2, FALSE), "UNKNOWN")</f>
        <v>Alpha Partners 37</v>
      </c>
      <c r="D1680" t="str">
        <f>IFERROR(VLOOKUP(FO_Capture!C1680, Reference_Data!A:D, 3, FALSE), "XXX")</f>
        <v>JPY</v>
      </c>
      <c r="E1680" t="str">
        <f>IFERROR(VLOOKUP(FO_Capture!C1680, Reference_Data!A:D, 4, FALSE), "MISSING SSI")</f>
        <v>HSBC A/C 994063</v>
      </c>
      <c r="F1680">
        <f>FO_Capture!D1680</f>
        <v>470</v>
      </c>
      <c r="G1680">
        <f>FO_Capture!E1680</f>
        <v>480.79998779296875</v>
      </c>
      <c r="H1680">
        <f t="shared" si="52"/>
        <v>225975.99426269531</v>
      </c>
      <c r="I1680" t="str">
        <f t="shared" si="53"/>
        <v>Pass - Ready for Confirmation</v>
      </c>
    </row>
    <row r="1681" spans="1:9" x14ac:dyDescent="0.3">
      <c r="A1681" t="str">
        <f>FO_Capture!A1681</f>
        <v>TRD01680</v>
      </c>
      <c r="B1681" t="str">
        <f>FO_Capture!B1681</f>
        <v>INE009A01048</v>
      </c>
      <c r="C1681" t="str">
        <f>IFERROR(VLOOKUP(FO_Capture!C1681, Reference_Data!A:D, 2, FALSE), "UNKNOWN")</f>
        <v>Alpha Partners 18</v>
      </c>
      <c r="D1681" t="str">
        <f>IFERROR(VLOOKUP(FO_Capture!C1681, Reference_Data!A:D, 3, FALSE), "XXX")</f>
        <v>INR</v>
      </c>
      <c r="E1681" t="str">
        <f>IFERROR(VLOOKUP(FO_Capture!C1681, Reference_Data!A:D, 4, FALSE), "MISSING SSI")</f>
        <v>JPMorgan A/C 704166</v>
      </c>
      <c r="F1681">
        <f>FO_Capture!D1681</f>
        <v>270</v>
      </c>
      <c r="G1681">
        <f>FO_Capture!E1681</f>
        <v>358.1300048828125</v>
      </c>
      <c r="H1681">
        <f t="shared" si="52"/>
        <v>96695.101318359375</v>
      </c>
      <c r="I1681" t="str">
        <f t="shared" si="53"/>
        <v>Pass - Ready for Confirmation</v>
      </c>
    </row>
    <row r="1682" spans="1:9" x14ac:dyDescent="0.3">
      <c r="A1682" t="str">
        <f>FO_Capture!A1682</f>
        <v>TRD01681</v>
      </c>
      <c r="B1682" t="str">
        <f>FO_Capture!B1682</f>
        <v>INE005A01080</v>
      </c>
      <c r="C1682" t="str">
        <f>IFERROR(VLOOKUP(FO_Capture!C1682, Reference_Data!A:D, 2, FALSE), "UNKNOWN")</f>
        <v>Alpha Quant Fund 50</v>
      </c>
      <c r="D1682" t="str">
        <f>IFERROR(VLOOKUP(FO_Capture!C1682, Reference_Data!A:D, 3, FALSE), "XXX")</f>
        <v>SGD</v>
      </c>
      <c r="E1682" t="str">
        <f>IFERROR(VLOOKUP(FO_Capture!C1682, Reference_Data!A:D, 4, FALSE), "MISSING SSI")</f>
        <v>Standard Chartered A/C 307017</v>
      </c>
      <c r="F1682">
        <f>FO_Capture!D1682</f>
        <v>490</v>
      </c>
      <c r="G1682">
        <f>FO_Capture!E1682</f>
        <v>368.01998901367188</v>
      </c>
      <c r="H1682">
        <f t="shared" si="52"/>
        <v>180329.79461669922</v>
      </c>
      <c r="I1682" t="str">
        <f t="shared" si="53"/>
        <v>Pass - Ready for Confirmation</v>
      </c>
    </row>
    <row r="1683" spans="1:9" x14ac:dyDescent="0.3">
      <c r="A1683" t="str">
        <f>FO_Capture!A1683</f>
        <v>TRD01682</v>
      </c>
      <c r="B1683" t="str">
        <f>FO_Capture!B1683</f>
        <v>INE009A01029</v>
      </c>
      <c r="C1683" t="str">
        <f>IFERROR(VLOOKUP(FO_Capture!C1683, Reference_Data!A:D, 2, FALSE), "UNKNOWN")</f>
        <v>Alpha Capital 9</v>
      </c>
      <c r="D1683" t="str">
        <f>IFERROR(VLOOKUP(FO_Capture!C1683, Reference_Data!A:D, 3, FALSE), "XXX")</f>
        <v>JPY</v>
      </c>
      <c r="E1683" t="str">
        <f>IFERROR(VLOOKUP(FO_Capture!C1683, Reference_Data!A:D, 4, FALSE), "MISSING SSI")</f>
        <v>Citi A/C 744145</v>
      </c>
      <c r="F1683">
        <f>FO_Capture!D1683</f>
        <v>25000</v>
      </c>
      <c r="G1683">
        <f>FO_Capture!E1683</f>
        <v>354.48001098632813</v>
      </c>
      <c r="H1683">
        <f t="shared" si="52"/>
        <v>8862000.2746582031</v>
      </c>
      <c r="I1683" t="str">
        <f t="shared" si="53"/>
        <v>Exception - Limit Breach</v>
      </c>
    </row>
    <row r="1684" spans="1:9" x14ac:dyDescent="0.3">
      <c r="A1684" t="str">
        <f>FO_Capture!A1684</f>
        <v>TRD01683</v>
      </c>
      <c r="B1684" t="str">
        <f>FO_Capture!B1684</f>
        <v>INE002A01043</v>
      </c>
      <c r="C1684" t="str">
        <f>IFERROR(VLOOKUP(FO_Capture!C1684, Reference_Data!A:D, 2, FALSE), "UNKNOWN")</f>
        <v>Alpha Capital 11</v>
      </c>
      <c r="D1684" t="str">
        <f>IFERROR(VLOOKUP(FO_Capture!C1684, Reference_Data!A:D, 3, FALSE), "XXX")</f>
        <v>USD</v>
      </c>
      <c r="E1684" t="str">
        <f>IFERROR(VLOOKUP(FO_Capture!C1684, Reference_Data!A:D, 4, FALSE), "MISSING SSI")</f>
        <v>JPMorgan A/C 987170</v>
      </c>
      <c r="F1684">
        <f>FO_Capture!D1684</f>
        <v>180</v>
      </c>
      <c r="G1684">
        <f>FO_Capture!E1684</f>
        <v>164.67999267578125</v>
      </c>
      <c r="H1684">
        <f t="shared" si="52"/>
        <v>29642.398681640625</v>
      </c>
      <c r="I1684" t="str">
        <f t="shared" si="53"/>
        <v>Pass - Ready for Confirmation</v>
      </c>
    </row>
    <row r="1685" spans="1:9" x14ac:dyDescent="0.3">
      <c r="A1685" t="str">
        <f>FO_Capture!A1685</f>
        <v>TRD01684</v>
      </c>
      <c r="B1685" t="str">
        <f>FO_Capture!B1685</f>
        <v>INE006A01039</v>
      </c>
      <c r="C1685" t="str">
        <f>IFERROR(VLOOKUP(FO_Capture!C1685, Reference_Data!A:D, 2, FALSE), "UNKNOWN")</f>
        <v>Alpha Quant Fund 12</v>
      </c>
      <c r="D1685" t="str">
        <f>IFERROR(VLOOKUP(FO_Capture!C1685, Reference_Data!A:D, 3, FALSE), "XXX")</f>
        <v>EUR</v>
      </c>
      <c r="E1685" t="str">
        <f>IFERROR(VLOOKUP(FO_Capture!C1685, Reference_Data!A:D, 4, FALSE), "MISSING SSI")</f>
        <v>Deutsche Bank A/C 324710</v>
      </c>
      <c r="F1685">
        <f>FO_Capture!D1685</f>
        <v>25000</v>
      </c>
      <c r="G1685">
        <f>FO_Capture!E1685</f>
        <v>278.82000732421875</v>
      </c>
      <c r="H1685">
        <f t="shared" si="52"/>
        <v>6970500.1831054688</v>
      </c>
      <c r="I1685" t="str">
        <f t="shared" si="53"/>
        <v>Exception - Limit Breach</v>
      </c>
    </row>
    <row r="1686" spans="1:9" x14ac:dyDescent="0.3">
      <c r="A1686" t="str">
        <f>FO_Capture!A1686</f>
        <v>TRD01685</v>
      </c>
      <c r="B1686" t="str">
        <f>FO_Capture!B1686</f>
        <v>INE001A01096</v>
      </c>
      <c r="C1686" t="str">
        <f>IFERROR(VLOOKUP(FO_Capture!C1686, Reference_Data!A:D, 2, FALSE), "UNKNOWN")</f>
        <v>Alpha Quant Fund 12</v>
      </c>
      <c r="D1686" t="str">
        <f>IFERROR(VLOOKUP(FO_Capture!C1686, Reference_Data!A:D, 3, FALSE), "XXX")</f>
        <v>EUR</v>
      </c>
      <c r="E1686" t="str">
        <f>IFERROR(VLOOKUP(FO_Capture!C1686, Reference_Data!A:D, 4, FALSE), "MISSING SSI")</f>
        <v>Deutsche Bank A/C 324710</v>
      </c>
      <c r="F1686">
        <f>FO_Capture!D1686</f>
        <v>450</v>
      </c>
      <c r="G1686">
        <f>FO_Capture!E1686</f>
        <v>295.8599853515625</v>
      </c>
      <c r="H1686">
        <f t="shared" si="52"/>
        <v>133136.99340820313</v>
      </c>
      <c r="I1686" t="str">
        <f t="shared" si="53"/>
        <v>Pass - Ready for Confirmation</v>
      </c>
    </row>
    <row r="1687" spans="1:9" x14ac:dyDescent="0.3">
      <c r="A1687" t="str">
        <f>FO_Capture!A1687</f>
        <v>TRD01686</v>
      </c>
      <c r="B1687" t="str">
        <f>FO_Capture!B1687</f>
        <v>INE003A01054</v>
      </c>
      <c r="C1687" t="str">
        <f>IFERROR(VLOOKUP(FO_Capture!C1687, Reference_Data!A:D, 2, FALSE), "UNKNOWN")</f>
        <v>Alpha Investments 43</v>
      </c>
      <c r="D1687" t="str">
        <f>IFERROR(VLOOKUP(FO_Capture!C1687, Reference_Data!A:D, 3, FALSE), "XXX")</f>
        <v>EUR</v>
      </c>
      <c r="E1687" t="str">
        <f>IFERROR(VLOOKUP(FO_Capture!C1687, Reference_Data!A:D, 4, FALSE), "MISSING SSI")</f>
        <v>Citi A/C 714496</v>
      </c>
      <c r="F1687">
        <f>FO_Capture!D1687</f>
        <v>30</v>
      </c>
      <c r="G1687">
        <f>FO_Capture!E1687</f>
        <v>486.39999389648438</v>
      </c>
      <c r="H1687">
        <f t="shared" si="52"/>
        <v>14591.999816894531</v>
      </c>
      <c r="I1687" t="str">
        <f t="shared" si="53"/>
        <v>Pass - Ready for Confirmation</v>
      </c>
    </row>
    <row r="1688" spans="1:9" x14ac:dyDescent="0.3">
      <c r="A1688" t="str">
        <f>FO_Capture!A1688</f>
        <v>TRD01687</v>
      </c>
      <c r="B1688" t="str">
        <f>FO_Capture!B1688</f>
        <v>INE002A01077</v>
      </c>
      <c r="C1688" t="str">
        <f>IFERROR(VLOOKUP(FO_Capture!C1688, Reference_Data!A:D, 2, FALSE), "UNKNOWN")</f>
        <v>Alpha Asset Management 8</v>
      </c>
      <c r="D1688" t="str">
        <f>IFERROR(VLOOKUP(FO_Capture!C1688, Reference_Data!A:D, 3, FALSE), "XXX")</f>
        <v>GBP</v>
      </c>
      <c r="E1688" t="str">
        <f>IFERROR(VLOOKUP(FO_Capture!C1688, Reference_Data!A:D, 4, FALSE), "MISSING SSI")</f>
        <v>HDFC A/C 180445</v>
      </c>
      <c r="F1688">
        <f>FO_Capture!D1688</f>
        <v>250</v>
      </c>
      <c r="G1688">
        <f>FO_Capture!E1688</f>
        <v>73.339996337890625</v>
      </c>
      <c r="H1688">
        <f t="shared" si="52"/>
        <v>18334.999084472656</v>
      </c>
      <c r="I1688" t="str">
        <f t="shared" si="53"/>
        <v>Pass - Ready for Confirmation</v>
      </c>
    </row>
    <row r="1689" spans="1:9" x14ac:dyDescent="0.3">
      <c r="A1689" t="str">
        <f>FO_Capture!A1689</f>
        <v>TRD01688</v>
      </c>
      <c r="B1689" t="str">
        <f>FO_Capture!B1689</f>
        <v>INE006A01067</v>
      </c>
      <c r="C1689" t="str">
        <f>IFERROR(VLOOKUP(FO_Capture!C1689, Reference_Data!A:D, 2, FALSE), "UNKNOWN")</f>
        <v>UNKNOWN</v>
      </c>
      <c r="D1689" t="str">
        <f>IFERROR(VLOOKUP(FO_Capture!C1689, Reference_Data!A:D, 3, FALSE), "XXX")</f>
        <v>XXX</v>
      </c>
      <c r="E1689" t="str">
        <f>IFERROR(VLOOKUP(FO_Capture!C1689, Reference_Data!A:D, 4, FALSE), "MISSING SSI")</f>
        <v>MISSING SSI</v>
      </c>
      <c r="F1689">
        <f>FO_Capture!D1689</f>
        <v>460</v>
      </c>
      <c r="G1689">
        <f>FO_Capture!E1689</f>
        <v>379.25</v>
      </c>
      <c r="H1689">
        <f t="shared" si="52"/>
        <v>174455</v>
      </c>
      <c r="I1689" t="str">
        <f t="shared" si="53"/>
        <v>Fail - Missing Ref Data</v>
      </c>
    </row>
    <row r="1690" spans="1:9" x14ac:dyDescent="0.3">
      <c r="A1690" t="str">
        <f>FO_Capture!A1690</f>
        <v>TRD01689</v>
      </c>
      <c r="B1690" t="str">
        <f>FO_Capture!B1690</f>
        <v>INE009A01064</v>
      </c>
      <c r="C1690" t="str">
        <f>IFERROR(VLOOKUP(FO_Capture!C1690, Reference_Data!A:D, 2, FALSE), "UNKNOWN")</f>
        <v>Alpha Global 25</v>
      </c>
      <c r="D1690" t="str">
        <f>IFERROR(VLOOKUP(FO_Capture!C1690, Reference_Data!A:D, 3, FALSE), "XXX")</f>
        <v>EUR</v>
      </c>
      <c r="E1690" t="str">
        <f>IFERROR(VLOOKUP(FO_Capture!C1690, Reference_Data!A:D, 4, FALSE), "MISSING SSI")</f>
        <v>Standard Chartered A/C 438949</v>
      </c>
      <c r="F1690">
        <f>FO_Capture!D1690</f>
        <v>480</v>
      </c>
      <c r="G1690">
        <f>FO_Capture!E1690</f>
        <v>189.69000244140625</v>
      </c>
      <c r="H1690">
        <f t="shared" si="52"/>
        <v>91051.201171875</v>
      </c>
      <c r="I1690" t="str">
        <f t="shared" si="53"/>
        <v>Pass - Ready for Confirmation</v>
      </c>
    </row>
    <row r="1691" spans="1:9" x14ac:dyDescent="0.3">
      <c r="A1691" t="str">
        <f>FO_Capture!A1691</f>
        <v>TRD01690</v>
      </c>
      <c r="B1691" t="str">
        <f>FO_Capture!B1691</f>
        <v>INE004A01010</v>
      </c>
      <c r="C1691" t="str">
        <f>IFERROR(VLOOKUP(FO_Capture!C1691, Reference_Data!A:D, 2, FALSE), "UNKNOWN")</f>
        <v>Alpha Holdings 21</v>
      </c>
      <c r="D1691" t="str">
        <f>IFERROR(VLOOKUP(FO_Capture!C1691, Reference_Data!A:D, 3, FALSE), "XXX")</f>
        <v>SGD</v>
      </c>
      <c r="E1691" t="str">
        <f>IFERROR(VLOOKUP(FO_Capture!C1691, Reference_Data!A:D, 4, FALSE), "MISSING SSI")</f>
        <v>HSBC A/C 562956</v>
      </c>
      <c r="F1691">
        <f>FO_Capture!D1691</f>
        <v>250</v>
      </c>
      <c r="G1691">
        <f>FO_Capture!E1691</f>
        <v>215.39999389648438</v>
      </c>
      <c r="H1691">
        <f t="shared" si="52"/>
        <v>53849.998474121094</v>
      </c>
      <c r="I1691" t="str">
        <f t="shared" si="53"/>
        <v>Pass - Ready for Confirmation</v>
      </c>
    </row>
    <row r="1692" spans="1:9" x14ac:dyDescent="0.3">
      <c r="A1692" t="str">
        <f>FO_Capture!A1692</f>
        <v>TRD01691</v>
      </c>
      <c r="B1692" t="str">
        <f>FO_Capture!B1692</f>
        <v>INE006A01059</v>
      </c>
      <c r="C1692" t="str">
        <f>IFERROR(VLOOKUP(FO_Capture!C1692, Reference_Data!A:D, 2, FALSE), "UNKNOWN")</f>
        <v>Alpha Partners 1</v>
      </c>
      <c r="D1692" t="str">
        <f>IFERROR(VLOOKUP(FO_Capture!C1692, Reference_Data!A:D, 3, FALSE), "XXX")</f>
        <v>JPY</v>
      </c>
      <c r="E1692" t="str">
        <f>IFERROR(VLOOKUP(FO_Capture!C1692, Reference_Data!A:D, 4, FALSE), "MISSING SSI")</f>
        <v>Standard Chartered A/C 277005</v>
      </c>
      <c r="F1692">
        <f>FO_Capture!D1692</f>
        <v>20</v>
      </c>
      <c r="G1692">
        <f>FO_Capture!E1692</f>
        <v>496.67001342773438</v>
      </c>
      <c r="H1692">
        <f t="shared" si="52"/>
        <v>9933.4002685546875</v>
      </c>
      <c r="I1692" t="str">
        <f t="shared" si="53"/>
        <v>Pass - Ready for Confirmation</v>
      </c>
    </row>
    <row r="1693" spans="1:9" x14ac:dyDescent="0.3">
      <c r="A1693" t="str">
        <f>FO_Capture!A1693</f>
        <v>TRD01692</v>
      </c>
      <c r="B1693" t="str">
        <f>FO_Capture!B1693</f>
        <v>INE001A01083</v>
      </c>
      <c r="C1693" t="str">
        <f>IFERROR(VLOOKUP(FO_Capture!C1693, Reference_Data!A:D, 2, FALSE), "UNKNOWN")</f>
        <v>Alpha Partners 42</v>
      </c>
      <c r="D1693" t="str">
        <f>IFERROR(VLOOKUP(FO_Capture!C1693, Reference_Data!A:D, 3, FALSE), "XXX")</f>
        <v>USD</v>
      </c>
      <c r="E1693" t="str">
        <f>IFERROR(VLOOKUP(FO_Capture!C1693, Reference_Data!A:D, 4, FALSE), "MISSING SSI")</f>
        <v>Citi A/C 416082</v>
      </c>
      <c r="F1693">
        <f>FO_Capture!D1693</f>
        <v>420</v>
      </c>
      <c r="G1693">
        <f>FO_Capture!E1693</f>
        <v>331.60000610351563</v>
      </c>
      <c r="H1693">
        <f t="shared" si="52"/>
        <v>139272.00256347656</v>
      </c>
      <c r="I1693" t="str">
        <f t="shared" si="53"/>
        <v>Pass - Ready for Confirmation</v>
      </c>
    </row>
    <row r="1694" spans="1:9" x14ac:dyDescent="0.3">
      <c r="A1694" t="str">
        <f>FO_Capture!A1694</f>
        <v>TRD01693</v>
      </c>
      <c r="B1694" t="str">
        <f>FO_Capture!B1694</f>
        <v>INE002A01020</v>
      </c>
      <c r="C1694" t="str">
        <f>IFERROR(VLOOKUP(FO_Capture!C1694, Reference_Data!A:D, 2, FALSE), "UNKNOWN")</f>
        <v>Alpha Asset Management 8</v>
      </c>
      <c r="D1694" t="str">
        <f>IFERROR(VLOOKUP(FO_Capture!C1694, Reference_Data!A:D, 3, FALSE), "XXX")</f>
        <v>GBP</v>
      </c>
      <c r="E1694" t="str">
        <f>IFERROR(VLOOKUP(FO_Capture!C1694, Reference_Data!A:D, 4, FALSE), "MISSING SSI")</f>
        <v>HDFC A/C 180445</v>
      </c>
      <c r="F1694">
        <f>FO_Capture!D1694</f>
        <v>280</v>
      </c>
      <c r="G1694">
        <f>FO_Capture!E1694</f>
        <v>26.090000152587891</v>
      </c>
      <c r="H1694">
        <f t="shared" si="52"/>
        <v>7305.2000427246094</v>
      </c>
      <c r="I1694" t="str">
        <f t="shared" si="53"/>
        <v>Pass - Ready for Confirmation</v>
      </c>
    </row>
    <row r="1695" spans="1:9" x14ac:dyDescent="0.3">
      <c r="A1695" t="str">
        <f>FO_Capture!A1695</f>
        <v>TRD01694</v>
      </c>
      <c r="B1695" t="str">
        <f>FO_Capture!B1695</f>
        <v>INE008A01019</v>
      </c>
      <c r="C1695" t="str">
        <f>IFERROR(VLOOKUP(FO_Capture!C1695, Reference_Data!A:D, 2, FALSE), "UNKNOWN")</f>
        <v>Alpha Quant Fund 27</v>
      </c>
      <c r="D1695" t="str">
        <f>IFERROR(VLOOKUP(FO_Capture!C1695, Reference_Data!A:D, 3, FALSE), "XXX")</f>
        <v>EUR</v>
      </c>
      <c r="E1695" t="str">
        <f>IFERROR(VLOOKUP(FO_Capture!C1695, Reference_Data!A:D, 4, FALSE), "MISSING SSI")</f>
        <v>Standard Chartered A/C 331839</v>
      </c>
      <c r="F1695">
        <f>FO_Capture!D1695</f>
        <v>330</v>
      </c>
      <c r="G1695">
        <f>FO_Capture!E1695</f>
        <v>143.8800048828125</v>
      </c>
      <c r="H1695">
        <f t="shared" si="52"/>
        <v>47480.401611328125</v>
      </c>
      <c r="I1695" t="str">
        <f t="shared" si="53"/>
        <v>Pass - Ready for Confirmation</v>
      </c>
    </row>
    <row r="1696" spans="1:9" x14ac:dyDescent="0.3">
      <c r="A1696" t="str">
        <f>FO_Capture!A1696</f>
        <v>TRD01695</v>
      </c>
      <c r="B1696" t="str">
        <f>FO_Capture!B1696</f>
        <v>INE002A01096</v>
      </c>
      <c r="C1696" t="str">
        <f>IFERROR(VLOOKUP(FO_Capture!C1696, Reference_Data!A:D, 2, FALSE), "UNKNOWN")</f>
        <v>Alpha Holdings 16</v>
      </c>
      <c r="D1696" t="str">
        <f>IFERROR(VLOOKUP(FO_Capture!C1696, Reference_Data!A:D, 3, FALSE), "XXX")</f>
        <v>USD</v>
      </c>
      <c r="E1696" t="str">
        <f>IFERROR(VLOOKUP(FO_Capture!C1696, Reference_Data!A:D, 4, FALSE), "MISSING SSI")</f>
        <v>Barclays A/C 197229</v>
      </c>
      <c r="F1696">
        <f>FO_Capture!D1696</f>
        <v>450</v>
      </c>
      <c r="G1696">
        <f>FO_Capture!E1696</f>
        <v>256.48001098632813</v>
      </c>
      <c r="H1696">
        <f t="shared" si="52"/>
        <v>115416.00494384766</v>
      </c>
      <c r="I1696" t="str">
        <f t="shared" si="53"/>
        <v>Pass - Ready for Confirmation</v>
      </c>
    </row>
    <row r="1697" spans="1:9" x14ac:dyDescent="0.3">
      <c r="A1697" t="str">
        <f>FO_Capture!A1697</f>
        <v>TRD01696</v>
      </c>
      <c r="B1697" t="str">
        <f>FO_Capture!B1697</f>
        <v>INE001A01079</v>
      </c>
      <c r="C1697" t="str">
        <f>IFERROR(VLOOKUP(FO_Capture!C1697, Reference_Data!A:D, 2, FALSE), "UNKNOWN")</f>
        <v>Alpha Partners 3</v>
      </c>
      <c r="D1697" t="str">
        <f>IFERROR(VLOOKUP(FO_Capture!C1697, Reference_Data!A:D, 3, FALSE), "XXX")</f>
        <v>USD</v>
      </c>
      <c r="E1697" t="str">
        <f>IFERROR(VLOOKUP(FO_Capture!C1697, Reference_Data!A:D, 4, FALSE), "MISSING SSI")</f>
        <v>Citi A/C 508769</v>
      </c>
      <c r="F1697">
        <f>FO_Capture!D1697</f>
        <v>460</v>
      </c>
      <c r="G1697">
        <f>FO_Capture!E1697</f>
        <v>193.24000549316406</v>
      </c>
      <c r="H1697">
        <f t="shared" si="52"/>
        <v>88890.402526855469</v>
      </c>
      <c r="I1697" t="str">
        <f t="shared" si="53"/>
        <v>Pass - Ready for Confirmation</v>
      </c>
    </row>
    <row r="1698" spans="1:9" x14ac:dyDescent="0.3">
      <c r="A1698" t="str">
        <f>FO_Capture!A1698</f>
        <v>TRD01697</v>
      </c>
      <c r="B1698" t="str">
        <f>FO_Capture!B1698</f>
        <v>INE002A01062</v>
      </c>
      <c r="C1698" t="str">
        <f>IFERROR(VLOOKUP(FO_Capture!C1698, Reference_Data!A:D, 2, FALSE), "UNKNOWN")</f>
        <v>Alpha Partners 6</v>
      </c>
      <c r="D1698" t="str">
        <f>IFERROR(VLOOKUP(FO_Capture!C1698, Reference_Data!A:D, 3, FALSE), "XXX")</f>
        <v>INR</v>
      </c>
      <c r="E1698" t="str">
        <f>IFERROR(VLOOKUP(FO_Capture!C1698, Reference_Data!A:D, 4, FALSE), "MISSING SSI")</f>
        <v>Standard Chartered A/C 441247</v>
      </c>
      <c r="F1698">
        <f>FO_Capture!D1698</f>
        <v>320</v>
      </c>
      <c r="G1698">
        <f>FO_Capture!E1698</f>
        <v>291.32998657226563</v>
      </c>
      <c r="H1698">
        <f t="shared" si="52"/>
        <v>93225.595703125</v>
      </c>
      <c r="I1698" t="str">
        <f t="shared" si="53"/>
        <v>Pass - Ready for Confirmation</v>
      </c>
    </row>
    <row r="1699" spans="1:9" x14ac:dyDescent="0.3">
      <c r="A1699" t="str">
        <f>FO_Capture!A1699</f>
        <v>TRD01698</v>
      </c>
      <c r="B1699" t="str">
        <f>FO_Capture!B1699</f>
        <v>INE001A01050</v>
      </c>
      <c r="C1699" t="str">
        <f>IFERROR(VLOOKUP(FO_Capture!C1699, Reference_Data!A:D, 2, FALSE), "UNKNOWN")</f>
        <v>Alpha Capital 7</v>
      </c>
      <c r="D1699" t="str">
        <f>IFERROR(VLOOKUP(FO_Capture!C1699, Reference_Data!A:D, 3, FALSE), "XXX")</f>
        <v>INR</v>
      </c>
      <c r="E1699" t="str">
        <f>IFERROR(VLOOKUP(FO_Capture!C1699, Reference_Data!A:D, 4, FALSE), "MISSING SSI")</f>
        <v>Standard Chartered A/C 682134</v>
      </c>
      <c r="F1699">
        <f>FO_Capture!D1699</f>
        <v>420</v>
      </c>
      <c r="G1699">
        <f>FO_Capture!E1699</f>
        <v>145.72000122070313</v>
      </c>
      <c r="H1699">
        <f t="shared" si="52"/>
        <v>61202.400512695313</v>
      </c>
      <c r="I1699" t="str">
        <f t="shared" si="53"/>
        <v>Pass - Ready for Confirmation</v>
      </c>
    </row>
    <row r="1700" spans="1:9" x14ac:dyDescent="0.3">
      <c r="A1700" t="str">
        <f>FO_Capture!A1700</f>
        <v>TRD01699</v>
      </c>
      <c r="B1700" t="str">
        <f>FO_Capture!B1700</f>
        <v>INE004A01016</v>
      </c>
      <c r="C1700" t="str">
        <f>IFERROR(VLOOKUP(FO_Capture!C1700, Reference_Data!A:D, 2, FALSE), "UNKNOWN")</f>
        <v>Alpha Global 25</v>
      </c>
      <c r="D1700" t="str">
        <f>IFERROR(VLOOKUP(FO_Capture!C1700, Reference_Data!A:D, 3, FALSE), "XXX")</f>
        <v>EUR</v>
      </c>
      <c r="E1700" t="str">
        <f>IFERROR(VLOOKUP(FO_Capture!C1700, Reference_Data!A:D, 4, FALSE), "MISSING SSI")</f>
        <v>Standard Chartered A/C 438949</v>
      </c>
      <c r="F1700">
        <f>FO_Capture!D1700</f>
        <v>310</v>
      </c>
      <c r="G1700">
        <f>FO_Capture!E1700</f>
        <v>359.17999267578125</v>
      </c>
      <c r="H1700">
        <f t="shared" si="52"/>
        <v>111345.79772949219</v>
      </c>
      <c r="I1700" t="str">
        <f t="shared" si="53"/>
        <v>Pass - Ready for Confirmation</v>
      </c>
    </row>
    <row r="1701" spans="1:9" x14ac:dyDescent="0.3">
      <c r="A1701" t="str">
        <f>FO_Capture!A1701</f>
        <v>TRD01700</v>
      </c>
      <c r="B1701" t="str">
        <f>FO_Capture!B1701</f>
        <v>INE004A01043</v>
      </c>
      <c r="C1701" t="str">
        <f>IFERROR(VLOOKUP(FO_Capture!C1701, Reference_Data!A:D, 2, FALSE), "UNKNOWN")</f>
        <v>Alpha Holdings 41</v>
      </c>
      <c r="D1701" t="str">
        <f>IFERROR(VLOOKUP(FO_Capture!C1701, Reference_Data!A:D, 3, FALSE), "XXX")</f>
        <v>JPY</v>
      </c>
      <c r="E1701" t="str">
        <f>IFERROR(VLOOKUP(FO_Capture!C1701, Reference_Data!A:D, 4, FALSE), "MISSING SSI")</f>
        <v>HSBC A/C 468615</v>
      </c>
      <c r="F1701">
        <f>FO_Capture!D1701</f>
        <v>460</v>
      </c>
      <c r="G1701">
        <f>FO_Capture!E1701</f>
        <v>292.32000732421875</v>
      </c>
      <c r="H1701">
        <f t="shared" si="52"/>
        <v>134467.20336914063</v>
      </c>
      <c r="I1701" t="str">
        <f t="shared" si="53"/>
        <v>Pass - Ready for Confirmation</v>
      </c>
    </row>
    <row r="1702" spans="1:9" x14ac:dyDescent="0.3">
      <c r="A1702" t="str">
        <f>FO_Capture!A1702</f>
        <v>TRD01701</v>
      </c>
      <c r="B1702" t="str">
        <f>FO_Capture!B1702</f>
        <v>INE001A01081</v>
      </c>
      <c r="C1702" t="str">
        <f>IFERROR(VLOOKUP(FO_Capture!C1702, Reference_Data!A:D, 2, FALSE), "UNKNOWN")</f>
        <v>Alpha Global 28</v>
      </c>
      <c r="D1702" t="str">
        <f>IFERROR(VLOOKUP(FO_Capture!C1702, Reference_Data!A:D, 3, FALSE), "XXX")</f>
        <v>USD</v>
      </c>
      <c r="E1702" t="str">
        <f>IFERROR(VLOOKUP(FO_Capture!C1702, Reference_Data!A:D, 4, FALSE), "MISSING SSI")</f>
        <v>HDFC A/C 638209</v>
      </c>
      <c r="F1702">
        <f>FO_Capture!D1702</f>
        <v>480</v>
      </c>
      <c r="G1702">
        <f>FO_Capture!E1702</f>
        <v>313.52999877929688</v>
      </c>
      <c r="H1702">
        <f t="shared" si="52"/>
        <v>150494.3994140625</v>
      </c>
      <c r="I1702" t="str">
        <f t="shared" si="53"/>
        <v>Pass - Ready for Confirmation</v>
      </c>
    </row>
    <row r="1703" spans="1:9" x14ac:dyDescent="0.3">
      <c r="A1703" t="str">
        <f>FO_Capture!A1703</f>
        <v>TRD01702</v>
      </c>
      <c r="B1703" t="str">
        <f>FO_Capture!B1703</f>
        <v>INE009A01093</v>
      </c>
      <c r="C1703" t="str">
        <f>IFERROR(VLOOKUP(FO_Capture!C1703, Reference_Data!A:D, 2, FALSE), "UNKNOWN")</f>
        <v>Alpha Partners 19</v>
      </c>
      <c r="D1703" t="str">
        <f>IFERROR(VLOOKUP(FO_Capture!C1703, Reference_Data!A:D, 3, FALSE), "XXX")</f>
        <v>INR</v>
      </c>
      <c r="E1703" t="str">
        <f>IFERROR(VLOOKUP(FO_Capture!C1703, Reference_Data!A:D, 4, FALSE), "MISSING SSI")</f>
        <v>Citi A/C 543819</v>
      </c>
      <c r="F1703">
        <f>FO_Capture!D1703</f>
        <v>420</v>
      </c>
      <c r="G1703">
        <f>FO_Capture!E1703</f>
        <v>49.049999237060547</v>
      </c>
      <c r="H1703">
        <f t="shared" si="52"/>
        <v>20600.99967956543</v>
      </c>
      <c r="I1703" t="str">
        <f t="shared" si="53"/>
        <v>Pass - Ready for Confirmation</v>
      </c>
    </row>
    <row r="1704" spans="1:9" x14ac:dyDescent="0.3">
      <c r="A1704" t="str">
        <f>FO_Capture!A1704</f>
        <v>TRD01703</v>
      </c>
      <c r="B1704" t="str">
        <f>FO_Capture!B1704</f>
        <v>INE006A0108</v>
      </c>
      <c r="C1704" t="str">
        <f>IFERROR(VLOOKUP(FO_Capture!C1704, Reference_Data!A:D, 2, FALSE), "UNKNOWN")</f>
        <v>Alpha Capital 36</v>
      </c>
      <c r="D1704" t="str">
        <f>IFERROR(VLOOKUP(FO_Capture!C1704, Reference_Data!A:D, 3, FALSE), "XXX")</f>
        <v>JPY</v>
      </c>
      <c r="E1704" t="str">
        <f>IFERROR(VLOOKUP(FO_Capture!C1704, Reference_Data!A:D, 4, FALSE), "MISSING SSI")</f>
        <v>Citi A/C 359789</v>
      </c>
      <c r="F1704">
        <f>FO_Capture!D1704</f>
        <v>490</v>
      </c>
      <c r="G1704">
        <f>FO_Capture!E1704</f>
        <v>132.91000366210938</v>
      </c>
      <c r="H1704">
        <f t="shared" si="52"/>
        <v>65125.901794433594</v>
      </c>
      <c r="I1704" t="str">
        <f t="shared" si="53"/>
        <v>Pass - Ready for Confirmation</v>
      </c>
    </row>
    <row r="1705" spans="1:9" x14ac:dyDescent="0.3">
      <c r="A1705" t="str">
        <f>FO_Capture!A1705</f>
        <v>TRD01704</v>
      </c>
      <c r="B1705" t="str">
        <f>FO_Capture!B1705</f>
        <v>INE008A01064</v>
      </c>
      <c r="C1705" t="str">
        <f>IFERROR(VLOOKUP(FO_Capture!C1705, Reference_Data!A:D, 2, FALSE), "UNKNOWN")</f>
        <v>Alpha Investments 15</v>
      </c>
      <c r="D1705" t="str">
        <f>IFERROR(VLOOKUP(FO_Capture!C1705, Reference_Data!A:D, 3, FALSE), "XXX")</f>
        <v>INR</v>
      </c>
      <c r="E1705" t="str">
        <f>IFERROR(VLOOKUP(FO_Capture!C1705, Reference_Data!A:D, 4, FALSE), "MISSING SSI")</f>
        <v>Deutsche Bank A/C 330518</v>
      </c>
      <c r="F1705">
        <f>FO_Capture!D1705</f>
        <v>310</v>
      </c>
      <c r="G1705">
        <f>FO_Capture!E1705</f>
        <v>456.94000244140625</v>
      </c>
      <c r="H1705">
        <f t="shared" si="52"/>
        <v>141651.40075683594</v>
      </c>
      <c r="I1705" t="str">
        <f t="shared" si="53"/>
        <v>Pass - Ready for Confirmation</v>
      </c>
    </row>
    <row r="1706" spans="1:9" x14ac:dyDescent="0.3">
      <c r="A1706" t="str">
        <f>FO_Capture!A1706</f>
        <v>TRD01705</v>
      </c>
      <c r="B1706" t="str">
        <f>FO_Capture!B1706</f>
        <v>INE007A01068</v>
      </c>
      <c r="C1706" t="str">
        <f>IFERROR(VLOOKUP(FO_Capture!C1706, Reference_Data!A:D, 2, FALSE), "UNKNOWN")</f>
        <v>Alpha Asset Management 31</v>
      </c>
      <c r="D1706" t="str">
        <f>IFERROR(VLOOKUP(FO_Capture!C1706, Reference_Data!A:D, 3, FALSE), "XXX")</f>
        <v>USD</v>
      </c>
      <c r="E1706" t="str">
        <f>IFERROR(VLOOKUP(FO_Capture!C1706, Reference_Data!A:D, 4, FALSE), "MISSING SSI")</f>
        <v>Citi A/C 194841</v>
      </c>
      <c r="F1706">
        <f>FO_Capture!D1706</f>
        <v>150</v>
      </c>
      <c r="G1706">
        <f>FO_Capture!E1706</f>
        <v>420.80999755859375</v>
      </c>
      <c r="H1706">
        <f t="shared" si="52"/>
        <v>63121.499633789063</v>
      </c>
      <c r="I1706" t="str">
        <f t="shared" si="53"/>
        <v>Pass - Ready for Confirmation</v>
      </c>
    </row>
    <row r="1707" spans="1:9" x14ac:dyDescent="0.3">
      <c r="A1707" t="str">
        <f>FO_Capture!A1707</f>
        <v>TRD01706</v>
      </c>
      <c r="B1707" t="str">
        <f>FO_Capture!B1707</f>
        <v>INE005A01040</v>
      </c>
      <c r="C1707" t="str">
        <f>IFERROR(VLOOKUP(FO_Capture!C1707, Reference_Data!A:D, 2, FALSE), "UNKNOWN")</f>
        <v>Alpha Partners 19</v>
      </c>
      <c r="D1707" t="str">
        <f>IFERROR(VLOOKUP(FO_Capture!C1707, Reference_Data!A:D, 3, FALSE), "XXX")</f>
        <v>INR</v>
      </c>
      <c r="E1707" t="str">
        <f>IFERROR(VLOOKUP(FO_Capture!C1707, Reference_Data!A:D, 4, FALSE), "MISSING SSI")</f>
        <v>Citi A/C 543819</v>
      </c>
      <c r="F1707">
        <f>FO_Capture!D1707</f>
        <v>220</v>
      </c>
      <c r="G1707">
        <f>FO_Capture!E1707</f>
        <v>182</v>
      </c>
      <c r="H1707">
        <f t="shared" si="52"/>
        <v>40040</v>
      </c>
      <c r="I1707" t="str">
        <f t="shared" si="53"/>
        <v>Pass - Ready for Confirmation</v>
      </c>
    </row>
    <row r="1708" spans="1:9" x14ac:dyDescent="0.3">
      <c r="A1708" t="str">
        <f>FO_Capture!A1708</f>
        <v>TRD01707</v>
      </c>
      <c r="B1708" t="str">
        <f>FO_Capture!B1708</f>
        <v>INE006A01063</v>
      </c>
      <c r="C1708" t="str">
        <f>IFERROR(VLOOKUP(FO_Capture!C1708, Reference_Data!A:D, 2, FALSE), "UNKNOWN")</f>
        <v>Alpha Capital 7</v>
      </c>
      <c r="D1708" t="str">
        <f>IFERROR(VLOOKUP(FO_Capture!C1708, Reference_Data!A:D, 3, FALSE), "XXX")</f>
        <v>INR</v>
      </c>
      <c r="E1708" t="str">
        <f>IFERROR(VLOOKUP(FO_Capture!C1708, Reference_Data!A:D, 4, FALSE), "MISSING SSI")</f>
        <v>Standard Chartered A/C 682134</v>
      </c>
      <c r="F1708">
        <f>FO_Capture!D1708</f>
        <v>380</v>
      </c>
      <c r="G1708">
        <f>FO_Capture!E1708</f>
        <v>405.77999877929688</v>
      </c>
      <c r="H1708">
        <f t="shared" si="52"/>
        <v>154196.39953613281</v>
      </c>
      <c r="I1708" t="str">
        <f t="shared" si="53"/>
        <v>Pass - Ready for Confirmation</v>
      </c>
    </row>
    <row r="1709" spans="1:9" x14ac:dyDescent="0.3">
      <c r="A1709" t="str">
        <f>FO_Capture!A1709</f>
        <v>TRD01708</v>
      </c>
      <c r="B1709" t="str">
        <f>FO_Capture!B1709</f>
        <v>INE005A01034</v>
      </c>
      <c r="C1709" t="str">
        <f>IFERROR(VLOOKUP(FO_Capture!C1709, Reference_Data!A:D, 2, FALSE), "UNKNOWN")</f>
        <v>Alpha Asset Management 32</v>
      </c>
      <c r="D1709" t="str">
        <f>IFERROR(VLOOKUP(FO_Capture!C1709, Reference_Data!A:D, 3, FALSE), "XXX")</f>
        <v>INR</v>
      </c>
      <c r="E1709" t="str">
        <f>IFERROR(VLOOKUP(FO_Capture!C1709, Reference_Data!A:D, 4, FALSE), "MISSING SSI")</f>
        <v>Barclays A/C 302646</v>
      </c>
      <c r="F1709">
        <f>FO_Capture!D1709</f>
        <v>400</v>
      </c>
      <c r="G1709">
        <f>FO_Capture!E1709</f>
        <v>15.239999771118164</v>
      </c>
      <c r="H1709">
        <f t="shared" si="52"/>
        <v>6095.9999084472656</v>
      </c>
      <c r="I1709" t="str">
        <f t="shared" si="53"/>
        <v>Pass - Ready for Confirmation</v>
      </c>
    </row>
    <row r="1710" spans="1:9" x14ac:dyDescent="0.3">
      <c r="A1710" t="str">
        <f>FO_Capture!A1710</f>
        <v>TRD01709</v>
      </c>
      <c r="B1710" t="str">
        <f>FO_Capture!B1710</f>
        <v>INE004A01015</v>
      </c>
      <c r="C1710" t="str">
        <f>IFERROR(VLOOKUP(FO_Capture!C1710, Reference_Data!A:D, 2, FALSE), "UNKNOWN")</f>
        <v>Alpha Partners 22</v>
      </c>
      <c r="D1710" t="str">
        <f>IFERROR(VLOOKUP(FO_Capture!C1710, Reference_Data!A:D, 3, FALSE), "XXX")</f>
        <v>GBP</v>
      </c>
      <c r="E1710" t="str">
        <f>IFERROR(VLOOKUP(FO_Capture!C1710, Reference_Data!A:D, 4, FALSE), "MISSING SSI")</f>
        <v>JPMorgan A/C 488546</v>
      </c>
      <c r="F1710">
        <f>FO_Capture!D1710</f>
        <v>230</v>
      </c>
      <c r="G1710">
        <f>FO_Capture!E1710</f>
        <v>441.29998779296875</v>
      </c>
      <c r="H1710">
        <f t="shared" si="52"/>
        <v>101498.99719238281</v>
      </c>
      <c r="I1710" t="str">
        <f t="shared" si="53"/>
        <v>Pass - Ready for Confirmation</v>
      </c>
    </row>
    <row r="1711" spans="1:9" x14ac:dyDescent="0.3">
      <c r="A1711" t="str">
        <f>FO_Capture!A1711</f>
        <v>TRD01710</v>
      </c>
      <c r="B1711" t="str">
        <f>FO_Capture!B1711</f>
        <v>INE008A01080</v>
      </c>
      <c r="C1711" t="str">
        <f>IFERROR(VLOOKUP(FO_Capture!C1711, Reference_Data!A:D, 2, FALSE), "UNKNOWN")</f>
        <v>Alpha Investments 17</v>
      </c>
      <c r="D1711" t="str">
        <f>IFERROR(VLOOKUP(FO_Capture!C1711, Reference_Data!A:D, 3, FALSE), "XXX")</f>
        <v>USD</v>
      </c>
      <c r="E1711" t="str">
        <f>IFERROR(VLOOKUP(FO_Capture!C1711, Reference_Data!A:D, 4, FALSE), "MISSING SSI")</f>
        <v>HDFC A/C 113752</v>
      </c>
      <c r="F1711">
        <f>FO_Capture!D1711</f>
        <v>210</v>
      </c>
      <c r="G1711">
        <f>FO_Capture!E1711</f>
        <v>372.67999267578125</v>
      </c>
      <c r="H1711">
        <f t="shared" si="52"/>
        <v>78262.798461914063</v>
      </c>
      <c r="I1711" t="str">
        <f t="shared" si="53"/>
        <v>Pass - Ready for Confirmation</v>
      </c>
    </row>
    <row r="1712" spans="1:9" x14ac:dyDescent="0.3">
      <c r="A1712" t="str">
        <f>FO_Capture!A1712</f>
        <v>TRD01711</v>
      </c>
      <c r="B1712" t="str">
        <f>FO_Capture!B1712</f>
        <v>INE005A01072</v>
      </c>
      <c r="C1712" t="str">
        <f>IFERROR(VLOOKUP(FO_Capture!C1712, Reference_Data!A:D, 2, FALSE), "UNKNOWN")</f>
        <v>Alpha Global 46</v>
      </c>
      <c r="D1712" t="str">
        <f>IFERROR(VLOOKUP(FO_Capture!C1712, Reference_Data!A:D, 3, FALSE), "XXX")</f>
        <v>USD</v>
      </c>
      <c r="E1712" t="str">
        <f>IFERROR(VLOOKUP(FO_Capture!C1712, Reference_Data!A:D, 4, FALSE), "MISSING SSI")</f>
        <v>Citi A/C 700450</v>
      </c>
      <c r="F1712">
        <f>FO_Capture!D1712</f>
        <v>370</v>
      </c>
      <c r="G1712">
        <f>FO_Capture!E1712</f>
        <v>505.92001342773438</v>
      </c>
      <c r="H1712">
        <f t="shared" si="52"/>
        <v>187190.40496826172</v>
      </c>
      <c r="I1712" t="str">
        <f t="shared" si="53"/>
        <v>Pass - Ready for Confirmation</v>
      </c>
    </row>
    <row r="1713" spans="1:9" x14ac:dyDescent="0.3">
      <c r="A1713" t="str">
        <f>FO_Capture!A1713</f>
        <v>TRD01712</v>
      </c>
      <c r="B1713" t="str">
        <f>FO_Capture!B1713</f>
        <v>INE006A01042</v>
      </c>
      <c r="C1713" t="str">
        <f>IFERROR(VLOOKUP(FO_Capture!C1713, Reference_Data!A:D, 2, FALSE), "UNKNOWN")</f>
        <v>UNKNOWN</v>
      </c>
      <c r="D1713" t="str">
        <f>IFERROR(VLOOKUP(FO_Capture!C1713, Reference_Data!A:D, 3, FALSE), "XXX")</f>
        <v>XXX</v>
      </c>
      <c r="E1713" t="str">
        <f>IFERROR(VLOOKUP(FO_Capture!C1713, Reference_Data!A:D, 4, FALSE), "MISSING SSI")</f>
        <v>MISSING SSI</v>
      </c>
      <c r="F1713">
        <f>FO_Capture!D1713</f>
        <v>340</v>
      </c>
      <c r="G1713">
        <f>FO_Capture!E1713</f>
        <v>138.21000671386719</v>
      </c>
      <c r="H1713">
        <f t="shared" si="52"/>
        <v>46991.402282714844</v>
      </c>
      <c r="I1713" t="str">
        <f t="shared" si="53"/>
        <v>Fail - Missing Ref Data</v>
      </c>
    </row>
    <row r="1714" spans="1:9" x14ac:dyDescent="0.3">
      <c r="A1714" t="str">
        <f>FO_Capture!A1714</f>
        <v>TRD01713</v>
      </c>
      <c r="B1714" t="str">
        <f>FO_Capture!B1714</f>
        <v>INE006A01082</v>
      </c>
      <c r="C1714" t="str">
        <f>IFERROR(VLOOKUP(FO_Capture!C1714, Reference_Data!A:D, 2, FALSE), "UNKNOWN")</f>
        <v>Alpha Partners 3</v>
      </c>
      <c r="D1714" t="str">
        <f>IFERROR(VLOOKUP(FO_Capture!C1714, Reference_Data!A:D, 3, FALSE), "XXX")</f>
        <v>USD</v>
      </c>
      <c r="E1714" t="str">
        <f>IFERROR(VLOOKUP(FO_Capture!C1714, Reference_Data!A:D, 4, FALSE), "MISSING SSI")</f>
        <v>Citi A/C 508769</v>
      </c>
      <c r="F1714">
        <f>FO_Capture!D1714</f>
        <v>460</v>
      </c>
      <c r="G1714">
        <f>FO_Capture!E1714</f>
        <v>105.23000335693359</v>
      </c>
      <c r="H1714">
        <f t="shared" si="52"/>
        <v>48405.801544189453</v>
      </c>
      <c r="I1714" t="str">
        <f t="shared" si="53"/>
        <v>Pass - Ready for Confirmation</v>
      </c>
    </row>
    <row r="1715" spans="1:9" x14ac:dyDescent="0.3">
      <c r="A1715" t="str">
        <f>FO_Capture!A1715</f>
        <v>TRD01714</v>
      </c>
      <c r="B1715" t="str">
        <f>FO_Capture!B1715</f>
        <v>INE004A0103</v>
      </c>
      <c r="C1715" t="str">
        <f>IFERROR(VLOOKUP(FO_Capture!C1715, Reference_Data!A:D, 2, FALSE), "UNKNOWN")</f>
        <v>Alpha Quant Fund 50</v>
      </c>
      <c r="D1715" t="str">
        <f>IFERROR(VLOOKUP(FO_Capture!C1715, Reference_Data!A:D, 3, FALSE), "XXX")</f>
        <v>SGD</v>
      </c>
      <c r="E1715" t="str">
        <f>IFERROR(VLOOKUP(FO_Capture!C1715, Reference_Data!A:D, 4, FALSE), "MISSING SSI")</f>
        <v>Standard Chartered A/C 307017</v>
      </c>
      <c r="F1715">
        <f>FO_Capture!D1715</f>
        <v>340</v>
      </c>
      <c r="G1715">
        <f>FO_Capture!E1715</f>
        <v>284.989990234375</v>
      </c>
      <c r="H1715">
        <f t="shared" si="52"/>
        <v>96896.5966796875</v>
      </c>
      <c r="I1715" t="str">
        <f t="shared" si="53"/>
        <v>Pass - Ready for Confirmation</v>
      </c>
    </row>
    <row r="1716" spans="1:9" x14ac:dyDescent="0.3">
      <c r="A1716" t="str">
        <f>FO_Capture!A1716</f>
        <v>TRD01715</v>
      </c>
      <c r="B1716" t="str">
        <f>FO_Capture!B1716</f>
        <v>INE008A01034</v>
      </c>
      <c r="C1716" t="str">
        <f>IFERROR(VLOOKUP(FO_Capture!C1716, Reference_Data!A:D, 2, FALSE), "UNKNOWN")</f>
        <v>Alpha Quant Fund 24</v>
      </c>
      <c r="D1716" t="str">
        <f>IFERROR(VLOOKUP(FO_Capture!C1716, Reference_Data!A:D, 3, FALSE), "XXX")</f>
        <v>SGD</v>
      </c>
      <c r="E1716" t="str">
        <f>IFERROR(VLOOKUP(FO_Capture!C1716, Reference_Data!A:D, 4, FALSE), "MISSING SSI")</f>
        <v>JPMorgan A/C 603587</v>
      </c>
      <c r="F1716">
        <f>FO_Capture!D1716</f>
        <v>340</v>
      </c>
      <c r="G1716">
        <f>FO_Capture!E1716</f>
        <v>351.57000732421875</v>
      </c>
      <c r="H1716">
        <f t="shared" si="52"/>
        <v>119533.80249023438</v>
      </c>
      <c r="I1716" t="str">
        <f t="shared" si="53"/>
        <v>Pass - Ready for Confirmation</v>
      </c>
    </row>
    <row r="1717" spans="1:9" x14ac:dyDescent="0.3">
      <c r="A1717" t="str">
        <f>FO_Capture!A1717</f>
        <v>TRD01716</v>
      </c>
      <c r="B1717" t="str">
        <f>FO_Capture!B1717</f>
        <v>INE005A01089</v>
      </c>
      <c r="C1717" t="str">
        <f>IFERROR(VLOOKUP(FO_Capture!C1717, Reference_Data!A:D, 2, FALSE), "UNKNOWN")</f>
        <v>Alpha Quant Fund 34</v>
      </c>
      <c r="D1717" t="str">
        <f>IFERROR(VLOOKUP(FO_Capture!C1717, Reference_Data!A:D, 3, FALSE), "XXX")</f>
        <v>JPY</v>
      </c>
      <c r="E1717" t="str">
        <f>IFERROR(VLOOKUP(FO_Capture!C1717, Reference_Data!A:D, 4, FALSE), "MISSING SSI")</f>
        <v>Citi A/C 837378</v>
      </c>
      <c r="F1717">
        <f>FO_Capture!D1717</f>
        <v>20</v>
      </c>
      <c r="G1717">
        <f>FO_Capture!E1717</f>
        <v>393.1099853515625</v>
      </c>
      <c r="H1717">
        <f t="shared" si="52"/>
        <v>7862.19970703125</v>
      </c>
      <c r="I1717" t="str">
        <f t="shared" si="53"/>
        <v>Pass - Ready for Confirmation</v>
      </c>
    </row>
    <row r="1718" spans="1:9" x14ac:dyDescent="0.3">
      <c r="A1718" t="str">
        <f>FO_Capture!A1718</f>
        <v>TRD01717</v>
      </c>
      <c r="B1718" t="str">
        <f>FO_Capture!B1718</f>
        <v>INE003A01028</v>
      </c>
      <c r="C1718" t="str">
        <f>IFERROR(VLOOKUP(FO_Capture!C1718, Reference_Data!A:D, 2, FALSE), "UNKNOWN")</f>
        <v>Alpha Capital 44</v>
      </c>
      <c r="D1718" t="str">
        <f>IFERROR(VLOOKUP(FO_Capture!C1718, Reference_Data!A:D, 3, FALSE), "XXX")</f>
        <v>INR</v>
      </c>
      <c r="E1718" t="str">
        <f>IFERROR(VLOOKUP(FO_Capture!C1718, Reference_Data!A:D, 4, FALSE), "MISSING SSI")</f>
        <v>Deutsche Bank A/C 428758</v>
      </c>
      <c r="F1718">
        <f>FO_Capture!D1718</f>
        <v>380</v>
      </c>
      <c r="G1718">
        <f>FO_Capture!E1718</f>
        <v>161.78999328613281</v>
      </c>
      <c r="H1718">
        <f t="shared" si="52"/>
        <v>61480.197448730469</v>
      </c>
      <c r="I1718" t="str">
        <f t="shared" si="53"/>
        <v>Pass - Ready for Confirmation</v>
      </c>
    </row>
    <row r="1719" spans="1:9" x14ac:dyDescent="0.3">
      <c r="A1719" t="str">
        <f>FO_Capture!A1719</f>
        <v>TRD01718</v>
      </c>
      <c r="B1719" t="str">
        <f>FO_Capture!B1719</f>
        <v>INE001A0104</v>
      </c>
      <c r="C1719" t="str">
        <f>IFERROR(VLOOKUP(FO_Capture!C1719, Reference_Data!A:D, 2, FALSE), "UNKNOWN")</f>
        <v>Alpha Partners 48</v>
      </c>
      <c r="D1719" t="str">
        <f>IFERROR(VLOOKUP(FO_Capture!C1719, Reference_Data!A:D, 3, FALSE), "XXX")</f>
        <v>SGD</v>
      </c>
      <c r="E1719" t="str">
        <f>IFERROR(VLOOKUP(FO_Capture!C1719, Reference_Data!A:D, 4, FALSE), "MISSING SSI")</f>
        <v>JPMorgan A/C 391364</v>
      </c>
      <c r="F1719">
        <f>FO_Capture!D1719</f>
        <v>110</v>
      </c>
      <c r="G1719">
        <f>FO_Capture!E1719</f>
        <v>323.8900146484375</v>
      </c>
      <c r="H1719">
        <f t="shared" si="52"/>
        <v>35627.901611328125</v>
      </c>
      <c r="I1719" t="str">
        <f t="shared" si="53"/>
        <v>Pass - Ready for Confirmation</v>
      </c>
    </row>
    <row r="1720" spans="1:9" x14ac:dyDescent="0.3">
      <c r="A1720" t="str">
        <f>FO_Capture!A1720</f>
        <v>TRD01719</v>
      </c>
      <c r="B1720" t="str">
        <f>FO_Capture!B1720</f>
        <v>INE005A01015</v>
      </c>
      <c r="C1720" t="str">
        <f>IFERROR(VLOOKUP(FO_Capture!C1720, Reference_Data!A:D, 2, FALSE), "UNKNOWN")</f>
        <v>Alpha Holdings 41</v>
      </c>
      <c r="D1720" t="str">
        <f>IFERROR(VLOOKUP(FO_Capture!C1720, Reference_Data!A:D, 3, FALSE), "XXX")</f>
        <v>JPY</v>
      </c>
      <c r="E1720" t="str">
        <f>IFERROR(VLOOKUP(FO_Capture!C1720, Reference_Data!A:D, 4, FALSE), "MISSING SSI")</f>
        <v>HSBC A/C 468615</v>
      </c>
      <c r="F1720">
        <f>FO_Capture!D1720</f>
        <v>350</v>
      </c>
      <c r="G1720">
        <f>FO_Capture!E1720</f>
        <v>209.71000671386719</v>
      </c>
      <c r="H1720">
        <f t="shared" si="52"/>
        <v>73398.502349853516</v>
      </c>
      <c r="I1720" t="str">
        <f t="shared" si="53"/>
        <v>Pass - Ready for Confirmation</v>
      </c>
    </row>
    <row r="1721" spans="1:9" x14ac:dyDescent="0.3">
      <c r="A1721" t="str">
        <f>FO_Capture!A1721</f>
        <v>TRD01720</v>
      </c>
      <c r="B1721" t="str">
        <f>FO_Capture!B1721</f>
        <v>INE009A01058</v>
      </c>
      <c r="C1721" t="str">
        <f>IFERROR(VLOOKUP(FO_Capture!C1721, Reference_Data!A:D, 2, FALSE), "UNKNOWN")</f>
        <v>Alpha Holdings 49</v>
      </c>
      <c r="D1721" t="str">
        <f>IFERROR(VLOOKUP(FO_Capture!C1721, Reference_Data!A:D, 3, FALSE), "XXX")</f>
        <v>JPY</v>
      </c>
      <c r="E1721" t="str">
        <f>IFERROR(VLOOKUP(FO_Capture!C1721, Reference_Data!A:D, 4, FALSE), "MISSING SSI")</f>
        <v>HDFC A/C 679335</v>
      </c>
      <c r="F1721">
        <f>FO_Capture!D1721</f>
        <v>440</v>
      </c>
      <c r="G1721">
        <f>FO_Capture!E1721</f>
        <v>63.659999847412109</v>
      </c>
      <c r="H1721">
        <f t="shared" si="52"/>
        <v>28010.399932861328</v>
      </c>
      <c r="I1721" t="str">
        <f t="shared" si="53"/>
        <v>Pass - Ready for Confirmation</v>
      </c>
    </row>
    <row r="1722" spans="1:9" x14ac:dyDescent="0.3">
      <c r="A1722" t="str">
        <f>FO_Capture!A1722</f>
        <v>TRD01721</v>
      </c>
      <c r="B1722" t="str">
        <f>FO_Capture!B1722</f>
        <v>INE006A01071</v>
      </c>
      <c r="C1722" t="str">
        <f>IFERROR(VLOOKUP(FO_Capture!C1722, Reference_Data!A:D, 2, FALSE), "UNKNOWN")</f>
        <v>Alpha Partners 3</v>
      </c>
      <c r="D1722" t="str">
        <f>IFERROR(VLOOKUP(FO_Capture!C1722, Reference_Data!A:D, 3, FALSE), "XXX")</f>
        <v>USD</v>
      </c>
      <c r="E1722" t="str">
        <f>IFERROR(VLOOKUP(FO_Capture!C1722, Reference_Data!A:D, 4, FALSE), "MISSING SSI")</f>
        <v>Citi A/C 508769</v>
      </c>
      <c r="F1722">
        <f>FO_Capture!D1722</f>
        <v>160</v>
      </c>
      <c r="G1722">
        <f>FO_Capture!E1722</f>
        <v>294.16000366210938</v>
      </c>
      <c r="H1722">
        <f t="shared" si="52"/>
        <v>47065.6005859375</v>
      </c>
      <c r="I1722" t="str">
        <f t="shared" si="53"/>
        <v>Pass - Ready for Confirmation</v>
      </c>
    </row>
    <row r="1723" spans="1:9" x14ac:dyDescent="0.3">
      <c r="A1723" t="str">
        <f>FO_Capture!A1723</f>
        <v>TRD01722</v>
      </c>
      <c r="B1723" t="str">
        <f>FO_Capture!B1723</f>
        <v>INE005A01090</v>
      </c>
      <c r="C1723" t="str">
        <f>IFERROR(VLOOKUP(FO_Capture!C1723, Reference_Data!A:D, 2, FALSE), "UNKNOWN")</f>
        <v>Alpha Capital 9</v>
      </c>
      <c r="D1723" t="str">
        <f>IFERROR(VLOOKUP(FO_Capture!C1723, Reference_Data!A:D, 3, FALSE), "XXX")</f>
        <v>JPY</v>
      </c>
      <c r="E1723" t="str">
        <f>IFERROR(VLOOKUP(FO_Capture!C1723, Reference_Data!A:D, 4, FALSE), "MISSING SSI")</f>
        <v>Citi A/C 744145</v>
      </c>
      <c r="F1723">
        <f>FO_Capture!D1723</f>
        <v>470</v>
      </c>
      <c r="G1723">
        <f>FO_Capture!E1723</f>
        <v>223.75</v>
      </c>
      <c r="H1723">
        <f t="shared" si="52"/>
        <v>105162.5</v>
      </c>
      <c r="I1723" t="str">
        <f t="shared" si="53"/>
        <v>Pass - Ready for Confirmation</v>
      </c>
    </row>
    <row r="1724" spans="1:9" x14ac:dyDescent="0.3">
      <c r="A1724" t="str">
        <f>FO_Capture!A1724</f>
        <v>TRD01723</v>
      </c>
      <c r="B1724" t="str">
        <f>FO_Capture!B1724</f>
        <v>INE002A01096</v>
      </c>
      <c r="C1724" t="str">
        <f>IFERROR(VLOOKUP(FO_Capture!C1724, Reference_Data!A:D, 2, FALSE), "UNKNOWN")</f>
        <v>Alpha Asset Management 31</v>
      </c>
      <c r="D1724" t="str">
        <f>IFERROR(VLOOKUP(FO_Capture!C1724, Reference_Data!A:D, 3, FALSE), "XXX")</f>
        <v>USD</v>
      </c>
      <c r="E1724" t="str">
        <f>IFERROR(VLOOKUP(FO_Capture!C1724, Reference_Data!A:D, 4, FALSE), "MISSING SSI")</f>
        <v>Citi A/C 194841</v>
      </c>
      <c r="F1724">
        <f>FO_Capture!D1724</f>
        <v>320</v>
      </c>
      <c r="G1724">
        <f>FO_Capture!E1724</f>
        <v>338.97000122070313</v>
      </c>
      <c r="H1724">
        <f t="shared" si="52"/>
        <v>108470.400390625</v>
      </c>
      <c r="I1724" t="str">
        <f t="shared" si="53"/>
        <v>Pass - Ready for Confirmation</v>
      </c>
    </row>
    <row r="1725" spans="1:9" x14ac:dyDescent="0.3">
      <c r="A1725" t="str">
        <f>FO_Capture!A1725</f>
        <v>TRD01724</v>
      </c>
      <c r="B1725" t="str">
        <f>FO_Capture!B1725</f>
        <v>INE001A01064</v>
      </c>
      <c r="C1725" t="str">
        <f>IFERROR(VLOOKUP(FO_Capture!C1725, Reference_Data!A:D, 2, FALSE), "UNKNOWN")</f>
        <v>Alpha Capital 11</v>
      </c>
      <c r="D1725" t="str">
        <f>IFERROR(VLOOKUP(FO_Capture!C1725, Reference_Data!A:D, 3, FALSE), "XXX")</f>
        <v>USD</v>
      </c>
      <c r="E1725" t="str">
        <f>IFERROR(VLOOKUP(FO_Capture!C1725, Reference_Data!A:D, 4, FALSE), "MISSING SSI")</f>
        <v>JPMorgan A/C 987170</v>
      </c>
      <c r="F1725">
        <f>FO_Capture!D1725</f>
        <v>300</v>
      </c>
      <c r="G1725">
        <f>FO_Capture!E1725</f>
        <v>40.479999542236328</v>
      </c>
      <c r="H1725">
        <f t="shared" si="52"/>
        <v>12143.999862670898</v>
      </c>
      <c r="I1725" t="str">
        <f t="shared" si="53"/>
        <v>Pass - Ready for Confirmation</v>
      </c>
    </row>
    <row r="1726" spans="1:9" x14ac:dyDescent="0.3">
      <c r="A1726" t="str">
        <f>FO_Capture!A1726</f>
        <v>TRD01725</v>
      </c>
      <c r="B1726" t="str">
        <f>FO_Capture!B1726</f>
        <v>INE005A01016</v>
      </c>
      <c r="C1726" t="str">
        <f>IFERROR(VLOOKUP(FO_Capture!C1726, Reference_Data!A:D, 2, FALSE), "UNKNOWN")</f>
        <v>Alpha Partners 42</v>
      </c>
      <c r="D1726" t="str">
        <f>IFERROR(VLOOKUP(FO_Capture!C1726, Reference_Data!A:D, 3, FALSE), "XXX")</f>
        <v>USD</v>
      </c>
      <c r="E1726" t="str">
        <f>IFERROR(VLOOKUP(FO_Capture!C1726, Reference_Data!A:D, 4, FALSE), "MISSING SSI")</f>
        <v>Citi A/C 416082</v>
      </c>
      <c r="F1726">
        <f>FO_Capture!D1726</f>
        <v>480</v>
      </c>
      <c r="G1726">
        <f>FO_Capture!E1726</f>
        <v>392.97000122070313</v>
      </c>
      <c r="H1726">
        <f t="shared" si="52"/>
        <v>188625.6005859375</v>
      </c>
      <c r="I1726" t="str">
        <f t="shared" si="53"/>
        <v>Pass - Ready for Confirmation</v>
      </c>
    </row>
    <row r="1727" spans="1:9" x14ac:dyDescent="0.3">
      <c r="A1727" t="str">
        <f>FO_Capture!A1727</f>
        <v>TRD01726</v>
      </c>
      <c r="B1727" t="str">
        <f>FO_Capture!B1727</f>
        <v>INE004A01067</v>
      </c>
      <c r="C1727" t="str">
        <f>IFERROR(VLOOKUP(FO_Capture!C1727, Reference_Data!A:D, 2, FALSE), "UNKNOWN")</f>
        <v>Alpha Holdings 49</v>
      </c>
      <c r="D1727" t="str">
        <f>IFERROR(VLOOKUP(FO_Capture!C1727, Reference_Data!A:D, 3, FALSE), "XXX")</f>
        <v>JPY</v>
      </c>
      <c r="E1727" t="str">
        <f>IFERROR(VLOOKUP(FO_Capture!C1727, Reference_Data!A:D, 4, FALSE), "MISSING SSI")</f>
        <v>HDFC A/C 679335</v>
      </c>
      <c r="F1727">
        <f>FO_Capture!D1727</f>
        <v>130</v>
      </c>
      <c r="G1727">
        <f>FO_Capture!E1727</f>
        <v>375.19000244140625</v>
      </c>
      <c r="H1727">
        <f t="shared" si="52"/>
        <v>48774.700317382813</v>
      </c>
      <c r="I1727" t="str">
        <f t="shared" si="53"/>
        <v>Pass - Ready for Confirmation</v>
      </c>
    </row>
    <row r="1728" spans="1:9" x14ac:dyDescent="0.3">
      <c r="A1728" t="str">
        <f>FO_Capture!A1728</f>
        <v>TRD01727</v>
      </c>
      <c r="B1728" t="str">
        <f>FO_Capture!B1728</f>
        <v>INE005A01080</v>
      </c>
      <c r="C1728" t="str">
        <f>IFERROR(VLOOKUP(FO_Capture!C1728, Reference_Data!A:D, 2, FALSE), "UNKNOWN")</f>
        <v>Alpha Capital 10</v>
      </c>
      <c r="D1728" t="str">
        <f>IFERROR(VLOOKUP(FO_Capture!C1728, Reference_Data!A:D, 3, FALSE), "XXX")</f>
        <v>USD</v>
      </c>
      <c r="E1728" t="str">
        <f>IFERROR(VLOOKUP(FO_Capture!C1728, Reference_Data!A:D, 4, FALSE), "MISSING SSI")</f>
        <v>HDFC A/C 543407</v>
      </c>
      <c r="F1728">
        <f>FO_Capture!D1728</f>
        <v>430</v>
      </c>
      <c r="G1728">
        <f>FO_Capture!E1728</f>
        <v>129.97000122070313</v>
      </c>
      <c r="H1728">
        <f t="shared" si="52"/>
        <v>55887.100524902344</v>
      </c>
      <c r="I1728" t="str">
        <f t="shared" si="53"/>
        <v>Pass - Ready for Confirmation</v>
      </c>
    </row>
    <row r="1729" spans="1:9" x14ac:dyDescent="0.3">
      <c r="A1729" t="str">
        <f>FO_Capture!A1729</f>
        <v>TRD01728</v>
      </c>
      <c r="B1729" t="str">
        <f>FO_Capture!B1729</f>
        <v>INE005A01012</v>
      </c>
      <c r="C1729" t="str">
        <f>IFERROR(VLOOKUP(FO_Capture!C1729, Reference_Data!A:D, 2, FALSE), "UNKNOWN")</f>
        <v>Alpha Asset Management 32</v>
      </c>
      <c r="D1729" t="str">
        <f>IFERROR(VLOOKUP(FO_Capture!C1729, Reference_Data!A:D, 3, FALSE), "XXX")</f>
        <v>INR</v>
      </c>
      <c r="E1729" t="str">
        <f>IFERROR(VLOOKUP(FO_Capture!C1729, Reference_Data!A:D, 4, FALSE), "MISSING SSI")</f>
        <v>Barclays A/C 302646</v>
      </c>
      <c r="F1729">
        <f>FO_Capture!D1729</f>
        <v>300</v>
      </c>
      <c r="G1729">
        <f>FO_Capture!E1729</f>
        <v>214.19999694824219</v>
      </c>
      <c r="H1729">
        <f t="shared" si="52"/>
        <v>64259.999084472656</v>
      </c>
      <c r="I1729" t="str">
        <f t="shared" si="53"/>
        <v>Pass - Ready for Confirmation</v>
      </c>
    </row>
    <row r="1730" spans="1:9" x14ac:dyDescent="0.3">
      <c r="A1730" t="str">
        <f>FO_Capture!A1730</f>
        <v>TRD01729</v>
      </c>
      <c r="B1730" t="str">
        <f>FO_Capture!B1730</f>
        <v>INE004A01065</v>
      </c>
      <c r="C1730" t="str">
        <f>IFERROR(VLOOKUP(FO_Capture!C1730, Reference_Data!A:D, 2, FALSE), "UNKNOWN")</f>
        <v>Alpha Partners 26</v>
      </c>
      <c r="D1730" t="str">
        <f>IFERROR(VLOOKUP(FO_Capture!C1730, Reference_Data!A:D, 3, FALSE), "XXX")</f>
        <v>USD</v>
      </c>
      <c r="E1730" t="str">
        <f>IFERROR(VLOOKUP(FO_Capture!C1730, Reference_Data!A:D, 4, FALSE), "MISSING SSI")</f>
        <v>HSBC A/C 867781</v>
      </c>
      <c r="F1730">
        <f>FO_Capture!D1730</f>
        <v>70</v>
      </c>
      <c r="G1730">
        <f>FO_Capture!E1730</f>
        <v>348.82000732421875</v>
      </c>
      <c r="H1730">
        <f t="shared" si="52"/>
        <v>24417.400512695313</v>
      </c>
      <c r="I1730" t="str">
        <f t="shared" si="53"/>
        <v>Pass - Ready for Confirmation</v>
      </c>
    </row>
    <row r="1731" spans="1:9" x14ac:dyDescent="0.3">
      <c r="A1731" t="str">
        <f>FO_Capture!A1731</f>
        <v>TRD01730</v>
      </c>
      <c r="B1731" t="str">
        <f>FO_Capture!B1731</f>
        <v>INE004A01036</v>
      </c>
      <c r="C1731" t="str">
        <f>IFERROR(VLOOKUP(FO_Capture!C1731, Reference_Data!A:D, 2, FALSE), "UNKNOWN")</f>
        <v>Alpha Asset Management 31</v>
      </c>
      <c r="D1731" t="str">
        <f>IFERROR(VLOOKUP(FO_Capture!C1731, Reference_Data!A:D, 3, FALSE), "XXX")</f>
        <v>USD</v>
      </c>
      <c r="E1731" t="str">
        <f>IFERROR(VLOOKUP(FO_Capture!C1731, Reference_Data!A:D, 4, FALSE), "MISSING SSI")</f>
        <v>Citi A/C 194841</v>
      </c>
      <c r="F1731">
        <f>FO_Capture!D1731</f>
        <v>280</v>
      </c>
      <c r="G1731">
        <f>FO_Capture!E1731</f>
        <v>168.85000610351563</v>
      </c>
      <c r="H1731">
        <f t="shared" ref="H1731:H1794" si="54">F1731 * G1731</f>
        <v>47278.001708984375</v>
      </c>
      <c r="I1731" t="str">
        <f t="shared" ref="I1731:I1794" si="55">IF(C1731="UNKNOWN", "Fail - Missing Ref Data", IF(OR(F1731&lt;=0, G1731&lt;=0), "Fail - Invalid Price/Qty", IF(H1731&gt;1000000, "Exception - Limit Breach", "Pass - Ready for Confirmation")))</f>
        <v>Pass - Ready for Confirmation</v>
      </c>
    </row>
    <row r="1732" spans="1:9" x14ac:dyDescent="0.3">
      <c r="A1732" t="str">
        <f>FO_Capture!A1732</f>
        <v>TRD01731</v>
      </c>
      <c r="B1732" t="str">
        <f>FO_Capture!B1732</f>
        <v>INE003A01070</v>
      </c>
      <c r="C1732" t="str">
        <f>IFERROR(VLOOKUP(FO_Capture!C1732, Reference_Data!A:D, 2, FALSE), "UNKNOWN")</f>
        <v>Alpha Holdings 41</v>
      </c>
      <c r="D1732" t="str">
        <f>IFERROR(VLOOKUP(FO_Capture!C1732, Reference_Data!A:D, 3, FALSE), "XXX")</f>
        <v>JPY</v>
      </c>
      <c r="E1732" t="str">
        <f>IFERROR(VLOOKUP(FO_Capture!C1732, Reference_Data!A:D, 4, FALSE), "MISSING SSI")</f>
        <v>HSBC A/C 468615</v>
      </c>
      <c r="F1732">
        <f>FO_Capture!D1732</f>
        <v>410</v>
      </c>
      <c r="G1732">
        <f>FO_Capture!E1732</f>
        <v>473.33999633789063</v>
      </c>
      <c r="H1732">
        <f t="shared" si="54"/>
        <v>194069.39849853516</v>
      </c>
      <c r="I1732" t="str">
        <f t="shared" si="55"/>
        <v>Pass - Ready for Confirmation</v>
      </c>
    </row>
    <row r="1733" spans="1:9" x14ac:dyDescent="0.3">
      <c r="A1733" t="str">
        <f>FO_Capture!A1733</f>
        <v>TRD01732</v>
      </c>
      <c r="B1733" t="str">
        <f>FO_Capture!B1733</f>
        <v>INE008A0104</v>
      </c>
      <c r="C1733" t="str">
        <f>IFERROR(VLOOKUP(FO_Capture!C1733, Reference_Data!A:D, 2, FALSE), "UNKNOWN")</f>
        <v>Alpha Global 28</v>
      </c>
      <c r="D1733" t="str">
        <f>IFERROR(VLOOKUP(FO_Capture!C1733, Reference_Data!A:D, 3, FALSE), "XXX")</f>
        <v>USD</v>
      </c>
      <c r="E1733" t="str">
        <f>IFERROR(VLOOKUP(FO_Capture!C1733, Reference_Data!A:D, 4, FALSE), "MISSING SSI")</f>
        <v>HDFC A/C 638209</v>
      </c>
      <c r="F1733">
        <f>FO_Capture!D1733</f>
        <v>150</v>
      </c>
      <c r="G1733">
        <f>FO_Capture!E1733</f>
        <v>475.45001220703125</v>
      </c>
      <c r="H1733">
        <f t="shared" si="54"/>
        <v>71317.501831054688</v>
      </c>
      <c r="I1733" t="str">
        <f t="shared" si="55"/>
        <v>Pass - Ready for Confirmation</v>
      </c>
    </row>
    <row r="1734" spans="1:9" x14ac:dyDescent="0.3">
      <c r="A1734" t="str">
        <f>FO_Capture!A1734</f>
        <v>TRD01733</v>
      </c>
      <c r="B1734" t="str">
        <f>FO_Capture!B1734</f>
        <v>INE009A01022</v>
      </c>
      <c r="C1734" t="str">
        <f>IFERROR(VLOOKUP(FO_Capture!C1734, Reference_Data!A:D, 2, FALSE), "UNKNOWN")</f>
        <v>Alpha Partners 19</v>
      </c>
      <c r="D1734" t="str">
        <f>IFERROR(VLOOKUP(FO_Capture!C1734, Reference_Data!A:D, 3, FALSE), "XXX")</f>
        <v>INR</v>
      </c>
      <c r="E1734" t="str">
        <f>IFERROR(VLOOKUP(FO_Capture!C1734, Reference_Data!A:D, 4, FALSE), "MISSING SSI")</f>
        <v>Citi A/C 543819</v>
      </c>
      <c r="F1734">
        <f>FO_Capture!D1734</f>
        <v>110</v>
      </c>
      <c r="G1734">
        <f>FO_Capture!E1734</f>
        <v>52.360000610351563</v>
      </c>
      <c r="H1734">
        <f t="shared" si="54"/>
        <v>5759.6000671386719</v>
      </c>
      <c r="I1734" t="str">
        <f t="shared" si="55"/>
        <v>Pass - Ready for Confirmation</v>
      </c>
    </row>
    <row r="1735" spans="1:9" x14ac:dyDescent="0.3">
      <c r="A1735" t="str">
        <f>FO_Capture!A1735</f>
        <v>TRD01734</v>
      </c>
      <c r="B1735" t="str">
        <f>FO_Capture!B1735</f>
        <v>INE002A0102</v>
      </c>
      <c r="C1735" t="str">
        <f>IFERROR(VLOOKUP(FO_Capture!C1735, Reference_Data!A:D, 2, FALSE), "UNKNOWN")</f>
        <v>Alpha Partners 19</v>
      </c>
      <c r="D1735" t="str">
        <f>IFERROR(VLOOKUP(FO_Capture!C1735, Reference_Data!A:D, 3, FALSE), "XXX")</f>
        <v>INR</v>
      </c>
      <c r="E1735" t="str">
        <f>IFERROR(VLOOKUP(FO_Capture!C1735, Reference_Data!A:D, 4, FALSE), "MISSING SSI")</f>
        <v>Citi A/C 543819</v>
      </c>
      <c r="F1735">
        <f>FO_Capture!D1735</f>
        <v>120</v>
      </c>
      <c r="G1735">
        <f>FO_Capture!E1735</f>
        <v>495.33999633789063</v>
      </c>
      <c r="H1735">
        <f t="shared" si="54"/>
        <v>59440.799560546875</v>
      </c>
      <c r="I1735" t="str">
        <f t="shared" si="55"/>
        <v>Pass - Ready for Confirmation</v>
      </c>
    </row>
    <row r="1736" spans="1:9" x14ac:dyDescent="0.3">
      <c r="A1736" t="str">
        <f>FO_Capture!A1736</f>
        <v>TRD01735</v>
      </c>
      <c r="B1736" t="str">
        <f>FO_Capture!B1736</f>
        <v>INE002A01069</v>
      </c>
      <c r="C1736" t="str">
        <f>IFERROR(VLOOKUP(FO_Capture!C1736, Reference_Data!A:D, 2, FALSE), "UNKNOWN")</f>
        <v>Alpha Partners 37</v>
      </c>
      <c r="D1736" t="str">
        <f>IFERROR(VLOOKUP(FO_Capture!C1736, Reference_Data!A:D, 3, FALSE), "XXX")</f>
        <v>JPY</v>
      </c>
      <c r="E1736" t="str">
        <f>IFERROR(VLOOKUP(FO_Capture!C1736, Reference_Data!A:D, 4, FALSE), "MISSING SSI")</f>
        <v>HSBC A/C 994063</v>
      </c>
      <c r="F1736">
        <f>FO_Capture!D1736</f>
        <v>450</v>
      </c>
      <c r="G1736">
        <f>FO_Capture!E1736</f>
        <v>259.70999145507813</v>
      </c>
      <c r="H1736">
        <f t="shared" si="54"/>
        <v>116869.49615478516</v>
      </c>
      <c r="I1736" t="str">
        <f t="shared" si="55"/>
        <v>Pass - Ready for Confirmation</v>
      </c>
    </row>
    <row r="1737" spans="1:9" x14ac:dyDescent="0.3">
      <c r="A1737" t="str">
        <f>FO_Capture!A1737</f>
        <v>TRD01736</v>
      </c>
      <c r="B1737" t="str">
        <f>FO_Capture!B1737</f>
        <v>INE007A01043</v>
      </c>
      <c r="C1737" t="str">
        <f>IFERROR(VLOOKUP(FO_Capture!C1737, Reference_Data!A:D, 2, FALSE), "UNKNOWN")</f>
        <v>Alpha Quant Fund 12</v>
      </c>
      <c r="D1737" t="str">
        <f>IFERROR(VLOOKUP(FO_Capture!C1737, Reference_Data!A:D, 3, FALSE), "XXX")</f>
        <v>EUR</v>
      </c>
      <c r="E1737" t="str">
        <f>IFERROR(VLOOKUP(FO_Capture!C1737, Reference_Data!A:D, 4, FALSE), "MISSING SSI")</f>
        <v>Deutsche Bank A/C 324710</v>
      </c>
      <c r="F1737">
        <f>FO_Capture!D1737</f>
        <v>40</v>
      </c>
      <c r="G1737">
        <f>FO_Capture!E1737</f>
        <v>214.85000610351563</v>
      </c>
      <c r="H1737">
        <f t="shared" si="54"/>
        <v>8594.000244140625</v>
      </c>
      <c r="I1737" t="str">
        <f t="shared" si="55"/>
        <v>Pass - Ready for Confirmation</v>
      </c>
    </row>
    <row r="1738" spans="1:9" x14ac:dyDescent="0.3">
      <c r="A1738" t="str">
        <f>FO_Capture!A1738</f>
        <v>TRD01737</v>
      </c>
      <c r="B1738" t="str">
        <f>FO_Capture!B1738</f>
        <v>INE009A01088</v>
      </c>
      <c r="C1738" t="str">
        <f>IFERROR(VLOOKUP(FO_Capture!C1738, Reference_Data!A:D, 2, FALSE), "UNKNOWN")</f>
        <v>Alpha Asset Management 35</v>
      </c>
      <c r="D1738" t="str">
        <f>IFERROR(VLOOKUP(FO_Capture!C1738, Reference_Data!A:D, 3, FALSE), "XXX")</f>
        <v>JPY</v>
      </c>
      <c r="E1738" t="str">
        <f>IFERROR(VLOOKUP(FO_Capture!C1738, Reference_Data!A:D, 4, FALSE), "MISSING SSI")</f>
        <v>HSBC A/C 604357</v>
      </c>
      <c r="F1738">
        <f>FO_Capture!D1738</f>
        <v>320</v>
      </c>
      <c r="G1738">
        <f>FO_Capture!E1738</f>
        <v>394.20001220703125</v>
      </c>
      <c r="H1738">
        <f t="shared" si="54"/>
        <v>126144.00390625</v>
      </c>
      <c r="I1738" t="str">
        <f t="shared" si="55"/>
        <v>Pass - Ready for Confirmation</v>
      </c>
    </row>
    <row r="1739" spans="1:9" x14ac:dyDescent="0.3">
      <c r="A1739" t="str">
        <f>FO_Capture!A1739</f>
        <v>TRD01738</v>
      </c>
      <c r="B1739" t="str">
        <f>FO_Capture!B1739</f>
        <v>INE004A01066</v>
      </c>
      <c r="C1739" t="str">
        <f>IFERROR(VLOOKUP(FO_Capture!C1739, Reference_Data!A:D, 2, FALSE), "UNKNOWN")</f>
        <v>Alpha Quant Fund 27</v>
      </c>
      <c r="D1739" t="str">
        <f>IFERROR(VLOOKUP(FO_Capture!C1739, Reference_Data!A:D, 3, FALSE), "XXX")</f>
        <v>EUR</v>
      </c>
      <c r="E1739" t="str">
        <f>IFERROR(VLOOKUP(FO_Capture!C1739, Reference_Data!A:D, 4, FALSE), "MISSING SSI")</f>
        <v>Standard Chartered A/C 331839</v>
      </c>
      <c r="F1739">
        <f>FO_Capture!D1739</f>
        <v>370</v>
      </c>
      <c r="G1739">
        <f>FO_Capture!E1739</f>
        <v>245.28999328613281</v>
      </c>
      <c r="H1739">
        <f t="shared" si="54"/>
        <v>90757.297515869141</v>
      </c>
      <c r="I1739" t="str">
        <f t="shared" si="55"/>
        <v>Pass - Ready for Confirmation</v>
      </c>
    </row>
    <row r="1740" spans="1:9" x14ac:dyDescent="0.3">
      <c r="A1740" t="str">
        <f>FO_Capture!A1740</f>
        <v>TRD01739</v>
      </c>
      <c r="B1740" t="str">
        <f>FO_Capture!B1740</f>
        <v>INE007A01080</v>
      </c>
      <c r="C1740" t="str">
        <f>IFERROR(VLOOKUP(FO_Capture!C1740, Reference_Data!A:D, 2, FALSE), "UNKNOWN")</f>
        <v>Alpha Global 14</v>
      </c>
      <c r="D1740" t="str">
        <f>IFERROR(VLOOKUP(FO_Capture!C1740, Reference_Data!A:D, 3, FALSE), "XXX")</f>
        <v>USD</v>
      </c>
      <c r="E1740" t="str">
        <f>IFERROR(VLOOKUP(FO_Capture!C1740, Reference_Data!A:D, 4, FALSE), "MISSING SSI")</f>
        <v>HSBC A/C 864249</v>
      </c>
      <c r="F1740">
        <f>FO_Capture!D1740</f>
        <v>250</v>
      </c>
      <c r="G1740">
        <f>FO_Capture!E1740</f>
        <v>379.69000244140625</v>
      </c>
      <c r="H1740">
        <f t="shared" si="54"/>
        <v>94922.500610351563</v>
      </c>
      <c r="I1740" t="str">
        <f t="shared" si="55"/>
        <v>Pass - Ready for Confirmation</v>
      </c>
    </row>
    <row r="1741" spans="1:9" x14ac:dyDescent="0.3">
      <c r="A1741" t="str">
        <f>FO_Capture!A1741</f>
        <v>TRD01740</v>
      </c>
      <c r="B1741" t="str">
        <f>FO_Capture!B1741</f>
        <v>INE008A01033</v>
      </c>
      <c r="C1741" t="str">
        <f>IFERROR(VLOOKUP(FO_Capture!C1741, Reference_Data!A:D, 2, FALSE), "UNKNOWN")</f>
        <v>Alpha Partners 48</v>
      </c>
      <c r="D1741" t="str">
        <f>IFERROR(VLOOKUP(FO_Capture!C1741, Reference_Data!A:D, 3, FALSE), "XXX")</f>
        <v>SGD</v>
      </c>
      <c r="E1741" t="str">
        <f>IFERROR(VLOOKUP(FO_Capture!C1741, Reference_Data!A:D, 4, FALSE), "MISSING SSI")</f>
        <v>JPMorgan A/C 391364</v>
      </c>
      <c r="F1741">
        <f>FO_Capture!D1741</f>
        <v>190</v>
      </c>
      <c r="G1741">
        <f>FO_Capture!E1741</f>
        <v>323.01998901367188</v>
      </c>
      <c r="H1741">
        <f t="shared" si="54"/>
        <v>61373.797912597656</v>
      </c>
      <c r="I1741" t="str">
        <f t="shared" si="55"/>
        <v>Pass - Ready for Confirmation</v>
      </c>
    </row>
    <row r="1742" spans="1:9" x14ac:dyDescent="0.3">
      <c r="A1742" t="str">
        <f>FO_Capture!A1742</f>
        <v>TRD01741</v>
      </c>
      <c r="B1742" t="str">
        <f>FO_Capture!B1742</f>
        <v>INE001A01069</v>
      </c>
      <c r="C1742" t="str">
        <f>IFERROR(VLOOKUP(FO_Capture!C1742, Reference_Data!A:D, 2, FALSE), "UNKNOWN")</f>
        <v>Alpha Capital 38</v>
      </c>
      <c r="D1742" t="str">
        <f>IFERROR(VLOOKUP(FO_Capture!C1742, Reference_Data!A:D, 3, FALSE), "XXX")</f>
        <v>SGD</v>
      </c>
      <c r="E1742" t="str">
        <f>IFERROR(VLOOKUP(FO_Capture!C1742, Reference_Data!A:D, 4, FALSE), "MISSING SSI")</f>
        <v>Deutsche Bank A/C 153521</v>
      </c>
      <c r="F1742">
        <f>FO_Capture!D1742</f>
        <v>390</v>
      </c>
      <c r="G1742">
        <f>FO_Capture!E1742</f>
        <v>264.98001098632813</v>
      </c>
      <c r="H1742">
        <f t="shared" si="54"/>
        <v>103342.20428466797</v>
      </c>
      <c r="I1742" t="str">
        <f t="shared" si="55"/>
        <v>Pass - Ready for Confirmation</v>
      </c>
    </row>
    <row r="1743" spans="1:9" x14ac:dyDescent="0.3">
      <c r="A1743" t="str">
        <f>FO_Capture!A1743</f>
        <v>TRD01742</v>
      </c>
      <c r="B1743" t="str">
        <f>FO_Capture!B1743</f>
        <v>INE007A01032</v>
      </c>
      <c r="C1743" t="str">
        <f>IFERROR(VLOOKUP(FO_Capture!C1743, Reference_Data!A:D, 2, FALSE), "UNKNOWN")</f>
        <v>Alpha Global 20</v>
      </c>
      <c r="D1743" t="str">
        <f>IFERROR(VLOOKUP(FO_Capture!C1743, Reference_Data!A:D, 3, FALSE), "XXX")</f>
        <v>JPY</v>
      </c>
      <c r="E1743" t="str">
        <f>IFERROR(VLOOKUP(FO_Capture!C1743, Reference_Data!A:D, 4, FALSE), "MISSING SSI")</f>
        <v>Barclays A/C 560891</v>
      </c>
      <c r="F1743">
        <f>FO_Capture!D1743</f>
        <v>220</v>
      </c>
      <c r="G1743">
        <f>FO_Capture!E1743</f>
        <v>309.33999633789063</v>
      </c>
      <c r="H1743">
        <f t="shared" si="54"/>
        <v>68054.799194335938</v>
      </c>
      <c r="I1743" t="str">
        <f t="shared" si="55"/>
        <v>Pass - Ready for Confirmation</v>
      </c>
    </row>
    <row r="1744" spans="1:9" x14ac:dyDescent="0.3">
      <c r="A1744" t="str">
        <f>FO_Capture!A1744</f>
        <v>TRD01743</v>
      </c>
      <c r="B1744" t="str">
        <f>FO_Capture!B1744</f>
        <v>INE007A0107</v>
      </c>
      <c r="C1744" t="str">
        <f>IFERROR(VLOOKUP(FO_Capture!C1744, Reference_Data!A:D, 2, FALSE), "UNKNOWN")</f>
        <v>Alpha Asset Management 35</v>
      </c>
      <c r="D1744" t="str">
        <f>IFERROR(VLOOKUP(FO_Capture!C1744, Reference_Data!A:D, 3, FALSE), "XXX")</f>
        <v>JPY</v>
      </c>
      <c r="E1744" t="str">
        <f>IFERROR(VLOOKUP(FO_Capture!C1744, Reference_Data!A:D, 4, FALSE), "MISSING SSI")</f>
        <v>HSBC A/C 604357</v>
      </c>
      <c r="F1744">
        <f>FO_Capture!D1744</f>
        <v>10</v>
      </c>
      <c r="G1744">
        <f>FO_Capture!E1744</f>
        <v>223.91000366210938</v>
      </c>
      <c r="H1744">
        <f t="shared" si="54"/>
        <v>2239.1000366210938</v>
      </c>
      <c r="I1744" t="str">
        <f t="shared" si="55"/>
        <v>Pass - Ready for Confirmation</v>
      </c>
    </row>
    <row r="1745" spans="1:9" x14ac:dyDescent="0.3">
      <c r="A1745" t="str">
        <f>FO_Capture!A1745</f>
        <v>TRD01744</v>
      </c>
      <c r="B1745" t="str">
        <f>FO_Capture!B1745</f>
        <v>INE009A01076</v>
      </c>
      <c r="C1745" t="str">
        <f>IFERROR(VLOOKUP(FO_Capture!C1745, Reference_Data!A:D, 2, FALSE), "UNKNOWN")</f>
        <v>Alpha Partners 1</v>
      </c>
      <c r="D1745" t="str">
        <f>IFERROR(VLOOKUP(FO_Capture!C1745, Reference_Data!A:D, 3, FALSE), "XXX")</f>
        <v>JPY</v>
      </c>
      <c r="E1745" t="str">
        <f>IFERROR(VLOOKUP(FO_Capture!C1745, Reference_Data!A:D, 4, FALSE), "MISSING SSI")</f>
        <v>Standard Chartered A/C 277005</v>
      </c>
      <c r="F1745">
        <f>FO_Capture!D1745</f>
        <v>290</v>
      </c>
      <c r="G1745">
        <f>FO_Capture!E1745</f>
        <v>190.58999633789063</v>
      </c>
      <c r="H1745">
        <f t="shared" si="54"/>
        <v>55271.098937988281</v>
      </c>
      <c r="I1745" t="str">
        <f t="shared" si="55"/>
        <v>Pass - Ready for Confirmation</v>
      </c>
    </row>
    <row r="1746" spans="1:9" x14ac:dyDescent="0.3">
      <c r="A1746" t="str">
        <f>FO_Capture!A1746</f>
        <v>TRD01745</v>
      </c>
      <c r="B1746" t="str">
        <f>FO_Capture!B1746</f>
        <v>INE007A01067</v>
      </c>
      <c r="C1746" t="str">
        <f>IFERROR(VLOOKUP(FO_Capture!C1746, Reference_Data!A:D, 2, FALSE), "UNKNOWN")</f>
        <v>Alpha Partners 42</v>
      </c>
      <c r="D1746" t="str">
        <f>IFERROR(VLOOKUP(FO_Capture!C1746, Reference_Data!A:D, 3, FALSE), "XXX")</f>
        <v>USD</v>
      </c>
      <c r="E1746" t="str">
        <f>IFERROR(VLOOKUP(FO_Capture!C1746, Reference_Data!A:D, 4, FALSE), "MISSING SSI")</f>
        <v>Citi A/C 416082</v>
      </c>
      <c r="F1746">
        <f>FO_Capture!D1746</f>
        <v>30</v>
      </c>
      <c r="G1746">
        <f>FO_Capture!E1746</f>
        <v>55.310001373291016</v>
      </c>
      <c r="H1746">
        <f t="shared" si="54"/>
        <v>1659.3000411987305</v>
      </c>
      <c r="I1746" t="str">
        <f t="shared" si="55"/>
        <v>Pass - Ready for Confirmation</v>
      </c>
    </row>
    <row r="1747" spans="1:9" x14ac:dyDescent="0.3">
      <c r="A1747" t="str">
        <f>FO_Capture!A1747</f>
        <v>TRD01746</v>
      </c>
      <c r="B1747" t="str">
        <f>FO_Capture!B1747</f>
        <v>INE007A0104</v>
      </c>
      <c r="C1747" t="str">
        <f>IFERROR(VLOOKUP(FO_Capture!C1747, Reference_Data!A:D, 2, FALSE), "UNKNOWN")</f>
        <v>Alpha Capital 11</v>
      </c>
      <c r="D1747" t="str">
        <f>IFERROR(VLOOKUP(FO_Capture!C1747, Reference_Data!A:D, 3, FALSE), "XXX")</f>
        <v>USD</v>
      </c>
      <c r="E1747" t="str">
        <f>IFERROR(VLOOKUP(FO_Capture!C1747, Reference_Data!A:D, 4, FALSE), "MISSING SSI")</f>
        <v>JPMorgan A/C 987170</v>
      </c>
      <c r="F1747">
        <f>FO_Capture!D1747</f>
        <v>380</v>
      </c>
      <c r="G1747">
        <f>FO_Capture!E1747</f>
        <v>78.089996337890625</v>
      </c>
      <c r="H1747">
        <f t="shared" si="54"/>
        <v>29674.198608398438</v>
      </c>
      <c r="I1747" t="str">
        <f t="shared" si="55"/>
        <v>Pass - Ready for Confirmation</v>
      </c>
    </row>
    <row r="1748" spans="1:9" x14ac:dyDescent="0.3">
      <c r="A1748" t="str">
        <f>FO_Capture!A1748</f>
        <v>TRD01747</v>
      </c>
      <c r="B1748" t="str">
        <f>FO_Capture!B1748</f>
        <v>INE006A01052</v>
      </c>
      <c r="C1748" t="str">
        <f>IFERROR(VLOOKUP(FO_Capture!C1748, Reference_Data!A:D, 2, FALSE), "UNKNOWN")</f>
        <v>Alpha Asset Management 13</v>
      </c>
      <c r="D1748" t="str">
        <f>IFERROR(VLOOKUP(FO_Capture!C1748, Reference_Data!A:D, 3, FALSE), "XXX")</f>
        <v>INR</v>
      </c>
      <c r="E1748" t="str">
        <f>IFERROR(VLOOKUP(FO_Capture!C1748, Reference_Data!A:D, 4, FALSE), "MISSING SSI")</f>
        <v>HSBC A/C 972195</v>
      </c>
      <c r="F1748">
        <f>FO_Capture!D1748</f>
        <v>450</v>
      </c>
      <c r="G1748">
        <f>FO_Capture!E1748</f>
        <v>183</v>
      </c>
      <c r="H1748">
        <f t="shared" si="54"/>
        <v>82350</v>
      </c>
      <c r="I1748" t="str">
        <f t="shared" si="55"/>
        <v>Pass - Ready for Confirmation</v>
      </c>
    </row>
    <row r="1749" spans="1:9" x14ac:dyDescent="0.3">
      <c r="A1749" t="str">
        <f>FO_Capture!A1749</f>
        <v>TRD01748</v>
      </c>
      <c r="B1749" t="str">
        <f>FO_Capture!B1749</f>
        <v>INE005A01076</v>
      </c>
      <c r="C1749" t="str">
        <f>IFERROR(VLOOKUP(FO_Capture!C1749, Reference_Data!A:D, 2, FALSE), "UNKNOWN")</f>
        <v>Alpha Quant Fund 34</v>
      </c>
      <c r="D1749" t="str">
        <f>IFERROR(VLOOKUP(FO_Capture!C1749, Reference_Data!A:D, 3, FALSE), "XXX")</f>
        <v>JPY</v>
      </c>
      <c r="E1749" t="str">
        <f>IFERROR(VLOOKUP(FO_Capture!C1749, Reference_Data!A:D, 4, FALSE), "MISSING SSI")</f>
        <v>Citi A/C 837378</v>
      </c>
      <c r="F1749">
        <f>FO_Capture!D1749</f>
        <v>50</v>
      </c>
      <c r="G1749">
        <f>FO_Capture!E1749</f>
        <v>208.17999267578125</v>
      </c>
      <c r="H1749">
        <f t="shared" si="54"/>
        <v>10408.999633789063</v>
      </c>
      <c r="I1749" t="str">
        <f t="shared" si="55"/>
        <v>Pass - Ready for Confirmation</v>
      </c>
    </row>
    <row r="1750" spans="1:9" x14ac:dyDescent="0.3">
      <c r="A1750" t="str">
        <f>FO_Capture!A1750</f>
        <v>TRD01749</v>
      </c>
      <c r="B1750" t="str">
        <f>FO_Capture!B1750</f>
        <v>INE008A01085</v>
      </c>
      <c r="C1750" t="str">
        <f>IFERROR(VLOOKUP(FO_Capture!C1750, Reference_Data!A:D, 2, FALSE), "UNKNOWN")</f>
        <v>Alpha Quant Fund 12</v>
      </c>
      <c r="D1750" t="str">
        <f>IFERROR(VLOOKUP(FO_Capture!C1750, Reference_Data!A:D, 3, FALSE), "XXX")</f>
        <v>EUR</v>
      </c>
      <c r="E1750" t="str">
        <f>IFERROR(VLOOKUP(FO_Capture!C1750, Reference_Data!A:D, 4, FALSE), "MISSING SSI")</f>
        <v>Deutsche Bank A/C 324710</v>
      </c>
      <c r="F1750">
        <f>FO_Capture!D1750</f>
        <v>440</v>
      </c>
      <c r="G1750">
        <f>FO_Capture!E1750</f>
        <v>155.82000732421875</v>
      </c>
      <c r="H1750">
        <f t="shared" si="54"/>
        <v>68560.80322265625</v>
      </c>
      <c r="I1750" t="str">
        <f t="shared" si="55"/>
        <v>Pass - Ready for Confirmation</v>
      </c>
    </row>
    <row r="1751" spans="1:9" x14ac:dyDescent="0.3">
      <c r="A1751" t="str">
        <f>FO_Capture!A1751</f>
        <v>TRD01750</v>
      </c>
      <c r="B1751" t="str">
        <f>FO_Capture!B1751</f>
        <v>INE001A01083</v>
      </c>
      <c r="C1751" t="str">
        <f>IFERROR(VLOOKUP(FO_Capture!C1751, Reference_Data!A:D, 2, FALSE), "UNKNOWN")</f>
        <v>Alpha Investments 15</v>
      </c>
      <c r="D1751" t="str">
        <f>IFERROR(VLOOKUP(FO_Capture!C1751, Reference_Data!A:D, 3, FALSE), "XXX")</f>
        <v>INR</v>
      </c>
      <c r="E1751" t="str">
        <f>IFERROR(VLOOKUP(FO_Capture!C1751, Reference_Data!A:D, 4, FALSE), "MISSING SSI")</f>
        <v>Deutsche Bank A/C 330518</v>
      </c>
      <c r="F1751">
        <f>FO_Capture!D1751</f>
        <v>40</v>
      </c>
      <c r="G1751">
        <f>FO_Capture!E1751</f>
        <v>442.17999267578125</v>
      </c>
      <c r="H1751">
        <f t="shared" si="54"/>
        <v>17687.19970703125</v>
      </c>
      <c r="I1751" t="str">
        <f t="shared" si="55"/>
        <v>Pass - Ready for Confirmation</v>
      </c>
    </row>
    <row r="1752" spans="1:9" x14ac:dyDescent="0.3">
      <c r="A1752" t="str">
        <f>FO_Capture!A1752</f>
        <v>TRD01751</v>
      </c>
      <c r="B1752" t="str">
        <f>FO_Capture!B1752</f>
        <v>INE003A01019</v>
      </c>
      <c r="C1752" t="str">
        <f>IFERROR(VLOOKUP(FO_Capture!C1752, Reference_Data!A:D, 2, FALSE), "UNKNOWN")</f>
        <v>Alpha Investments 15</v>
      </c>
      <c r="D1752" t="str">
        <f>IFERROR(VLOOKUP(FO_Capture!C1752, Reference_Data!A:D, 3, FALSE), "XXX")</f>
        <v>INR</v>
      </c>
      <c r="E1752" t="str">
        <f>IFERROR(VLOOKUP(FO_Capture!C1752, Reference_Data!A:D, 4, FALSE), "MISSING SSI")</f>
        <v>Deutsche Bank A/C 330518</v>
      </c>
      <c r="F1752">
        <f>FO_Capture!D1752</f>
        <v>260</v>
      </c>
      <c r="G1752">
        <f>FO_Capture!E1752</f>
        <v>147.58999633789063</v>
      </c>
      <c r="H1752">
        <f t="shared" si="54"/>
        <v>38373.399047851563</v>
      </c>
      <c r="I1752" t="str">
        <f t="shared" si="55"/>
        <v>Pass - Ready for Confirmation</v>
      </c>
    </row>
    <row r="1753" spans="1:9" x14ac:dyDescent="0.3">
      <c r="A1753" t="str">
        <f>FO_Capture!A1753</f>
        <v>TRD01752</v>
      </c>
      <c r="B1753" t="str">
        <f>FO_Capture!B1753</f>
        <v>INE004A01037</v>
      </c>
      <c r="C1753" t="str">
        <f>IFERROR(VLOOKUP(FO_Capture!C1753, Reference_Data!A:D, 2, FALSE), "UNKNOWN")</f>
        <v>Alpha Quant Fund 12</v>
      </c>
      <c r="D1753" t="str">
        <f>IFERROR(VLOOKUP(FO_Capture!C1753, Reference_Data!A:D, 3, FALSE), "XXX")</f>
        <v>EUR</v>
      </c>
      <c r="E1753" t="str">
        <f>IFERROR(VLOOKUP(FO_Capture!C1753, Reference_Data!A:D, 4, FALSE), "MISSING SSI")</f>
        <v>Deutsche Bank A/C 324710</v>
      </c>
      <c r="F1753">
        <f>FO_Capture!D1753</f>
        <v>180</v>
      </c>
      <c r="G1753">
        <f>FO_Capture!E1753</f>
        <v>266.42001342773438</v>
      </c>
      <c r="H1753">
        <f t="shared" si="54"/>
        <v>47955.602416992188</v>
      </c>
      <c r="I1753" t="str">
        <f t="shared" si="55"/>
        <v>Pass - Ready for Confirmation</v>
      </c>
    </row>
    <row r="1754" spans="1:9" x14ac:dyDescent="0.3">
      <c r="A1754" t="str">
        <f>FO_Capture!A1754</f>
        <v>TRD01753</v>
      </c>
      <c r="B1754" t="str">
        <f>FO_Capture!B1754</f>
        <v>INE009A01027</v>
      </c>
      <c r="C1754" t="str">
        <f>IFERROR(VLOOKUP(FO_Capture!C1754, Reference_Data!A:D, 2, FALSE), "UNKNOWN")</f>
        <v>Alpha Capital 11</v>
      </c>
      <c r="D1754" t="str">
        <f>IFERROR(VLOOKUP(FO_Capture!C1754, Reference_Data!A:D, 3, FALSE), "XXX")</f>
        <v>USD</v>
      </c>
      <c r="E1754" t="str">
        <f>IFERROR(VLOOKUP(FO_Capture!C1754, Reference_Data!A:D, 4, FALSE), "MISSING SSI")</f>
        <v>JPMorgan A/C 987170</v>
      </c>
      <c r="F1754">
        <f>FO_Capture!D1754</f>
        <v>320</v>
      </c>
      <c r="G1754">
        <f>FO_Capture!E1754</f>
        <v>457.1400146484375</v>
      </c>
      <c r="H1754">
        <f t="shared" si="54"/>
        <v>146284.8046875</v>
      </c>
      <c r="I1754" t="str">
        <f t="shared" si="55"/>
        <v>Pass - Ready for Confirmation</v>
      </c>
    </row>
    <row r="1755" spans="1:9" x14ac:dyDescent="0.3">
      <c r="A1755" t="str">
        <f>FO_Capture!A1755</f>
        <v>TRD01754</v>
      </c>
      <c r="B1755" t="str">
        <f>FO_Capture!B1755</f>
        <v>INE005A01074</v>
      </c>
      <c r="C1755" t="str">
        <f>IFERROR(VLOOKUP(FO_Capture!C1755, Reference_Data!A:D, 2, FALSE), "UNKNOWN")</f>
        <v>Alpha Global 45</v>
      </c>
      <c r="D1755" t="str">
        <f>IFERROR(VLOOKUP(FO_Capture!C1755, Reference_Data!A:D, 3, FALSE), "XXX")</f>
        <v>EUR</v>
      </c>
      <c r="E1755" t="str">
        <f>IFERROR(VLOOKUP(FO_Capture!C1755, Reference_Data!A:D, 4, FALSE), "MISSING SSI")</f>
        <v>HSBC A/C 540659</v>
      </c>
      <c r="F1755">
        <f>FO_Capture!D1755</f>
        <v>420</v>
      </c>
      <c r="G1755">
        <f>FO_Capture!E1755</f>
        <v>292.23001098632813</v>
      </c>
      <c r="H1755">
        <f t="shared" si="54"/>
        <v>122736.60461425781</v>
      </c>
      <c r="I1755" t="str">
        <f t="shared" si="55"/>
        <v>Pass - Ready for Confirmation</v>
      </c>
    </row>
    <row r="1756" spans="1:9" x14ac:dyDescent="0.3">
      <c r="A1756" t="str">
        <f>FO_Capture!A1756</f>
        <v>TRD01755</v>
      </c>
      <c r="B1756" t="str">
        <f>FO_Capture!B1756</f>
        <v>INE003A01010</v>
      </c>
      <c r="C1756" t="str">
        <f>IFERROR(VLOOKUP(FO_Capture!C1756, Reference_Data!A:D, 2, FALSE), "UNKNOWN")</f>
        <v>Alpha Global 2</v>
      </c>
      <c r="D1756" t="str">
        <f>IFERROR(VLOOKUP(FO_Capture!C1756, Reference_Data!A:D, 3, FALSE), "XXX")</f>
        <v>GBP</v>
      </c>
      <c r="E1756" t="str">
        <f>IFERROR(VLOOKUP(FO_Capture!C1756, Reference_Data!A:D, 4, FALSE), "MISSING SSI")</f>
        <v>JPMorgan A/C 582379</v>
      </c>
      <c r="F1756">
        <f>FO_Capture!D1756</f>
        <v>150</v>
      </c>
      <c r="G1756">
        <f>FO_Capture!E1756</f>
        <v>508.29000854492188</v>
      </c>
      <c r="H1756">
        <f t="shared" si="54"/>
        <v>76243.501281738281</v>
      </c>
      <c r="I1756" t="str">
        <f t="shared" si="55"/>
        <v>Pass - Ready for Confirmation</v>
      </c>
    </row>
    <row r="1757" spans="1:9" x14ac:dyDescent="0.3">
      <c r="A1757" t="str">
        <f>FO_Capture!A1757</f>
        <v>TRD01756</v>
      </c>
      <c r="B1757" t="str">
        <f>FO_Capture!B1757</f>
        <v>INE001A01059</v>
      </c>
      <c r="C1757" t="str">
        <f>IFERROR(VLOOKUP(FO_Capture!C1757, Reference_Data!A:D, 2, FALSE), "UNKNOWN")</f>
        <v>Alpha Partners 48</v>
      </c>
      <c r="D1757" t="str">
        <f>IFERROR(VLOOKUP(FO_Capture!C1757, Reference_Data!A:D, 3, FALSE), "XXX")</f>
        <v>SGD</v>
      </c>
      <c r="E1757" t="str">
        <f>IFERROR(VLOOKUP(FO_Capture!C1757, Reference_Data!A:D, 4, FALSE), "MISSING SSI")</f>
        <v>JPMorgan A/C 391364</v>
      </c>
      <c r="F1757">
        <f>FO_Capture!D1757</f>
        <v>370</v>
      </c>
      <c r="G1757">
        <f>FO_Capture!E1757</f>
        <v>255.94000244140625</v>
      </c>
      <c r="H1757">
        <f t="shared" si="54"/>
        <v>94697.800903320313</v>
      </c>
      <c r="I1757" t="str">
        <f t="shared" si="55"/>
        <v>Pass - Ready for Confirmation</v>
      </c>
    </row>
    <row r="1758" spans="1:9" x14ac:dyDescent="0.3">
      <c r="A1758" t="str">
        <f>FO_Capture!A1758</f>
        <v>TRD01757</v>
      </c>
      <c r="B1758" t="str">
        <f>FO_Capture!B1758</f>
        <v>INE007A01094</v>
      </c>
      <c r="C1758" t="str">
        <f>IFERROR(VLOOKUP(FO_Capture!C1758, Reference_Data!A:D, 2, FALSE), "UNKNOWN")</f>
        <v>Alpha Partners 3</v>
      </c>
      <c r="D1758" t="str">
        <f>IFERROR(VLOOKUP(FO_Capture!C1758, Reference_Data!A:D, 3, FALSE), "XXX")</f>
        <v>USD</v>
      </c>
      <c r="E1758" t="str">
        <f>IFERROR(VLOOKUP(FO_Capture!C1758, Reference_Data!A:D, 4, FALSE), "MISSING SSI")</f>
        <v>Citi A/C 508769</v>
      </c>
      <c r="F1758">
        <f>FO_Capture!D1758</f>
        <v>390</v>
      </c>
      <c r="G1758">
        <f>FO_Capture!E1758</f>
        <v>349.8800048828125</v>
      </c>
      <c r="H1758">
        <f t="shared" si="54"/>
        <v>136453.20190429688</v>
      </c>
      <c r="I1758" t="str">
        <f t="shared" si="55"/>
        <v>Pass - Ready for Confirmation</v>
      </c>
    </row>
    <row r="1759" spans="1:9" x14ac:dyDescent="0.3">
      <c r="A1759" t="str">
        <f>FO_Capture!A1759</f>
        <v>TRD01758</v>
      </c>
      <c r="B1759" t="str">
        <f>FO_Capture!B1759</f>
        <v>INE007A01080</v>
      </c>
      <c r="C1759" t="str">
        <f>IFERROR(VLOOKUP(FO_Capture!C1759, Reference_Data!A:D, 2, FALSE), "UNKNOWN")</f>
        <v>Alpha Holdings 16</v>
      </c>
      <c r="D1759" t="str">
        <f>IFERROR(VLOOKUP(FO_Capture!C1759, Reference_Data!A:D, 3, FALSE), "XXX")</f>
        <v>USD</v>
      </c>
      <c r="E1759" t="str">
        <f>IFERROR(VLOOKUP(FO_Capture!C1759, Reference_Data!A:D, 4, FALSE), "MISSING SSI")</f>
        <v>Barclays A/C 197229</v>
      </c>
      <c r="F1759">
        <f>FO_Capture!D1759</f>
        <v>220</v>
      </c>
      <c r="G1759">
        <f>FO_Capture!E1759</f>
        <v>18.870000839233398</v>
      </c>
      <c r="H1759">
        <f t="shared" si="54"/>
        <v>4151.4001846313477</v>
      </c>
      <c r="I1759" t="str">
        <f t="shared" si="55"/>
        <v>Pass - Ready for Confirmation</v>
      </c>
    </row>
    <row r="1760" spans="1:9" x14ac:dyDescent="0.3">
      <c r="A1760" t="str">
        <f>FO_Capture!A1760</f>
        <v>TRD01759</v>
      </c>
      <c r="B1760" t="str">
        <f>FO_Capture!B1760</f>
        <v>INE002A01029</v>
      </c>
      <c r="C1760" t="str">
        <f>IFERROR(VLOOKUP(FO_Capture!C1760, Reference_Data!A:D, 2, FALSE), "UNKNOWN")</f>
        <v>Alpha Investments 40</v>
      </c>
      <c r="D1760" t="str">
        <f>IFERROR(VLOOKUP(FO_Capture!C1760, Reference_Data!A:D, 3, FALSE), "XXX")</f>
        <v>GBP</v>
      </c>
      <c r="E1760" t="str">
        <f>IFERROR(VLOOKUP(FO_Capture!C1760, Reference_Data!A:D, 4, FALSE), "MISSING SSI")</f>
        <v>HDFC A/C 897530</v>
      </c>
      <c r="F1760">
        <f>FO_Capture!D1760</f>
        <v>310</v>
      </c>
      <c r="G1760">
        <f>FO_Capture!E1760</f>
        <v>155.74000549316406</v>
      </c>
      <c r="H1760">
        <f t="shared" si="54"/>
        <v>48279.401702880859</v>
      </c>
      <c r="I1760" t="str">
        <f t="shared" si="55"/>
        <v>Pass - Ready for Confirmation</v>
      </c>
    </row>
    <row r="1761" spans="1:9" x14ac:dyDescent="0.3">
      <c r="A1761" t="str">
        <f>FO_Capture!A1761</f>
        <v>TRD01760</v>
      </c>
      <c r="B1761" t="str">
        <f>FO_Capture!B1761</f>
        <v>INE003A01049</v>
      </c>
      <c r="C1761" t="str">
        <f>IFERROR(VLOOKUP(FO_Capture!C1761, Reference_Data!A:D, 2, FALSE), "UNKNOWN")</f>
        <v>Alpha Capital 7</v>
      </c>
      <c r="D1761" t="str">
        <f>IFERROR(VLOOKUP(FO_Capture!C1761, Reference_Data!A:D, 3, FALSE), "XXX")</f>
        <v>INR</v>
      </c>
      <c r="E1761" t="str">
        <f>IFERROR(VLOOKUP(FO_Capture!C1761, Reference_Data!A:D, 4, FALSE), "MISSING SSI")</f>
        <v>Standard Chartered A/C 682134</v>
      </c>
      <c r="F1761">
        <f>FO_Capture!D1761</f>
        <v>320</v>
      </c>
      <c r="G1761">
        <f>FO_Capture!E1761</f>
        <v>67.360000610351563</v>
      </c>
      <c r="H1761">
        <f t="shared" si="54"/>
        <v>21555.2001953125</v>
      </c>
      <c r="I1761" t="str">
        <f t="shared" si="55"/>
        <v>Pass - Ready for Confirmation</v>
      </c>
    </row>
    <row r="1762" spans="1:9" x14ac:dyDescent="0.3">
      <c r="A1762" t="str">
        <f>FO_Capture!A1762</f>
        <v>TRD01761</v>
      </c>
      <c r="B1762" t="str">
        <f>FO_Capture!B1762</f>
        <v>INE007A01091</v>
      </c>
      <c r="C1762" t="str">
        <f>IFERROR(VLOOKUP(FO_Capture!C1762, Reference_Data!A:D, 2, FALSE), "UNKNOWN")</f>
        <v>Alpha Global 2</v>
      </c>
      <c r="D1762" t="str">
        <f>IFERROR(VLOOKUP(FO_Capture!C1762, Reference_Data!A:D, 3, FALSE), "XXX")</f>
        <v>GBP</v>
      </c>
      <c r="E1762" t="str">
        <f>IFERROR(VLOOKUP(FO_Capture!C1762, Reference_Data!A:D, 4, FALSE), "MISSING SSI")</f>
        <v>JPMorgan A/C 582379</v>
      </c>
      <c r="F1762">
        <f>FO_Capture!D1762</f>
        <v>330</v>
      </c>
      <c r="G1762">
        <f>FO_Capture!E1762</f>
        <v>224.69000244140625</v>
      </c>
      <c r="H1762">
        <f t="shared" si="54"/>
        <v>74147.700805664063</v>
      </c>
      <c r="I1762" t="str">
        <f t="shared" si="55"/>
        <v>Pass - Ready for Confirmation</v>
      </c>
    </row>
    <row r="1763" spans="1:9" x14ac:dyDescent="0.3">
      <c r="A1763" t="str">
        <f>FO_Capture!A1763</f>
        <v>TRD01762</v>
      </c>
      <c r="B1763" t="str">
        <f>FO_Capture!B1763</f>
        <v>INE002A0104</v>
      </c>
      <c r="C1763" t="str">
        <f>IFERROR(VLOOKUP(FO_Capture!C1763, Reference_Data!A:D, 2, FALSE), "UNKNOWN")</f>
        <v>Alpha Holdings 41</v>
      </c>
      <c r="D1763" t="str">
        <f>IFERROR(VLOOKUP(FO_Capture!C1763, Reference_Data!A:D, 3, FALSE), "XXX")</f>
        <v>JPY</v>
      </c>
      <c r="E1763" t="str">
        <f>IFERROR(VLOOKUP(FO_Capture!C1763, Reference_Data!A:D, 4, FALSE), "MISSING SSI")</f>
        <v>HSBC A/C 468615</v>
      </c>
      <c r="F1763">
        <f>FO_Capture!D1763</f>
        <v>130</v>
      </c>
      <c r="G1763">
        <f>FO_Capture!E1763</f>
        <v>12.729999542236328</v>
      </c>
      <c r="H1763">
        <f t="shared" si="54"/>
        <v>1654.8999404907227</v>
      </c>
      <c r="I1763" t="str">
        <f t="shared" si="55"/>
        <v>Pass - Ready for Confirmation</v>
      </c>
    </row>
    <row r="1764" spans="1:9" x14ac:dyDescent="0.3">
      <c r="A1764" t="str">
        <f>FO_Capture!A1764</f>
        <v>TRD01763</v>
      </c>
      <c r="B1764" t="str">
        <f>FO_Capture!B1764</f>
        <v>INE008A01079</v>
      </c>
      <c r="C1764" t="str">
        <f>IFERROR(VLOOKUP(FO_Capture!C1764, Reference_Data!A:D, 2, FALSE), "UNKNOWN")</f>
        <v>Alpha Partners 42</v>
      </c>
      <c r="D1764" t="str">
        <f>IFERROR(VLOOKUP(FO_Capture!C1764, Reference_Data!A:D, 3, FALSE), "XXX")</f>
        <v>USD</v>
      </c>
      <c r="E1764" t="str">
        <f>IFERROR(VLOOKUP(FO_Capture!C1764, Reference_Data!A:D, 4, FALSE), "MISSING SSI")</f>
        <v>Citi A/C 416082</v>
      </c>
      <c r="F1764">
        <f>FO_Capture!D1764</f>
        <v>460</v>
      </c>
      <c r="G1764">
        <f>FO_Capture!E1764</f>
        <v>480.54998779296875</v>
      </c>
      <c r="H1764">
        <f t="shared" si="54"/>
        <v>221052.99438476563</v>
      </c>
      <c r="I1764" t="str">
        <f t="shared" si="55"/>
        <v>Pass - Ready for Confirmation</v>
      </c>
    </row>
    <row r="1765" spans="1:9" x14ac:dyDescent="0.3">
      <c r="A1765" t="str">
        <f>FO_Capture!A1765</f>
        <v>TRD01764</v>
      </c>
      <c r="B1765" t="str">
        <f>FO_Capture!B1765</f>
        <v>INE007A0108</v>
      </c>
      <c r="C1765" t="str">
        <f>IFERROR(VLOOKUP(FO_Capture!C1765, Reference_Data!A:D, 2, FALSE), "UNKNOWN")</f>
        <v>Alpha Global 2</v>
      </c>
      <c r="D1765" t="str">
        <f>IFERROR(VLOOKUP(FO_Capture!C1765, Reference_Data!A:D, 3, FALSE), "XXX")</f>
        <v>GBP</v>
      </c>
      <c r="E1765" t="str">
        <f>IFERROR(VLOOKUP(FO_Capture!C1765, Reference_Data!A:D, 4, FALSE), "MISSING SSI")</f>
        <v>JPMorgan A/C 582379</v>
      </c>
      <c r="F1765">
        <f>FO_Capture!D1765</f>
        <v>250</v>
      </c>
      <c r="G1765">
        <f>FO_Capture!E1765</f>
        <v>91.300003051757813</v>
      </c>
      <c r="H1765">
        <f t="shared" si="54"/>
        <v>22825.000762939453</v>
      </c>
      <c r="I1765" t="str">
        <f t="shared" si="55"/>
        <v>Pass - Ready for Confirmation</v>
      </c>
    </row>
    <row r="1766" spans="1:9" x14ac:dyDescent="0.3">
      <c r="A1766" t="str">
        <f>FO_Capture!A1766</f>
        <v>TRD01765</v>
      </c>
      <c r="B1766" t="str">
        <f>FO_Capture!B1766</f>
        <v>INE008A01021</v>
      </c>
      <c r="C1766" t="str">
        <f>IFERROR(VLOOKUP(FO_Capture!C1766, Reference_Data!A:D, 2, FALSE), "UNKNOWN")</f>
        <v>Alpha Holdings 23</v>
      </c>
      <c r="D1766" t="str">
        <f>IFERROR(VLOOKUP(FO_Capture!C1766, Reference_Data!A:D, 3, FALSE), "XXX")</f>
        <v>INR</v>
      </c>
      <c r="E1766" t="str">
        <f>IFERROR(VLOOKUP(FO_Capture!C1766, Reference_Data!A:D, 4, FALSE), "MISSING SSI")</f>
        <v>Deutsche Bank A/C 983712</v>
      </c>
      <c r="F1766">
        <f>FO_Capture!D1766</f>
        <v>360</v>
      </c>
      <c r="G1766">
        <f>FO_Capture!E1766</f>
        <v>472.17001342773438</v>
      </c>
      <c r="H1766">
        <f t="shared" si="54"/>
        <v>169981.20483398438</v>
      </c>
      <c r="I1766" t="str">
        <f t="shared" si="55"/>
        <v>Pass - Ready for Confirmation</v>
      </c>
    </row>
    <row r="1767" spans="1:9" x14ac:dyDescent="0.3">
      <c r="A1767" t="str">
        <f>FO_Capture!A1767</f>
        <v>TRD01766</v>
      </c>
      <c r="B1767" t="str">
        <f>FO_Capture!B1767</f>
        <v>INE007A01048</v>
      </c>
      <c r="C1767" t="str">
        <f>IFERROR(VLOOKUP(FO_Capture!C1767, Reference_Data!A:D, 2, FALSE), "UNKNOWN")</f>
        <v>Alpha Asset Management 35</v>
      </c>
      <c r="D1767" t="str">
        <f>IFERROR(VLOOKUP(FO_Capture!C1767, Reference_Data!A:D, 3, FALSE), "XXX")</f>
        <v>JPY</v>
      </c>
      <c r="E1767" t="str">
        <f>IFERROR(VLOOKUP(FO_Capture!C1767, Reference_Data!A:D, 4, FALSE), "MISSING SSI")</f>
        <v>HSBC A/C 604357</v>
      </c>
      <c r="F1767">
        <f>FO_Capture!D1767</f>
        <v>370</v>
      </c>
      <c r="G1767">
        <f>FO_Capture!E1767</f>
        <v>164.41000366210938</v>
      </c>
      <c r="H1767">
        <f t="shared" si="54"/>
        <v>60831.701354980469</v>
      </c>
      <c r="I1767" t="str">
        <f t="shared" si="55"/>
        <v>Pass - Ready for Confirmation</v>
      </c>
    </row>
    <row r="1768" spans="1:9" x14ac:dyDescent="0.3">
      <c r="A1768" t="str">
        <f>FO_Capture!A1768</f>
        <v>TRD01767</v>
      </c>
      <c r="B1768" t="str">
        <f>FO_Capture!B1768</f>
        <v>INE007A01064</v>
      </c>
      <c r="C1768" t="str">
        <f>IFERROR(VLOOKUP(FO_Capture!C1768, Reference_Data!A:D, 2, FALSE), "UNKNOWN")</f>
        <v>Alpha Partners 22</v>
      </c>
      <c r="D1768" t="str">
        <f>IFERROR(VLOOKUP(FO_Capture!C1768, Reference_Data!A:D, 3, FALSE), "XXX")</f>
        <v>GBP</v>
      </c>
      <c r="E1768" t="str">
        <f>IFERROR(VLOOKUP(FO_Capture!C1768, Reference_Data!A:D, 4, FALSE), "MISSING SSI")</f>
        <v>JPMorgan A/C 488546</v>
      </c>
      <c r="F1768">
        <f>FO_Capture!D1768</f>
        <v>300</v>
      </c>
      <c r="G1768">
        <f>FO_Capture!E1768</f>
        <v>373.3599853515625</v>
      </c>
      <c r="H1768">
        <f t="shared" si="54"/>
        <v>112007.99560546875</v>
      </c>
      <c r="I1768" t="str">
        <f t="shared" si="55"/>
        <v>Pass - Ready for Confirmation</v>
      </c>
    </row>
    <row r="1769" spans="1:9" x14ac:dyDescent="0.3">
      <c r="A1769" t="str">
        <f>FO_Capture!A1769</f>
        <v>TRD01768</v>
      </c>
      <c r="B1769" t="str">
        <f>FO_Capture!B1769</f>
        <v>INE001A01038</v>
      </c>
      <c r="C1769" t="str">
        <f>IFERROR(VLOOKUP(FO_Capture!C1769, Reference_Data!A:D, 2, FALSE), "UNKNOWN")</f>
        <v>Alpha Partners 48</v>
      </c>
      <c r="D1769" t="str">
        <f>IFERROR(VLOOKUP(FO_Capture!C1769, Reference_Data!A:D, 3, FALSE), "XXX")</f>
        <v>SGD</v>
      </c>
      <c r="E1769" t="str">
        <f>IFERROR(VLOOKUP(FO_Capture!C1769, Reference_Data!A:D, 4, FALSE), "MISSING SSI")</f>
        <v>JPMorgan A/C 391364</v>
      </c>
      <c r="F1769">
        <f>FO_Capture!D1769</f>
        <v>350</v>
      </c>
      <c r="G1769">
        <f>FO_Capture!E1769</f>
        <v>218.38999938964844</v>
      </c>
      <c r="H1769">
        <f t="shared" si="54"/>
        <v>76436.499786376953</v>
      </c>
      <c r="I1769" t="str">
        <f t="shared" si="55"/>
        <v>Pass - Ready for Confirmation</v>
      </c>
    </row>
    <row r="1770" spans="1:9" x14ac:dyDescent="0.3">
      <c r="A1770" t="str">
        <f>FO_Capture!A1770</f>
        <v>TRD01769</v>
      </c>
      <c r="B1770" t="str">
        <f>FO_Capture!B1770</f>
        <v>INE005A01085</v>
      </c>
      <c r="C1770" t="str">
        <f>IFERROR(VLOOKUP(FO_Capture!C1770, Reference_Data!A:D, 2, FALSE), "UNKNOWN")</f>
        <v>Alpha Investments 29</v>
      </c>
      <c r="D1770" t="str">
        <f>IFERROR(VLOOKUP(FO_Capture!C1770, Reference_Data!A:D, 3, FALSE), "XXX")</f>
        <v>INR</v>
      </c>
      <c r="E1770" t="str">
        <f>IFERROR(VLOOKUP(FO_Capture!C1770, Reference_Data!A:D, 4, FALSE), "MISSING SSI")</f>
        <v>HSBC A/C 785870</v>
      </c>
      <c r="F1770">
        <f>FO_Capture!D1770</f>
        <v>170</v>
      </c>
      <c r="G1770">
        <f>FO_Capture!E1770</f>
        <v>482.95999145507813</v>
      </c>
      <c r="H1770">
        <f t="shared" si="54"/>
        <v>82103.198547363281</v>
      </c>
      <c r="I1770" t="str">
        <f t="shared" si="55"/>
        <v>Pass - Ready for Confirmation</v>
      </c>
    </row>
    <row r="1771" spans="1:9" x14ac:dyDescent="0.3">
      <c r="A1771" t="str">
        <f>FO_Capture!A1771</f>
        <v>TRD01770</v>
      </c>
      <c r="B1771" t="str">
        <f>FO_Capture!B1771</f>
        <v>INE009A01016</v>
      </c>
      <c r="C1771" t="str">
        <f>IFERROR(VLOOKUP(FO_Capture!C1771, Reference_Data!A:D, 2, FALSE), "UNKNOWN")</f>
        <v>Alpha Quant Fund 12</v>
      </c>
      <c r="D1771" t="str">
        <f>IFERROR(VLOOKUP(FO_Capture!C1771, Reference_Data!A:D, 3, FALSE), "XXX")</f>
        <v>EUR</v>
      </c>
      <c r="E1771" t="str">
        <f>IFERROR(VLOOKUP(FO_Capture!C1771, Reference_Data!A:D, 4, FALSE), "MISSING SSI")</f>
        <v>Deutsche Bank A/C 324710</v>
      </c>
      <c r="F1771">
        <f>FO_Capture!D1771</f>
        <v>130</v>
      </c>
      <c r="G1771">
        <f>FO_Capture!E1771</f>
        <v>364.55999755859375</v>
      </c>
      <c r="H1771">
        <f t="shared" si="54"/>
        <v>47392.799682617188</v>
      </c>
      <c r="I1771" t="str">
        <f t="shared" si="55"/>
        <v>Pass - Ready for Confirmation</v>
      </c>
    </row>
    <row r="1772" spans="1:9" x14ac:dyDescent="0.3">
      <c r="A1772" t="str">
        <f>FO_Capture!A1772</f>
        <v>TRD01771</v>
      </c>
      <c r="B1772" t="str">
        <f>FO_Capture!B1772</f>
        <v>INE005A01085</v>
      </c>
      <c r="C1772" t="str">
        <f>IFERROR(VLOOKUP(FO_Capture!C1772, Reference_Data!A:D, 2, FALSE), "UNKNOWN")</f>
        <v>Alpha Global 46</v>
      </c>
      <c r="D1772" t="str">
        <f>IFERROR(VLOOKUP(FO_Capture!C1772, Reference_Data!A:D, 3, FALSE), "XXX")</f>
        <v>USD</v>
      </c>
      <c r="E1772" t="str">
        <f>IFERROR(VLOOKUP(FO_Capture!C1772, Reference_Data!A:D, 4, FALSE), "MISSING SSI")</f>
        <v>Citi A/C 700450</v>
      </c>
      <c r="F1772">
        <f>FO_Capture!D1772</f>
        <v>20</v>
      </c>
      <c r="G1772">
        <f>FO_Capture!E1772</f>
        <v>224.78999328613281</v>
      </c>
      <c r="H1772">
        <f t="shared" si="54"/>
        <v>4495.7998657226563</v>
      </c>
      <c r="I1772" t="str">
        <f t="shared" si="55"/>
        <v>Pass - Ready for Confirmation</v>
      </c>
    </row>
    <row r="1773" spans="1:9" x14ac:dyDescent="0.3">
      <c r="A1773" t="str">
        <f>FO_Capture!A1773</f>
        <v>TRD01772</v>
      </c>
      <c r="B1773" t="str">
        <f>FO_Capture!B1773</f>
        <v>INE008A01045</v>
      </c>
      <c r="C1773" t="str">
        <f>IFERROR(VLOOKUP(FO_Capture!C1773, Reference_Data!A:D, 2, FALSE), "UNKNOWN")</f>
        <v>Alpha Capital 9</v>
      </c>
      <c r="D1773" t="str">
        <f>IFERROR(VLOOKUP(FO_Capture!C1773, Reference_Data!A:D, 3, FALSE), "XXX")</f>
        <v>JPY</v>
      </c>
      <c r="E1773" t="str">
        <f>IFERROR(VLOOKUP(FO_Capture!C1773, Reference_Data!A:D, 4, FALSE), "MISSING SSI")</f>
        <v>Citi A/C 744145</v>
      </c>
      <c r="F1773">
        <f>FO_Capture!D1773</f>
        <v>320</v>
      </c>
      <c r="G1773">
        <f>FO_Capture!E1773</f>
        <v>339.260009765625</v>
      </c>
      <c r="H1773">
        <f t="shared" si="54"/>
        <v>108563.203125</v>
      </c>
      <c r="I1773" t="str">
        <f t="shared" si="55"/>
        <v>Pass - Ready for Confirmation</v>
      </c>
    </row>
    <row r="1774" spans="1:9" x14ac:dyDescent="0.3">
      <c r="A1774" t="str">
        <f>FO_Capture!A1774</f>
        <v>TRD01773</v>
      </c>
      <c r="B1774" t="str">
        <f>FO_Capture!B1774</f>
        <v>INE005A01089</v>
      </c>
      <c r="C1774" t="str">
        <f>IFERROR(VLOOKUP(FO_Capture!C1774, Reference_Data!A:D, 2, FALSE), "UNKNOWN")</f>
        <v>Alpha Asset Management 35</v>
      </c>
      <c r="D1774" t="str">
        <f>IFERROR(VLOOKUP(FO_Capture!C1774, Reference_Data!A:D, 3, FALSE), "XXX")</f>
        <v>JPY</v>
      </c>
      <c r="E1774" t="str">
        <f>IFERROR(VLOOKUP(FO_Capture!C1774, Reference_Data!A:D, 4, FALSE), "MISSING SSI")</f>
        <v>HSBC A/C 604357</v>
      </c>
      <c r="F1774">
        <f>FO_Capture!D1774</f>
        <v>480</v>
      </c>
      <c r="G1774">
        <f>FO_Capture!E1774</f>
        <v>147.67999267578125</v>
      </c>
      <c r="H1774">
        <f t="shared" si="54"/>
        <v>70886.396484375</v>
      </c>
      <c r="I1774" t="str">
        <f t="shared" si="55"/>
        <v>Pass - Ready for Confirmation</v>
      </c>
    </row>
    <row r="1775" spans="1:9" x14ac:dyDescent="0.3">
      <c r="A1775" t="str">
        <f>FO_Capture!A1775</f>
        <v>TRD01774</v>
      </c>
      <c r="B1775" t="str">
        <f>FO_Capture!B1775</f>
        <v>INE004A01012</v>
      </c>
      <c r="C1775" t="str">
        <f>IFERROR(VLOOKUP(FO_Capture!C1775, Reference_Data!A:D, 2, FALSE), "UNKNOWN")</f>
        <v>Alpha Capital 36</v>
      </c>
      <c r="D1775" t="str">
        <f>IFERROR(VLOOKUP(FO_Capture!C1775, Reference_Data!A:D, 3, FALSE), "XXX")</f>
        <v>JPY</v>
      </c>
      <c r="E1775" t="str">
        <f>IFERROR(VLOOKUP(FO_Capture!C1775, Reference_Data!A:D, 4, FALSE), "MISSING SSI")</f>
        <v>Citi A/C 359789</v>
      </c>
      <c r="F1775">
        <f>FO_Capture!D1775</f>
        <v>130</v>
      </c>
      <c r="G1775">
        <f>FO_Capture!E1775</f>
        <v>503.79998779296875</v>
      </c>
      <c r="H1775">
        <f t="shared" si="54"/>
        <v>65493.998413085938</v>
      </c>
      <c r="I1775" t="str">
        <f t="shared" si="55"/>
        <v>Pass - Ready for Confirmation</v>
      </c>
    </row>
    <row r="1776" spans="1:9" x14ac:dyDescent="0.3">
      <c r="A1776" t="str">
        <f>FO_Capture!A1776</f>
        <v>TRD01775</v>
      </c>
      <c r="B1776" t="str">
        <f>FO_Capture!B1776</f>
        <v>INE001A01047</v>
      </c>
      <c r="C1776" t="str">
        <f>IFERROR(VLOOKUP(FO_Capture!C1776, Reference_Data!A:D, 2, FALSE), "UNKNOWN")</f>
        <v>Alpha Global 25</v>
      </c>
      <c r="D1776" t="str">
        <f>IFERROR(VLOOKUP(FO_Capture!C1776, Reference_Data!A:D, 3, FALSE), "XXX")</f>
        <v>EUR</v>
      </c>
      <c r="E1776" t="str">
        <f>IFERROR(VLOOKUP(FO_Capture!C1776, Reference_Data!A:D, 4, FALSE), "MISSING SSI")</f>
        <v>Standard Chartered A/C 438949</v>
      </c>
      <c r="F1776">
        <f>FO_Capture!D1776</f>
        <v>330</v>
      </c>
      <c r="G1776">
        <f>FO_Capture!E1776</f>
        <v>425.45999145507813</v>
      </c>
      <c r="H1776">
        <f t="shared" si="54"/>
        <v>140401.79718017578</v>
      </c>
      <c r="I1776" t="str">
        <f t="shared" si="55"/>
        <v>Pass - Ready for Confirmation</v>
      </c>
    </row>
    <row r="1777" spans="1:9" x14ac:dyDescent="0.3">
      <c r="A1777" t="str">
        <f>FO_Capture!A1777</f>
        <v>TRD01776</v>
      </c>
      <c r="B1777" t="str">
        <f>FO_Capture!B1777</f>
        <v>INE007A01030</v>
      </c>
      <c r="C1777" t="str">
        <f>IFERROR(VLOOKUP(FO_Capture!C1777, Reference_Data!A:D, 2, FALSE), "UNKNOWN")</f>
        <v>Alpha Holdings 49</v>
      </c>
      <c r="D1777" t="str">
        <f>IFERROR(VLOOKUP(FO_Capture!C1777, Reference_Data!A:D, 3, FALSE), "XXX")</f>
        <v>JPY</v>
      </c>
      <c r="E1777" t="str">
        <f>IFERROR(VLOOKUP(FO_Capture!C1777, Reference_Data!A:D, 4, FALSE), "MISSING SSI")</f>
        <v>HDFC A/C 679335</v>
      </c>
      <c r="F1777">
        <f>FO_Capture!D1777</f>
        <v>380</v>
      </c>
      <c r="G1777">
        <f>FO_Capture!E1777</f>
        <v>344.51998901367188</v>
      </c>
      <c r="H1777">
        <f t="shared" si="54"/>
        <v>130917.59582519531</v>
      </c>
      <c r="I1777" t="str">
        <f t="shared" si="55"/>
        <v>Pass - Ready for Confirmation</v>
      </c>
    </row>
    <row r="1778" spans="1:9" x14ac:dyDescent="0.3">
      <c r="A1778" t="str">
        <f>FO_Capture!A1778</f>
        <v>TRD01777</v>
      </c>
      <c r="B1778" t="str">
        <f>FO_Capture!B1778</f>
        <v>INE004A01035</v>
      </c>
      <c r="C1778" t="str">
        <f>IFERROR(VLOOKUP(FO_Capture!C1778, Reference_Data!A:D, 2, FALSE), "UNKNOWN")</f>
        <v>Alpha Asset Management 5</v>
      </c>
      <c r="D1778" t="str">
        <f>IFERROR(VLOOKUP(FO_Capture!C1778, Reference_Data!A:D, 3, FALSE), "XXX")</f>
        <v>INR</v>
      </c>
      <c r="E1778" t="str">
        <f>IFERROR(VLOOKUP(FO_Capture!C1778, Reference_Data!A:D, 4, FALSE), "MISSING SSI")</f>
        <v>JPMorgan A/C 860462</v>
      </c>
      <c r="F1778">
        <f>FO_Capture!D1778</f>
        <v>480</v>
      </c>
      <c r="G1778">
        <f>FO_Capture!E1778</f>
        <v>356.95001220703125</v>
      </c>
      <c r="H1778">
        <f t="shared" si="54"/>
        <v>171336.005859375</v>
      </c>
      <c r="I1778" t="str">
        <f t="shared" si="55"/>
        <v>Pass - Ready for Confirmation</v>
      </c>
    </row>
    <row r="1779" spans="1:9" x14ac:dyDescent="0.3">
      <c r="A1779" t="str">
        <f>FO_Capture!A1779</f>
        <v>TRD01778</v>
      </c>
      <c r="B1779" t="str">
        <f>FO_Capture!B1779</f>
        <v>INE009A01037</v>
      </c>
      <c r="C1779" t="str">
        <f>IFERROR(VLOOKUP(FO_Capture!C1779, Reference_Data!A:D, 2, FALSE), "UNKNOWN")</f>
        <v>Alpha Global 20</v>
      </c>
      <c r="D1779" t="str">
        <f>IFERROR(VLOOKUP(FO_Capture!C1779, Reference_Data!A:D, 3, FALSE), "XXX")</f>
        <v>JPY</v>
      </c>
      <c r="E1779" t="str">
        <f>IFERROR(VLOOKUP(FO_Capture!C1779, Reference_Data!A:D, 4, FALSE), "MISSING SSI")</f>
        <v>Barclays A/C 560891</v>
      </c>
      <c r="F1779">
        <f>FO_Capture!D1779</f>
        <v>50</v>
      </c>
      <c r="G1779">
        <f>FO_Capture!E1779</f>
        <v>472.75</v>
      </c>
      <c r="H1779">
        <f t="shared" si="54"/>
        <v>23637.5</v>
      </c>
      <c r="I1779" t="str">
        <f t="shared" si="55"/>
        <v>Pass - Ready for Confirmation</v>
      </c>
    </row>
    <row r="1780" spans="1:9" x14ac:dyDescent="0.3">
      <c r="A1780" t="str">
        <f>FO_Capture!A1780</f>
        <v>TRD01779</v>
      </c>
      <c r="B1780" t="str">
        <f>FO_Capture!B1780</f>
        <v>INE008A01053</v>
      </c>
      <c r="C1780" t="str">
        <f>IFERROR(VLOOKUP(FO_Capture!C1780, Reference_Data!A:D, 2, FALSE), "UNKNOWN")</f>
        <v>Alpha Partners 26</v>
      </c>
      <c r="D1780" t="str">
        <f>IFERROR(VLOOKUP(FO_Capture!C1780, Reference_Data!A:D, 3, FALSE), "XXX")</f>
        <v>USD</v>
      </c>
      <c r="E1780" t="str">
        <f>IFERROR(VLOOKUP(FO_Capture!C1780, Reference_Data!A:D, 4, FALSE), "MISSING SSI")</f>
        <v>HSBC A/C 867781</v>
      </c>
      <c r="F1780">
        <f>FO_Capture!D1780</f>
        <v>440</v>
      </c>
      <c r="G1780">
        <f>FO_Capture!E1780</f>
        <v>365.989990234375</v>
      </c>
      <c r="H1780">
        <f t="shared" si="54"/>
        <v>161035.595703125</v>
      </c>
      <c r="I1780" t="str">
        <f t="shared" si="55"/>
        <v>Pass - Ready for Confirmation</v>
      </c>
    </row>
    <row r="1781" spans="1:9" x14ac:dyDescent="0.3">
      <c r="A1781" t="str">
        <f>FO_Capture!A1781</f>
        <v>TRD01780</v>
      </c>
      <c r="B1781" t="str">
        <f>FO_Capture!B1781</f>
        <v>INE005A01096</v>
      </c>
      <c r="C1781" t="str">
        <f>IFERROR(VLOOKUP(FO_Capture!C1781, Reference_Data!A:D, 2, FALSE), "UNKNOWN")</f>
        <v>Alpha Asset Management 32</v>
      </c>
      <c r="D1781" t="str">
        <f>IFERROR(VLOOKUP(FO_Capture!C1781, Reference_Data!A:D, 3, FALSE), "XXX")</f>
        <v>INR</v>
      </c>
      <c r="E1781" t="str">
        <f>IFERROR(VLOOKUP(FO_Capture!C1781, Reference_Data!A:D, 4, FALSE), "MISSING SSI")</f>
        <v>Barclays A/C 302646</v>
      </c>
      <c r="F1781">
        <f>FO_Capture!D1781</f>
        <v>220</v>
      </c>
      <c r="G1781">
        <f>FO_Capture!E1781</f>
        <v>124.80999755859375</v>
      </c>
      <c r="H1781">
        <f t="shared" si="54"/>
        <v>27458.199462890625</v>
      </c>
      <c r="I1781" t="str">
        <f t="shared" si="55"/>
        <v>Pass - Ready for Confirmation</v>
      </c>
    </row>
    <row r="1782" spans="1:9" x14ac:dyDescent="0.3">
      <c r="A1782" t="str">
        <f>FO_Capture!A1782</f>
        <v>TRD01781</v>
      </c>
      <c r="B1782" t="str">
        <f>FO_Capture!B1782</f>
        <v>INE008A01026</v>
      </c>
      <c r="C1782" t="str">
        <f>IFERROR(VLOOKUP(FO_Capture!C1782, Reference_Data!A:D, 2, FALSE), "UNKNOWN")</f>
        <v>Alpha Global 2</v>
      </c>
      <c r="D1782" t="str">
        <f>IFERROR(VLOOKUP(FO_Capture!C1782, Reference_Data!A:D, 3, FALSE), "XXX")</f>
        <v>GBP</v>
      </c>
      <c r="E1782" t="str">
        <f>IFERROR(VLOOKUP(FO_Capture!C1782, Reference_Data!A:D, 4, FALSE), "MISSING SSI")</f>
        <v>JPMorgan A/C 582379</v>
      </c>
      <c r="F1782">
        <f>FO_Capture!D1782</f>
        <v>25000</v>
      </c>
      <c r="G1782">
        <f>FO_Capture!E1782</f>
        <v>381.70999145507813</v>
      </c>
      <c r="H1782">
        <f t="shared" si="54"/>
        <v>9542749.7863769531</v>
      </c>
      <c r="I1782" t="str">
        <f t="shared" si="55"/>
        <v>Exception - Limit Breach</v>
      </c>
    </row>
    <row r="1783" spans="1:9" x14ac:dyDescent="0.3">
      <c r="A1783" t="str">
        <f>FO_Capture!A1783</f>
        <v>TRD01782</v>
      </c>
      <c r="B1783" t="str">
        <f>FO_Capture!B1783</f>
        <v>INE009A0104</v>
      </c>
      <c r="C1783" t="str">
        <f>IFERROR(VLOOKUP(FO_Capture!C1783, Reference_Data!A:D, 2, FALSE), "UNKNOWN")</f>
        <v>Alpha Investments 29</v>
      </c>
      <c r="D1783" t="str">
        <f>IFERROR(VLOOKUP(FO_Capture!C1783, Reference_Data!A:D, 3, FALSE), "XXX")</f>
        <v>INR</v>
      </c>
      <c r="E1783" t="str">
        <f>IFERROR(VLOOKUP(FO_Capture!C1783, Reference_Data!A:D, 4, FALSE), "MISSING SSI")</f>
        <v>HSBC A/C 785870</v>
      </c>
      <c r="F1783">
        <f>FO_Capture!D1783</f>
        <v>190</v>
      </c>
      <c r="G1783">
        <f>FO_Capture!E1783</f>
        <v>112.41999816894531</v>
      </c>
      <c r="H1783">
        <f t="shared" si="54"/>
        <v>21359.799652099609</v>
      </c>
      <c r="I1783" t="str">
        <f t="shared" si="55"/>
        <v>Pass - Ready for Confirmation</v>
      </c>
    </row>
    <row r="1784" spans="1:9" x14ac:dyDescent="0.3">
      <c r="A1784" t="str">
        <f>FO_Capture!A1784</f>
        <v>TRD01783</v>
      </c>
      <c r="B1784" t="str">
        <f>FO_Capture!B1784</f>
        <v>INE003A01045</v>
      </c>
      <c r="C1784" t="str">
        <f>IFERROR(VLOOKUP(FO_Capture!C1784, Reference_Data!A:D, 2, FALSE), "UNKNOWN")</f>
        <v>Alpha Capital 38</v>
      </c>
      <c r="D1784" t="str">
        <f>IFERROR(VLOOKUP(FO_Capture!C1784, Reference_Data!A:D, 3, FALSE), "XXX")</f>
        <v>SGD</v>
      </c>
      <c r="E1784" t="str">
        <f>IFERROR(VLOOKUP(FO_Capture!C1784, Reference_Data!A:D, 4, FALSE), "MISSING SSI")</f>
        <v>Deutsche Bank A/C 153521</v>
      </c>
      <c r="F1784">
        <f>FO_Capture!D1784</f>
        <v>120</v>
      </c>
      <c r="G1784">
        <f>FO_Capture!E1784</f>
        <v>57.630001068115234</v>
      </c>
      <c r="H1784">
        <f t="shared" si="54"/>
        <v>6915.6001281738281</v>
      </c>
      <c r="I1784" t="str">
        <f t="shared" si="55"/>
        <v>Pass - Ready for Confirmation</v>
      </c>
    </row>
    <row r="1785" spans="1:9" x14ac:dyDescent="0.3">
      <c r="A1785" t="str">
        <f>FO_Capture!A1785</f>
        <v>TRD01784</v>
      </c>
      <c r="B1785" t="str">
        <f>FO_Capture!B1785</f>
        <v>INE008A01064</v>
      </c>
      <c r="C1785" t="str">
        <f>IFERROR(VLOOKUP(FO_Capture!C1785, Reference_Data!A:D, 2, FALSE), "UNKNOWN")</f>
        <v>Alpha Holdings 49</v>
      </c>
      <c r="D1785" t="str">
        <f>IFERROR(VLOOKUP(FO_Capture!C1785, Reference_Data!A:D, 3, FALSE), "XXX")</f>
        <v>JPY</v>
      </c>
      <c r="E1785" t="str">
        <f>IFERROR(VLOOKUP(FO_Capture!C1785, Reference_Data!A:D, 4, FALSE), "MISSING SSI")</f>
        <v>HDFC A/C 679335</v>
      </c>
      <c r="F1785">
        <f>FO_Capture!D1785</f>
        <v>80</v>
      </c>
      <c r="G1785">
        <f>FO_Capture!E1785</f>
        <v>52.520000457763672</v>
      </c>
      <c r="H1785">
        <f t="shared" si="54"/>
        <v>4201.6000366210938</v>
      </c>
      <c r="I1785" t="str">
        <f t="shared" si="55"/>
        <v>Pass - Ready for Confirmation</v>
      </c>
    </row>
    <row r="1786" spans="1:9" x14ac:dyDescent="0.3">
      <c r="A1786" t="str">
        <f>FO_Capture!A1786</f>
        <v>TRD01785</v>
      </c>
      <c r="B1786" t="str">
        <f>FO_Capture!B1786</f>
        <v>INE002A01062</v>
      </c>
      <c r="C1786" t="str">
        <f>IFERROR(VLOOKUP(FO_Capture!C1786, Reference_Data!A:D, 2, FALSE), "UNKNOWN")</f>
        <v>Alpha Investments 29</v>
      </c>
      <c r="D1786" t="str">
        <f>IFERROR(VLOOKUP(FO_Capture!C1786, Reference_Data!A:D, 3, FALSE), "XXX")</f>
        <v>INR</v>
      </c>
      <c r="E1786" t="str">
        <f>IFERROR(VLOOKUP(FO_Capture!C1786, Reference_Data!A:D, 4, FALSE), "MISSING SSI")</f>
        <v>HSBC A/C 785870</v>
      </c>
      <c r="F1786">
        <f>FO_Capture!D1786</f>
        <v>230</v>
      </c>
      <c r="G1786">
        <f>FO_Capture!E1786</f>
        <v>377.6199951171875</v>
      </c>
      <c r="H1786">
        <f t="shared" si="54"/>
        <v>86852.598876953125</v>
      </c>
      <c r="I1786" t="str">
        <f t="shared" si="55"/>
        <v>Pass - Ready for Confirmation</v>
      </c>
    </row>
    <row r="1787" spans="1:9" x14ac:dyDescent="0.3">
      <c r="A1787" t="str">
        <f>FO_Capture!A1787</f>
        <v>TRD01786</v>
      </c>
      <c r="B1787" t="str">
        <f>FO_Capture!B1787</f>
        <v>INE009A01046</v>
      </c>
      <c r="C1787" t="str">
        <f>IFERROR(VLOOKUP(FO_Capture!C1787, Reference_Data!A:D, 2, FALSE), "UNKNOWN")</f>
        <v>Alpha Holdings 49</v>
      </c>
      <c r="D1787" t="str">
        <f>IFERROR(VLOOKUP(FO_Capture!C1787, Reference_Data!A:D, 3, FALSE), "XXX")</f>
        <v>JPY</v>
      </c>
      <c r="E1787" t="str">
        <f>IFERROR(VLOOKUP(FO_Capture!C1787, Reference_Data!A:D, 4, FALSE), "MISSING SSI")</f>
        <v>HDFC A/C 679335</v>
      </c>
      <c r="F1787">
        <f>FO_Capture!D1787</f>
        <v>340</v>
      </c>
      <c r="G1787">
        <f>FO_Capture!E1787</f>
        <v>508.760009765625</v>
      </c>
      <c r="H1787">
        <f t="shared" si="54"/>
        <v>172978.4033203125</v>
      </c>
      <c r="I1787" t="str">
        <f t="shared" si="55"/>
        <v>Pass - Ready for Confirmation</v>
      </c>
    </row>
    <row r="1788" spans="1:9" x14ac:dyDescent="0.3">
      <c r="A1788" t="str">
        <f>FO_Capture!A1788</f>
        <v>TRD01787</v>
      </c>
      <c r="B1788" t="str">
        <f>FO_Capture!B1788</f>
        <v>INE009A01071</v>
      </c>
      <c r="C1788" t="str">
        <f>IFERROR(VLOOKUP(FO_Capture!C1788, Reference_Data!A:D, 2, FALSE), "UNKNOWN")</f>
        <v>Alpha Global 14</v>
      </c>
      <c r="D1788" t="str">
        <f>IFERROR(VLOOKUP(FO_Capture!C1788, Reference_Data!A:D, 3, FALSE), "XXX")</f>
        <v>USD</v>
      </c>
      <c r="E1788" t="str">
        <f>IFERROR(VLOOKUP(FO_Capture!C1788, Reference_Data!A:D, 4, FALSE), "MISSING SSI")</f>
        <v>HSBC A/C 864249</v>
      </c>
      <c r="F1788">
        <f>FO_Capture!D1788</f>
        <v>10</v>
      </c>
      <c r="G1788">
        <f>FO_Capture!E1788</f>
        <v>367.07998657226563</v>
      </c>
      <c r="H1788">
        <f t="shared" si="54"/>
        <v>3670.7998657226563</v>
      </c>
      <c r="I1788" t="str">
        <f t="shared" si="55"/>
        <v>Pass - Ready for Confirmation</v>
      </c>
    </row>
    <row r="1789" spans="1:9" x14ac:dyDescent="0.3">
      <c r="A1789" t="str">
        <f>FO_Capture!A1789</f>
        <v>TRD01788</v>
      </c>
      <c r="B1789" t="str">
        <f>FO_Capture!B1789</f>
        <v>INE001A01096</v>
      </c>
      <c r="C1789" t="str">
        <f>IFERROR(VLOOKUP(FO_Capture!C1789, Reference_Data!A:D, 2, FALSE), "UNKNOWN")</f>
        <v>Alpha Quant Fund 34</v>
      </c>
      <c r="D1789" t="str">
        <f>IFERROR(VLOOKUP(FO_Capture!C1789, Reference_Data!A:D, 3, FALSE), "XXX")</f>
        <v>JPY</v>
      </c>
      <c r="E1789" t="str">
        <f>IFERROR(VLOOKUP(FO_Capture!C1789, Reference_Data!A:D, 4, FALSE), "MISSING SSI")</f>
        <v>Citi A/C 837378</v>
      </c>
      <c r="F1789">
        <f>FO_Capture!D1789</f>
        <v>460</v>
      </c>
      <c r="G1789">
        <f>FO_Capture!E1789</f>
        <v>69.040000915527344</v>
      </c>
      <c r="H1789">
        <f t="shared" si="54"/>
        <v>31758.400421142578</v>
      </c>
      <c r="I1789" t="str">
        <f t="shared" si="55"/>
        <v>Pass - Ready for Confirmation</v>
      </c>
    </row>
    <row r="1790" spans="1:9" x14ac:dyDescent="0.3">
      <c r="A1790" t="str">
        <f>FO_Capture!A1790</f>
        <v>TRD01789</v>
      </c>
      <c r="B1790" t="str">
        <f>FO_Capture!B1790</f>
        <v>INE002A01030</v>
      </c>
      <c r="C1790" t="str">
        <f>IFERROR(VLOOKUP(FO_Capture!C1790, Reference_Data!A:D, 2, FALSE), "UNKNOWN")</f>
        <v>Alpha Asset Management 4</v>
      </c>
      <c r="D1790" t="str">
        <f>IFERROR(VLOOKUP(FO_Capture!C1790, Reference_Data!A:D, 3, FALSE), "XXX")</f>
        <v>JPY</v>
      </c>
      <c r="E1790" t="str">
        <f>IFERROR(VLOOKUP(FO_Capture!C1790, Reference_Data!A:D, 4, FALSE), "MISSING SSI")</f>
        <v>Deutsche Bank A/C 126543</v>
      </c>
      <c r="F1790">
        <f>FO_Capture!D1790</f>
        <v>240</v>
      </c>
      <c r="G1790">
        <f>FO_Capture!E1790</f>
        <v>176.38999938964844</v>
      </c>
      <c r="H1790">
        <f t="shared" si="54"/>
        <v>42333.599853515625</v>
      </c>
      <c r="I1790" t="str">
        <f t="shared" si="55"/>
        <v>Pass - Ready for Confirmation</v>
      </c>
    </row>
    <row r="1791" spans="1:9" x14ac:dyDescent="0.3">
      <c r="A1791" t="str">
        <f>FO_Capture!A1791</f>
        <v>TRD01790</v>
      </c>
      <c r="B1791" t="str">
        <f>FO_Capture!B1791</f>
        <v>INE003A01084</v>
      </c>
      <c r="C1791" t="str">
        <f>IFERROR(VLOOKUP(FO_Capture!C1791, Reference_Data!A:D, 2, FALSE), "UNKNOWN")</f>
        <v>Alpha Holdings 23</v>
      </c>
      <c r="D1791" t="str">
        <f>IFERROR(VLOOKUP(FO_Capture!C1791, Reference_Data!A:D, 3, FALSE), "XXX")</f>
        <v>INR</v>
      </c>
      <c r="E1791" t="str">
        <f>IFERROR(VLOOKUP(FO_Capture!C1791, Reference_Data!A:D, 4, FALSE), "MISSING SSI")</f>
        <v>Deutsche Bank A/C 983712</v>
      </c>
      <c r="F1791">
        <f>FO_Capture!D1791</f>
        <v>20</v>
      </c>
      <c r="G1791">
        <f>FO_Capture!E1791</f>
        <v>446.239990234375</v>
      </c>
      <c r="H1791">
        <f t="shared" si="54"/>
        <v>8924.7998046875</v>
      </c>
      <c r="I1791" t="str">
        <f t="shared" si="55"/>
        <v>Pass - Ready for Confirmation</v>
      </c>
    </row>
    <row r="1792" spans="1:9" x14ac:dyDescent="0.3">
      <c r="A1792" t="str">
        <f>FO_Capture!A1792</f>
        <v>TRD01791</v>
      </c>
      <c r="B1792" t="str">
        <f>FO_Capture!B1792</f>
        <v>INE005A01022</v>
      </c>
      <c r="C1792" t="str">
        <f>IFERROR(VLOOKUP(FO_Capture!C1792, Reference_Data!A:D, 2, FALSE), "UNKNOWN")</f>
        <v>Alpha Holdings 23</v>
      </c>
      <c r="D1792" t="str">
        <f>IFERROR(VLOOKUP(FO_Capture!C1792, Reference_Data!A:D, 3, FALSE), "XXX")</f>
        <v>INR</v>
      </c>
      <c r="E1792" t="str">
        <f>IFERROR(VLOOKUP(FO_Capture!C1792, Reference_Data!A:D, 4, FALSE), "MISSING SSI")</f>
        <v>Deutsche Bank A/C 983712</v>
      </c>
      <c r="F1792">
        <f>FO_Capture!D1792</f>
        <v>310</v>
      </c>
      <c r="G1792">
        <f>FO_Capture!E1792</f>
        <v>80.949996948242188</v>
      </c>
      <c r="H1792">
        <f t="shared" si="54"/>
        <v>25094.499053955078</v>
      </c>
      <c r="I1792" t="str">
        <f t="shared" si="55"/>
        <v>Pass - Ready for Confirmation</v>
      </c>
    </row>
    <row r="1793" spans="1:9" x14ac:dyDescent="0.3">
      <c r="A1793" t="str">
        <f>FO_Capture!A1793</f>
        <v>TRD01792</v>
      </c>
      <c r="B1793" t="str">
        <f>FO_Capture!B1793</f>
        <v>INE001A0107</v>
      </c>
      <c r="C1793" t="str">
        <f>IFERROR(VLOOKUP(FO_Capture!C1793, Reference_Data!A:D, 2, FALSE), "UNKNOWN")</f>
        <v>Alpha Global 45</v>
      </c>
      <c r="D1793" t="str">
        <f>IFERROR(VLOOKUP(FO_Capture!C1793, Reference_Data!A:D, 3, FALSE), "XXX")</f>
        <v>EUR</v>
      </c>
      <c r="E1793" t="str">
        <f>IFERROR(VLOOKUP(FO_Capture!C1793, Reference_Data!A:D, 4, FALSE), "MISSING SSI")</f>
        <v>HSBC A/C 540659</v>
      </c>
      <c r="F1793">
        <f>FO_Capture!D1793</f>
        <v>240</v>
      </c>
      <c r="G1793">
        <f>FO_Capture!E1793</f>
        <v>478.25</v>
      </c>
      <c r="H1793">
        <f t="shared" si="54"/>
        <v>114780</v>
      </c>
      <c r="I1793" t="str">
        <f t="shared" si="55"/>
        <v>Pass - Ready for Confirmation</v>
      </c>
    </row>
    <row r="1794" spans="1:9" x14ac:dyDescent="0.3">
      <c r="A1794" t="str">
        <f>FO_Capture!A1794</f>
        <v>TRD01793</v>
      </c>
      <c r="B1794" t="str">
        <f>FO_Capture!B1794</f>
        <v>INE001A01055</v>
      </c>
      <c r="C1794" t="str">
        <f>IFERROR(VLOOKUP(FO_Capture!C1794, Reference_Data!A:D, 2, FALSE), "UNKNOWN")</f>
        <v>Alpha Capital 10</v>
      </c>
      <c r="D1794" t="str">
        <f>IFERROR(VLOOKUP(FO_Capture!C1794, Reference_Data!A:D, 3, FALSE), "XXX")</f>
        <v>USD</v>
      </c>
      <c r="E1794" t="str">
        <f>IFERROR(VLOOKUP(FO_Capture!C1794, Reference_Data!A:D, 4, FALSE), "MISSING SSI")</f>
        <v>HDFC A/C 543407</v>
      </c>
      <c r="F1794">
        <f>FO_Capture!D1794</f>
        <v>280</v>
      </c>
      <c r="G1794">
        <f>FO_Capture!E1794</f>
        <v>481.14999389648438</v>
      </c>
      <c r="H1794">
        <f t="shared" si="54"/>
        <v>134721.99829101563</v>
      </c>
      <c r="I1794" t="str">
        <f t="shared" si="55"/>
        <v>Pass - Ready for Confirmation</v>
      </c>
    </row>
    <row r="1795" spans="1:9" x14ac:dyDescent="0.3">
      <c r="A1795" t="str">
        <f>FO_Capture!A1795</f>
        <v>TRD01794</v>
      </c>
      <c r="B1795" t="str">
        <f>FO_Capture!B1795</f>
        <v>INE008A01083</v>
      </c>
      <c r="C1795" t="str">
        <f>IFERROR(VLOOKUP(FO_Capture!C1795, Reference_Data!A:D, 2, FALSE), "UNKNOWN")</f>
        <v>Alpha Global 45</v>
      </c>
      <c r="D1795" t="str">
        <f>IFERROR(VLOOKUP(FO_Capture!C1795, Reference_Data!A:D, 3, FALSE), "XXX")</f>
        <v>EUR</v>
      </c>
      <c r="E1795" t="str">
        <f>IFERROR(VLOOKUP(FO_Capture!C1795, Reference_Data!A:D, 4, FALSE), "MISSING SSI")</f>
        <v>HSBC A/C 540659</v>
      </c>
      <c r="F1795">
        <f>FO_Capture!D1795</f>
        <v>480</v>
      </c>
      <c r="G1795">
        <f>FO_Capture!E1795</f>
        <v>127.97000122070313</v>
      </c>
      <c r="H1795">
        <f t="shared" ref="H1795:H1858" si="56">F1795 * G1795</f>
        <v>61425.6005859375</v>
      </c>
      <c r="I1795" t="str">
        <f t="shared" ref="I1795:I1858" si="57">IF(C1795="UNKNOWN", "Fail - Missing Ref Data", IF(OR(F1795&lt;=0, G1795&lt;=0), "Fail - Invalid Price/Qty", IF(H1795&gt;1000000, "Exception - Limit Breach", "Pass - Ready for Confirmation")))</f>
        <v>Pass - Ready for Confirmation</v>
      </c>
    </row>
    <row r="1796" spans="1:9" x14ac:dyDescent="0.3">
      <c r="A1796" t="str">
        <f>FO_Capture!A1796</f>
        <v>TRD01795</v>
      </c>
      <c r="B1796" t="str">
        <f>FO_Capture!B1796</f>
        <v>INE009A01062</v>
      </c>
      <c r="C1796" t="str">
        <f>IFERROR(VLOOKUP(FO_Capture!C1796, Reference_Data!A:D, 2, FALSE), "UNKNOWN")</f>
        <v>Alpha Quant Fund 12</v>
      </c>
      <c r="D1796" t="str">
        <f>IFERROR(VLOOKUP(FO_Capture!C1796, Reference_Data!A:D, 3, FALSE), "XXX")</f>
        <v>EUR</v>
      </c>
      <c r="E1796" t="str">
        <f>IFERROR(VLOOKUP(FO_Capture!C1796, Reference_Data!A:D, 4, FALSE), "MISSING SSI")</f>
        <v>Deutsche Bank A/C 324710</v>
      </c>
      <c r="F1796">
        <f>FO_Capture!D1796</f>
        <v>290</v>
      </c>
      <c r="G1796">
        <f>FO_Capture!E1796</f>
        <v>402.3699951171875</v>
      </c>
      <c r="H1796">
        <f t="shared" si="56"/>
        <v>116687.29858398438</v>
      </c>
      <c r="I1796" t="str">
        <f t="shared" si="57"/>
        <v>Pass - Ready for Confirmation</v>
      </c>
    </row>
    <row r="1797" spans="1:9" x14ac:dyDescent="0.3">
      <c r="A1797" t="str">
        <f>FO_Capture!A1797</f>
        <v>TRD01796</v>
      </c>
      <c r="B1797" t="str">
        <f>FO_Capture!B1797</f>
        <v>INE006A01060</v>
      </c>
      <c r="C1797" t="str">
        <f>IFERROR(VLOOKUP(FO_Capture!C1797, Reference_Data!A:D, 2, FALSE), "UNKNOWN")</f>
        <v>Alpha Quant Fund 27</v>
      </c>
      <c r="D1797" t="str">
        <f>IFERROR(VLOOKUP(FO_Capture!C1797, Reference_Data!A:D, 3, FALSE), "XXX")</f>
        <v>EUR</v>
      </c>
      <c r="E1797" t="str">
        <f>IFERROR(VLOOKUP(FO_Capture!C1797, Reference_Data!A:D, 4, FALSE), "MISSING SSI")</f>
        <v>Standard Chartered A/C 331839</v>
      </c>
      <c r="F1797">
        <f>FO_Capture!D1797</f>
        <v>210</v>
      </c>
      <c r="G1797">
        <f>FO_Capture!E1797</f>
        <v>483.29000854492188</v>
      </c>
      <c r="H1797">
        <f t="shared" si="56"/>
        <v>101490.90179443359</v>
      </c>
      <c r="I1797" t="str">
        <f t="shared" si="57"/>
        <v>Pass - Ready for Confirmation</v>
      </c>
    </row>
    <row r="1798" spans="1:9" x14ac:dyDescent="0.3">
      <c r="A1798" t="str">
        <f>FO_Capture!A1798</f>
        <v>TRD01797</v>
      </c>
      <c r="B1798" t="str">
        <f>FO_Capture!B1798</f>
        <v>INE006A0102</v>
      </c>
      <c r="C1798" t="str">
        <f>IFERROR(VLOOKUP(FO_Capture!C1798, Reference_Data!A:D, 2, FALSE), "UNKNOWN")</f>
        <v>Alpha Holdings 41</v>
      </c>
      <c r="D1798" t="str">
        <f>IFERROR(VLOOKUP(FO_Capture!C1798, Reference_Data!A:D, 3, FALSE), "XXX")</f>
        <v>JPY</v>
      </c>
      <c r="E1798" t="str">
        <f>IFERROR(VLOOKUP(FO_Capture!C1798, Reference_Data!A:D, 4, FALSE), "MISSING SSI")</f>
        <v>HSBC A/C 468615</v>
      </c>
      <c r="F1798">
        <f>FO_Capture!D1798</f>
        <v>120</v>
      </c>
      <c r="G1798">
        <f>FO_Capture!E1798</f>
        <v>495.010009765625</v>
      </c>
      <c r="H1798">
        <f t="shared" si="56"/>
        <v>59401.201171875</v>
      </c>
      <c r="I1798" t="str">
        <f t="shared" si="57"/>
        <v>Pass - Ready for Confirmation</v>
      </c>
    </row>
    <row r="1799" spans="1:9" x14ac:dyDescent="0.3">
      <c r="A1799" t="str">
        <f>FO_Capture!A1799</f>
        <v>TRD01798</v>
      </c>
      <c r="B1799" t="str">
        <f>FO_Capture!B1799</f>
        <v>INE005A0109</v>
      </c>
      <c r="C1799" t="str">
        <f>IFERROR(VLOOKUP(FO_Capture!C1799, Reference_Data!A:D, 2, FALSE), "UNKNOWN")</f>
        <v>Alpha Capital 11</v>
      </c>
      <c r="D1799" t="str">
        <f>IFERROR(VLOOKUP(FO_Capture!C1799, Reference_Data!A:D, 3, FALSE), "XXX")</f>
        <v>USD</v>
      </c>
      <c r="E1799" t="str">
        <f>IFERROR(VLOOKUP(FO_Capture!C1799, Reference_Data!A:D, 4, FALSE), "MISSING SSI")</f>
        <v>JPMorgan A/C 987170</v>
      </c>
      <c r="F1799">
        <f>FO_Capture!D1799</f>
        <v>10</v>
      </c>
      <c r="G1799">
        <f>FO_Capture!E1799</f>
        <v>257.10000610351563</v>
      </c>
      <c r="H1799">
        <f t="shared" si="56"/>
        <v>2571.0000610351563</v>
      </c>
      <c r="I1799" t="str">
        <f t="shared" si="57"/>
        <v>Pass - Ready for Confirmation</v>
      </c>
    </row>
    <row r="1800" spans="1:9" x14ac:dyDescent="0.3">
      <c r="A1800" t="str">
        <f>FO_Capture!A1800</f>
        <v>TRD01799</v>
      </c>
      <c r="B1800" t="str">
        <f>FO_Capture!B1800</f>
        <v>INE008A01057</v>
      </c>
      <c r="C1800" t="str">
        <f>IFERROR(VLOOKUP(FO_Capture!C1800, Reference_Data!A:D, 2, FALSE), "UNKNOWN")</f>
        <v>Alpha Holdings 23</v>
      </c>
      <c r="D1800" t="str">
        <f>IFERROR(VLOOKUP(FO_Capture!C1800, Reference_Data!A:D, 3, FALSE), "XXX")</f>
        <v>INR</v>
      </c>
      <c r="E1800" t="str">
        <f>IFERROR(VLOOKUP(FO_Capture!C1800, Reference_Data!A:D, 4, FALSE), "MISSING SSI")</f>
        <v>Deutsche Bank A/C 983712</v>
      </c>
      <c r="F1800">
        <f>FO_Capture!D1800</f>
        <v>200</v>
      </c>
      <c r="G1800">
        <f>FO_Capture!E1800</f>
        <v>34.450000762939453</v>
      </c>
      <c r="H1800">
        <f t="shared" si="56"/>
        <v>6890.0001525878906</v>
      </c>
      <c r="I1800" t="str">
        <f t="shared" si="57"/>
        <v>Pass - Ready for Confirmation</v>
      </c>
    </row>
    <row r="1801" spans="1:9" x14ac:dyDescent="0.3">
      <c r="A1801" t="str">
        <f>FO_Capture!A1801</f>
        <v>TRD01800</v>
      </c>
      <c r="B1801" t="str">
        <f>FO_Capture!B1801</f>
        <v>INE006A01024</v>
      </c>
      <c r="C1801" t="str">
        <f>IFERROR(VLOOKUP(FO_Capture!C1801, Reference_Data!A:D, 2, FALSE), "UNKNOWN")</f>
        <v>Alpha Partners 26</v>
      </c>
      <c r="D1801" t="str">
        <f>IFERROR(VLOOKUP(FO_Capture!C1801, Reference_Data!A:D, 3, FALSE), "XXX")</f>
        <v>USD</v>
      </c>
      <c r="E1801" t="str">
        <f>IFERROR(VLOOKUP(FO_Capture!C1801, Reference_Data!A:D, 4, FALSE), "MISSING SSI")</f>
        <v>HSBC A/C 867781</v>
      </c>
      <c r="F1801">
        <f>FO_Capture!D1801</f>
        <v>120</v>
      </c>
      <c r="G1801">
        <f>FO_Capture!E1801</f>
        <v>287.27999877929688</v>
      </c>
      <c r="H1801">
        <f t="shared" si="56"/>
        <v>34473.599853515625</v>
      </c>
      <c r="I1801" t="str">
        <f t="shared" si="57"/>
        <v>Pass - Ready for Confirmation</v>
      </c>
    </row>
    <row r="1802" spans="1:9" x14ac:dyDescent="0.3">
      <c r="A1802" t="str">
        <f>FO_Capture!A1802</f>
        <v>TRD01801</v>
      </c>
      <c r="B1802" t="str">
        <f>FO_Capture!B1802</f>
        <v>INE006A01037</v>
      </c>
      <c r="C1802" t="str">
        <f>IFERROR(VLOOKUP(FO_Capture!C1802, Reference_Data!A:D, 2, FALSE), "UNKNOWN")</f>
        <v>Alpha Global 45</v>
      </c>
      <c r="D1802" t="str">
        <f>IFERROR(VLOOKUP(FO_Capture!C1802, Reference_Data!A:D, 3, FALSE), "XXX")</f>
        <v>EUR</v>
      </c>
      <c r="E1802" t="str">
        <f>IFERROR(VLOOKUP(FO_Capture!C1802, Reference_Data!A:D, 4, FALSE), "MISSING SSI")</f>
        <v>HSBC A/C 540659</v>
      </c>
      <c r="F1802">
        <f>FO_Capture!D1802</f>
        <v>40</v>
      </c>
      <c r="G1802">
        <f>FO_Capture!E1802</f>
        <v>421.10000610351563</v>
      </c>
      <c r="H1802">
        <f t="shared" si="56"/>
        <v>16844.000244140625</v>
      </c>
      <c r="I1802" t="str">
        <f t="shared" si="57"/>
        <v>Pass - Ready for Confirmation</v>
      </c>
    </row>
    <row r="1803" spans="1:9" x14ac:dyDescent="0.3">
      <c r="A1803" t="str">
        <f>FO_Capture!A1803</f>
        <v>TRD01802</v>
      </c>
      <c r="B1803" t="str">
        <f>FO_Capture!B1803</f>
        <v>INE008A01026</v>
      </c>
      <c r="C1803" t="str">
        <f>IFERROR(VLOOKUP(FO_Capture!C1803, Reference_Data!A:D, 2, FALSE), "UNKNOWN")</f>
        <v>Alpha Investments 15</v>
      </c>
      <c r="D1803" t="str">
        <f>IFERROR(VLOOKUP(FO_Capture!C1803, Reference_Data!A:D, 3, FALSE), "XXX")</f>
        <v>INR</v>
      </c>
      <c r="E1803" t="str">
        <f>IFERROR(VLOOKUP(FO_Capture!C1803, Reference_Data!A:D, 4, FALSE), "MISSING SSI")</f>
        <v>Deutsche Bank A/C 330518</v>
      </c>
      <c r="F1803">
        <f>FO_Capture!D1803</f>
        <v>360</v>
      </c>
      <c r="G1803">
        <f>FO_Capture!E1803</f>
        <v>36.729999542236328</v>
      </c>
      <c r="H1803">
        <f t="shared" si="56"/>
        <v>13222.799835205078</v>
      </c>
      <c r="I1803" t="str">
        <f t="shared" si="57"/>
        <v>Pass - Ready for Confirmation</v>
      </c>
    </row>
    <row r="1804" spans="1:9" x14ac:dyDescent="0.3">
      <c r="A1804" t="str">
        <f>FO_Capture!A1804</f>
        <v>TRD01803</v>
      </c>
      <c r="B1804" t="str">
        <f>FO_Capture!B1804</f>
        <v>INE002A01073</v>
      </c>
      <c r="C1804" t="str">
        <f>IFERROR(VLOOKUP(FO_Capture!C1804, Reference_Data!A:D, 2, FALSE), "UNKNOWN")</f>
        <v>Alpha Asset Management 5</v>
      </c>
      <c r="D1804" t="str">
        <f>IFERROR(VLOOKUP(FO_Capture!C1804, Reference_Data!A:D, 3, FALSE), "XXX")</f>
        <v>INR</v>
      </c>
      <c r="E1804" t="str">
        <f>IFERROR(VLOOKUP(FO_Capture!C1804, Reference_Data!A:D, 4, FALSE), "MISSING SSI")</f>
        <v>JPMorgan A/C 860462</v>
      </c>
      <c r="F1804">
        <f>FO_Capture!D1804</f>
        <v>310</v>
      </c>
      <c r="G1804">
        <f>FO_Capture!E1804</f>
        <v>180.33000183105469</v>
      </c>
      <c r="H1804">
        <f t="shared" si="56"/>
        <v>55902.300567626953</v>
      </c>
      <c r="I1804" t="str">
        <f t="shared" si="57"/>
        <v>Pass - Ready for Confirmation</v>
      </c>
    </row>
    <row r="1805" spans="1:9" x14ac:dyDescent="0.3">
      <c r="A1805" t="str">
        <f>FO_Capture!A1805</f>
        <v>TRD01804</v>
      </c>
      <c r="B1805" t="str">
        <f>FO_Capture!B1805</f>
        <v>INE008A01062</v>
      </c>
      <c r="C1805" t="str">
        <f>IFERROR(VLOOKUP(FO_Capture!C1805, Reference_Data!A:D, 2, FALSE), "UNKNOWN")</f>
        <v>Alpha Capital 36</v>
      </c>
      <c r="D1805" t="str">
        <f>IFERROR(VLOOKUP(FO_Capture!C1805, Reference_Data!A:D, 3, FALSE), "XXX")</f>
        <v>JPY</v>
      </c>
      <c r="E1805" t="str">
        <f>IFERROR(VLOOKUP(FO_Capture!C1805, Reference_Data!A:D, 4, FALSE), "MISSING SSI")</f>
        <v>Citi A/C 359789</v>
      </c>
      <c r="F1805">
        <f>FO_Capture!D1805</f>
        <v>230</v>
      </c>
      <c r="G1805">
        <f>FO_Capture!E1805</f>
        <v>93.349998474121094</v>
      </c>
      <c r="H1805">
        <f t="shared" si="56"/>
        <v>21470.499649047852</v>
      </c>
      <c r="I1805" t="str">
        <f t="shared" si="57"/>
        <v>Pass - Ready for Confirmation</v>
      </c>
    </row>
    <row r="1806" spans="1:9" x14ac:dyDescent="0.3">
      <c r="A1806" t="str">
        <f>FO_Capture!A1806</f>
        <v>TRD01805</v>
      </c>
      <c r="B1806" t="str">
        <f>FO_Capture!B1806</f>
        <v>INE009A01026</v>
      </c>
      <c r="C1806" t="str">
        <f>IFERROR(VLOOKUP(FO_Capture!C1806, Reference_Data!A:D, 2, FALSE), "UNKNOWN")</f>
        <v>Alpha Investments 15</v>
      </c>
      <c r="D1806" t="str">
        <f>IFERROR(VLOOKUP(FO_Capture!C1806, Reference_Data!A:D, 3, FALSE), "XXX")</f>
        <v>INR</v>
      </c>
      <c r="E1806" t="str">
        <f>IFERROR(VLOOKUP(FO_Capture!C1806, Reference_Data!A:D, 4, FALSE), "MISSING SSI")</f>
        <v>Deutsche Bank A/C 330518</v>
      </c>
      <c r="F1806">
        <f>FO_Capture!D1806</f>
        <v>300</v>
      </c>
      <c r="G1806">
        <f>FO_Capture!E1806</f>
        <v>462.54998779296875</v>
      </c>
      <c r="H1806">
        <f t="shared" si="56"/>
        <v>138764.99633789063</v>
      </c>
      <c r="I1806" t="str">
        <f t="shared" si="57"/>
        <v>Pass - Ready for Confirmation</v>
      </c>
    </row>
    <row r="1807" spans="1:9" x14ac:dyDescent="0.3">
      <c r="A1807" t="str">
        <f>FO_Capture!A1807</f>
        <v>TRD01806</v>
      </c>
      <c r="B1807" t="str">
        <f>FO_Capture!B1807</f>
        <v>INE007A0102</v>
      </c>
      <c r="C1807" t="str">
        <f>IFERROR(VLOOKUP(FO_Capture!C1807, Reference_Data!A:D, 2, FALSE), "UNKNOWN")</f>
        <v>Alpha Asset Management 5</v>
      </c>
      <c r="D1807" t="str">
        <f>IFERROR(VLOOKUP(FO_Capture!C1807, Reference_Data!A:D, 3, FALSE), "XXX")</f>
        <v>INR</v>
      </c>
      <c r="E1807" t="str">
        <f>IFERROR(VLOOKUP(FO_Capture!C1807, Reference_Data!A:D, 4, FALSE), "MISSING SSI")</f>
        <v>JPMorgan A/C 860462</v>
      </c>
      <c r="F1807">
        <f>FO_Capture!D1807</f>
        <v>310</v>
      </c>
      <c r="G1807">
        <f>FO_Capture!E1807</f>
        <v>170.00999450683594</v>
      </c>
      <c r="H1807">
        <f t="shared" si="56"/>
        <v>52703.098297119141</v>
      </c>
      <c r="I1807" t="str">
        <f t="shared" si="57"/>
        <v>Pass - Ready for Confirmation</v>
      </c>
    </row>
    <row r="1808" spans="1:9" x14ac:dyDescent="0.3">
      <c r="A1808" t="str">
        <f>FO_Capture!A1808</f>
        <v>TRD01807</v>
      </c>
      <c r="B1808" t="str">
        <f>FO_Capture!B1808</f>
        <v>INE006A01076</v>
      </c>
      <c r="C1808" t="str">
        <f>IFERROR(VLOOKUP(FO_Capture!C1808, Reference_Data!A:D, 2, FALSE), "UNKNOWN")</f>
        <v>Alpha Quant Fund 50</v>
      </c>
      <c r="D1808" t="str">
        <f>IFERROR(VLOOKUP(FO_Capture!C1808, Reference_Data!A:D, 3, FALSE), "XXX")</f>
        <v>SGD</v>
      </c>
      <c r="E1808" t="str">
        <f>IFERROR(VLOOKUP(FO_Capture!C1808, Reference_Data!A:D, 4, FALSE), "MISSING SSI")</f>
        <v>Standard Chartered A/C 307017</v>
      </c>
      <c r="F1808">
        <f>FO_Capture!D1808</f>
        <v>400</v>
      </c>
      <c r="G1808">
        <f>FO_Capture!E1808</f>
        <v>43.130001068115234</v>
      </c>
      <c r="H1808">
        <f t="shared" si="56"/>
        <v>17252.000427246094</v>
      </c>
      <c r="I1808" t="str">
        <f t="shared" si="57"/>
        <v>Pass - Ready for Confirmation</v>
      </c>
    </row>
    <row r="1809" spans="1:9" x14ac:dyDescent="0.3">
      <c r="A1809" t="str">
        <f>FO_Capture!A1809</f>
        <v>TRD01808</v>
      </c>
      <c r="B1809" t="str">
        <f>FO_Capture!B1809</f>
        <v>INE009A01040</v>
      </c>
      <c r="C1809" t="str">
        <f>IFERROR(VLOOKUP(FO_Capture!C1809, Reference_Data!A:D, 2, FALSE), "UNKNOWN")</f>
        <v>Alpha Partners 3</v>
      </c>
      <c r="D1809" t="str">
        <f>IFERROR(VLOOKUP(FO_Capture!C1809, Reference_Data!A:D, 3, FALSE), "XXX")</f>
        <v>USD</v>
      </c>
      <c r="E1809" t="str">
        <f>IFERROR(VLOOKUP(FO_Capture!C1809, Reference_Data!A:D, 4, FALSE), "MISSING SSI")</f>
        <v>Citi A/C 508769</v>
      </c>
      <c r="F1809">
        <f>FO_Capture!D1809</f>
        <v>320</v>
      </c>
      <c r="G1809">
        <f>FO_Capture!E1809</f>
        <v>104.61000061035156</v>
      </c>
      <c r="H1809">
        <f t="shared" si="56"/>
        <v>33475.2001953125</v>
      </c>
      <c r="I1809" t="str">
        <f t="shared" si="57"/>
        <v>Pass - Ready for Confirmation</v>
      </c>
    </row>
    <row r="1810" spans="1:9" x14ac:dyDescent="0.3">
      <c r="A1810" t="str">
        <f>FO_Capture!A1810</f>
        <v>TRD01809</v>
      </c>
      <c r="B1810" t="str">
        <f>FO_Capture!B1810</f>
        <v>INE002A01034</v>
      </c>
      <c r="C1810" t="str">
        <f>IFERROR(VLOOKUP(FO_Capture!C1810, Reference_Data!A:D, 2, FALSE), "UNKNOWN")</f>
        <v>Alpha Holdings 47</v>
      </c>
      <c r="D1810" t="str">
        <f>IFERROR(VLOOKUP(FO_Capture!C1810, Reference_Data!A:D, 3, FALSE), "XXX")</f>
        <v>GBP</v>
      </c>
      <c r="E1810" t="str">
        <f>IFERROR(VLOOKUP(FO_Capture!C1810, Reference_Data!A:D, 4, FALSE), "MISSING SSI")</f>
        <v>Citi A/C 703401</v>
      </c>
      <c r="F1810">
        <f>FO_Capture!D1810</f>
        <v>150</v>
      </c>
      <c r="G1810">
        <f>FO_Capture!E1810</f>
        <v>322.47000122070313</v>
      </c>
      <c r="H1810">
        <f t="shared" si="56"/>
        <v>48370.500183105469</v>
      </c>
      <c r="I1810" t="str">
        <f t="shared" si="57"/>
        <v>Pass - Ready for Confirmation</v>
      </c>
    </row>
    <row r="1811" spans="1:9" x14ac:dyDescent="0.3">
      <c r="A1811" t="str">
        <f>FO_Capture!A1811</f>
        <v>TRD01810</v>
      </c>
      <c r="B1811" t="str">
        <f>FO_Capture!B1811</f>
        <v>INE001A0100</v>
      </c>
      <c r="C1811" t="str">
        <f>IFERROR(VLOOKUP(FO_Capture!C1811, Reference_Data!A:D, 2, FALSE), "UNKNOWN")</f>
        <v>Alpha Quant Fund 24</v>
      </c>
      <c r="D1811" t="str">
        <f>IFERROR(VLOOKUP(FO_Capture!C1811, Reference_Data!A:D, 3, FALSE), "XXX")</f>
        <v>SGD</v>
      </c>
      <c r="E1811" t="str">
        <f>IFERROR(VLOOKUP(FO_Capture!C1811, Reference_Data!A:D, 4, FALSE), "MISSING SSI")</f>
        <v>JPMorgan A/C 603587</v>
      </c>
      <c r="F1811">
        <f>FO_Capture!D1811</f>
        <v>110</v>
      </c>
      <c r="G1811">
        <f>FO_Capture!E1811</f>
        <v>360.04998779296875</v>
      </c>
      <c r="H1811">
        <f t="shared" si="56"/>
        <v>39605.498657226563</v>
      </c>
      <c r="I1811" t="str">
        <f t="shared" si="57"/>
        <v>Pass - Ready for Confirmation</v>
      </c>
    </row>
    <row r="1812" spans="1:9" x14ac:dyDescent="0.3">
      <c r="A1812" t="str">
        <f>FO_Capture!A1812</f>
        <v>TRD01811</v>
      </c>
      <c r="B1812" t="str">
        <f>FO_Capture!B1812</f>
        <v>INE009A01031</v>
      </c>
      <c r="C1812" t="str">
        <f>IFERROR(VLOOKUP(FO_Capture!C1812, Reference_Data!A:D, 2, FALSE), "UNKNOWN")</f>
        <v>Alpha Asset Management 5</v>
      </c>
      <c r="D1812" t="str">
        <f>IFERROR(VLOOKUP(FO_Capture!C1812, Reference_Data!A:D, 3, FALSE), "XXX")</f>
        <v>INR</v>
      </c>
      <c r="E1812" t="str">
        <f>IFERROR(VLOOKUP(FO_Capture!C1812, Reference_Data!A:D, 4, FALSE), "MISSING SSI")</f>
        <v>JPMorgan A/C 860462</v>
      </c>
      <c r="F1812">
        <f>FO_Capture!D1812</f>
        <v>220</v>
      </c>
      <c r="G1812">
        <f>FO_Capture!E1812</f>
        <v>325.97000122070313</v>
      </c>
      <c r="H1812">
        <f t="shared" si="56"/>
        <v>71713.400268554688</v>
      </c>
      <c r="I1812" t="str">
        <f t="shared" si="57"/>
        <v>Pass - Ready for Confirmation</v>
      </c>
    </row>
    <row r="1813" spans="1:9" x14ac:dyDescent="0.3">
      <c r="A1813" t="str">
        <f>FO_Capture!A1813</f>
        <v>TRD01812</v>
      </c>
      <c r="B1813" t="str">
        <f>FO_Capture!B1813</f>
        <v>INE008A01025</v>
      </c>
      <c r="C1813" t="str">
        <f>IFERROR(VLOOKUP(FO_Capture!C1813, Reference_Data!A:D, 2, FALSE), "UNKNOWN")</f>
        <v>Alpha Partners 22</v>
      </c>
      <c r="D1813" t="str">
        <f>IFERROR(VLOOKUP(FO_Capture!C1813, Reference_Data!A:D, 3, FALSE), "XXX")</f>
        <v>GBP</v>
      </c>
      <c r="E1813" t="str">
        <f>IFERROR(VLOOKUP(FO_Capture!C1813, Reference_Data!A:D, 4, FALSE), "MISSING SSI")</f>
        <v>JPMorgan A/C 488546</v>
      </c>
      <c r="F1813">
        <f>FO_Capture!D1813</f>
        <v>140</v>
      </c>
      <c r="G1813">
        <f>FO_Capture!E1813</f>
        <v>24.200000762939453</v>
      </c>
      <c r="H1813">
        <f t="shared" si="56"/>
        <v>3388.0001068115234</v>
      </c>
      <c r="I1813" t="str">
        <f t="shared" si="57"/>
        <v>Pass - Ready for Confirmation</v>
      </c>
    </row>
    <row r="1814" spans="1:9" x14ac:dyDescent="0.3">
      <c r="A1814" t="str">
        <f>FO_Capture!A1814</f>
        <v>TRD01813</v>
      </c>
      <c r="B1814" t="str">
        <f>FO_Capture!B1814</f>
        <v>INE003A01027</v>
      </c>
      <c r="C1814" t="str">
        <f>IFERROR(VLOOKUP(FO_Capture!C1814, Reference_Data!A:D, 2, FALSE), "UNKNOWN")</f>
        <v>Alpha Partners 37</v>
      </c>
      <c r="D1814" t="str">
        <f>IFERROR(VLOOKUP(FO_Capture!C1814, Reference_Data!A:D, 3, FALSE), "XXX")</f>
        <v>JPY</v>
      </c>
      <c r="E1814" t="str">
        <f>IFERROR(VLOOKUP(FO_Capture!C1814, Reference_Data!A:D, 4, FALSE), "MISSING SSI")</f>
        <v>HSBC A/C 994063</v>
      </c>
      <c r="F1814">
        <f>FO_Capture!D1814</f>
        <v>380</v>
      </c>
      <c r="G1814">
        <f>FO_Capture!E1814</f>
        <v>204.00999450683594</v>
      </c>
      <c r="H1814">
        <f t="shared" si="56"/>
        <v>77523.797912597656</v>
      </c>
      <c r="I1814" t="str">
        <f t="shared" si="57"/>
        <v>Pass - Ready for Confirmation</v>
      </c>
    </row>
    <row r="1815" spans="1:9" x14ac:dyDescent="0.3">
      <c r="A1815" t="str">
        <f>FO_Capture!A1815</f>
        <v>TRD01814</v>
      </c>
      <c r="B1815" t="str">
        <f>FO_Capture!B1815</f>
        <v>INE004A01086</v>
      </c>
      <c r="C1815" t="str">
        <f>IFERROR(VLOOKUP(FO_Capture!C1815, Reference_Data!A:D, 2, FALSE), "UNKNOWN")</f>
        <v>Alpha Partners 18</v>
      </c>
      <c r="D1815" t="str">
        <f>IFERROR(VLOOKUP(FO_Capture!C1815, Reference_Data!A:D, 3, FALSE), "XXX")</f>
        <v>INR</v>
      </c>
      <c r="E1815" t="str">
        <f>IFERROR(VLOOKUP(FO_Capture!C1815, Reference_Data!A:D, 4, FALSE), "MISSING SSI")</f>
        <v>JPMorgan A/C 704166</v>
      </c>
      <c r="F1815">
        <f>FO_Capture!D1815</f>
        <v>30</v>
      </c>
      <c r="G1815">
        <f>FO_Capture!E1815</f>
        <v>309.97000122070313</v>
      </c>
      <c r="H1815">
        <f t="shared" si="56"/>
        <v>9299.1000366210938</v>
      </c>
      <c r="I1815" t="str">
        <f t="shared" si="57"/>
        <v>Pass - Ready for Confirmation</v>
      </c>
    </row>
    <row r="1816" spans="1:9" x14ac:dyDescent="0.3">
      <c r="A1816" t="str">
        <f>FO_Capture!A1816</f>
        <v>TRD01815</v>
      </c>
      <c r="B1816" t="str">
        <f>FO_Capture!B1816</f>
        <v>INE009A0104</v>
      </c>
      <c r="C1816" t="str">
        <f>IFERROR(VLOOKUP(FO_Capture!C1816, Reference_Data!A:D, 2, FALSE), "UNKNOWN")</f>
        <v>Alpha Holdings 16</v>
      </c>
      <c r="D1816" t="str">
        <f>IFERROR(VLOOKUP(FO_Capture!C1816, Reference_Data!A:D, 3, FALSE), "XXX")</f>
        <v>USD</v>
      </c>
      <c r="E1816" t="str">
        <f>IFERROR(VLOOKUP(FO_Capture!C1816, Reference_Data!A:D, 4, FALSE), "MISSING SSI")</f>
        <v>Barclays A/C 197229</v>
      </c>
      <c r="F1816">
        <f>FO_Capture!D1816</f>
        <v>40</v>
      </c>
      <c r="G1816">
        <f>FO_Capture!E1816</f>
        <v>231.97999572753906</v>
      </c>
      <c r="H1816">
        <f t="shared" si="56"/>
        <v>9279.1998291015625</v>
      </c>
      <c r="I1816" t="str">
        <f t="shared" si="57"/>
        <v>Pass - Ready for Confirmation</v>
      </c>
    </row>
    <row r="1817" spans="1:9" x14ac:dyDescent="0.3">
      <c r="A1817" t="str">
        <f>FO_Capture!A1817</f>
        <v>TRD01816</v>
      </c>
      <c r="B1817" t="str">
        <f>FO_Capture!B1817</f>
        <v>INE002A01080</v>
      </c>
      <c r="C1817" t="str">
        <f>IFERROR(VLOOKUP(FO_Capture!C1817, Reference_Data!A:D, 2, FALSE), "UNKNOWN")</f>
        <v>Alpha Investments 40</v>
      </c>
      <c r="D1817" t="str">
        <f>IFERROR(VLOOKUP(FO_Capture!C1817, Reference_Data!A:D, 3, FALSE), "XXX")</f>
        <v>GBP</v>
      </c>
      <c r="E1817" t="str">
        <f>IFERROR(VLOOKUP(FO_Capture!C1817, Reference_Data!A:D, 4, FALSE), "MISSING SSI")</f>
        <v>HDFC A/C 897530</v>
      </c>
      <c r="F1817">
        <f>FO_Capture!D1817</f>
        <v>480</v>
      </c>
      <c r="G1817">
        <f>FO_Capture!E1817</f>
        <v>55.240001678466797</v>
      </c>
      <c r="H1817">
        <f t="shared" si="56"/>
        <v>26515.200805664063</v>
      </c>
      <c r="I1817" t="str">
        <f t="shared" si="57"/>
        <v>Pass - Ready for Confirmation</v>
      </c>
    </row>
    <row r="1818" spans="1:9" x14ac:dyDescent="0.3">
      <c r="A1818" t="str">
        <f>FO_Capture!A1818</f>
        <v>TRD01817</v>
      </c>
      <c r="B1818" t="str">
        <f>FO_Capture!B1818</f>
        <v>INE009A01070</v>
      </c>
      <c r="C1818" t="str">
        <f>IFERROR(VLOOKUP(FO_Capture!C1818, Reference_Data!A:D, 2, FALSE), "UNKNOWN")</f>
        <v>Alpha Investments 29</v>
      </c>
      <c r="D1818" t="str">
        <f>IFERROR(VLOOKUP(FO_Capture!C1818, Reference_Data!A:D, 3, FALSE), "XXX")</f>
        <v>INR</v>
      </c>
      <c r="E1818" t="str">
        <f>IFERROR(VLOOKUP(FO_Capture!C1818, Reference_Data!A:D, 4, FALSE), "MISSING SSI")</f>
        <v>HSBC A/C 785870</v>
      </c>
      <c r="F1818">
        <f>FO_Capture!D1818</f>
        <v>240</v>
      </c>
      <c r="G1818">
        <f>FO_Capture!E1818</f>
        <v>310.27999877929688</v>
      </c>
      <c r="H1818">
        <f t="shared" si="56"/>
        <v>74467.19970703125</v>
      </c>
      <c r="I1818" t="str">
        <f t="shared" si="57"/>
        <v>Pass - Ready for Confirmation</v>
      </c>
    </row>
    <row r="1819" spans="1:9" x14ac:dyDescent="0.3">
      <c r="A1819" t="str">
        <f>FO_Capture!A1819</f>
        <v>TRD01818</v>
      </c>
      <c r="B1819" t="str">
        <f>FO_Capture!B1819</f>
        <v>INE006A01028</v>
      </c>
      <c r="C1819" t="str">
        <f>IFERROR(VLOOKUP(FO_Capture!C1819, Reference_Data!A:D, 2, FALSE), "UNKNOWN")</f>
        <v>Alpha Asset Management 32</v>
      </c>
      <c r="D1819" t="str">
        <f>IFERROR(VLOOKUP(FO_Capture!C1819, Reference_Data!A:D, 3, FALSE), "XXX")</f>
        <v>INR</v>
      </c>
      <c r="E1819" t="str">
        <f>IFERROR(VLOOKUP(FO_Capture!C1819, Reference_Data!A:D, 4, FALSE), "MISSING SSI")</f>
        <v>Barclays A/C 302646</v>
      </c>
      <c r="F1819">
        <f>FO_Capture!D1819</f>
        <v>330</v>
      </c>
      <c r="G1819">
        <f>FO_Capture!E1819</f>
        <v>222.91000366210938</v>
      </c>
      <c r="H1819">
        <f t="shared" si="56"/>
        <v>73560.301208496094</v>
      </c>
      <c r="I1819" t="str">
        <f t="shared" si="57"/>
        <v>Pass - Ready for Confirmation</v>
      </c>
    </row>
    <row r="1820" spans="1:9" x14ac:dyDescent="0.3">
      <c r="A1820" t="str">
        <f>FO_Capture!A1820</f>
        <v>TRD01819</v>
      </c>
      <c r="B1820" t="str">
        <f>FO_Capture!B1820</f>
        <v>INE005A01060</v>
      </c>
      <c r="C1820" t="str">
        <f>IFERROR(VLOOKUP(FO_Capture!C1820, Reference_Data!A:D, 2, FALSE), "UNKNOWN")</f>
        <v>Alpha Quant Fund 27</v>
      </c>
      <c r="D1820" t="str">
        <f>IFERROR(VLOOKUP(FO_Capture!C1820, Reference_Data!A:D, 3, FALSE), "XXX")</f>
        <v>EUR</v>
      </c>
      <c r="E1820" t="str">
        <f>IFERROR(VLOOKUP(FO_Capture!C1820, Reference_Data!A:D, 4, FALSE), "MISSING SSI")</f>
        <v>Standard Chartered A/C 331839</v>
      </c>
      <c r="F1820">
        <f>FO_Capture!D1820</f>
        <v>130</v>
      </c>
      <c r="G1820">
        <f>FO_Capture!E1820</f>
        <v>464.29000854492188</v>
      </c>
      <c r="H1820">
        <f t="shared" si="56"/>
        <v>60357.701110839844</v>
      </c>
      <c r="I1820" t="str">
        <f t="shared" si="57"/>
        <v>Pass - Ready for Confirmation</v>
      </c>
    </row>
    <row r="1821" spans="1:9" x14ac:dyDescent="0.3">
      <c r="A1821" t="str">
        <f>FO_Capture!A1821</f>
        <v>TRD01820</v>
      </c>
      <c r="B1821" t="str">
        <f>FO_Capture!B1821</f>
        <v>INE008A01074</v>
      </c>
      <c r="C1821" t="str">
        <f>IFERROR(VLOOKUP(FO_Capture!C1821, Reference_Data!A:D, 2, FALSE), "UNKNOWN")</f>
        <v>Alpha Quant Fund 50</v>
      </c>
      <c r="D1821" t="str">
        <f>IFERROR(VLOOKUP(FO_Capture!C1821, Reference_Data!A:D, 3, FALSE), "XXX")</f>
        <v>SGD</v>
      </c>
      <c r="E1821" t="str">
        <f>IFERROR(VLOOKUP(FO_Capture!C1821, Reference_Data!A:D, 4, FALSE), "MISSING SSI")</f>
        <v>Standard Chartered A/C 307017</v>
      </c>
      <c r="F1821">
        <f>FO_Capture!D1821</f>
        <v>80</v>
      </c>
      <c r="G1821">
        <f>FO_Capture!E1821</f>
        <v>400.8599853515625</v>
      </c>
      <c r="H1821">
        <f t="shared" si="56"/>
        <v>32068.798828125</v>
      </c>
      <c r="I1821" t="str">
        <f t="shared" si="57"/>
        <v>Pass - Ready for Confirmation</v>
      </c>
    </row>
    <row r="1822" spans="1:9" x14ac:dyDescent="0.3">
      <c r="A1822" t="str">
        <f>FO_Capture!A1822</f>
        <v>TRD01821</v>
      </c>
      <c r="B1822" t="str">
        <f>FO_Capture!B1822</f>
        <v>INE009A01031</v>
      </c>
      <c r="C1822" t="str">
        <f>IFERROR(VLOOKUP(FO_Capture!C1822, Reference_Data!A:D, 2, FALSE), "UNKNOWN")</f>
        <v>Alpha Global 20</v>
      </c>
      <c r="D1822" t="str">
        <f>IFERROR(VLOOKUP(FO_Capture!C1822, Reference_Data!A:D, 3, FALSE), "XXX")</f>
        <v>JPY</v>
      </c>
      <c r="E1822" t="str">
        <f>IFERROR(VLOOKUP(FO_Capture!C1822, Reference_Data!A:D, 4, FALSE), "MISSING SSI")</f>
        <v>Barclays A/C 560891</v>
      </c>
      <c r="F1822">
        <f>FO_Capture!D1822</f>
        <v>490</v>
      </c>
      <c r="G1822">
        <f>FO_Capture!E1822</f>
        <v>344.39999389648438</v>
      </c>
      <c r="H1822">
        <f t="shared" si="56"/>
        <v>168755.99700927734</v>
      </c>
      <c r="I1822" t="str">
        <f t="shared" si="57"/>
        <v>Pass - Ready for Confirmation</v>
      </c>
    </row>
    <row r="1823" spans="1:9" x14ac:dyDescent="0.3">
      <c r="A1823" t="str">
        <f>FO_Capture!A1823</f>
        <v>TRD01822</v>
      </c>
      <c r="B1823" t="str">
        <f>FO_Capture!B1823</f>
        <v>INE006A01090</v>
      </c>
      <c r="C1823" t="str">
        <f>IFERROR(VLOOKUP(FO_Capture!C1823, Reference_Data!A:D, 2, FALSE), "UNKNOWN")</f>
        <v>Alpha Quant Fund 12</v>
      </c>
      <c r="D1823" t="str">
        <f>IFERROR(VLOOKUP(FO_Capture!C1823, Reference_Data!A:D, 3, FALSE), "XXX")</f>
        <v>EUR</v>
      </c>
      <c r="E1823" t="str">
        <f>IFERROR(VLOOKUP(FO_Capture!C1823, Reference_Data!A:D, 4, FALSE), "MISSING SSI")</f>
        <v>Deutsche Bank A/C 324710</v>
      </c>
      <c r="F1823">
        <f>FO_Capture!D1823</f>
        <v>300</v>
      </c>
      <c r="G1823">
        <f>FO_Capture!E1823</f>
        <v>301.989990234375</v>
      </c>
      <c r="H1823">
        <f t="shared" si="56"/>
        <v>90596.9970703125</v>
      </c>
      <c r="I1823" t="str">
        <f t="shared" si="57"/>
        <v>Pass - Ready for Confirmation</v>
      </c>
    </row>
    <row r="1824" spans="1:9" x14ac:dyDescent="0.3">
      <c r="A1824" t="str">
        <f>FO_Capture!A1824</f>
        <v>TRD01823</v>
      </c>
      <c r="B1824" t="str">
        <f>FO_Capture!B1824</f>
        <v>INE002A01065</v>
      </c>
      <c r="C1824" t="str">
        <f>IFERROR(VLOOKUP(FO_Capture!C1824, Reference_Data!A:D, 2, FALSE), "UNKNOWN")</f>
        <v>Alpha Capital 33</v>
      </c>
      <c r="D1824" t="str">
        <f>IFERROR(VLOOKUP(FO_Capture!C1824, Reference_Data!A:D, 3, FALSE), "XXX")</f>
        <v>JPY</v>
      </c>
      <c r="E1824" t="str">
        <f>IFERROR(VLOOKUP(FO_Capture!C1824, Reference_Data!A:D, 4, FALSE), "MISSING SSI")</f>
        <v>HSBC A/C 172861</v>
      </c>
      <c r="F1824">
        <f>FO_Capture!D1824</f>
        <v>250</v>
      </c>
      <c r="G1824">
        <f>FO_Capture!E1824</f>
        <v>226.00999450683594</v>
      </c>
      <c r="H1824">
        <f t="shared" si="56"/>
        <v>56502.498626708984</v>
      </c>
      <c r="I1824" t="str">
        <f t="shared" si="57"/>
        <v>Pass - Ready for Confirmation</v>
      </c>
    </row>
    <row r="1825" spans="1:9" x14ac:dyDescent="0.3">
      <c r="A1825" t="str">
        <f>FO_Capture!A1825</f>
        <v>TRD01824</v>
      </c>
      <c r="B1825" t="str">
        <f>FO_Capture!B1825</f>
        <v>INE005A01071</v>
      </c>
      <c r="C1825" t="str">
        <f>IFERROR(VLOOKUP(FO_Capture!C1825, Reference_Data!A:D, 2, FALSE), "UNKNOWN")</f>
        <v>Alpha Partners 48</v>
      </c>
      <c r="D1825" t="str">
        <f>IFERROR(VLOOKUP(FO_Capture!C1825, Reference_Data!A:D, 3, FALSE), "XXX")</f>
        <v>SGD</v>
      </c>
      <c r="E1825" t="str">
        <f>IFERROR(VLOOKUP(FO_Capture!C1825, Reference_Data!A:D, 4, FALSE), "MISSING SSI")</f>
        <v>JPMorgan A/C 391364</v>
      </c>
      <c r="F1825">
        <f>FO_Capture!D1825</f>
        <v>210</v>
      </c>
      <c r="G1825">
        <f>FO_Capture!E1825</f>
        <v>264.17999267578125</v>
      </c>
      <c r="H1825">
        <f t="shared" si="56"/>
        <v>55477.798461914063</v>
      </c>
      <c r="I1825" t="str">
        <f t="shared" si="57"/>
        <v>Pass - Ready for Confirmation</v>
      </c>
    </row>
    <row r="1826" spans="1:9" x14ac:dyDescent="0.3">
      <c r="A1826" t="str">
        <f>FO_Capture!A1826</f>
        <v>TRD01825</v>
      </c>
      <c r="B1826" t="str">
        <f>FO_Capture!B1826</f>
        <v>INE002A01072</v>
      </c>
      <c r="C1826" t="str">
        <f>IFERROR(VLOOKUP(FO_Capture!C1826, Reference_Data!A:D, 2, FALSE), "UNKNOWN")</f>
        <v>Alpha Asset Management 4</v>
      </c>
      <c r="D1826" t="str">
        <f>IFERROR(VLOOKUP(FO_Capture!C1826, Reference_Data!A:D, 3, FALSE), "XXX")</f>
        <v>JPY</v>
      </c>
      <c r="E1826" t="str">
        <f>IFERROR(VLOOKUP(FO_Capture!C1826, Reference_Data!A:D, 4, FALSE), "MISSING SSI")</f>
        <v>Deutsche Bank A/C 126543</v>
      </c>
      <c r="F1826">
        <f>FO_Capture!D1826</f>
        <v>420</v>
      </c>
      <c r="G1826">
        <f>FO_Capture!E1826</f>
        <v>509.510009765625</v>
      </c>
      <c r="H1826">
        <f t="shared" si="56"/>
        <v>213994.2041015625</v>
      </c>
      <c r="I1826" t="str">
        <f t="shared" si="57"/>
        <v>Pass - Ready for Confirmation</v>
      </c>
    </row>
    <row r="1827" spans="1:9" x14ac:dyDescent="0.3">
      <c r="A1827" t="str">
        <f>FO_Capture!A1827</f>
        <v>TRD01826</v>
      </c>
      <c r="B1827" t="str">
        <f>FO_Capture!B1827</f>
        <v>INE001A01038</v>
      </c>
      <c r="C1827" t="str">
        <f>IFERROR(VLOOKUP(FO_Capture!C1827, Reference_Data!A:D, 2, FALSE), "UNKNOWN")</f>
        <v>Alpha Partners 3</v>
      </c>
      <c r="D1827" t="str">
        <f>IFERROR(VLOOKUP(FO_Capture!C1827, Reference_Data!A:D, 3, FALSE), "XXX")</f>
        <v>USD</v>
      </c>
      <c r="E1827" t="str">
        <f>IFERROR(VLOOKUP(FO_Capture!C1827, Reference_Data!A:D, 4, FALSE), "MISSING SSI")</f>
        <v>Citi A/C 508769</v>
      </c>
      <c r="F1827">
        <f>FO_Capture!D1827</f>
        <v>180</v>
      </c>
      <c r="G1827">
        <f>FO_Capture!E1827</f>
        <v>250.32000732421875</v>
      </c>
      <c r="H1827">
        <f t="shared" si="56"/>
        <v>45057.601318359375</v>
      </c>
      <c r="I1827" t="str">
        <f t="shared" si="57"/>
        <v>Pass - Ready for Confirmation</v>
      </c>
    </row>
    <row r="1828" spans="1:9" x14ac:dyDescent="0.3">
      <c r="A1828" t="str">
        <f>FO_Capture!A1828</f>
        <v>TRD01827</v>
      </c>
      <c r="B1828" t="str">
        <f>FO_Capture!B1828</f>
        <v>INE009A01085</v>
      </c>
      <c r="C1828" t="str">
        <f>IFERROR(VLOOKUP(FO_Capture!C1828, Reference_Data!A:D, 2, FALSE), "UNKNOWN")</f>
        <v>Alpha Asset Management 31</v>
      </c>
      <c r="D1828" t="str">
        <f>IFERROR(VLOOKUP(FO_Capture!C1828, Reference_Data!A:D, 3, FALSE), "XXX")</f>
        <v>USD</v>
      </c>
      <c r="E1828" t="str">
        <f>IFERROR(VLOOKUP(FO_Capture!C1828, Reference_Data!A:D, 4, FALSE), "MISSING SSI")</f>
        <v>Citi A/C 194841</v>
      </c>
      <c r="F1828">
        <f>FO_Capture!D1828</f>
        <v>160</v>
      </c>
      <c r="G1828">
        <f>FO_Capture!E1828</f>
        <v>220.27999877929688</v>
      </c>
      <c r="H1828">
        <f t="shared" si="56"/>
        <v>35244.7998046875</v>
      </c>
      <c r="I1828" t="str">
        <f t="shared" si="57"/>
        <v>Pass - Ready for Confirmation</v>
      </c>
    </row>
    <row r="1829" spans="1:9" x14ac:dyDescent="0.3">
      <c r="A1829" t="str">
        <f>FO_Capture!A1829</f>
        <v>TRD01828</v>
      </c>
      <c r="B1829" t="str">
        <f>FO_Capture!B1829</f>
        <v>INE001A01036</v>
      </c>
      <c r="C1829" t="str">
        <f>IFERROR(VLOOKUP(FO_Capture!C1829, Reference_Data!A:D, 2, FALSE), "UNKNOWN")</f>
        <v>Alpha Global 30</v>
      </c>
      <c r="D1829" t="str">
        <f>IFERROR(VLOOKUP(FO_Capture!C1829, Reference_Data!A:D, 3, FALSE), "XXX")</f>
        <v>JPY</v>
      </c>
      <c r="E1829" t="str">
        <f>IFERROR(VLOOKUP(FO_Capture!C1829, Reference_Data!A:D, 4, FALSE), "MISSING SSI")</f>
        <v>Deutsche Bank A/C 917262</v>
      </c>
      <c r="F1829">
        <f>FO_Capture!D1829</f>
        <v>150</v>
      </c>
      <c r="G1829">
        <f>FO_Capture!E1829</f>
        <v>348.32000732421875</v>
      </c>
      <c r="H1829">
        <f t="shared" si="56"/>
        <v>52248.001098632813</v>
      </c>
      <c r="I1829" t="str">
        <f t="shared" si="57"/>
        <v>Pass - Ready for Confirmation</v>
      </c>
    </row>
    <row r="1830" spans="1:9" x14ac:dyDescent="0.3">
      <c r="A1830" t="str">
        <f>FO_Capture!A1830</f>
        <v>TRD01829</v>
      </c>
      <c r="B1830" t="str">
        <f>FO_Capture!B1830</f>
        <v>INE003A01062</v>
      </c>
      <c r="C1830" t="str">
        <f>IFERROR(VLOOKUP(FO_Capture!C1830, Reference_Data!A:D, 2, FALSE), "UNKNOWN")</f>
        <v>Alpha Partners 26</v>
      </c>
      <c r="D1830" t="str">
        <f>IFERROR(VLOOKUP(FO_Capture!C1830, Reference_Data!A:D, 3, FALSE), "XXX")</f>
        <v>USD</v>
      </c>
      <c r="E1830" t="str">
        <f>IFERROR(VLOOKUP(FO_Capture!C1830, Reference_Data!A:D, 4, FALSE), "MISSING SSI")</f>
        <v>HSBC A/C 867781</v>
      </c>
      <c r="F1830">
        <f>FO_Capture!D1830</f>
        <v>270</v>
      </c>
      <c r="G1830">
        <f>FO_Capture!E1830</f>
        <v>508.72000122070313</v>
      </c>
      <c r="H1830">
        <f t="shared" si="56"/>
        <v>137354.40032958984</v>
      </c>
      <c r="I1830" t="str">
        <f t="shared" si="57"/>
        <v>Pass - Ready for Confirmation</v>
      </c>
    </row>
    <row r="1831" spans="1:9" x14ac:dyDescent="0.3">
      <c r="A1831" t="str">
        <f>FO_Capture!A1831</f>
        <v>TRD01830</v>
      </c>
      <c r="B1831" t="str">
        <f>FO_Capture!B1831</f>
        <v>INE007A01037</v>
      </c>
      <c r="C1831" t="str">
        <f>IFERROR(VLOOKUP(FO_Capture!C1831, Reference_Data!A:D, 2, FALSE), "UNKNOWN")</f>
        <v>Alpha Quant Fund 50</v>
      </c>
      <c r="D1831" t="str">
        <f>IFERROR(VLOOKUP(FO_Capture!C1831, Reference_Data!A:D, 3, FALSE), "XXX")</f>
        <v>SGD</v>
      </c>
      <c r="E1831" t="str">
        <f>IFERROR(VLOOKUP(FO_Capture!C1831, Reference_Data!A:D, 4, FALSE), "MISSING SSI")</f>
        <v>Standard Chartered A/C 307017</v>
      </c>
      <c r="F1831">
        <f>FO_Capture!D1831</f>
        <v>240</v>
      </c>
      <c r="G1831">
        <f>FO_Capture!E1831</f>
        <v>271.04998779296875</v>
      </c>
      <c r="H1831">
        <f t="shared" si="56"/>
        <v>65051.9970703125</v>
      </c>
      <c r="I1831" t="str">
        <f t="shared" si="57"/>
        <v>Pass - Ready for Confirmation</v>
      </c>
    </row>
    <row r="1832" spans="1:9" x14ac:dyDescent="0.3">
      <c r="A1832" t="str">
        <f>FO_Capture!A1832</f>
        <v>TRD01831</v>
      </c>
      <c r="B1832" t="str">
        <f>FO_Capture!B1832</f>
        <v>INE006A01085</v>
      </c>
      <c r="C1832" t="str">
        <f>IFERROR(VLOOKUP(FO_Capture!C1832, Reference_Data!A:D, 2, FALSE), "UNKNOWN")</f>
        <v>Alpha Investments 15</v>
      </c>
      <c r="D1832" t="str">
        <f>IFERROR(VLOOKUP(FO_Capture!C1832, Reference_Data!A:D, 3, FALSE), "XXX")</f>
        <v>INR</v>
      </c>
      <c r="E1832" t="str">
        <f>IFERROR(VLOOKUP(FO_Capture!C1832, Reference_Data!A:D, 4, FALSE), "MISSING SSI")</f>
        <v>Deutsche Bank A/C 330518</v>
      </c>
      <c r="F1832">
        <f>FO_Capture!D1832</f>
        <v>140</v>
      </c>
      <c r="G1832">
        <f>FO_Capture!E1832</f>
        <v>150.21000671386719</v>
      </c>
      <c r="H1832">
        <f t="shared" si="56"/>
        <v>21029.400939941406</v>
      </c>
      <c r="I1832" t="str">
        <f t="shared" si="57"/>
        <v>Pass - Ready for Confirmation</v>
      </c>
    </row>
    <row r="1833" spans="1:9" x14ac:dyDescent="0.3">
      <c r="A1833" t="str">
        <f>FO_Capture!A1833</f>
        <v>TRD01832</v>
      </c>
      <c r="B1833" t="str">
        <f>FO_Capture!B1833</f>
        <v>INE003A01035</v>
      </c>
      <c r="C1833" t="str">
        <f>IFERROR(VLOOKUP(FO_Capture!C1833, Reference_Data!A:D, 2, FALSE), "UNKNOWN")</f>
        <v>Alpha Holdings 41</v>
      </c>
      <c r="D1833" t="str">
        <f>IFERROR(VLOOKUP(FO_Capture!C1833, Reference_Data!A:D, 3, FALSE), "XXX")</f>
        <v>JPY</v>
      </c>
      <c r="E1833" t="str">
        <f>IFERROR(VLOOKUP(FO_Capture!C1833, Reference_Data!A:D, 4, FALSE), "MISSING SSI")</f>
        <v>HSBC A/C 468615</v>
      </c>
      <c r="F1833">
        <f>FO_Capture!D1833</f>
        <v>160</v>
      </c>
      <c r="G1833">
        <f>FO_Capture!E1833</f>
        <v>356.41000366210938</v>
      </c>
      <c r="H1833">
        <f t="shared" si="56"/>
        <v>57025.6005859375</v>
      </c>
      <c r="I1833" t="str">
        <f t="shared" si="57"/>
        <v>Pass - Ready for Confirmation</v>
      </c>
    </row>
    <row r="1834" spans="1:9" x14ac:dyDescent="0.3">
      <c r="A1834" t="str">
        <f>FO_Capture!A1834</f>
        <v>TRD01833</v>
      </c>
      <c r="B1834" t="str">
        <f>FO_Capture!B1834</f>
        <v>INE001A01064</v>
      </c>
      <c r="C1834" t="str">
        <f>IFERROR(VLOOKUP(FO_Capture!C1834, Reference_Data!A:D, 2, FALSE), "UNKNOWN")</f>
        <v>Alpha Capital 33</v>
      </c>
      <c r="D1834" t="str">
        <f>IFERROR(VLOOKUP(FO_Capture!C1834, Reference_Data!A:D, 3, FALSE), "XXX")</f>
        <v>JPY</v>
      </c>
      <c r="E1834" t="str">
        <f>IFERROR(VLOOKUP(FO_Capture!C1834, Reference_Data!A:D, 4, FALSE), "MISSING SSI")</f>
        <v>HSBC A/C 172861</v>
      </c>
      <c r="F1834">
        <f>FO_Capture!D1834</f>
        <v>320</v>
      </c>
      <c r="G1834">
        <f>FO_Capture!E1834</f>
        <v>45.159999847412109</v>
      </c>
      <c r="H1834">
        <f t="shared" si="56"/>
        <v>14451.199951171875</v>
      </c>
      <c r="I1834" t="str">
        <f t="shared" si="57"/>
        <v>Pass - Ready for Confirmation</v>
      </c>
    </row>
    <row r="1835" spans="1:9" x14ac:dyDescent="0.3">
      <c r="A1835" t="str">
        <f>FO_Capture!A1835</f>
        <v>TRD01834</v>
      </c>
      <c r="B1835" t="str">
        <f>FO_Capture!B1835</f>
        <v>INE004A01052</v>
      </c>
      <c r="C1835" t="str">
        <f>IFERROR(VLOOKUP(FO_Capture!C1835, Reference_Data!A:D, 2, FALSE), "UNKNOWN")</f>
        <v>Alpha Partners 48</v>
      </c>
      <c r="D1835" t="str">
        <f>IFERROR(VLOOKUP(FO_Capture!C1835, Reference_Data!A:D, 3, FALSE), "XXX")</f>
        <v>SGD</v>
      </c>
      <c r="E1835" t="str">
        <f>IFERROR(VLOOKUP(FO_Capture!C1835, Reference_Data!A:D, 4, FALSE), "MISSING SSI")</f>
        <v>JPMorgan A/C 391364</v>
      </c>
      <c r="F1835">
        <f>FO_Capture!D1835</f>
        <v>250</v>
      </c>
      <c r="G1835">
        <f>FO_Capture!E1835</f>
        <v>67.290000915527344</v>
      </c>
      <c r="H1835">
        <f t="shared" si="56"/>
        <v>16822.500228881836</v>
      </c>
      <c r="I1835" t="str">
        <f t="shared" si="57"/>
        <v>Pass - Ready for Confirmation</v>
      </c>
    </row>
    <row r="1836" spans="1:9" x14ac:dyDescent="0.3">
      <c r="A1836" t="str">
        <f>FO_Capture!A1836</f>
        <v>TRD01835</v>
      </c>
      <c r="B1836" t="str">
        <f>FO_Capture!B1836</f>
        <v>INE008A01032</v>
      </c>
      <c r="C1836" t="str">
        <f>IFERROR(VLOOKUP(FO_Capture!C1836, Reference_Data!A:D, 2, FALSE), "UNKNOWN")</f>
        <v>Alpha Global 30</v>
      </c>
      <c r="D1836" t="str">
        <f>IFERROR(VLOOKUP(FO_Capture!C1836, Reference_Data!A:D, 3, FALSE), "XXX")</f>
        <v>JPY</v>
      </c>
      <c r="E1836" t="str">
        <f>IFERROR(VLOOKUP(FO_Capture!C1836, Reference_Data!A:D, 4, FALSE), "MISSING SSI")</f>
        <v>Deutsche Bank A/C 917262</v>
      </c>
      <c r="F1836">
        <f>FO_Capture!D1836</f>
        <v>450</v>
      </c>
      <c r="G1836">
        <f>FO_Capture!E1836</f>
        <v>218.94000244140625</v>
      </c>
      <c r="H1836">
        <f t="shared" si="56"/>
        <v>98523.001098632813</v>
      </c>
      <c r="I1836" t="str">
        <f t="shared" si="57"/>
        <v>Pass - Ready for Confirmation</v>
      </c>
    </row>
    <row r="1837" spans="1:9" x14ac:dyDescent="0.3">
      <c r="A1837" t="str">
        <f>FO_Capture!A1837</f>
        <v>TRD01836</v>
      </c>
      <c r="B1837" t="str">
        <f>FO_Capture!B1837</f>
        <v>INE009A01034</v>
      </c>
      <c r="C1837" t="str">
        <f>IFERROR(VLOOKUP(FO_Capture!C1837, Reference_Data!A:D, 2, FALSE), "UNKNOWN")</f>
        <v>Alpha Quant Fund 27</v>
      </c>
      <c r="D1837" t="str">
        <f>IFERROR(VLOOKUP(FO_Capture!C1837, Reference_Data!A:D, 3, FALSE), "XXX")</f>
        <v>EUR</v>
      </c>
      <c r="E1837" t="str">
        <f>IFERROR(VLOOKUP(FO_Capture!C1837, Reference_Data!A:D, 4, FALSE), "MISSING SSI")</f>
        <v>Standard Chartered A/C 331839</v>
      </c>
      <c r="F1837">
        <f>FO_Capture!D1837</f>
        <v>500</v>
      </c>
      <c r="G1837">
        <f>FO_Capture!E1837</f>
        <v>491.57998657226563</v>
      </c>
      <c r="H1837">
        <f t="shared" si="56"/>
        <v>245789.99328613281</v>
      </c>
      <c r="I1837" t="str">
        <f t="shared" si="57"/>
        <v>Pass - Ready for Confirmation</v>
      </c>
    </row>
    <row r="1838" spans="1:9" x14ac:dyDescent="0.3">
      <c r="A1838" t="str">
        <f>FO_Capture!A1838</f>
        <v>TRD01837</v>
      </c>
      <c r="B1838" t="str">
        <f>FO_Capture!B1838</f>
        <v>INE003A01045</v>
      </c>
      <c r="C1838" t="str">
        <f>IFERROR(VLOOKUP(FO_Capture!C1838, Reference_Data!A:D, 2, FALSE), "UNKNOWN")</f>
        <v>Alpha Partners 19</v>
      </c>
      <c r="D1838" t="str">
        <f>IFERROR(VLOOKUP(FO_Capture!C1838, Reference_Data!A:D, 3, FALSE), "XXX")</f>
        <v>INR</v>
      </c>
      <c r="E1838" t="str">
        <f>IFERROR(VLOOKUP(FO_Capture!C1838, Reference_Data!A:D, 4, FALSE), "MISSING SSI")</f>
        <v>Citi A/C 543819</v>
      </c>
      <c r="F1838">
        <f>FO_Capture!D1838</f>
        <v>330</v>
      </c>
      <c r="G1838">
        <f>FO_Capture!E1838</f>
        <v>321.95999145507813</v>
      </c>
      <c r="H1838">
        <f t="shared" si="56"/>
        <v>106246.79718017578</v>
      </c>
      <c r="I1838" t="str">
        <f t="shared" si="57"/>
        <v>Pass - Ready for Confirmation</v>
      </c>
    </row>
    <row r="1839" spans="1:9" x14ac:dyDescent="0.3">
      <c r="A1839" t="str">
        <f>FO_Capture!A1839</f>
        <v>TRD01838</v>
      </c>
      <c r="B1839" t="str">
        <f>FO_Capture!B1839</f>
        <v>INE009A01051</v>
      </c>
      <c r="C1839" t="str">
        <f>IFERROR(VLOOKUP(FO_Capture!C1839, Reference_Data!A:D, 2, FALSE), "UNKNOWN")</f>
        <v>Alpha Capital 44</v>
      </c>
      <c r="D1839" t="str">
        <f>IFERROR(VLOOKUP(FO_Capture!C1839, Reference_Data!A:D, 3, FALSE), "XXX")</f>
        <v>INR</v>
      </c>
      <c r="E1839" t="str">
        <f>IFERROR(VLOOKUP(FO_Capture!C1839, Reference_Data!A:D, 4, FALSE), "MISSING SSI")</f>
        <v>Deutsche Bank A/C 428758</v>
      </c>
      <c r="F1839">
        <f>FO_Capture!D1839</f>
        <v>480</v>
      </c>
      <c r="G1839">
        <f>FO_Capture!E1839</f>
        <v>342.17001342773438</v>
      </c>
      <c r="H1839">
        <f t="shared" si="56"/>
        <v>164241.6064453125</v>
      </c>
      <c r="I1839" t="str">
        <f t="shared" si="57"/>
        <v>Pass - Ready for Confirmation</v>
      </c>
    </row>
    <row r="1840" spans="1:9" x14ac:dyDescent="0.3">
      <c r="A1840" t="str">
        <f>FO_Capture!A1840</f>
        <v>TRD01839</v>
      </c>
      <c r="B1840" t="str">
        <f>FO_Capture!B1840</f>
        <v>INE004A01089</v>
      </c>
      <c r="C1840" t="str">
        <f>IFERROR(VLOOKUP(FO_Capture!C1840, Reference_Data!A:D, 2, FALSE), "UNKNOWN")</f>
        <v>Alpha Holdings 23</v>
      </c>
      <c r="D1840" t="str">
        <f>IFERROR(VLOOKUP(FO_Capture!C1840, Reference_Data!A:D, 3, FALSE), "XXX")</f>
        <v>INR</v>
      </c>
      <c r="E1840" t="str">
        <f>IFERROR(VLOOKUP(FO_Capture!C1840, Reference_Data!A:D, 4, FALSE), "MISSING SSI")</f>
        <v>Deutsche Bank A/C 983712</v>
      </c>
      <c r="F1840">
        <f>FO_Capture!D1840</f>
        <v>350</v>
      </c>
      <c r="G1840">
        <f>FO_Capture!E1840</f>
        <v>129.58999633789063</v>
      </c>
      <c r="H1840">
        <f t="shared" si="56"/>
        <v>45356.498718261719</v>
      </c>
      <c r="I1840" t="str">
        <f t="shared" si="57"/>
        <v>Pass - Ready for Confirmation</v>
      </c>
    </row>
    <row r="1841" spans="1:9" x14ac:dyDescent="0.3">
      <c r="A1841" t="str">
        <f>FO_Capture!A1841</f>
        <v>TRD01840</v>
      </c>
      <c r="B1841" t="str">
        <f>FO_Capture!B1841</f>
        <v>INE007A01098</v>
      </c>
      <c r="C1841" t="str">
        <f>IFERROR(VLOOKUP(FO_Capture!C1841, Reference_Data!A:D, 2, FALSE), "UNKNOWN")</f>
        <v>Alpha Asset Management 31</v>
      </c>
      <c r="D1841" t="str">
        <f>IFERROR(VLOOKUP(FO_Capture!C1841, Reference_Data!A:D, 3, FALSE), "XXX")</f>
        <v>USD</v>
      </c>
      <c r="E1841" t="str">
        <f>IFERROR(VLOOKUP(FO_Capture!C1841, Reference_Data!A:D, 4, FALSE), "MISSING SSI")</f>
        <v>Citi A/C 194841</v>
      </c>
      <c r="F1841">
        <f>FO_Capture!D1841</f>
        <v>430</v>
      </c>
      <c r="G1841">
        <f>FO_Capture!E1841</f>
        <v>456.95001220703125</v>
      </c>
      <c r="H1841">
        <f t="shared" si="56"/>
        <v>196488.50524902344</v>
      </c>
      <c r="I1841" t="str">
        <f t="shared" si="57"/>
        <v>Pass - Ready for Confirmation</v>
      </c>
    </row>
    <row r="1842" spans="1:9" x14ac:dyDescent="0.3">
      <c r="A1842" t="str">
        <f>FO_Capture!A1842</f>
        <v>TRD01841</v>
      </c>
      <c r="B1842" t="str">
        <f>FO_Capture!B1842</f>
        <v>INE009A01071</v>
      </c>
      <c r="C1842" t="str">
        <f>IFERROR(VLOOKUP(FO_Capture!C1842, Reference_Data!A:D, 2, FALSE), "UNKNOWN")</f>
        <v>Alpha Investments 29</v>
      </c>
      <c r="D1842" t="str">
        <f>IFERROR(VLOOKUP(FO_Capture!C1842, Reference_Data!A:D, 3, FALSE), "XXX")</f>
        <v>INR</v>
      </c>
      <c r="E1842" t="str">
        <f>IFERROR(VLOOKUP(FO_Capture!C1842, Reference_Data!A:D, 4, FALSE), "MISSING SSI")</f>
        <v>HSBC A/C 785870</v>
      </c>
      <c r="F1842">
        <f>FO_Capture!D1842</f>
        <v>60</v>
      </c>
      <c r="G1842">
        <f>FO_Capture!E1842</f>
        <v>42.240001678466797</v>
      </c>
      <c r="H1842">
        <f t="shared" si="56"/>
        <v>2534.4001007080078</v>
      </c>
      <c r="I1842" t="str">
        <f t="shared" si="57"/>
        <v>Pass - Ready for Confirmation</v>
      </c>
    </row>
    <row r="1843" spans="1:9" x14ac:dyDescent="0.3">
      <c r="A1843" t="str">
        <f>FO_Capture!A1843</f>
        <v>TRD01842</v>
      </c>
      <c r="B1843" t="str">
        <f>FO_Capture!B1843</f>
        <v>INE001A01098</v>
      </c>
      <c r="C1843" t="str">
        <f>IFERROR(VLOOKUP(FO_Capture!C1843, Reference_Data!A:D, 2, FALSE), "UNKNOWN")</f>
        <v>Alpha Asset Management 32</v>
      </c>
      <c r="D1843" t="str">
        <f>IFERROR(VLOOKUP(FO_Capture!C1843, Reference_Data!A:D, 3, FALSE), "XXX")</f>
        <v>INR</v>
      </c>
      <c r="E1843" t="str">
        <f>IFERROR(VLOOKUP(FO_Capture!C1843, Reference_Data!A:D, 4, FALSE), "MISSING SSI")</f>
        <v>Barclays A/C 302646</v>
      </c>
      <c r="F1843">
        <f>FO_Capture!D1843</f>
        <v>190</v>
      </c>
      <c r="G1843">
        <f>FO_Capture!E1843</f>
        <v>298.80999755859375</v>
      </c>
      <c r="H1843">
        <f t="shared" si="56"/>
        <v>56773.899536132813</v>
      </c>
      <c r="I1843" t="str">
        <f t="shared" si="57"/>
        <v>Pass - Ready for Confirmation</v>
      </c>
    </row>
    <row r="1844" spans="1:9" x14ac:dyDescent="0.3">
      <c r="A1844" t="str">
        <f>FO_Capture!A1844</f>
        <v>TRD01843</v>
      </c>
      <c r="B1844" t="str">
        <f>FO_Capture!B1844</f>
        <v>INE002A01024</v>
      </c>
      <c r="C1844" t="str">
        <f>IFERROR(VLOOKUP(FO_Capture!C1844, Reference_Data!A:D, 2, FALSE), "UNKNOWN")</f>
        <v>Alpha Partners 37</v>
      </c>
      <c r="D1844" t="str">
        <f>IFERROR(VLOOKUP(FO_Capture!C1844, Reference_Data!A:D, 3, FALSE), "XXX")</f>
        <v>JPY</v>
      </c>
      <c r="E1844" t="str">
        <f>IFERROR(VLOOKUP(FO_Capture!C1844, Reference_Data!A:D, 4, FALSE), "MISSING SSI")</f>
        <v>HSBC A/C 994063</v>
      </c>
      <c r="F1844">
        <f>FO_Capture!D1844</f>
        <v>120</v>
      </c>
      <c r="G1844">
        <f>FO_Capture!E1844</f>
        <v>85.290000915527344</v>
      </c>
      <c r="H1844">
        <f t="shared" si="56"/>
        <v>10234.800109863281</v>
      </c>
      <c r="I1844" t="str">
        <f t="shared" si="57"/>
        <v>Pass - Ready for Confirmation</v>
      </c>
    </row>
    <row r="1845" spans="1:9" x14ac:dyDescent="0.3">
      <c r="A1845" t="str">
        <f>FO_Capture!A1845</f>
        <v>TRD01844</v>
      </c>
      <c r="B1845" t="str">
        <f>FO_Capture!B1845</f>
        <v>INE005A01094</v>
      </c>
      <c r="C1845" t="str">
        <f>IFERROR(VLOOKUP(FO_Capture!C1845, Reference_Data!A:D, 2, FALSE), "UNKNOWN")</f>
        <v>Alpha Partners 1</v>
      </c>
      <c r="D1845" t="str">
        <f>IFERROR(VLOOKUP(FO_Capture!C1845, Reference_Data!A:D, 3, FALSE), "XXX")</f>
        <v>JPY</v>
      </c>
      <c r="E1845" t="str">
        <f>IFERROR(VLOOKUP(FO_Capture!C1845, Reference_Data!A:D, 4, FALSE), "MISSING SSI")</f>
        <v>Standard Chartered A/C 277005</v>
      </c>
      <c r="F1845">
        <f>FO_Capture!D1845</f>
        <v>230</v>
      </c>
      <c r="G1845">
        <f>FO_Capture!E1845</f>
        <v>455.6400146484375</v>
      </c>
      <c r="H1845">
        <f t="shared" si="56"/>
        <v>104797.20336914063</v>
      </c>
      <c r="I1845" t="str">
        <f t="shared" si="57"/>
        <v>Pass - Ready for Confirmation</v>
      </c>
    </row>
    <row r="1846" spans="1:9" x14ac:dyDescent="0.3">
      <c r="A1846" t="str">
        <f>FO_Capture!A1846</f>
        <v>TRD01845</v>
      </c>
      <c r="B1846" t="str">
        <f>FO_Capture!B1846</f>
        <v>INE005A0107</v>
      </c>
      <c r="C1846" t="str">
        <f>IFERROR(VLOOKUP(FO_Capture!C1846, Reference_Data!A:D, 2, FALSE), "UNKNOWN")</f>
        <v>Alpha Capital 10</v>
      </c>
      <c r="D1846" t="str">
        <f>IFERROR(VLOOKUP(FO_Capture!C1846, Reference_Data!A:D, 3, FALSE), "XXX")</f>
        <v>USD</v>
      </c>
      <c r="E1846" t="str">
        <f>IFERROR(VLOOKUP(FO_Capture!C1846, Reference_Data!A:D, 4, FALSE), "MISSING SSI")</f>
        <v>HDFC A/C 543407</v>
      </c>
      <c r="F1846">
        <f>FO_Capture!D1846</f>
        <v>290</v>
      </c>
      <c r="G1846">
        <f>FO_Capture!E1846</f>
        <v>409.1300048828125</v>
      </c>
      <c r="H1846">
        <f t="shared" si="56"/>
        <v>118647.70141601563</v>
      </c>
      <c r="I1846" t="str">
        <f t="shared" si="57"/>
        <v>Pass - Ready for Confirmation</v>
      </c>
    </row>
    <row r="1847" spans="1:9" x14ac:dyDescent="0.3">
      <c r="A1847" t="str">
        <f>FO_Capture!A1847</f>
        <v>TRD01846</v>
      </c>
      <c r="B1847" t="str">
        <f>FO_Capture!B1847</f>
        <v>INE005A01059</v>
      </c>
      <c r="C1847" t="str">
        <f>IFERROR(VLOOKUP(FO_Capture!C1847, Reference_Data!A:D, 2, FALSE), "UNKNOWN")</f>
        <v>Alpha Capital 7</v>
      </c>
      <c r="D1847" t="str">
        <f>IFERROR(VLOOKUP(FO_Capture!C1847, Reference_Data!A:D, 3, FALSE), "XXX")</f>
        <v>INR</v>
      </c>
      <c r="E1847" t="str">
        <f>IFERROR(VLOOKUP(FO_Capture!C1847, Reference_Data!A:D, 4, FALSE), "MISSING SSI")</f>
        <v>Standard Chartered A/C 682134</v>
      </c>
      <c r="F1847">
        <f>FO_Capture!D1847</f>
        <v>150</v>
      </c>
      <c r="G1847">
        <f>FO_Capture!E1847</f>
        <v>140.33000183105469</v>
      </c>
      <c r="H1847">
        <f t="shared" si="56"/>
        <v>21049.500274658203</v>
      </c>
      <c r="I1847" t="str">
        <f t="shared" si="57"/>
        <v>Pass - Ready for Confirmation</v>
      </c>
    </row>
    <row r="1848" spans="1:9" x14ac:dyDescent="0.3">
      <c r="A1848" t="str">
        <f>FO_Capture!A1848</f>
        <v>TRD01847</v>
      </c>
      <c r="B1848" t="str">
        <f>FO_Capture!B1848</f>
        <v>INE008A0102</v>
      </c>
      <c r="C1848" t="str">
        <f>IFERROR(VLOOKUP(FO_Capture!C1848, Reference_Data!A:D, 2, FALSE), "UNKNOWN")</f>
        <v>Alpha Global 20</v>
      </c>
      <c r="D1848" t="str">
        <f>IFERROR(VLOOKUP(FO_Capture!C1848, Reference_Data!A:D, 3, FALSE), "XXX")</f>
        <v>JPY</v>
      </c>
      <c r="E1848" t="str">
        <f>IFERROR(VLOOKUP(FO_Capture!C1848, Reference_Data!A:D, 4, FALSE), "MISSING SSI")</f>
        <v>Barclays A/C 560891</v>
      </c>
      <c r="F1848">
        <f>FO_Capture!D1848</f>
        <v>500</v>
      </c>
      <c r="G1848">
        <f>FO_Capture!E1848</f>
        <v>289.14999389648438</v>
      </c>
      <c r="H1848">
        <f t="shared" si="56"/>
        <v>144574.99694824219</v>
      </c>
      <c r="I1848" t="str">
        <f t="shared" si="57"/>
        <v>Pass - Ready for Confirmation</v>
      </c>
    </row>
    <row r="1849" spans="1:9" x14ac:dyDescent="0.3">
      <c r="A1849" t="str">
        <f>FO_Capture!A1849</f>
        <v>TRD01848</v>
      </c>
      <c r="B1849" t="str">
        <f>FO_Capture!B1849</f>
        <v>INE002A01086</v>
      </c>
      <c r="C1849" t="str">
        <f>IFERROR(VLOOKUP(FO_Capture!C1849, Reference_Data!A:D, 2, FALSE), "UNKNOWN")</f>
        <v>Alpha Asset Management 31</v>
      </c>
      <c r="D1849" t="str">
        <f>IFERROR(VLOOKUP(FO_Capture!C1849, Reference_Data!A:D, 3, FALSE), "XXX")</f>
        <v>USD</v>
      </c>
      <c r="E1849" t="str">
        <f>IFERROR(VLOOKUP(FO_Capture!C1849, Reference_Data!A:D, 4, FALSE), "MISSING SSI")</f>
        <v>Citi A/C 194841</v>
      </c>
      <c r="F1849">
        <f>FO_Capture!D1849</f>
        <v>160</v>
      </c>
      <c r="G1849">
        <f>FO_Capture!E1849</f>
        <v>190.77999877929688</v>
      </c>
      <c r="H1849">
        <f t="shared" si="56"/>
        <v>30524.7998046875</v>
      </c>
      <c r="I1849" t="str">
        <f t="shared" si="57"/>
        <v>Pass - Ready for Confirmation</v>
      </c>
    </row>
    <row r="1850" spans="1:9" x14ac:dyDescent="0.3">
      <c r="A1850" t="str">
        <f>FO_Capture!A1850</f>
        <v>TRD01849</v>
      </c>
      <c r="B1850" t="str">
        <f>FO_Capture!B1850</f>
        <v>INE009A01018</v>
      </c>
      <c r="C1850" t="str">
        <f>IFERROR(VLOOKUP(FO_Capture!C1850, Reference_Data!A:D, 2, FALSE), "UNKNOWN")</f>
        <v>Alpha Asset Management 5</v>
      </c>
      <c r="D1850" t="str">
        <f>IFERROR(VLOOKUP(FO_Capture!C1850, Reference_Data!A:D, 3, FALSE), "XXX")</f>
        <v>INR</v>
      </c>
      <c r="E1850" t="str">
        <f>IFERROR(VLOOKUP(FO_Capture!C1850, Reference_Data!A:D, 4, FALSE), "MISSING SSI")</f>
        <v>JPMorgan A/C 860462</v>
      </c>
      <c r="F1850">
        <f>FO_Capture!D1850</f>
        <v>280</v>
      </c>
      <c r="G1850">
        <f>FO_Capture!E1850</f>
        <v>125.73999786376953</v>
      </c>
      <c r="H1850">
        <f t="shared" si="56"/>
        <v>35207.199401855469</v>
      </c>
      <c r="I1850" t="str">
        <f t="shared" si="57"/>
        <v>Pass - Ready for Confirmation</v>
      </c>
    </row>
    <row r="1851" spans="1:9" x14ac:dyDescent="0.3">
      <c r="A1851" t="str">
        <f>FO_Capture!A1851</f>
        <v>TRD01850</v>
      </c>
      <c r="B1851" t="str">
        <f>FO_Capture!B1851</f>
        <v>INE001A0100</v>
      </c>
      <c r="C1851" t="str">
        <f>IFERROR(VLOOKUP(FO_Capture!C1851, Reference_Data!A:D, 2, FALSE), "UNKNOWN")</f>
        <v>Alpha Investments 15</v>
      </c>
      <c r="D1851" t="str">
        <f>IFERROR(VLOOKUP(FO_Capture!C1851, Reference_Data!A:D, 3, FALSE), "XXX")</f>
        <v>INR</v>
      </c>
      <c r="E1851" t="str">
        <f>IFERROR(VLOOKUP(FO_Capture!C1851, Reference_Data!A:D, 4, FALSE), "MISSING SSI")</f>
        <v>Deutsche Bank A/C 330518</v>
      </c>
      <c r="F1851">
        <f>FO_Capture!D1851</f>
        <v>120</v>
      </c>
      <c r="G1851">
        <f>FO_Capture!E1851</f>
        <v>69.870002746582031</v>
      </c>
      <c r="H1851">
        <f t="shared" si="56"/>
        <v>8384.4003295898438</v>
      </c>
      <c r="I1851" t="str">
        <f t="shared" si="57"/>
        <v>Pass - Ready for Confirmation</v>
      </c>
    </row>
    <row r="1852" spans="1:9" x14ac:dyDescent="0.3">
      <c r="A1852" t="str">
        <f>FO_Capture!A1852</f>
        <v>TRD01851</v>
      </c>
      <c r="B1852" t="str">
        <f>FO_Capture!B1852</f>
        <v>INE002A01087</v>
      </c>
      <c r="C1852" t="str">
        <f>IFERROR(VLOOKUP(FO_Capture!C1852, Reference_Data!A:D, 2, FALSE), "UNKNOWN")</f>
        <v>Alpha Investments 15</v>
      </c>
      <c r="D1852" t="str">
        <f>IFERROR(VLOOKUP(FO_Capture!C1852, Reference_Data!A:D, 3, FALSE), "XXX")</f>
        <v>INR</v>
      </c>
      <c r="E1852" t="str">
        <f>IFERROR(VLOOKUP(FO_Capture!C1852, Reference_Data!A:D, 4, FALSE), "MISSING SSI")</f>
        <v>Deutsche Bank A/C 330518</v>
      </c>
      <c r="F1852">
        <f>FO_Capture!D1852</f>
        <v>280</v>
      </c>
      <c r="G1852">
        <f>FO_Capture!E1852</f>
        <v>444.30999755859375</v>
      </c>
      <c r="H1852">
        <f t="shared" si="56"/>
        <v>124406.79931640625</v>
      </c>
      <c r="I1852" t="str">
        <f t="shared" si="57"/>
        <v>Pass - Ready for Confirmation</v>
      </c>
    </row>
    <row r="1853" spans="1:9" x14ac:dyDescent="0.3">
      <c r="A1853" t="str">
        <f>FO_Capture!A1853</f>
        <v>TRD01852</v>
      </c>
      <c r="B1853" t="str">
        <f>FO_Capture!B1853</f>
        <v>INE003A01042</v>
      </c>
      <c r="C1853" t="str">
        <f>IFERROR(VLOOKUP(FO_Capture!C1853, Reference_Data!A:D, 2, FALSE), "UNKNOWN")</f>
        <v>Alpha Holdings 16</v>
      </c>
      <c r="D1853" t="str">
        <f>IFERROR(VLOOKUP(FO_Capture!C1853, Reference_Data!A:D, 3, FALSE), "XXX")</f>
        <v>USD</v>
      </c>
      <c r="E1853" t="str">
        <f>IFERROR(VLOOKUP(FO_Capture!C1853, Reference_Data!A:D, 4, FALSE), "MISSING SSI")</f>
        <v>Barclays A/C 197229</v>
      </c>
      <c r="F1853">
        <f>FO_Capture!D1853</f>
        <v>490</v>
      </c>
      <c r="G1853">
        <f>FO_Capture!E1853</f>
        <v>365.5</v>
      </c>
      <c r="H1853">
        <f t="shared" si="56"/>
        <v>179095</v>
      </c>
      <c r="I1853" t="str">
        <f t="shared" si="57"/>
        <v>Pass - Ready for Confirmation</v>
      </c>
    </row>
    <row r="1854" spans="1:9" x14ac:dyDescent="0.3">
      <c r="A1854" t="str">
        <f>FO_Capture!A1854</f>
        <v>TRD01853</v>
      </c>
      <c r="B1854" t="str">
        <f>FO_Capture!B1854</f>
        <v>INE001A01070</v>
      </c>
      <c r="C1854" t="str">
        <f>IFERROR(VLOOKUP(FO_Capture!C1854, Reference_Data!A:D, 2, FALSE), "UNKNOWN")</f>
        <v>Alpha Capital 11</v>
      </c>
      <c r="D1854" t="str">
        <f>IFERROR(VLOOKUP(FO_Capture!C1854, Reference_Data!A:D, 3, FALSE), "XXX")</f>
        <v>USD</v>
      </c>
      <c r="E1854" t="str">
        <f>IFERROR(VLOOKUP(FO_Capture!C1854, Reference_Data!A:D, 4, FALSE), "MISSING SSI")</f>
        <v>JPMorgan A/C 987170</v>
      </c>
      <c r="F1854">
        <f>FO_Capture!D1854</f>
        <v>290</v>
      </c>
      <c r="G1854">
        <f>FO_Capture!E1854</f>
        <v>395.22000122070313</v>
      </c>
      <c r="H1854">
        <f t="shared" si="56"/>
        <v>114613.80035400391</v>
      </c>
      <c r="I1854" t="str">
        <f t="shared" si="57"/>
        <v>Pass - Ready for Confirmation</v>
      </c>
    </row>
    <row r="1855" spans="1:9" x14ac:dyDescent="0.3">
      <c r="A1855" t="str">
        <f>FO_Capture!A1855</f>
        <v>TRD01854</v>
      </c>
      <c r="B1855" t="str">
        <f>FO_Capture!B1855</f>
        <v>INE006A01084</v>
      </c>
      <c r="C1855" t="str">
        <f>IFERROR(VLOOKUP(FO_Capture!C1855, Reference_Data!A:D, 2, FALSE), "UNKNOWN")</f>
        <v>Alpha Global 2</v>
      </c>
      <c r="D1855" t="str">
        <f>IFERROR(VLOOKUP(FO_Capture!C1855, Reference_Data!A:D, 3, FALSE), "XXX")</f>
        <v>GBP</v>
      </c>
      <c r="E1855" t="str">
        <f>IFERROR(VLOOKUP(FO_Capture!C1855, Reference_Data!A:D, 4, FALSE), "MISSING SSI")</f>
        <v>JPMorgan A/C 582379</v>
      </c>
      <c r="F1855">
        <f>FO_Capture!D1855</f>
        <v>360</v>
      </c>
      <c r="G1855">
        <f>FO_Capture!E1855</f>
        <v>290.54998779296875</v>
      </c>
      <c r="H1855">
        <f t="shared" si="56"/>
        <v>104597.99560546875</v>
      </c>
      <c r="I1855" t="str">
        <f t="shared" si="57"/>
        <v>Pass - Ready for Confirmation</v>
      </c>
    </row>
    <row r="1856" spans="1:9" x14ac:dyDescent="0.3">
      <c r="A1856" t="str">
        <f>FO_Capture!A1856</f>
        <v>TRD01855</v>
      </c>
      <c r="B1856" t="str">
        <f>FO_Capture!B1856</f>
        <v>INE001A01048</v>
      </c>
      <c r="C1856" t="str">
        <f>IFERROR(VLOOKUP(FO_Capture!C1856, Reference_Data!A:D, 2, FALSE), "UNKNOWN")</f>
        <v>Alpha Partners 19</v>
      </c>
      <c r="D1856" t="str">
        <f>IFERROR(VLOOKUP(FO_Capture!C1856, Reference_Data!A:D, 3, FALSE), "XXX")</f>
        <v>INR</v>
      </c>
      <c r="E1856" t="str">
        <f>IFERROR(VLOOKUP(FO_Capture!C1856, Reference_Data!A:D, 4, FALSE), "MISSING SSI")</f>
        <v>Citi A/C 543819</v>
      </c>
      <c r="F1856">
        <f>FO_Capture!D1856</f>
        <v>220</v>
      </c>
      <c r="G1856">
        <f>FO_Capture!E1856</f>
        <v>253.8800048828125</v>
      </c>
      <c r="H1856">
        <f t="shared" si="56"/>
        <v>55853.60107421875</v>
      </c>
      <c r="I1856" t="str">
        <f t="shared" si="57"/>
        <v>Pass - Ready for Confirmation</v>
      </c>
    </row>
    <row r="1857" spans="1:9" x14ac:dyDescent="0.3">
      <c r="A1857" t="str">
        <f>FO_Capture!A1857</f>
        <v>TRD01856</v>
      </c>
      <c r="B1857" t="str">
        <f>FO_Capture!B1857</f>
        <v>INE006A01024</v>
      </c>
      <c r="C1857" t="str">
        <f>IFERROR(VLOOKUP(FO_Capture!C1857, Reference_Data!A:D, 2, FALSE), "UNKNOWN")</f>
        <v>Alpha Global 2</v>
      </c>
      <c r="D1857" t="str">
        <f>IFERROR(VLOOKUP(FO_Capture!C1857, Reference_Data!A:D, 3, FALSE), "XXX")</f>
        <v>GBP</v>
      </c>
      <c r="E1857" t="str">
        <f>IFERROR(VLOOKUP(FO_Capture!C1857, Reference_Data!A:D, 4, FALSE), "MISSING SSI")</f>
        <v>JPMorgan A/C 582379</v>
      </c>
      <c r="F1857">
        <f>FO_Capture!D1857</f>
        <v>470</v>
      </c>
      <c r="G1857">
        <f>FO_Capture!E1857</f>
        <v>182.91999816894531</v>
      </c>
      <c r="H1857">
        <f t="shared" si="56"/>
        <v>85972.399139404297</v>
      </c>
      <c r="I1857" t="str">
        <f t="shared" si="57"/>
        <v>Pass - Ready for Confirmation</v>
      </c>
    </row>
    <row r="1858" spans="1:9" x14ac:dyDescent="0.3">
      <c r="A1858" t="str">
        <f>FO_Capture!A1858</f>
        <v>TRD01857</v>
      </c>
      <c r="B1858" t="str">
        <f>FO_Capture!B1858</f>
        <v>INE005A01029</v>
      </c>
      <c r="C1858" t="str">
        <f>IFERROR(VLOOKUP(FO_Capture!C1858, Reference_Data!A:D, 2, FALSE), "UNKNOWN")</f>
        <v>Alpha Quant Fund 24</v>
      </c>
      <c r="D1858" t="str">
        <f>IFERROR(VLOOKUP(FO_Capture!C1858, Reference_Data!A:D, 3, FALSE), "XXX")</f>
        <v>SGD</v>
      </c>
      <c r="E1858" t="str">
        <f>IFERROR(VLOOKUP(FO_Capture!C1858, Reference_Data!A:D, 4, FALSE), "MISSING SSI")</f>
        <v>JPMorgan A/C 603587</v>
      </c>
      <c r="F1858">
        <f>FO_Capture!D1858</f>
        <v>90</v>
      </c>
      <c r="G1858">
        <f>FO_Capture!E1858</f>
        <v>420.67999267578125</v>
      </c>
      <c r="H1858">
        <f t="shared" si="56"/>
        <v>37861.199340820313</v>
      </c>
      <c r="I1858" t="str">
        <f t="shared" si="57"/>
        <v>Pass - Ready for Confirmation</v>
      </c>
    </row>
    <row r="1859" spans="1:9" x14ac:dyDescent="0.3">
      <c r="A1859" t="str">
        <f>FO_Capture!A1859</f>
        <v>TRD01858</v>
      </c>
      <c r="B1859" t="str">
        <f>FO_Capture!B1859</f>
        <v>INE009A01080</v>
      </c>
      <c r="C1859" t="str">
        <f>IFERROR(VLOOKUP(FO_Capture!C1859, Reference_Data!A:D, 2, FALSE), "UNKNOWN")</f>
        <v>Alpha Capital 11</v>
      </c>
      <c r="D1859" t="str">
        <f>IFERROR(VLOOKUP(FO_Capture!C1859, Reference_Data!A:D, 3, FALSE), "XXX")</f>
        <v>USD</v>
      </c>
      <c r="E1859" t="str">
        <f>IFERROR(VLOOKUP(FO_Capture!C1859, Reference_Data!A:D, 4, FALSE), "MISSING SSI")</f>
        <v>JPMorgan A/C 987170</v>
      </c>
      <c r="F1859">
        <f>FO_Capture!D1859</f>
        <v>160</v>
      </c>
      <c r="G1859">
        <f>FO_Capture!E1859</f>
        <v>505.489990234375</v>
      </c>
      <c r="H1859">
        <f t="shared" ref="H1859:H1922" si="58">F1859 * G1859</f>
        <v>80878.3984375</v>
      </c>
      <c r="I1859" t="str">
        <f t="shared" ref="I1859:I1922" si="59">IF(C1859="UNKNOWN", "Fail - Missing Ref Data", IF(OR(F1859&lt;=0, G1859&lt;=0), "Fail - Invalid Price/Qty", IF(H1859&gt;1000000, "Exception - Limit Breach", "Pass - Ready for Confirmation")))</f>
        <v>Pass - Ready for Confirmation</v>
      </c>
    </row>
    <row r="1860" spans="1:9" x14ac:dyDescent="0.3">
      <c r="A1860" t="str">
        <f>FO_Capture!A1860</f>
        <v>TRD01859</v>
      </c>
      <c r="B1860" t="str">
        <f>FO_Capture!B1860</f>
        <v>INE003A01048</v>
      </c>
      <c r="C1860" t="str">
        <f>IFERROR(VLOOKUP(FO_Capture!C1860, Reference_Data!A:D, 2, FALSE), "UNKNOWN")</f>
        <v>Alpha Partners 26</v>
      </c>
      <c r="D1860" t="str">
        <f>IFERROR(VLOOKUP(FO_Capture!C1860, Reference_Data!A:D, 3, FALSE), "XXX")</f>
        <v>USD</v>
      </c>
      <c r="E1860" t="str">
        <f>IFERROR(VLOOKUP(FO_Capture!C1860, Reference_Data!A:D, 4, FALSE), "MISSING SSI")</f>
        <v>HSBC A/C 867781</v>
      </c>
      <c r="F1860">
        <f>FO_Capture!D1860</f>
        <v>80</v>
      </c>
      <c r="G1860">
        <f>FO_Capture!E1860</f>
        <v>421</v>
      </c>
      <c r="H1860">
        <f t="shared" si="58"/>
        <v>33680</v>
      </c>
      <c r="I1860" t="str">
        <f t="shared" si="59"/>
        <v>Pass - Ready for Confirmation</v>
      </c>
    </row>
    <row r="1861" spans="1:9" x14ac:dyDescent="0.3">
      <c r="A1861" t="str">
        <f>FO_Capture!A1861</f>
        <v>TRD01860</v>
      </c>
      <c r="B1861" t="str">
        <f>FO_Capture!B1861</f>
        <v>INE002A0101</v>
      </c>
      <c r="C1861" t="str">
        <f>IFERROR(VLOOKUP(FO_Capture!C1861, Reference_Data!A:D, 2, FALSE), "UNKNOWN")</f>
        <v>Alpha Quant Fund 34</v>
      </c>
      <c r="D1861" t="str">
        <f>IFERROR(VLOOKUP(FO_Capture!C1861, Reference_Data!A:D, 3, FALSE), "XXX")</f>
        <v>JPY</v>
      </c>
      <c r="E1861" t="str">
        <f>IFERROR(VLOOKUP(FO_Capture!C1861, Reference_Data!A:D, 4, FALSE), "MISSING SSI")</f>
        <v>Citi A/C 837378</v>
      </c>
      <c r="F1861">
        <f>FO_Capture!D1861</f>
        <v>380</v>
      </c>
      <c r="G1861">
        <f>FO_Capture!E1861</f>
        <v>346.16000366210938</v>
      </c>
      <c r="H1861">
        <f t="shared" si="58"/>
        <v>131540.80139160156</v>
      </c>
      <c r="I1861" t="str">
        <f t="shared" si="59"/>
        <v>Pass - Ready for Confirmation</v>
      </c>
    </row>
    <row r="1862" spans="1:9" x14ac:dyDescent="0.3">
      <c r="A1862" t="str">
        <f>FO_Capture!A1862</f>
        <v>TRD01861</v>
      </c>
      <c r="B1862" t="str">
        <f>FO_Capture!B1862</f>
        <v>INE001A01061</v>
      </c>
      <c r="C1862" t="str">
        <f>IFERROR(VLOOKUP(FO_Capture!C1862, Reference_Data!A:D, 2, FALSE), "UNKNOWN")</f>
        <v>Alpha Partners 37</v>
      </c>
      <c r="D1862" t="str">
        <f>IFERROR(VLOOKUP(FO_Capture!C1862, Reference_Data!A:D, 3, FALSE), "XXX")</f>
        <v>JPY</v>
      </c>
      <c r="E1862" t="str">
        <f>IFERROR(VLOOKUP(FO_Capture!C1862, Reference_Data!A:D, 4, FALSE), "MISSING SSI")</f>
        <v>HSBC A/C 994063</v>
      </c>
      <c r="F1862">
        <f>FO_Capture!D1862</f>
        <v>450</v>
      </c>
      <c r="G1862">
        <f>FO_Capture!E1862</f>
        <v>405.239990234375</v>
      </c>
      <c r="H1862">
        <f t="shared" si="58"/>
        <v>182357.99560546875</v>
      </c>
      <c r="I1862" t="str">
        <f t="shared" si="59"/>
        <v>Pass - Ready for Confirmation</v>
      </c>
    </row>
    <row r="1863" spans="1:9" x14ac:dyDescent="0.3">
      <c r="A1863" t="str">
        <f>FO_Capture!A1863</f>
        <v>TRD01862</v>
      </c>
      <c r="B1863" t="str">
        <f>FO_Capture!B1863</f>
        <v>INE006A01053</v>
      </c>
      <c r="C1863" t="str">
        <f>IFERROR(VLOOKUP(FO_Capture!C1863, Reference_Data!A:D, 2, FALSE), "UNKNOWN")</f>
        <v>Alpha Investments 40</v>
      </c>
      <c r="D1863" t="str">
        <f>IFERROR(VLOOKUP(FO_Capture!C1863, Reference_Data!A:D, 3, FALSE), "XXX")</f>
        <v>GBP</v>
      </c>
      <c r="E1863" t="str">
        <f>IFERROR(VLOOKUP(FO_Capture!C1863, Reference_Data!A:D, 4, FALSE), "MISSING SSI")</f>
        <v>HDFC A/C 897530</v>
      </c>
      <c r="F1863">
        <f>FO_Capture!D1863</f>
        <v>260</v>
      </c>
      <c r="G1863">
        <f>FO_Capture!E1863</f>
        <v>417.82000732421875</v>
      </c>
      <c r="H1863">
        <f t="shared" si="58"/>
        <v>108633.20190429688</v>
      </c>
      <c r="I1863" t="str">
        <f t="shared" si="59"/>
        <v>Pass - Ready for Confirmation</v>
      </c>
    </row>
    <row r="1864" spans="1:9" x14ac:dyDescent="0.3">
      <c r="A1864" t="str">
        <f>FO_Capture!A1864</f>
        <v>TRD01863</v>
      </c>
      <c r="B1864" t="str">
        <f>FO_Capture!B1864</f>
        <v>INE005A01053</v>
      </c>
      <c r="C1864" t="str">
        <f>IFERROR(VLOOKUP(FO_Capture!C1864, Reference_Data!A:D, 2, FALSE), "UNKNOWN")</f>
        <v>Alpha Asset Management 32</v>
      </c>
      <c r="D1864" t="str">
        <f>IFERROR(VLOOKUP(FO_Capture!C1864, Reference_Data!A:D, 3, FALSE), "XXX")</f>
        <v>INR</v>
      </c>
      <c r="E1864" t="str">
        <f>IFERROR(VLOOKUP(FO_Capture!C1864, Reference_Data!A:D, 4, FALSE), "MISSING SSI")</f>
        <v>Barclays A/C 302646</v>
      </c>
      <c r="F1864">
        <f>FO_Capture!D1864</f>
        <v>120</v>
      </c>
      <c r="G1864">
        <f>FO_Capture!E1864</f>
        <v>148.78999328613281</v>
      </c>
      <c r="H1864">
        <f t="shared" si="58"/>
        <v>17854.799194335938</v>
      </c>
      <c r="I1864" t="str">
        <f t="shared" si="59"/>
        <v>Pass - Ready for Confirmation</v>
      </c>
    </row>
    <row r="1865" spans="1:9" x14ac:dyDescent="0.3">
      <c r="A1865" t="str">
        <f>FO_Capture!A1865</f>
        <v>TRD01864</v>
      </c>
      <c r="B1865" t="str">
        <f>FO_Capture!B1865</f>
        <v>INE006A01036</v>
      </c>
      <c r="C1865" t="str">
        <f>IFERROR(VLOOKUP(FO_Capture!C1865, Reference_Data!A:D, 2, FALSE), "UNKNOWN")</f>
        <v>Alpha Asset Management 8</v>
      </c>
      <c r="D1865" t="str">
        <f>IFERROR(VLOOKUP(FO_Capture!C1865, Reference_Data!A:D, 3, FALSE), "XXX")</f>
        <v>GBP</v>
      </c>
      <c r="E1865" t="str">
        <f>IFERROR(VLOOKUP(FO_Capture!C1865, Reference_Data!A:D, 4, FALSE), "MISSING SSI")</f>
        <v>HDFC A/C 180445</v>
      </c>
      <c r="F1865">
        <f>FO_Capture!D1865</f>
        <v>490</v>
      </c>
      <c r="G1865">
        <f>FO_Capture!E1865</f>
        <v>58.349998474121094</v>
      </c>
      <c r="H1865">
        <f t="shared" si="58"/>
        <v>28591.499252319336</v>
      </c>
      <c r="I1865" t="str">
        <f t="shared" si="59"/>
        <v>Pass - Ready for Confirmation</v>
      </c>
    </row>
    <row r="1866" spans="1:9" x14ac:dyDescent="0.3">
      <c r="A1866" t="str">
        <f>FO_Capture!A1866</f>
        <v>TRD01865</v>
      </c>
      <c r="B1866" t="str">
        <f>FO_Capture!B1866</f>
        <v>INE006A01031</v>
      </c>
      <c r="C1866" t="str">
        <f>IFERROR(VLOOKUP(FO_Capture!C1866, Reference_Data!A:D, 2, FALSE), "UNKNOWN")</f>
        <v>Alpha Holdings 47</v>
      </c>
      <c r="D1866" t="str">
        <f>IFERROR(VLOOKUP(FO_Capture!C1866, Reference_Data!A:D, 3, FALSE), "XXX")</f>
        <v>GBP</v>
      </c>
      <c r="E1866" t="str">
        <f>IFERROR(VLOOKUP(FO_Capture!C1866, Reference_Data!A:D, 4, FALSE), "MISSING SSI")</f>
        <v>Citi A/C 703401</v>
      </c>
      <c r="F1866">
        <f>FO_Capture!D1866</f>
        <v>130</v>
      </c>
      <c r="G1866">
        <f>FO_Capture!E1866</f>
        <v>52.029998779296875</v>
      </c>
      <c r="H1866">
        <f t="shared" si="58"/>
        <v>6763.8998413085938</v>
      </c>
      <c r="I1866" t="str">
        <f t="shared" si="59"/>
        <v>Pass - Ready for Confirmation</v>
      </c>
    </row>
    <row r="1867" spans="1:9" x14ac:dyDescent="0.3">
      <c r="A1867" t="str">
        <f>FO_Capture!A1867</f>
        <v>TRD01866</v>
      </c>
      <c r="B1867" t="str">
        <f>FO_Capture!B1867</f>
        <v>INE007A01068</v>
      </c>
      <c r="C1867" t="str">
        <f>IFERROR(VLOOKUP(FO_Capture!C1867, Reference_Data!A:D, 2, FALSE), "UNKNOWN")</f>
        <v>Alpha Asset Management 32</v>
      </c>
      <c r="D1867" t="str">
        <f>IFERROR(VLOOKUP(FO_Capture!C1867, Reference_Data!A:D, 3, FALSE), "XXX")</f>
        <v>INR</v>
      </c>
      <c r="E1867" t="str">
        <f>IFERROR(VLOOKUP(FO_Capture!C1867, Reference_Data!A:D, 4, FALSE), "MISSING SSI")</f>
        <v>Barclays A/C 302646</v>
      </c>
      <c r="F1867">
        <f>FO_Capture!D1867</f>
        <v>430</v>
      </c>
      <c r="G1867">
        <f>FO_Capture!E1867</f>
        <v>230.66000366210938</v>
      </c>
      <c r="H1867">
        <f t="shared" si="58"/>
        <v>99183.801574707031</v>
      </c>
      <c r="I1867" t="str">
        <f t="shared" si="59"/>
        <v>Pass - Ready for Confirmation</v>
      </c>
    </row>
    <row r="1868" spans="1:9" x14ac:dyDescent="0.3">
      <c r="A1868" t="str">
        <f>FO_Capture!A1868</f>
        <v>TRD01867</v>
      </c>
      <c r="B1868" t="str">
        <f>FO_Capture!B1868</f>
        <v>INE006A01029</v>
      </c>
      <c r="C1868" t="str">
        <f>IFERROR(VLOOKUP(FO_Capture!C1868, Reference_Data!A:D, 2, FALSE), "UNKNOWN")</f>
        <v>UNKNOWN</v>
      </c>
      <c r="D1868" t="str">
        <f>IFERROR(VLOOKUP(FO_Capture!C1868, Reference_Data!A:D, 3, FALSE), "XXX")</f>
        <v>XXX</v>
      </c>
      <c r="E1868" t="str">
        <f>IFERROR(VLOOKUP(FO_Capture!C1868, Reference_Data!A:D, 4, FALSE), "MISSING SSI")</f>
        <v>MISSING SSI</v>
      </c>
      <c r="F1868">
        <f>FO_Capture!D1868</f>
        <v>330</v>
      </c>
      <c r="G1868">
        <f>FO_Capture!E1868</f>
        <v>129.94999694824219</v>
      </c>
      <c r="H1868">
        <f t="shared" si="58"/>
        <v>42883.498992919922</v>
      </c>
      <c r="I1868" t="str">
        <f t="shared" si="59"/>
        <v>Fail - Missing Ref Data</v>
      </c>
    </row>
    <row r="1869" spans="1:9" x14ac:dyDescent="0.3">
      <c r="A1869" t="str">
        <f>FO_Capture!A1869</f>
        <v>TRD01868</v>
      </c>
      <c r="B1869" t="str">
        <f>FO_Capture!B1869</f>
        <v>INE003A01071</v>
      </c>
      <c r="C1869" t="str">
        <f>IFERROR(VLOOKUP(FO_Capture!C1869, Reference_Data!A:D, 2, FALSE), "UNKNOWN")</f>
        <v>Alpha Global 39</v>
      </c>
      <c r="D1869" t="str">
        <f>IFERROR(VLOOKUP(FO_Capture!C1869, Reference_Data!A:D, 3, FALSE), "XXX")</f>
        <v>SGD</v>
      </c>
      <c r="E1869" t="str">
        <f>IFERROR(VLOOKUP(FO_Capture!C1869, Reference_Data!A:D, 4, FALSE), "MISSING SSI")</f>
        <v>Deutsche Bank A/C 917029</v>
      </c>
      <c r="F1869">
        <f>FO_Capture!D1869</f>
        <v>200</v>
      </c>
      <c r="G1869">
        <f>FO_Capture!E1869</f>
        <v>55.349998474121094</v>
      </c>
      <c r="H1869">
        <f t="shared" si="58"/>
        <v>11069.999694824219</v>
      </c>
      <c r="I1869" t="str">
        <f t="shared" si="59"/>
        <v>Pass - Ready for Confirmation</v>
      </c>
    </row>
    <row r="1870" spans="1:9" x14ac:dyDescent="0.3">
      <c r="A1870" t="str">
        <f>FO_Capture!A1870</f>
        <v>TRD01869</v>
      </c>
      <c r="B1870" t="str">
        <f>FO_Capture!B1870</f>
        <v>INE001A01096</v>
      </c>
      <c r="C1870" t="str">
        <f>IFERROR(VLOOKUP(FO_Capture!C1870, Reference_Data!A:D, 2, FALSE), "UNKNOWN")</f>
        <v>Alpha Quant Fund 24</v>
      </c>
      <c r="D1870" t="str">
        <f>IFERROR(VLOOKUP(FO_Capture!C1870, Reference_Data!A:D, 3, FALSE), "XXX")</f>
        <v>SGD</v>
      </c>
      <c r="E1870" t="str">
        <f>IFERROR(VLOOKUP(FO_Capture!C1870, Reference_Data!A:D, 4, FALSE), "MISSING SSI")</f>
        <v>JPMorgan A/C 603587</v>
      </c>
      <c r="F1870">
        <f>FO_Capture!D1870</f>
        <v>160</v>
      </c>
      <c r="G1870">
        <f>FO_Capture!E1870</f>
        <v>399</v>
      </c>
      <c r="H1870">
        <f t="shared" si="58"/>
        <v>63840</v>
      </c>
      <c r="I1870" t="str">
        <f t="shared" si="59"/>
        <v>Pass - Ready for Confirmation</v>
      </c>
    </row>
    <row r="1871" spans="1:9" x14ac:dyDescent="0.3">
      <c r="A1871" t="str">
        <f>FO_Capture!A1871</f>
        <v>TRD01870</v>
      </c>
      <c r="B1871" t="str">
        <f>FO_Capture!B1871</f>
        <v>INE001A01078</v>
      </c>
      <c r="C1871" t="str">
        <f>IFERROR(VLOOKUP(FO_Capture!C1871, Reference_Data!A:D, 2, FALSE), "UNKNOWN")</f>
        <v>Alpha Quant Fund 24</v>
      </c>
      <c r="D1871" t="str">
        <f>IFERROR(VLOOKUP(FO_Capture!C1871, Reference_Data!A:D, 3, FALSE), "XXX")</f>
        <v>SGD</v>
      </c>
      <c r="E1871" t="str">
        <f>IFERROR(VLOOKUP(FO_Capture!C1871, Reference_Data!A:D, 4, FALSE), "MISSING SSI")</f>
        <v>JPMorgan A/C 603587</v>
      </c>
      <c r="F1871">
        <f>FO_Capture!D1871</f>
        <v>360</v>
      </c>
      <c r="G1871">
        <f>FO_Capture!E1871</f>
        <v>450.20999145507813</v>
      </c>
      <c r="H1871">
        <f t="shared" si="58"/>
        <v>162075.59692382813</v>
      </c>
      <c r="I1871" t="str">
        <f t="shared" si="59"/>
        <v>Pass - Ready for Confirmation</v>
      </c>
    </row>
    <row r="1872" spans="1:9" x14ac:dyDescent="0.3">
      <c r="A1872" t="str">
        <f>FO_Capture!A1872</f>
        <v>TRD01871</v>
      </c>
      <c r="B1872" t="str">
        <f>FO_Capture!B1872</f>
        <v>INE003A01036</v>
      </c>
      <c r="C1872" t="str">
        <f>IFERROR(VLOOKUP(FO_Capture!C1872, Reference_Data!A:D, 2, FALSE), "UNKNOWN")</f>
        <v>Alpha Quant Fund 34</v>
      </c>
      <c r="D1872" t="str">
        <f>IFERROR(VLOOKUP(FO_Capture!C1872, Reference_Data!A:D, 3, FALSE), "XXX")</f>
        <v>JPY</v>
      </c>
      <c r="E1872" t="str">
        <f>IFERROR(VLOOKUP(FO_Capture!C1872, Reference_Data!A:D, 4, FALSE), "MISSING SSI")</f>
        <v>Citi A/C 837378</v>
      </c>
      <c r="F1872">
        <f>FO_Capture!D1872</f>
        <v>350</v>
      </c>
      <c r="G1872">
        <f>FO_Capture!E1872</f>
        <v>349.83999633789063</v>
      </c>
      <c r="H1872">
        <f t="shared" si="58"/>
        <v>122443.99871826172</v>
      </c>
      <c r="I1872" t="str">
        <f t="shared" si="59"/>
        <v>Pass - Ready for Confirmation</v>
      </c>
    </row>
    <row r="1873" spans="1:9" x14ac:dyDescent="0.3">
      <c r="A1873" t="str">
        <f>FO_Capture!A1873</f>
        <v>TRD01872</v>
      </c>
      <c r="B1873" t="str">
        <f>FO_Capture!B1873</f>
        <v>INE002A01025</v>
      </c>
      <c r="C1873" t="str">
        <f>IFERROR(VLOOKUP(FO_Capture!C1873, Reference_Data!A:D, 2, FALSE), "UNKNOWN")</f>
        <v>Alpha Capital 44</v>
      </c>
      <c r="D1873" t="str">
        <f>IFERROR(VLOOKUP(FO_Capture!C1873, Reference_Data!A:D, 3, FALSE), "XXX")</f>
        <v>INR</v>
      </c>
      <c r="E1873" t="str">
        <f>IFERROR(VLOOKUP(FO_Capture!C1873, Reference_Data!A:D, 4, FALSE), "MISSING SSI")</f>
        <v>Deutsche Bank A/C 428758</v>
      </c>
      <c r="F1873">
        <f>FO_Capture!D1873</f>
        <v>290</v>
      </c>
      <c r="G1873">
        <f>FO_Capture!E1873</f>
        <v>340.32998657226563</v>
      </c>
      <c r="H1873">
        <f t="shared" si="58"/>
        <v>98695.696105957031</v>
      </c>
      <c r="I1873" t="str">
        <f t="shared" si="59"/>
        <v>Pass - Ready for Confirmation</v>
      </c>
    </row>
    <row r="1874" spans="1:9" x14ac:dyDescent="0.3">
      <c r="A1874" t="str">
        <f>FO_Capture!A1874</f>
        <v>TRD01873</v>
      </c>
      <c r="B1874" t="str">
        <f>FO_Capture!B1874</f>
        <v>INE008A01080</v>
      </c>
      <c r="C1874" t="str">
        <f>IFERROR(VLOOKUP(FO_Capture!C1874, Reference_Data!A:D, 2, FALSE), "UNKNOWN")</f>
        <v>Alpha Partners 19</v>
      </c>
      <c r="D1874" t="str">
        <f>IFERROR(VLOOKUP(FO_Capture!C1874, Reference_Data!A:D, 3, FALSE), "XXX")</f>
        <v>INR</v>
      </c>
      <c r="E1874" t="str">
        <f>IFERROR(VLOOKUP(FO_Capture!C1874, Reference_Data!A:D, 4, FALSE), "MISSING SSI")</f>
        <v>Citi A/C 543819</v>
      </c>
      <c r="F1874">
        <f>FO_Capture!D1874</f>
        <v>240</v>
      </c>
      <c r="G1874">
        <f>FO_Capture!E1874</f>
        <v>15.680000305175781</v>
      </c>
      <c r="H1874">
        <f t="shared" si="58"/>
        <v>3763.2000732421875</v>
      </c>
      <c r="I1874" t="str">
        <f t="shared" si="59"/>
        <v>Pass - Ready for Confirmation</v>
      </c>
    </row>
    <row r="1875" spans="1:9" x14ac:dyDescent="0.3">
      <c r="A1875" t="str">
        <f>FO_Capture!A1875</f>
        <v>TRD01874</v>
      </c>
      <c r="B1875" t="str">
        <f>FO_Capture!B1875</f>
        <v>INE003A01071</v>
      </c>
      <c r="C1875" t="str">
        <f>IFERROR(VLOOKUP(FO_Capture!C1875, Reference_Data!A:D, 2, FALSE), "UNKNOWN")</f>
        <v>Alpha Partners 18</v>
      </c>
      <c r="D1875" t="str">
        <f>IFERROR(VLOOKUP(FO_Capture!C1875, Reference_Data!A:D, 3, FALSE), "XXX")</f>
        <v>INR</v>
      </c>
      <c r="E1875" t="str">
        <f>IFERROR(VLOOKUP(FO_Capture!C1875, Reference_Data!A:D, 4, FALSE), "MISSING SSI")</f>
        <v>JPMorgan A/C 704166</v>
      </c>
      <c r="F1875">
        <f>FO_Capture!D1875</f>
        <v>370</v>
      </c>
      <c r="G1875">
        <f>FO_Capture!E1875</f>
        <v>71.430000305175781</v>
      </c>
      <c r="H1875">
        <f t="shared" si="58"/>
        <v>26429.100112915039</v>
      </c>
      <c r="I1875" t="str">
        <f t="shared" si="59"/>
        <v>Pass - Ready for Confirmation</v>
      </c>
    </row>
    <row r="1876" spans="1:9" x14ac:dyDescent="0.3">
      <c r="A1876" t="str">
        <f>FO_Capture!A1876</f>
        <v>TRD01875</v>
      </c>
      <c r="B1876" t="str">
        <f>FO_Capture!B1876</f>
        <v>INE007A01050</v>
      </c>
      <c r="C1876" t="str">
        <f>IFERROR(VLOOKUP(FO_Capture!C1876, Reference_Data!A:D, 2, FALSE), "UNKNOWN")</f>
        <v>Alpha Quant Fund 27</v>
      </c>
      <c r="D1876" t="str">
        <f>IFERROR(VLOOKUP(FO_Capture!C1876, Reference_Data!A:D, 3, FALSE), "XXX")</f>
        <v>EUR</v>
      </c>
      <c r="E1876" t="str">
        <f>IFERROR(VLOOKUP(FO_Capture!C1876, Reference_Data!A:D, 4, FALSE), "MISSING SSI")</f>
        <v>Standard Chartered A/C 331839</v>
      </c>
      <c r="F1876">
        <f>FO_Capture!D1876</f>
        <v>260</v>
      </c>
      <c r="G1876">
        <f>FO_Capture!E1876</f>
        <v>54.709999084472656</v>
      </c>
      <c r="H1876">
        <f t="shared" si="58"/>
        <v>14224.599761962891</v>
      </c>
      <c r="I1876" t="str">
        <f t="shared" si="59"/>
        <v>Pass - Ready for Confirmation</v>
      </c>
    </row>
    <row r="1877" spans="1:9" x14ac:dyDescent="0.3">
      <c r="A1877" t="str">
        <f>FO_Capture!A1877</f>
        <v>TRD01876</v>
      </c>
      <c r="B1877" t="str">
        <f>FO_Capture!B1877</f>
        <v>INE004A0102</v>
      </c>
      <c r="C1877" t="str">
        <f>IFERROR(VLOOKUP(FO_Capture!C1877, Reference_Data!A:D, 2, FALSE), "UNKNOWN")</f>
        <v>Alpha Global 28</v>
      </c>
      <c r="D1877" t="str">
        <f>IFERROR(VLOOKUP(FO_Capture!C1877, Reference_Data!A:D, 3, FALSE), "XXX")</f>
        <v>USD</v>
      </c>
      <c r="E1877" t="str">
        <f>IFERROR(VLOOKUP(FO_Capture!C1877, Reference_Data!A:D, 4, FALSE), "MISSING SSI")</f>
        <v>HDFC A/C 638209</v>
      </c>
      <c r="F1877">
        <f>FO_Capture!D1877</f>
        <v>100</v>
      </c>
      <c r="G1877">
        <f>FO_Capture!E1877</f>
        <v>114.20999908447266</v>
      </c>
      <c r="H1877">
        <f t="shared" si="58"/>
        <v>11420.999908447266</v>
      </c>
      <c r="I1877" t="str">
        <f t="shared" si="59"/>
        <v>Pass - Ready for Confirmation</v>
      </c>
    </row>
    <row r="1878" spans="1:9" x14ac:dyDescent="0.3">
      <c r="A1878" t="str">
        <f>FO_Capture!A1878</f>
        <v>TRD01877</v>
      </c>
      <c r="B1878" t="str">
        <f>FO_Capture!B1878</f>
        <v>INE001A01093</v>
      </c>
      <c r="C1878" t="str">
        <f>IFERROR(VLOOKUP(FO_Capture!C1878, Reference_Data!A:D, 2, FALSE), "UNKNOWN")</f>
        <v>Alpha Holdings 23</v>
      </c>
      <c r="D1878" t="str">
        <f>IFERROR(VLOOKUP(FO_Capture!C1878, Reference_Data!A:D, 3, FALSE), "XXX")</f>
        <v>INR</v>
      </c>
      <c r="E1878" t="str">
        <f>IFERROR(VLOOKUP(FO_Capture!C1878, Reference_Data!A:D, 4, FALSE), "MISSING SSI")</f>
        <v>Deutsche Bank A/C 983712</v>
      </c>
      <c r="F1878">
        <f>FO_Capture!D1878</f>
        <v>490</v>
      </c>
      <c r="G1878">
        <f>FO_Capture!E1878</f>
        <v>250.14999389648438</v>
      </c>
      <c r="H1878">
        <f t="shared" si="58"/>
        <v>122573.49700927734</v>
      </c>
      <c r="I1878" t="str">
        <f t="shared" si="59"/>
        <v>Pass - Ready for Confirmation</v>
      </c>
    </row>
    <row r="1879" spans="1:9" x14ac:dyDescent="0.3">
      <c r="A1879" t="str">
        <f>FO_Capture!A1879</f>
        <v>TRD01878</v>
      </c>
      <c r="B1879" t="str">
        <f>FO_Capture!B1879</f>
        <v>INE009A01027</v>
      </c>
      <c r="C1879" t="str">
        <f>IFERROR(VLOOKUP(FO_Capture!C1879, Reference_Data!A:D, 2, FALSE), "UNKNOWN")</f>
        <v>Alpha Holdings 16</v>
      </c>
      <c r="D1879" t="str">
        <f>IFERROR(VLOOKUP(FO_Capture!C1879, Reference_Data!A:D, 3, FALSE), "XXX")</f>
        <v>USD</v>
      </c>
      <c r="E1879" t="str">
        <f>IFERROR(VLOOKUP(FO_Capture!C1879, Reference_Data!A:D, 4, FALSE), "MISSING SSI")</f>
        <v>Barclays A/C 197229</v>
      </c>
      <c r="F1879">
        <f>FO_Capture!D1879</f>
        <v>130</v>
      </c>
      <c r="G1879">
        <f>FO_Capture!E1879</f>
        <v>64.360000610351563</v>
      </c>
      <c r="H1879">
        <f t="shared" si="58"/>
        <v>8366.8000793457031</v>
      </c>
      <c r="I1879" t="str">
        <f t="shared" si="59"/>
        <v>Pass - Ready for Confirmation</v>
      </c>
    </row>
    <row r="1880" spans="1:9" x14ac:dyDescent="0.3">
      <c r="A1880" t="str">
        <f>FO_Capture!A1880</f>
        <v>TRD01879</v>
      </c>
      <c r="B1880" t="str">
        <f>FO_Capture!B1880</f>
        <v>INE002A01083</v>
      </c>
      <c r="C1880" t="str">
        <f>IFERROR(VLOOKUP(FO_Capture!C1880, Reference_Data!A:D, 2, FALSE), "UNKNOWN")</f>
        <v>Alpha Asset Management 31</v>
      </c>
      <c r="D1880" t="str">
        <f>IFERROR(VLOOKUP(FO_Capture!C1880, Reference_Data!A:D, 3, FALSE), "XXX")</f>
        <v>USD</v>
      </c>
      <c r="E1880" t="str">
        <f>IFERROR(VLOOKUP(FO_Capture!C1880, Reference_Data!A:D, 4, FALSE), "MISSING SSI")</f>
        <v>Citi A/C 194841</v>
      </c>
      <c r="F1880">
        <f>FO_Capture!D1880</f>
        <v>120</v>
      </c>
      <c r="G1880">
        <f>FO_Capture!E1880</f>
        <v>10.199999809265137</v>
      </c>
      <c r="H1880">
        <f t="shared" si="58"/>
        <v>1223.9999771118164</v>
      </c>
      <c r="I1880" t="str">
        <f t="shared" si="59"/>
        <v>Pass - Ready for Confirmation</v>
      </c>
    </row>
    <row r="1881" spans="1:9" x14ac:dyDescent="0.3">
      <c r="A1881" t="str">
        <f>FO_Capture!A1881</f>
        <v>TRD01880</v>
      </c>
      <c r="B1881" t="str">
        <f>FO_Capture!B1881</f>
        <v>INE004A01080</v>
      </c>
      <c r="C1881" t="str">
        <f>IFERROR(VLOOKUP(FO_Capture!C1881, Reference_Data!A:D, 2, FALSE), "UNKNOWN")</f>
        <v>Alpha Holdings 41</v>
      </c>
      <c r="D1881" t="str">
        <f>IFERROR(VLOOKUP(FO_Capture!C1881, Reference_Data!A:D, 3, FALSE), "XXX")</f>
        <v>JPY</v>
      </c>
      <c r="E1881" t="str">
        <f>IFERROR(VLOOKUP(FO_Capture!C1881, Reference_Data!A:D, 4, FALSE), "MISSING SSI")</f>
        <v>HSBC A/C 468615</v>
      </c>
      <c r="F1881">
        <f>FO_Capture!D1881</f>
        <v>200</v>
      </c>
      <c r="G1881">
        <f>FO_Capture!E1881</f>
        <v>142.60000610351563</v>
      </c>
      <c r="H1881">
        <f t="shared" si="58"/>
        <v>28520.001220703125</v>
      </c>
      <c r="I1881" t="str">
        <f t="shared" si="59"/>
        <v>Pass - Ready for Confirmation</v>
      </c>
    </row>
    <row r="1882" spans="1:9" x14ac:dyDescent="0.3">
      <c r="A1882" t="str">
        <f>FO_Capture!A1882</f>
        <v>TRD01881</v>
      </c>
      <c r="B1882" t="str">
        <f>FO_Capture!B1882</f>
        <v>INE009A01016</v>
      </c>
      <c r="C1882" t="str">
        <f>IFERROR(VLOOKUP(FO_Capture!C1882, Reference_Data!A:D, 2, FALSE), "UNKNOWN")</f>
        <v>Alpha Investments 40</v>
      </c>
      <c r="D1882" t="str">
        <f>IFERROR(VLOOKUP(FO_Capture!C1882, Reference_Data!A:D, 3, FALSE), "XXX")</f>
        <v>GBP</v>
      </c>
      <c r="E1882" t="str">
        <f>IFERROR(VLOOKUP(FO_Capture!C1882, Reference_Data!A:D, 4, FALSE), "MISSING SSI")</f>
        <v>HDFC A/C 897530</v>
      </c>
      <c r="F1882">
        <f>FO_Capture!D1882</f>
        <v>480</v>
      </c>
      <c r="G1882">
        <f>FO_Capture!E1882</f>
        <v>368.04998779296875</v>
      </c>
      <c r="H1882">
        <f t="shared" si="58"/>
        <v>176663.994140625</v>
      </c>
      <c r="I1882" t="str">
        <f t="shared" si="59"/>
        <v>Pass - Ready for Confirmation</v>
      </c>
    </row>
    <row r="1883" spans="1:9" x14ac:dyDescent="0.3">
      <c r="A1883" t="str">
        <f>FO_Capture!A1883</f>
        <v>TRD01882</v>
      </c>
      <c r="B1883" t="str">
        <f>FO_Capture!B1883</f>
        <v>INE006A01022</v>
      </c>
      <c r="C1883" t="str">
        <f>IFERROR(VLOOKUP(FO_Capture!C1883, Reference_Data!A:D, 2, FALSE), "UNKNOWN")</f>
        <v>Alpha Global 20</v>
      </c>
      <c r="D1883" t="str">
        <f>IFERROR(VLOOKUP(FO_Capture!C1883, Reference_Data!A:D, 3, FALSE), "XXX")</f>
        <v>JPY</v>
      </c>
      <c r="E1883" t="str">
        <f>IFERROR(VLOOKUP(FO_Capture!C1883, Reference_Data!A:D, 4, FALSE), "MISSING SSI")</f>
        <v>Barclays A/C 560891</v>
      </c>
      <c r="F1883">
        <f>FO_Capture!D1883</f>
        <v>210</v>
      </c>
      <c r="G1883">
        <f>FO_Capture!E1883</f>
        <v>194.6199951171875</v>
      </c>
      <c r="H1883">
        <f t="shared" si="58"/>
        <v>40870.198974609375</v>
      </c>
      <c r="I1883" t="str">
        <f t="shared" si="59"/>
        <v>Pass - Ready for Confirmation</v>
      </c>
    </row>
    <row r="1884" spans="1:9" x14ac:dyDescent="0.3">
      <c r="A1884" t="str">
        <f>FO_Capture!A1884</f>
        <v>TRD01883</v>
      </c>
      <c r="B1884" t="str">
        <f>FO_Capture!B1884</f>
        <v>INE001A01014</v>
      </c>
      <c r="C1884" t="str">
        <f>IFERROR(VLOOKUP(FO_Capture!C1884, Reference_Data!A:D, 2, FALSE), "UNKNOWN")</f>
        <v>Alpha Partners 48</v>
      </c>
      <c r="D1884" t="str">
        <f>IFERROR(VLOOKUP(FO_Capture!C1884, Reference_Data!A:D, 3, FALSE), "XXX")</f>
        <v>SGD</v>
      </c>
      <c r="E1884" t="str">
        <f>IFERROR(VLOOKUP(FO_Capture!C1884, Reference_Data!A:D, 4, FALSE), "MISSING SSI")</f>
        <v>JPMorgan A/C 391364</v>
      </c>
      <c r="F1884">
        <f>FO_Capture!D1884</f>
        <v>20</v>
      </c>
      <c r="G1884">
        <f>FO_Capture!E1884</f>
        <v>481.92001342773438</v>
      </c>
      <c r="H1884">
        <f t="shared" si="58"/>
        <v>9638.4002685546875</v>
      </c>
      <c r="I1884" t="str">
        <f t="shared" si="59"/>
        <v>Pass - Ready for Confirmation</v>
      </c>
    </row>
    <row r="1885" spans="1:9" x14ac:dyDescent="0.3">
      <c r="A1885" t="str">
        <f>FO_Capture!A1885</f>
        <v>TRD01884</v>
      </c>
      <c r="B1885" t="str">
        <f>FO_Capture!B1885</f>
        <v>INE006A01037</v>
      </c>
      <c r="C1885" t="str">
        <f>IFERROR(VLOOKUP(FO_Capture!C1885, Reference_Data!A:D, 2, FALSE), "UNKNOWN")</f>
        <v>Alpha Capital 36</v>
      </c>
      <c r="D1885" t="str">
        <f>IFERROR(VLOOKUP(FO_Capture!C1885, Reference_Data!A:D, 3, FALSE), "XXX")</f>
        <v>JPY</v>
      </c>
      <c r="E1885" t="str">
        <f>IFERROR(VLOOKUP(FO_Capture!C1885, Reference_Data!A:D, 4, FALSE), "MISSING SSI")</f>
        <v>Citi A/C 359789</v>
      </c>
      <c r="F1885">
        <f>FO_Capture!D1885</f>
        <v>170</v>
      </c>
      <c r="G1885">
        <f>FO_Capture!E1885</f>
        <v>191.1300048828125</v>
      </c>
      <c r="H1885">
        <f t="shared" si="58"/>
        <v>32492.100830078125</v>
      </c>
      <c r="I1885" t="str">
        <f t="shared" si="59"/>
        <v>Pass - Ready for Confirmation</v>
      </c>
    </row>
    <row r="1886" spans="1:9" x14ac:dyDescent="0.3">
      <c r="A1886" t="str">
        <f>FO_Capture!A1886</f>
        <v>TRD01885</v>
      </c>
      <c r="B1886" t="str">
        <f>FO_Capture!B1886</f>
        <v>INE009A01024</v>
      </c>
      <c r="C1886" t="str">
        <f>IFERROR(VLOOKUP(FO_Capture!C1886, Reference_Data!A:D, 2, FALSE), "UNKNOWN")</f>
        <v>Alpha Partners 19</v>
      </c>
      <c r="D1886" t="str">
        <f>IFERROR(VLOOKUP(FO_Capture!C1886, Reference_Data!A:D, 3, FALSE), "XXX")</f>
        <v>INR</v>
      </c>
      <c r="E1886" t="str">
        <f>IFERROR(VLOOKUP(FO_Capture!C1886, Reference_Data!A:D, 4, FALSE), "MISSING SSI")</f>
        <v>Citi A/C 543819</v>
      </c>
      <c r="F1886">
        <f>FO_Capture!D1886</f>
        <v>300</v>
      </c>
      <c r="G1886">
        <f>FO_Capture!E1886</f>
        <v>135</v>
      </c>
      <c r="H1886">
        <f t="shared" si="58"/>
        <v>40500</v>
      </c>
      <c r="I1886" t="str">
        <f t="shared" si="59"/>
        <v>Pass - Ready for Confirmation</v>
      </c>
    </row>
    <row r="1887" spans="1:9" x14ac:dyDescent="0.3">
      <c r="A1887" t="str">
        <f>FO_Capture!A1887</f>
        <v>TRD01886</v>
      </c>
      <c r="B1887" t="str">
        <f>FO_Capture!B1887</f>
        <v>INE006A01036</v>
      </c>
      <c r="C1887" t="str">
        <f>IFERROR(VLOOKUP(FO_Capture!C1887, Reference_Data!A:D, 2, FALSE), "UNKNOWN")</f>
        <v>Alpha Asset Management 31</v>
      </c>
      <c r="D1887" t="str">
        <f>IFERROR(VLOOKUP(FO_Capture!C1887, Reference_Data!A:D, 3, FALSE), "XXX")</f>
        <v>USD</v>
      </c>
      <c r="E1887" t="str">
        <f>IFERROR(VLOOKUP(FO_Capture!C1887, Reference_Data!A:D, 4, FALSE), "MISSING SSI")</f>
        <v>Citi A/C 194841</v>
      </c>
      <c r="F1887">
        <f>FO_Capture!D1887</f>
        <v>200</v>
      </c>
      <c r="G1887">
        <f>FO_Capture!E1887</f>
        <v>227.83000183105469</v>
      </c>
      <c r="H1887">
        <f t="shared" si="58"/>
        <v>45566.000366210938</v>
      </c>
      <c r="I1887" t="str">
        <f t="shared" si="59"/>
        <v>Pass - Ready for Confirmation</v>
      </c>
    </row>
    <row r="1888" spans="1:9" x14ac:dyDescent="0.3">
      <c r="A1888" t="str">
        <f>FO_Capture!A1888</f>
        <v>TRD01887</v>
      </c>
      <c r="B1888" t="str">
        <f>FO_Capture!B1888</f>
        <v>INE008A01019</v>
      </c>
      <c r="C1888" t="str">
        <f>IFERROR(VLOOKUP(FO_Capture!C1888, Reference_Data!A:D, 2, FALSE), "UNKNOWN")</f>
        <v>Alpha Global 28</v>
      </c>
      <c r="D1888" t="str">
        <f>IFERROR(VLOOKUP(FO_Capture!C1888, Reference_Data!A:D, 3, FALSE), "XXX")</f>
        <v>USD</v>
      </c>
      <c r="E1888" t="str">
        <f>IFERROR(VLOOKUP(FO_Capture!C1888, Reference_Data!A:D, 4, FALSE), "MISSING SSI")</f>
        <v>HDFC A/C 638209</v>
      </c>
      <c r="F1888">
        <f>FO_Capture!D1888</f>
        <v>30</v>
      </c>
      <c r="G1888">
        <f>FO_Capture!E1888</f>
        <v>235.49000549316406</v>
      </c>
      <c r="H1888">
        <f t="shared" si="58"/>
        <v>7064.7001647949219</v>
      </c>
      <c r="I1888" t="str">
        <f t="shared" si="59"/>
        <v>Pass - Ready for Confirmation</v>
      </c>
    </row>
    <row r="1889" spans="1:9" x14ac:dyDescent="0.3">
      <c r="A1889" t="str">
        <f>FO_Capture!A1889</f>
        <v>TRD01888</v>
      </c>
      <c r="B1889" t="str">
        <f>FO_Capture!B1889</f>
        <v>INE003A01052</v>
      </c>
      <c r="C1889" t="str">
        <f>IFERROR(VLOOKUP(FO_Capture!C1889, Reference_Data!A:D, 2, FALSE), "UNKNOWN")</f>
        <v>Alpha Asset Management 13</v>
      </c>
      <c r="D1889" t="str">
        <f>IFERROR(VLOOKUP(FO_Capture!C1889, Reference_Data!A:D, 3, FALSE), "XXX")</f>
        <v>INR</v>
      </c>
      <c r="E1889" t="str">
        <f>IFERROR(VLOOKUP(FO_Capture!C1889, Reference_Data!A:D, 4, FALSE), "MISSING SSI")</f>
        <v>HSBC A/C 972195</v>
      </c>
      <c r="F1889">
        <f>FO_Capture!D1889</f>
        <v>80</v>
      </c>
      <c r="G1889">
        <f>FO_Capture!E1889</f>
        <v>25.420000076293945</v>
      </c>
      <c r="H1889">
        <f t="shared" si="58"/>
        <v>2033.6000061035156</v>
      </c>
      <c r="I1889" t="str">
        <f t="shared" si="59"/>
        <v>Pass - Ready for Confirmation</v>
      </c>
    </row>
    <row r="1890" spans="1:9" x14ac:dyDescent="0.3">
      <c r="A1890" t="str">
        <f>FO_Capture!A1890</f>
        <v>TRD01889</v>
      </c>
      <c r="B1890" t="str">
        <f>FO_Capture!B1890</f>
        <v>INE005A01096</v>
      </c>
      <c r="C1890" t="str">
        <f>IFERROR(VLOOKUP(FO_Capture!C1890, Reference_Data!A:D, 2, FALSE), "UNKNOWN")</f>
        <v>Alpha Asset Management 13</v>
      </c>
      <c r="D1890" t="str">
        <f>IFERROR(VLOOKUP(FO_Capture!C1890, Reference_Data!A:D, 3, FALSE), "XXX")</f>
        <v>INR</v>
      </c>
      <c r="E1890" t="str">
        <f>IFERROR(VLOOKUP(FO_Capture!C1890, Reference_Data!A:D, 4, FALSE), "MISSING SSI")</f>
        <v>HSBC A/C 972195</v>
      </c>
      <c r="F1890">
        <f>FO_Capture!D1890</f>
        <v>30</v>
      </c>
      <c r="G1890">
        <f>FO_Capture!E1890</f>
        <v>316.6099853515625</v>
      </c>
      <c r="H1890">
        <f t="shared" si="58"/>
        <v>9498.299560546875</v>
      </c>
      <c r="I1890" t="str">
        <f t="shared" si="59"/>
        <v>Pass - Ready for Confirmation</v>
      </c>
    </row>
    <row r="1891" spans="1:9" x14ac:dyDescent="0.3">
      <c r="A1891" t="str">
        <f>FO_Capture!A1891</f>
        <v>TRD01890</v>
      </c>
      <c r="B1891" t="str">
        <f>FO_Capture!B1891</f>
        <v>INE004A01046</v>
      </c>
      <c r="C1891" t="str">
        <f>IFERROR(VLOOKUP(FO_Capture!C1891, Reference_Data!A:D, 2, FALSE), "UNKNOWN")</f>
        <v>Alpha Partners 1</v>
      </c>
      <c r="D1891" t="str">
        <f>IFERROR(VLOOKUP(FO_Capture!C1891, Reference_Data!A:D, 3, FALSE), "XXX")</f>
        <v>JPY</v>
      </c>
      <c r="E1891" t="str">
        <f>IFERROR(VLOOKUP(FO_Capture!C1891, Reference_Data!A:D, 4, FALSE), "MISSING SSI")</f>
        <v>Standard Chartered A/C 277005</v>
      </c>
      <c r="F1891">
        <f>FO_Capture!D1891</f>
        <v>180</v>
      </c>
      <c r="G1891">
        <f>FO_Capture!E1891</f>
        <v>429.6199951171875</v>
      </c>
      <c r="H1891">
        <f t="shared" si="58"/>
        <v>77331.59912109375</v>
      </c>
      <c r="I1891" t="str">
        <f t="shared" si="59"/>
        <v>Pass - Ready for Confirmation</v>
      </c>
    </row>
    <row r="1892" spans="1:9" x14ac:dyDescent="0.3">
      <c r="A1892" t="str">
        <f>FO_Capture!A1892</f>
        <v>TRD01891</v>
      </c>
      <c r="B1892" t="str">
        <f>FO_Capture!B1892</f>
        <v>INE007A01077</v>
      </c>
      <c r="C1892" t="str">
        <f>IFERROR(VLOOKUP(FO_Capture!C1892, Reference_Data!A:D, 2, FALSE), "UNKNOWN")</f>
        <v>Alpha Quant Fund 24</v>
      </c>
      <c r="D1892" t="str">
        <f>IFERROR(VLOOKUP(FO_Capture!C1892, Reference_Data!A:D, 3, FALSE), "XXX")</f>
        <v>SGD</v>
      </c>
      <c r="E1892" t="str">
        <f>IFERROR(VLOOKUP(FO_Capture!C1892, Reference_Data!A:D, 4, FALSE), "MISSING SSI")</f>
        <v>JPMorgan A/C 603587</v>
      </c>
      <c r="F1892">
        <f>FO_Capture!D1892</f>
        <v>240</v>
      </c>
      <c r="G1892">
        <f>FO_Capture!E1892</f>
        <v>36.560001373291016</v>
      </c>
      <c r="H1892">
        <f t="shared" si="58"/>
        <v>8774.4003295898438</v>
      </c>
      <c r="I1892" t="str">
        <f t="shared" si="59"/>
        <v>Pass - Ready for Confirmation</v>
      </c>
    </row>
    <row r="1893" spans="1:9" x14ac:dyDescent="0.3">
      <c r="A1893" t="str">
        <f>FO_Capture!A1893</f>
        <v>TRD01892</v>
      </c>
      <c r="B1893" t="str">
        <f>FO_Capture!B1893</f>
        <v>INE009A0102</v>
      </c>
      <c r="C1893" t="str">
        <f>IFERROR(VLOOKUP(FO_Capture!C1893, Reference_Data!A:D, 2, FALSE), "UNKNOWN")</f>
        <v>Alpha Partners 26</v>
      </c>
      <c r="D1893" t="str">
        <f>IFERROR(VLOOKUP(FO_Capture!C1893, Reference_Data!A:D, 3, FALSE), "XXX")</f>
        <v>USD</v>
      </c>
      <c r="E1893" t="str">
        <f>IFERROR(VLOOKUP(FO_Capture!C1893, Reference_Data!A:D, 4, FALSE), "MISSING SSI")</f>
        <v>HSBC A/C 867781</v>
      </c>
      <c r="F1893">
        <f>FO_Capture!D1893</f>
        <v>20</v>
      </c>
      <c r="G1893">
        <f>FO_Capture!E1893</f>
        <v>411.1099853515625</v>
      </c>
      <c r="H1893">
        <f t="shared" si="58"/>
        <v>8222.19970703125</v>
      </c>
      <c r="I1893" t="str">
        <f t="shared" si="59"/>
        <v>Pass - Ready for Confirmation</v>
      </c>
    </row>
    <row r="1894" spans="1:9" x14ac:dyDescent="0.3">
      <c r="A1894" t="str">
        <f>FO_Capture!A1894</f>
        <v>TRD01893</v>
      </c>
      <c r="B1894" t="str">
        <f>FO_Capture!B1894</f>
        <v>INE009A01011</v>
      </c>
      <c r="C1894" t="str">
        <f>IFERROR(VLOOKUP(FO_Capture!C1894, Reference_Data!A:D, 2, FALSE), "UNKNOWN")</f>
        <v>Alpha Quant Fund 24</v>
      </c>
      <c r="D1894" t="str">
        <f>IFERROR(VLOOKUP(FO_Capture!C1894, Reference_Data!A:D, 3, FALSE), "XXX")</f>
        <v>SGD</v>
      </c>
      <c r="E1894" t="str">
        <f>IFERROR(VLOOKUP(FO_Capture!C1894, Reference_Data!A:D, 4, FALSE), "MISSING SSI")</f>
        <v>JPMorgan A/C 603587</v>
      </c>
      <c r="F1894">
        <f>FO_Capture!D1894</f>
        <v>230</v>
      </c>
      <c r="G1894">
        <f>FO_Capture!E1894</f>
        <v>178.52999877929688</v>
      </c>
      <c r="H1894">
        <f t="shared" si="58"/>
        <v>41061.899719238281</v>
      </c>
      <c r="I1894" t="str">
        <f t="shared" si="59"/>
        <v>Pass - Ready for Confirmation</v>
      </c>
    </row>
    <row r="1895" spans="1:9" x14ac:dyDescent="0.3">
      <c r="A1895" t="str">
        <f>FO_Capture!A1895</f>
        <v>TRD01894</v>
      </c>
      <c r="B1895" t="str">
        <f>FO_Capture!B1895</f>
        <v>INE004A01031</v>
      </c>
      <c r="C1895" t="str">
        <f>IFERROR(VLOOKUP(FO_Capture!C1895, Reference_Data!A:D, 2, FALSE), "UNKNOWN")</f>
        <v>Alpha Asset Management 32</v>
      </c>
      <c r="D1895" t="str">
        <f>IFERROR(VLOOKUP(FO_Capture!C1895, Reference_Data!A:D, 3, FALSE), "XXX")</f>
        <v>INR</v>
      </c>
      <c r="E1895" t="str">
        <f>IFERROR(VLOOKUP(FO_Capture!C1895, Reference_Data!A:D, 4, FALSE), "MISSING SSI")</f>
        <v>Barclays A/C 302646</v>
      </c>
      <c r="F1895">
        <f>FO_Capture!D1895</f>
        <v>230</v>
      </c>
      <c r="G1895">
        <f>FO_Capture!E1895</f>
        <v>65.610000610351563</v>
      </c>
      <c r="H1895">
        <f t="shared" si="58"/>
        <v>15090.300140380859</v>
      </c>
      <c r="I1895" t="str">
        <f t="shared" si="59"/>
        <v>Pass - Ready for Confirmation</v>
      </c>
    </row>
    <row r="1896" spans="1:9" x14ac:dyDescent="0.3">
      <c r="A1896" t="str">
        <f>FO_Capture!A1896</f>
        <v>TRD01895</v>
      </c>
      <c r="B1896" t="str">
        <f>FO_Capture!B1896</f>
        <v>INE004A01068</v>
      </c>
      <c r="C1896" t="str">
        <f>IFERROR(VLOOKUP(FO_Capture!C1896, Reference_Data!A:D, 2, FALSE), "UNKNOWN")</f>
        <v>Alpha Partners 37</v>
      </c>
      <c r="D1896" t="str">
        <f>IFERROR(VLOOKUP(FO_Capture!C1896, Reference_Data!A:D, 3, FALSE), "XXX")</f>
        <v>JPY</v>
      </c>
      <c r="E1896" t="str">
        <f>IFERROR(VLOOKUP(FO_Capture!C1896, Reference_Data!A:D, 4, FALSE), "MISSING SSI")</f>
        <v>HSBC A/C 994063</v>
      </c>
      <c r="F1896">
        <f>FO_Capture!D1896</f>
        <v>210</v>
      </c>
      <c r="G1896">
        <f>FO_Capture!E1896</f>
        <v>150.72999572753906</v>
      </c>
      <c r="H1896">
        <f t="shared" si="58"/>
        <v>31653.299102783203</v>
      </c>
      <c r="I1896" t="str">
        <f t="shared" si="59"/>
        <v>Pass - Ready for Confirmation</v>
      </c>
    </row>
    <row r="1897" spans="1:9" x14ac:dyDescent="0.3">
      <c r="A1897" t="str">
        <f>FO_Capture!A1897</f>
        <v>TRD01896</v>
      </c>
      <c r="B1897" t="str">
        <f>FO_Capture!B1897</f>
        <v>INE001A01066</v>
      </c>
      <c r="C1897" t="str">
        <f>IFERROR(VLOOKUP(FO_Capture!C1897, Reference_Data!A:D, 2, FALSE), "UNKNOWN")</f>
        <v>Alpha Global 25</v>
      </c>
      <c r="D1897" t="str">
        <f>IFERROR(VLOOKUP(FO_Capture!C1897, Reference_Data!A:D, 3, FALSE), "XXX")</f>
        <v>EUR</v>
      </c>
      <c r="E1897" t="str">
        <f>IFERROR(VLOOKUP(FO_Capture!C1897, Reference_Data!A:D, 4, FALSE), "MISSING SSI")</f>
        <v>Standard Chartered A/C 438949</v>
      </c>
      <c r="F1897">
        <f>FO_Capture!D1897</f>
        <v>60</v>
      </c>
      <c r="G1897">
        <f>FO_Capture!E1897</f>
        <v>113.81999969482422</v>
      </c>
      <c r="H1897">
        <f t="shared" si="58"/>
        <v>6829.1999816894531</v>
      </c>
      <c r="I1897" t="str">
        <f t="shared" si="59"/>
        <v>Pass - Ready for Confirmation</v>
      </c>
    </row>
    <row r="1898" spans="1:9" x14ac:dyDescent="0.3">
      <c r="A1898" t="str">
        <f>FO_Capture!A1898</f>
        <v>TRD01897</v>
      </c>
      <c r="B1898" t="str">
        <f>FO_Capture!B1898</f>
        <v>INE007A01047</v>
      </c>
      <c r="C1898" t="str">
        <f>IFERROR(VLOOKUP(FO_Capture!C1898, Reference_Data!A:D, 2, FALSE), "UNKNOWN")</f>
        <v>Alpha Global 2</v>
      </c>
      <c r="D1898" t="str">
        <f>IFERROR(VLOOKUP(FO_Capture!C1898, Reference_Data!A:D, 3, FALSE), "XXX")</f>
        <v>GBP</v>
      </c>
      <c r="E1898" t="str">
        <f>IFERROR(VLOOKUP(FO_Capture!C1898, Reference_Data!A:D, 4, FALSE), "MISSING SSI")</f>
        <v>JPMorgan A/C 582379</v>
      </c>
      <c r="F1898">
        <f>FO_Capture!D1898</f>
        <v>500</v>
      </c>
      <c r="G1898">
        <f>FO_Capture!E1898</f>
        <v>486.3699951171875</v>
      </c>
      <c r="H1898">
        <f t="shared" si="58"/>
        <v>243184.99755859375</v>
      </c>
      <c r="I1898" t="str">
        <f t="shared" si="59"/>
        <v>Pass - Ready for Confirmation</v>
      </c>
    </row>
    <row r="1899" spans="1:9" x14ac:dyDescent="0.3">
      <c r="A1899" t="str">
        <f>FO_Capture!A1899</f>
        <v>TRD01898</v>
      </c>
      <c r="B1899" t="str">
        <f>FO_Capture!B1899</f>
        <v>INE008A01068</v>
      </c>
      <c r="C1899" t="str">
        <f>IFERROR(VLOOKUP(FO_Capture!C1899, Reference_Data!A:D, 2, FALSE), "UNKNOWN")</f>
        <v>Alpha Quant Fund 24</v>
      </c>
      <c r="D1899" t="str">
        <f>IFERROR(VLOOKUP(FO_Capture!C1899, Reference_Data!A:D, 3, FALSE), "XXX")</f>
        <v>SGD</v>
      </c>
      <c r="E1899" t="str">
        <f>IFERROR(VLOOKUP(FO_Capture!C1899, Reference_Data!A:D, 4, FALSE), "MISSING SSI")</f>
        <v>JPMorgan A/C 603587</v>
      </c>
      <c r="F1899">
        <f>FO_Capture!D1899</f>
        <v>410</v>
      </c>
      <c r="G1899">
        <f>FO_Capture!E1899</f>
        <v>401.44000244140625</v>
      </c>
      <c r="H1899">
        <f t="shared" si="58"/>
        <v>164590.40100097656</v>
      </c>
      <c r="I1899" t="str">
        <f t="shared" si="59"/>
        <v>Pass - Ready for Confirmation</v>
      </c>
    </row>
    <row r="1900" spans="1:9" x14ac:dyDescent="0.3">
      <c r="A1900" t="str">
        <f>FO_Capture!A1900</f>
        <v>TRD01899</v>
      </c>
      <c r="B1900" t="str">
        <f>FO_Capture!B1900</f>
        <v>INE001A01068</v>
      </c>
      <c r="C1900" t="str">
        <f>IFERROR(VLOOKUP(FO_Capture!C1900, Reference_Data!A:D, 2, FALSE), "UNKNOWN")</f>
        <v>Alpha Partners 18</v>
      </c>
      <c r="D1900" t="str">
        <f>IFERROR(VLOOKUP(FO_Capture!C1900, Reference_Data!A:D, 3, FALSE), "XXX")</f>
        <v>INR</v>
      </c>
      <c r="E1900" t="str">
        <f>IFERROR(VLOOKUP(FO_Capture!C1900, Reference_Data!A:D, 4, FALSE), "MISSING SSI")</f>
        <v>JPMorgan A/C 704166</v>
      </c>
      <c r="F1900">
        <f>FO_Capture!D1900</f>
        <v>40</v>
      </c>
      <c r="G1900">
        <f>FO_Capture!E1900</f>
        <v>343.6400146484375</v>
      </c>
      <c r="H1900">
        <f t="shared" si="58"/>
        <v>13745.6005859375</v>
      </c>
      <c r="I1900" t="str">
        <f t="shared" si="59"/>
        <v>Pass - Ready for Confirmation</v>
      </c>
    </row>
    <row r="1901" spans="1:9" x14ac:dyDescent="0.3">
      <c r="A1901" t="str">
        <f>FO_Capture!A1901</f>
        <v>TRD01900</v>
      </c>
      <c r="B1901" t="str">
        <f>FO_Capture!B1901</f>
        <v>INE008A01021</v>
      </c>
      <c r="C1901" t="str">
        <f>IFERROR(VLOOKUP(FO_Capture!C1901, Reference_Data!A:D, 2, FALSE), "UNKNOWN")</f>
        <v>Alpha Capital 11</v>
      </c>
      <c r="D1901" t="str">
        <f>IFERROR(VLOOKUP(FO_Capture!C1901, Reference_Data!A:D, 3, FALSE), "XXX")</f>
        <v>USD</v>
      </c>
      <c r="E1901" t="str">
        <f>IFERROR(VLOOKUP(FO_Capture!C1901, Reference_Data!A:D, 4, FALSE), "MISSING SSI")</f>
        <v>JPMorgan A/C 987170</v>
      </c>
      <c r="F1901">
        <f>FO_Capture!D1901</f>
        <v>280</v>
      </c>
      <c r="G1901">
        <f>FO_Capture!E1901</f>
        <v>399.17001342773438</v>
      </c>
      <c r="H1901">
        <f t="shared" si="58"/>
        <v>111767.60375976563</v>
      </c>
      <c r="I1901" t="str">
        <f t="shared" si="59"/>
        <v>Pass - Ready for Confirmation</v>
      </c>
    </row>
    <row r="1902" spans="1:9" x14ac:dyDescent="0.3">
      <c r="A1902" t="str">
        <f>FO_Capture!A1902</f>
        <v>TRD01901</v>
      </c>
      <c r="B1902" t="str">
        <f>FO_Capture!B1902</f>
        <v>INE004A01081</v>
      </c>
      <c r="C1902" t="str">
        <f>IFERROR(VLOOKUP(FO_Capture!C1902, Reference_Data!A:D, 2, FALSE), "UNKNOWN")</f>
        <v>Alpha Holdings 49</v>
      </c>
      <c r="D1902" t="str">
        <f>IFERROR(VLOOKUP(FO_Capture!C1902, Reference_Data!A:D, 3, FALSE), "XXX")</f>
        <v>JPY</v>
      </c>
      <c r="E1902" t="str">
        <f>IFERROR(VLOOKUP(FO_Capture!C1902, Reference_Data!A:D, 4, FALSE), "MISSING SSI")</f>
        <v>HDFC A/C 679335</v>
      </c>
      <c r="F1902">
        <f>FO_Capture!D1902</f>
        <v>400</v>
      </c>
      <c r="G1902">
        <f>FO_Capture!E1902</f>
        <v>505.760009765625</v>
      </c>
      <c r="H1902">
        <f t="shared" si="58"/>
        <v>202304.00390625</v>
      </c>
      <c r="I1902" t="str">
        <f t="shared" si="59"/>
        <v>Pass - Ready for Confirmation</v>
      </c>
    </row>
    <row r="1903" spans="1:9" x14ac:dyDescent="0.3">
      <c r="A1903" t="str">
        <f>FO_Capture!A1903</f>
        <v>TRD01902</v>
      </c>
      <c r="B1903" t="str">
        <f>FO_Capture!B1903</f>
        <v>INE004A01036</v>
      </c>
      <c r="C1903" t="str">
        <f>IFERROR(VLOOKUP(FO_Capture!C1903, Reference_Data!A:D, 2, FALSE), "UNKNOWN")</f>
        <v>Alpha Global 30</v>
      </c>
      <c r="D1903" t="str">
        <f>IFERROR(VLOOKUP(FO_Capture!C1903, Reference_Data!A:D, 3, FALSE), "XXX")</f>
        <v>JPY</v>
      </c>
      <c r="E1903" t="str">
        <f>IFERROR(VLOOKUP(FO_Capture!C1903, Reference_Data!A:D, 4, FALSE), "MISSING SSI")</f>
        <v>Deutsche Bank A/C 917262</v>
      </c>
      <c r="F1903">
        <f>FO_Capture!D1903</f>
        <v>310</v>
      </c>
      <c r="G1903">
        <f>FO_Capture!E1903</f>
        <v>202.72000122070313</v>
      </c>
      <c r="H1903">
        <f t="shared" si="58"/>
        <v>62843.200378417969</v>
      </c>
      <c r="I1903" t="str">
        <f t="shared" si="59"/>
        <v>Pass - Ready for Confirmation</v>
      </c>
    </row>
    <row r="1904" spans="1:9" x14ac:dyDescent="0.3">
      <c r="A1904" t="str">
        <f>FO_Capture!A1904</f>
        <v>TRD01903</v>
      </c>
      <c r="B1904" t="str">
        <f>FO_Capture!B1904</f>
        <v>INE002A01056</v>
      </c>
      <c r="C1904" t="str">
        <f>IFERROR(VLOOKUP(FO_Capture!C1904, Reference_Data!A:D, 2, FALSE), "UNKNOWN")</f>
        <v>Alpha Global 20</v>
      </c>
      <c r="D1904" t="str">
        <f>IFERROR(VLOOKUP(FO_Capture!C1904, Reference_Data!A:D, 3, FALSE), "XXX")</f>
        <v>JPY</v>
      </c>
      <c r="E1904" t="str">
        <f>IFERROR(VLOOKUP(FO_Capture!C1904, Reference_Data!A:D, 4, FALSE), "MISSING SSI")</f>
        <v>Barclays A/C 560891</v>
      </c>
      <c r="F1904">
        <f>FO_Capture!D1904</f>
        <v>290</v>
      </c>
      <c r="G1904">
        <f>FO_Capture!E1904</f>
        <v>380.91000366210938</v>
      </c>
      <c r="H1904">
        <f t="shared" si="58"/>
        <v>110463.90106201172</v>
      </c>
      <c r="I1904" t="str">
        <f t="shared" si="59"/>
        <v>Pass - Ready for Confirmation</v>
      </c>
    </row>
    <row r="1905" spans="1:9" x14ac:dyDescent="0.3">
      <c r="A1905" t="str">
        <f>FO_Capture!A1905</f>
        <v>TRD01904</v>
      </c>
      <c r="B1905" t="str">
        <f>FO_Capture!B1905</f>
        <v>INE008A01046</v>
      </c>
      <c r="C1905" t="str">
        <f>IFERROR(VLOOKUP(FO_Capture!C1905, Reference_Data!A:D, 2, FALSE), "UNKNOWN")</f>
        <v>Alpha Partners 37</v>
      </c>
      <c r="D1905" t="str">
        <f>IFERROR(VLOOKUP(FO_Capture!C1905, Reference_Data!A:D, 3, FALSE), "XXX")</f>
        <v>JPY</v>
      </c>
      <c r="E1905" t="str">
        <f>IFERROR(VLOOKUP(FO_Capture!C1905, Reference_Data!A:D, 4, FALSE), "MISSING SSI")</f>
        <v>HSBC A/C 994063</v>
      </c>
      <c r="F1905">
        <f>FO_Capture!D1905</f>
        <v>260</v>
      </c>
      <c r="G1905">
        <f>FO_Capture!E1905</f>
        <v>32.779998779296875</v>
      </c>
      <c r="H1905">
        <f t="shared" si="58"/>
        <v>8522.7996826171875</v>
      </c>
      <c r="I1905" t="str">
        <f t="shared" si="59"/>
        <v>Pass - Ready for Confirmation</v>
      </c>
    </row>
    <row r="1906" spans="1:9" x14ac:dyDescent="0.3">
      <c r="A1906" t="str">
        <f>FO_Capture!A1906</f>
        <v>TRD01905</v>
      </c>
      <c r="B1906" t="str">
        <f>FO_Capture!B1906</f>
        <v>INE001A01092</v>
      </c>
      <c r="C1906" t="str">
        <f>IFERROR(VLOOKUP(FO_Capture!C1906, Reference_Data!A:D, 2, FALSE), "UNKNOWN")</f>
        <v>Alpha Partners 18</v>
      </c>
      <c r="D1906" t="str">
        <f>IFERROR(VLOOKUP(FO_Capture!C1906, Reference_Data!A:D, 3, FALSE), "XXX")</f>
        <v>INR</v>
      </c>
      <c r="E1906" t="str">
        <f>IFERROR(VLOOKUP(FO_Capture!C1906, Reference_Data!A:D, 4, FALSE), "MISSING SSI")</f>
        <v>JPMorgan A/C 704166</v>
      </c>
      <c r="F1906">
        <f>FO_Capture!D1906</f>
        <v>20</v>
      </c>
      <c r="G1906">
        <f>FO_Capture!E1906</f>
        <v>502.32000732421875</v>
      </c>
      <c r="H1906">
        <f t="shared" si="58"/>
        <v>10046.400146484375</v>
      </c>
      <c r="I1906" t="str">
        <f t="shared" si="59"/>
        <v>Pass - Ready for Confirmation</v>
      </c>
    </row>
    <row r="1907" spans="1:9" x14ac:dyDescent="0.3">
      <c r="A1907" t="str">
        <f>FO_Capture!A1907</f>
        <v>TRD01906</v>
      </c>
      <c r="B1907" t="str">
        <f>FO_Capture!B1907</f>
        <v>INE003A01013</v>
      </c>
      <c r="C1907" t="str">
        <f>IFERROR(VLOOKUP(FO_Capture!C1907, Reference_Data!A:D, 2, FALSE), "UNKNOWN")</f>
        <v>Alpha Partners 1</v>
      </c>
      <c r="D1907" t="str">
        <f>IFERROR(VLOOKUP(FO_Capture!C1907, Reference_Data!A:D, 3, FALSE), "XXX")</f>
        <v>JPY</v>
      </c>
      <c r="E1907" t="str">
        <f>IFERROR(VLOOKUP(FO_Capture!C1907, Reference_Data!A:D, 4, FALSE), "MISSING SSI")</f>
        <v>Standard Chartered A/C 277005</v>
      </c>
      <c r="F1907">
        <f>FO_Capture!D1907</f>
        <v>10</v>
      </c>
      <c r="G1907">
        <f>FO_Capture!E1907</f>
        <v>235.07000732421875</v>
      </c>
      <c r="H1907">
        <f t="shared" si="58"/>
        <v>2350.7000732421875</v>
      </c>
      <c r="I1907" t="str">
        <f t="shared" si="59"/>
        <v>Pass - Ready for Confirmation</v>
      </c>
    </row>
    <row r="1908" spans="1:9" x14ac:dyDescent="0.3">
      <c r="A1908" t="str">
        <f>FO_Capture!A1908</f>
        <v>TRD01907</v>
      </c>
      <c r="B1908" t="str">
        <f>FO_Capture!B1908</f>
        <v>INE002A01011</v>
      </c>
      <c r="C1908" t="str">
        <f>IFERROR(VLOOKUP(FO_Capture!C1908, Reference_Data!A:D, 2, FALSE), "UNKNOWN")</f>
        <v>Alpha Capital 44</v>
      </c>
      <c r="D1908" t="str">
        <f>IFERROR(VLOOKUP(FO_Capture!C1908, Reference_Data!A:D, 3, FALSE), "XXX")</f>
        <v>INR</v>
      </c>
      <c r="E1908" t="str">
        <f>IFERROR(VLOOKUP(FO_Capture!C1908, Reference_Data!A:D, 4, FALSE), "MISSING SSI")</f>
        <v>Deutsche Bank A/C 428758</v>
      </c>
      <c r="F1908">
        <f>FO_Capture!D1908</f>
        <v>50</v>
      </c>
      <c r="G1908">
        <f>FO_Capture!E1908</f>
        <v>28.170000076293945</v>
      </c>
      <c r="H1908">
        <f t="shared" si="58"/>
        <v>1408.5000038146973</v>
      </c>
      <c r="I1908" t="str">
        <f t="shared" si="59"/>
        <v>Pass - Ready for Confirmation</v>
      </c>
    </row>
    <row r="1909" spans="1:9" x14ac:dyDescent="0.3">
      <c r="A1909" t="str">
        <f>FO_Capture!A1909</f>
        <v>TRD01908</v>
      </c>
      <c r="B1909" t="str">
        <f>FO_Capture!B1909</f>
        <v>INE005A01020</v>
      </c>
      <c r="C1909" t="str">
        <f>IFERROR(VLOOKUP(FO_Capture!C1909, Reference_Data!A:D, 2, FALSE), "UNKNOWN")</f>
        <v>Alpha Partners 3</v>
      </c>
      <c r="D1909" t="str">
        <f>IFERROR(VLOOKUP(FO_Capture!C1909, Reference_Data!A:D, 3, FALSE), "XXX")</f>
        <v>USD</v>
      </c>
      <c r="E1909" t="str">
        <f>IFERROR(VLOOKUP(FO_Capture!C1909, Reference_Data!A:D, 4, FALSE), "MISSING SSI")</f>
        <v>Citi A/C 508769</v>
      </c>
      <c r="F1909">
        <f>FO_Capture!D1909</f>
        <v>25000</v>
      </c>
      <c r="G1909">
        <f>FO_Capture!E1909</f>
        <v>84.870002746582031</v>
      </c>
      <c r="H1909">
        <f t="shared" si="58"/>
        <v>2121750.0686645508</v>
      </c>
      <c r="I1909" t="str">
        <f t="shared" si="59"/>
        <v>Exception - Limit Breach</v>
      </c>
    </row>
    <row r="1910" spans="1:9" x14ac:dyDescent="0.3">
      <c r="A1910" t="str">
        <f>FO_Capture!A1910</f>
        <v>TRD01909</v>
      </c>
      <c r="B1910" t="str">
        <f>FO_Capture!B1910</f>
        <v>INE005A01040</v>
      </c>
      <c r="C1910" t="str">
        <f>IFERROR(VLOOKUP(FO_Capture!C1910, Reference_Data!A:D, 2, FALSE), "UNKNOWN")</f>
        <v>Alpha Investments 43</v>
      </c>
      <c r="D1910" t="str">
        <f>IFERROR(VLOOKUP(FO_Capture!C1910, Reference_Data!A:D, 3, FALSE), "XXX")</f>
        <v>EUR</v>
      </c>
      <c r="E1910" t="str">
        <f>IFERROR(VLOOKUP(FO_Capture!C1910, Reference_Data!A:D, 4, FALSE), "MISSING SSI")</f>
        <v>Citi A/C 714496</v>
      </c>
      <c r="F1910">
        <f>FO_Capture!D1910</f>
        <v>400</v>
      </c>
      <c r="G1910">
        <f>FO_Capture!E1910</f>
        <v>443.85000610351563</v>
      </c>
      <c r="H1910">
        <f t="shared" si="58"/>
        <v>177540.00244140625</v>
      </c>
      <c r="I1910" t="str">
        <f t="shared" si="59"/>
        <v>Pass - Ready for Confirmation</v>
      </c>
    </row>
    <row r="1911" spans="1:9" x14ac:dyDescent="0.3">
      <c r="A1911" t="str">
        <f>FO_Capture!A1911</f>
        <v>TRD01910</v>
      </c>
      <c r="B1911" t="str">
        <f>FO_Capture!B1911</f>
        <v>INE005A01090</v>
      </c>
      <c r="C1911" t="str">
        <f>IFERROR(VLOOKUP(FO_Capture!C1911, Reference_Data!A:D, 2, FALSE), "UNKNOWN")</f>
        <v>Alpha Capital 36</v>
      </c>
      <c r="D1911" t="str">
        <f>IFERROR(VLOOKUP(FO_Capture!C1911, Reference_Data!A:D, 3, FALSE), "XXX")</f>
        <v>JPY</v>
      </c>
      <c r="E1911" t="str">
        <f>IFERROR(VLOOKUP(FO_Capture!C1911, Reference_Data!A:D, 4, FALSE), "MISSING SSI")</f>
        <v>Citi A/C 359789</v>
      </c>
      <c r="F1911">
        <f>FO_Capture!D1911</f>
        <v>160</v>
      </c>
      <c r="G1911">
        <f>FO_Capture!E1911</f>
        <v>97.580001831054688</v>
      </c>
      <c r="H1911">
        <f t="shared" si="58"/>
        <v>15612.80029296875</v>
      </c>
      <c r="I1911" t="str">
        <f t="shared" si="59"/>
        <v>Pass - Ready for Confirmation</v>
      </c>
    </row>
    <row r="1912" spans="1:9" x14ac:dyDescent="0.3">
      <c r="A1912" t="str">
        <f>FO_Capture!A1912</f>
        <v>TRD01911</v>
      </c>
      <c r="B1912" t="str">
        <f>FO_Capture!B1912</f>
        <v>INE005A01037</v>
      </c>
      <c r="C1912" t="str">
        <f>IFERROR(VLOOKUP(FO_Capture!C1912, Reference_Data!A:D, 2, FALSE), "UNKNOWN")</f>
        <v>Alpha Asset Management 8</v>
      </c>
      <c r="D1912" t="str">
        <f>IFERROR(VLOOKUP(FO_Capture!C1912, Reference_Data!A:D, 3, FALSE), "XXX")</f>
        <v>GBP</v>
      </c>
      <c r="E1912" t="str">
        <f>IFERROR(VLOOKUP(FO_Capture!C1912, Reference_Data!A:D, 4, FALSE), "MISSING SSI")</f>
        <v>HDFC A/C 180445</v>
      </c>
      <c r="F1912">
        <f>FO_Capture!D1912</f>
        <v>230</v>
      </c>
      <c r="G1912">
        <f>FO_Capture!E1912</f>
        <v>394.92999267578125</v>
      </c>
      <c r="H1912">
        <f t="shared" si="58"/>
        <v>90833.898315429688</v>
      </c>
      <c r="I1912" t="str">
        <f t="shared" si="59"/>
        <v>Pass - Ready for Confirmation</v>
      </c>
    </row>
    <row r="1913" spans="1:9" x14ac:dyDescent="0.3">
      <c r="A1913" t="str">
        <f>FO_Capture!A1913</f>
        <v>TRD01912</v>
      </c>
      <c r="B1913" t="str">
        <f>FO_Capture!B1913</f>
        <v>INE001A0108</v>
      </c>
      <c r="C1913" t="str">
        <f>IFERROR(VLOOKUP(FO_Capture!C1913, Reference_Data!A:D, 2, FALSE), "UNKNOWN")</f>
        <v>Alpha Quant Fund 34</v>
      </c>
      <c r="D1913" t="str">
        <f>IFERROR(VLOOKUP(FO_Capture!C1913, Reference_Data!A:D, 3, FALSE), "XXX")</f>
        <v>JPY</v>
      </c>
      <c r="E1913" t="str">
        <f>IFERROR(VLOOKUP(FO_Capture!C1913, Reference_Data!A:D, 4, FALSE), "MISSING SSI")</f>
        <v>Citi A/C 837378</v>
      </c>
      <c r="F1913">
        <f>FO_Capture!D1913</f>
        <v>380</v>
      </c>
      <c r="G1913">
        <f>FO_Capture!E1913</f>
        <v>317.58999633789063</v>
      </c>
      <c r="H1913">
        <f t="shared" si="58"/>
        <v>120684.19860839844</v>
      </c>
      <c r="I1913" t="str">
        <f t="shared" si="59"/>
        <v>Pass - Ready for Confirmation</v>
      </c>
    </row>
    <row r="1914" spans="1:9" x14ac:dyDescent="0.3">
      <c r="A1914" t="str">
        <f>FO_Capture!A1914</f>
        <v>TRD01913</v>
      </c>
      <c r="B1914" t="str">
        <f>FO_Capture!B1914</f>
        <v>INE008A01069</v>
      </c>
      <c r="C1914" t="str">
        <f>IFERROR(VLOOKUP(FO_Capture!C1914, Reference_Data!A:D, 2, FALSE), "UNKNOWN")</f>
        <v>Alpha Holdings 16</v>
      </c>
      <c r="D1914" t="str">
        <f>IFERROR(VLOOKUP(FO_Capture!C1914, Reference_Data!A:D, 3, FALSE), "XXX")</f>
        <v>USD</v>
      </c>
      <c r="E1914" t="str">
        <f>IFERROR(VLOOKUP(FO_Capture!C1914, Reference_Data!A:D, 4, FALSE), "MISSING SSI")</f>
        <v>Barclays A/C 197229</v>
      </c>
      <c r="F1914">
        <f>FO_Capture!D1914</f>
        <v>410</v>
      </c>
      <c r="G1914">
        <f>FO_Capture!E1914</f>
        <v>230.07000732421875</v>
      </c>
      <c r="H1914">
        <f t="shared" si="58"/>
        <v>94328.703002929688</v>
      </c>
      <c r="I1914" t="str">
        <f t="shared" si="59"/>
        <v>Pass - Ready for Confirmation</v>
      </c>
    </row>
    <row r="1915" spans="1:9" x14ac:dyDescent="0.3">
      <c r="A1915" t="str">
        <f>FO_Capture!A1915</f>
        <v>TRD01914</v>
      </c>
      <c r="B1915" t="str">
        <f>FO_Capture!B1915</f>
        <v>INE009A01078</v>
      </c>
      <c r="C1915" t="str">
        <f>IFERROR(VLOOKUP(FO_Capture!C1915, Reference_Data!A:D, 2, FALSE), "UNKNOWN")</f>
        <v>Alpha Asset Management 5</v>
      </c>
      <c r="D1915" t="str">
        <f>IFERROR(VLOOKUP(FO_Capture!C1915, Reference_Data!A:D, 3, FALSE), "XXX")</f>
        <v>INR</v>
      </c>
      <c r="E1915" t="str">
        <f>IFERROR(VLOOKUP(FO_Capture!C1915, Reference_Data!A:D, 4, FALSE), "MISSING SSI")</f>
        <v>JPMorgan A/C 860462</v>
      </c>
      <c r="F1915">
        <f>FO_Capture!D1915</f>
        <v>380</v>
      </c>
      <c r="G1915">
        <f>FO_Capture!E1915</f>
        <v>129.67999267578125</v>
      </c>
      <c r="H1915">
        <f t="shared" si="58"/>
        <v>49278.397216796875</v>
      </c>
      <c r="I1915" t="str">
        <f t="shared" si="59"/>
        <v>Pass - Ready for Confirmation</v>
      </c>
    </row>
    <row r="1916" spans="1:9" x14ac:dyDescent="0.3">
      <c r="A1916" t="str">
        <f>FO_Capture!A1916</f>
        <v>TRD01915</v>
      </c>
      <c r="B1916" t="str">
        <f>FO_Capture!B1916</f>
        <v>INE001A01030</v>
      </c>
      <c r="C1916" t="str">
        <f>IFERROR(VLOOKUP(FO_Capture!C1916, Reference_Data!A:D, 2, FALSE), "UNKNOWN")</f>
        <v>Alpha Asset Management 31</v>
      </c>
      <c r="D1916" t="str">
        <f>IFERROR(VLOOKUP(FO_Capture!C1916, Reference_Data!A:D, 3, FALSE), "XXX")</f>
        <v>USD</v>
      </c>
      <c r="E1916" t="str">
        <f>IFERROR(VLOOKUP(FO_Capture!C1916, Reference_Data!A:D, 4, FALSE), "MISSING SSI")</f>
        <v>Citi A/C 194841</v>
      </c>
      <c r="F1916">
        <f>FO_Capture!D1916</f>
        <v>440</v>
      </c>
      <c r="G1916">
        <f>FO_Capture!E1916</f>
        <v>396.54000854492188</v>
      </c>
      <c r="H1916">
        <f t="shared" si="58"/>
        <v>174477.60375976563</v>
      </c>
      <c r="I1916" t="str">
        <f t="shared" si="59"/>
        <v>Pass - Ready for Confirmation</v>
      </c>
    </row>
    <row r="1917" spans="1:9" x14ac:dyDescent="0.3">
      <c r="A1917" t="str">
        <f>FO_Capture!A1917</f>
        <v>TRD01916</v>
      </c>
      <c r="B1917" t="str">
        <f>FO_Capture!B1917</f>
        <v>INE004A0108</v>
      </c>
      <c r="C1917" t="str">
        <f>IFERROR(VLOOKUP(FO_Capture!C1917, Reference_Data!A:D, 2, FALSE), "UNKNOWN")</f>
        <v>Alpha Holdings 23</v>
      </c>
      <c r="D1917" t="str">
        <f>IFERROR(VLOOKUP(FO_Capture!C1917, Reference_Data!A:D, 3, FALSE), "XXX")</f>
        <v>INR</v>
      </c>
      <c r="E1917" t="str">
        <f>IFERROR(VLOOKUP(FO_Capture!C1917, Reference_Data!A:D, 4, FALSE), "MISSING SSI")</f>
        <v>Deutsche Bank A/C 983712</v>
      </c>
      <c r="F1917">
        <f>FO_Capture!D1917</f>
        <v>480</v>
      </c>
      <c r="G1917">
        <f>FO_Capture!E1917</f>
        <v>43.599998474121094</v>
      </c>
      <c r="H1917">
        <f t="shared" si="58"/>
        <v>20927.999267578125</v>
      </c>
      <c r="I1917" t="str">
        <f t="shared" si="59"/>
        <v>Pass - Ready for Confirmation</v>
      </c>
    </row>
    <row r="1918" spans="1:9" x14ac:dyDescent="0.3">
      <c r="A1918" t="str">
        <f>FO_Capture!A1918</f>
        <v>TRD01917</v>
      </c>
      <c r="B1918" t="str">
        <f>FO_Capture!B1918</f>
        <v>INE004A01036</v>
      </c>
      <c r="C1918" t="str">
        <f>IFERROR(VLOOKUP(FO_Capture!C1918, Reference_Data!A:D, 2, FALSE), "UNKNOWN")</f>
        <v>Alpha Quant Fund 34</v>
      </c>
      <c r="D1918" t="str">
        <f>IFERROR(VLOOKUP(FO_Capture!C1918, Reference_Data!A:D, 3, FALSE), "XXX")</f>
        <v>JPY</v>
      </c>
      <c r="E1918" t="str">
        <f>IFERROR(VLOOKUP(FO_Capture!C1918, Reference_Data!A:D, 4, FALSE), "MISSING SSI")</f>
        <v>Citi A/C 837378</v>
      </c>
      <c r="F1918">
        <f>FO_Capture!D1918</f>
        <v>470</v>
      </c>
      <c r="G1918">
        <f>FO_Capture!E1918</f>
        <v>466.6099853515625</v>
      </c>
      <c r="H1918">
        <f t="shared" si="58"/>
        <v>219306.69311523438</v>
      </c>
      <c r="I1918" t="str">
        <f t="shared" si="59"/>
        <v>Pass - Ready for Confirmation</v>
      </c>
    </row>
    <row r="1919" spans="1:9" x14ac:dyDescent="0.3">
      <c r="A1919" t="str">
        <f>FO_Capture!A1919</f>
        <v>TRD01918</v>
      </c>
      <c r="B1919" t="str">
        <f>FO_Capture!B1919</f>
        <v>INE001A01026</v>
      </c>
      <c r="C1919" t="str">
        <f>IFERROR(VLOOKUP(FO_Capture!C1919, Reference_Data!A:D, 2, FALSE), "UNKNOWN")</f>
        <v>Alpha Holdings 21</v>
      </c>
      <c r="D1919" t="str">
        <f>IFERROR(VLOOKUP(FO_Capture!C1919, Reference_Data!A:D, 3, FALSE), "XXX")</f>
        <v>SGD</v>
      </c>
      <c r="E1919" t="str">
        <f>IFERROR(VLOOKUP(FO_Capture!C1919, Reference_Data!A:D, 4, FALSE), "MISSING SSI")</f>
        <v>HSBC A/C 562956</v>
      </c>
      <c r="F1919">
        <f>FO_Capture!D1919</f>
        <v>140</v>
      </c>
      <c r="G1919">
        <f>FO_Capture!E1919</f>
        <v>194.1300048828125</v>
      </c>
      <c r="H1919">
        <f t="shared" si="58"/>
        <v>27178.20068359375</v>
      </c>
      <c r="I1919" t="str">
        <f t="shared" si="59"/>
        <v>Pass - Ready for Confirmation</v>
      </c>
    </row>
    <row r="1920" spans="1:9" x14ac:dyDescent="0.3">
      <c r="A1920" t="str">
        <f>FO_Capture!A1920</f>
        <v>TRD01919</v>
      </c>
      <c r="B1920" t="str">
        <f>FO_Capture!B1920</f>
        <v>INE007A01030</v>
      </c>
      <c r="C1920" t="str">
        <f>IFERROR(VLOOKUP(FO_Capture!C1920, Reference_Data!A:D, 2, FALSE), "UNKNOWN")</f>
        <v>Alpha Holdings 16</v>
      </c>
      <c r="D1920" t="str">
        <f>IFERROR(VLOOKUP(FO_Capture!C1920, Reference_Data!A:D, 3, FALSE), "XXX")</f>
        <v>USD</v>
      </c>
      <c r="E1920" t="str">
        <f>IFERROR(VLOOKUP(FO_Capture!C1920, Reference_Data!A:D, 4, FALSE), "MISSING SSI")</f>
        <v>Barclays A/C 197229</v>
      </c>
      <c r="F1920">
        <f>FO_Capture!D1920</f>
        <v>270</v>
      </c>
      <c r="G1920">
        <f>FO_Capture!E1920</f>
        <v>137.53999328613281</v>
      </c>
      <c r="H1920">
        <f t="shared" si="58"/>
        <v>37135.798187255859</v>
      </c>
      <c r="I1920" t="str">
        <f t="shared" si="59"/>
        <v>Pass - Ready for Confirmation</v>
      </c>
    </row>
    <row r="1921" spans="1:9" x14ac:dyDescent="0.3">
      <c r="A1921" t="str">
        <f>FO_Capture!A1921</f>
        <v>TRD01920</v>
      </c>
      <c r="B1921" t="str">
        <f>FO_Capture!B1921</f>
        <v>INE005A01088</v>
      </c>
      <c r="C1921" t="str">
        <f>IFERROR(VLOOKUP(FO_Capture!C1921, Reference_Data!A:D, 2, FALSE), "UNKNOWN")</f>
        <v>Alpha Quant Fund 50</v>
      </c>
      <c r="D1921" t="str">
        <f>IFERROR(VLOOKUP(FO_Capture!C1921, Reference_Data!A:D, 3, FALSE), "XXX")</f>
        <v>SGD</v>
      </c>
      <c r="E1921" t="str">
        <f>IFERROR(VLOOKUP(FO_Capture!C1921, Reference_Data!A:D, 4, FALSE), "MISSING SSI")</f>
        <v>Standard Chartered A/C 307017</v>
      </c>
      <c r="F1921">
        <f>FO_Capture!D1921</f>
        <v>430</v>
      </c>
      <c r="G1921">
        <f>FO_Capture!E1921</f>
        <v>341.01998901367188</v>
      </c>
      <c r="H1921">
        <f t="shared" si="58"/>
        <v>146638.59527587891</v>
      </c>
      <c r="I1921" t="str">
        <f t="shared" si="59"/>
        <v>Pass - Ready for Confirmation</v>
      </c>
    </row>
    <row r="1922" spans="1:9" x14ac:dyDescent="0.3">
      <c r="A1922" t="str">
        <f>FO_Capture!A1922</f>
        <v>TRD01921</v>
      </c>
      <c r="B1922" t="str">
        <f>FO_Capture!B1922</f>
        <v>INE007A01080</v>
      </c>
      <c r="C1922" t="str">
        <f>IFERROR(VLOOKUP(FO_Capture!C1922, Reference_Data!A:D, 2, FALSE), "UNKNOWN")</f>
        <v>Alpha Asset Management 31</v>
      </c>
      <c r="D1922" t="str">
        <f>IFERROR(VLOOKUP(FO_Capture!C1922, Reference_Data!A:D, 3, FALSE), "XXX")</f>
        <v>USD</v>
      </c>
      <c r="E1922" t="str">
        <f>IFERROR(VLOOKUP(FO_Capture!C1922, Reference_Data!A:D, 4, FALSE), "MISSING SSI")</f>
        <v>Citi A/C 194841</v>
      </c>
      <c r="F1922">
        <f>FO_Capture!D1922</f>
        <v>230</v>
      </c>
      <c r="G1922">
        <f>FO_Capture!E1922</f>
        <v>231.58999633789063</v>
      </c>
      <c r="H1922">
        <f t="shared" si="58"/>
        <v>53265.699157714844</v>
      </c>
      <c r="I1922" t="str">
        <f t="shared" si="59"/>
        <v>Pass - Ready for Confirmation</v>
      </c>
    </row>
    <row r="1923" spans="1:9" x14ac:dyDescent="0.3">
      <c r="A1923" t="str">
        <f>FO_Capture!A1923</f>
        <v>TRD01922</v>
      </c>
      <c r="B1923" t="str">
        <f>FO_Capture!B1923</f>
        <v>INE002A01075</v>
      </c>
      <c r="C1923" t="str">
        <f>IFERROR(VLOOKUP(FO_Capture!C1923, Reference_Data!A:D, 2, FALSE), "UNKNOWN")</f>
        <v>Alpha Partners 18</v>
      </c>
      <c r="D1923" t="str">
        <f>IFERROR(VLOOKUP(FO_Capture!C1923, Reference_Data!A:D, 3, FALSE), "XXX")</f>
        <v>INR</v>
      </c>
      <c r="E1923" t="str">
        <f>IFERROR(VLOOKUP(FO_Capture!C1923, Reference_Data!A:D, 4, FALSE), "MISSING SSI")</f>
        <v>JPMorgan A/C 704166</v>
      </c>
      <c r="F1923">
        <f>FO_Capture!D1923</f>
        <v>60</v>
      </c>
      <c r="G1923">
        <f>FO_Capture!E1923</f>
        <v>369.04998779296875</v>
      </c>
      <c r="H1923">
        <f t="shared" ref="H1923:H1986" si="60">F1923 * G1923</f>
        <v>22142.999267578125</v>
      </c>
      <c r="I1923" t="str">
        <f t="shared" ref="I1923:I1986" si="61">IF(C1923="UNKNOWN", "Fail - Missing Ref Data", IF(OR(F1923&lt;=0, G1923&lt;=0), "Fail - Invalid Price/Qty", IF(H1923&gt;1000000, "Exception - Limit Breach", "Pass - Ready for Confirmation")))</f>
        <v>Pass - Ready for Confirmation</v>
      </c>
    </row>
    <row r="1924" spans="1:9" x14ac:dyDescent="0.3">
      <c r="A1924" t="str">
        <f>FO_Capture!A1924</f>
        <v>TRD01923</v>
      </c>
      <c r="B1924" t="str">
        <f>FO_Capture!B1924</f>
        <v>INE009A01080</v>
      </c>
      <c r="C1924" t="str">
        <f>IFERROR(VLOOKUP(FO_Capture!C1924, Reference_Data!A:D, 2, FALSE), "UNKNOWN")</f>
        <v>Alpha Global 46</v>
      </c>
      <c r="D1924" t="str">
        <f>IFERROR(VLOOKUP(FO_Capture!C1924, Reference_Data!A:D, 3, FALSE), "XXX")</f>
        <v>USD</v>
      </c>
      <c r="E1924" t="str">
        <f>IFERROR(VLOOKUP(FO_Capture!C1924, Reference_Data!A:D, 4, FALSE), "MISSING SSI")</f>
        <v>Citi A/C 700450</v>
      </c>
      <c r="F1924">
        <f>FO_Capture!D1924</f>
        <v>370</v>
      </c>
      <c r="G1924">
        <f>FO_Capture!E1924</f>
        <v>196.03999328613281</v>
      </c>
      <c r="H1924">
        <f t="shared" si="60"/>
        <v>72534.797515869141</v>
      </c>
      <c r="I1924" t="str">
        <f t="shared" si="61"/>
        <v>Pass - Ready for Confirmation</v>
      </c>
    </row>
    <row r="1925" spans="1:9" x14ac:dyDescent="0.3">
      <c r="A1925" t="str">
        <f>FO_Capture!A1925</f>
        <v>TRD01924</v>
      </c>
      <c r="B1925" t="str">
        <f>FO_Capture!B1925</f>
        <v>INE001A01091</v>
      </c>
      <c r="C1925" t="str">
        <f>IFERROR(VLOOKUP(FO_Capture!C1925, Reference_Data!A:D, 2, FALSE), "UNKNOWN")</f>
        <v>Alpha Holdings 49</v>
      </c>
      <c r="D1925" t="str">
        <f>IFERROR(VLOOKUP(FO_Capture!C1925, Reference_Data!A:D, 3, FALSE), "XXX")</f>
        <v>JPY</v>
      </c>
      <c r="E1925" t="str">
        <f>IFERROR(VLOOKUP(FO_Capture!C1925, Reference_Data!A:D, 4, FALSE), "MISSING SSI")</f>
        <v>HDFC A/C 679335</v>
      </c>
      <c r="F1925">
        <f>FO_Capture!D1925</f>
        <v>370</v>
      </c>
      <c r="G1925">
        <f>FO_Capture!E1925</f>
        <v>287.98001098632813</v>
      </c>
      <c r="H1925">
        <f t="shared" si="60"/>
        <v>106552.60406494141</v>
      </c>
      <c r="I1925" t="str">
        <f t="shared" si="61"/>
        <v>Pass - Ready for Confirmation</v>
      </c>
    </row>
    <row r="1926" spans="1:9" x14ac:dyDescent="0.3">
      <c r="A1926" t="str">
        <f>FO_Capture!A1926</f>
        <v>TRD01925</v>
      </c>
      <c r="B1926" t="str">
        <f>FO_Capture!B1926</f>
        <v>INE004A01045</v>
      </c>
      <c r="C1926" t="str">
        <f>IFERROR(VLOOKUP(FO_Capture!C1926, Reference_Data!A:D, 2, FALSE), "UNKNOWN")</f>
        <v>Alpha Global 39</v>
      </c>
      <c r="D1926" t="str">
        <f>IFERROR(VLOOKUP(FO_Capture!C1926, Reference_Data!A:D, 3, FALSE), "XXX")</f>
        <v>SGD</v>
      </c>
      <c r="E1926" t="str">
        <f>IFERROR(VLOOKUP(FO_Capture!C1926, Reference_Data!A:D, 4, FALSE), "MISSING SSI")</f>
        <v>Deutsche Bank A/C 917029</v>
      </c>
      <c r="F1926">
        <f>FO_Capture!D1926</f>
        <v>330</v>
      </c>
      <c r="G1926">
        <f>FO_Capture!E1926</f>
        <v>103.13999938964844</v>
      </c>
      <c r="H1926">
        <f t="shared" si="60"/>
        <v>34036.199798583984</v>
      </c>
      <c r="I1926" t="str">
        <f t="shared" si="61"/>
        <v>Pass - Ready for Confirmation</v>
      </c>
    </row>
    <row r="1927" spans="1:9" x14ac:dyDescent="0.3">
      <c r="A1927" t="str">
        <f>FO_Capture!A1927</f>
        <v>TRD01926</v>
      </c>
      <c r="B1927" t="str">
        <f>FO_Capture!B1927</f>
        <v>INE008A01066</v>
      </c>
      <c r="C1927" t="str">
        <f>IFERROR(VLOOKUP(FO_Capture!C1927, Reference_Data!A:D, 2, FALSE), "UNKNOWN")</f>
        <v>Alpha Global 28</v>
      </c>
      <c r="D1927" t="str">
        <f>IFERROR(VLOOKUP(FO_Capture!C1927, Reference_Data!A:D, 3, FALSE), "XXX")</f>
        <v>USD</v>
      </c>
      <c r="E1927" t="str">
        <f>IFERROR(VLOOKUP(FO_Capture!C1927, Reference_Data!A:D, 4, FALSE), "MISSING SSI")</f>
        <v>HDFC A/C 638209</v>
      </c>
      <c r="F1927">
        <f>FO_Capture!D1927</f>
        <v>300</v>
      </c>
      <c r="G1927">
        <f>FO_Capture!E1927</f>
        <v>232.58000183105469</v>
      </c>
      <c r="H1927">
        <f t="shared" si="60"/>
        <v>69774.000549316406</v>
      </c>
      <c r="I1927" t="str">
        <f t="shared" si="61"/>
        <v>Pass - Ready for Confirmation</v>
      </c>
    </row>
    <row r="1928" spans="1:9" x14ac:dyDescent="0.3">
      <c r="A1928" t="str">
        <f>FO_Capture!A1928</f>
        <v>TRD01927</v>
      </c>
      <c r="B1928" t="str">
        <f>FO_Capture!B1928</f>
        <v>INE003A01019</v>
      </c>
      <c r="C1928" t="str">
        <f>IFERROR(VLOOKUP(FO_Capture!C1928, Reference_Data!A:D, 2, FALSE), "UNKNOWN")</f>
        <v>Alpha Partners 3</v>
      </c>
      <c r="D1928" t="str">
        <f>IFERROR(VLOOKUP(FO_Capture!C1928, Reference_Data!A:D, 3, FALSE), "XXX")</f>
        <v>USD</v>
      </c>
      <c r="E1928" t="str">
        <f>IFERROR(VLOOKUP(FO_Capture!C1928, Reference_Data!A:D, 4, FALSE), "MISSING SSI")</f>
        <v>Citi A/C 508769</v>
      </c>
      <c r="F1928">
        <f>FO_Capture!D1928</f>
        <v>380</v>
      </c>
      <c r="G1928">
        <f>FO_Capture!E1928</f>
        <v>150.16999816894531</v>
      </c>
      <c r="H1928">
        <f t="shared" si="60"/>
        <v>57064.599304199219</v>
      </c>
      <c r="I1928" t="str">
        <f t="shared" si="61"/>
        <v>Pass - Ready for Confirmation</v>
      </c>
    </row>
    <row r="1929" spans="1:9" x14ac:dyDescent="0.3">
      <c r="A1929" t="str">
        <f>FO_Capture!A1929</f>
        <v>TRD01928</v>
      </c>
      <c r="B1929" t="str">
        <f>FO_Capture!B1929</f>
        <v>INE004A01056</v>
      </c>
      <c r="C1929" t="str">
        <f>IFERROR(VLOOKUP(FO_Capture!C1929, Reference_Data!A:D, 2, FALSE), "UNKNOWN")</f>
        <v>Alpha Partners 3</v>
      </c>
      <c r="D1929" t="str">
        <f>IFERROR(VLOOKUP(FO_Capture!C1929, Reference_Data!A:D, 3, FALSE), "XXX")</f>
        <v>USD</v>
      </c>
      <c r="E1929" t="str">
        <f>IFERROR(VLOOKUP(FO_Capture!C1929, Reference_Data!A:D, 4, FALSE), "MISSING SSI")</f>
        <v>Citi A/C 508769</v>
      </c>
      <c r="F1929">
        <f>FO_Capture!D1929</f>
        <v>440</v>
      </c>
      <c r="G1929">
        <f>FO_Capture!E1929</f>
        <v>462.60000610351563</v>
      </c>
      <c r="H1929">
        <f t="shared" si="60"/>
        <v>203544.00268554688</v>
      </c>
      <c r="I1929" t="str">
        <f t="shared" si="61"/>
        <v>Pass - Ready for Confirmation</v>
      </c>
    </row>
    <row r="1930" spans="1:9" x14ac:dyDescent="0.3">
      <c r="A1930" t="str">
        <f>FO_Capture!A1930</f>
        <v>TRD01929</v>
      </c>
      <c r="B1930" t="str">
        <f>FO_Capture!B1930</f>
        <v>INE001A01069</v>
      </c>
      <c r="C1930" t="str">
        <f>IFERROR(VLOOKUP(FO_Capture!C1930, Reference_Data!A:D, 2, FALSE), "UNKNOWN")</f>
        <v>Alpha Partners 42</v>
      </c>
      <c r="D1930" t="str">
        <f>IFERROR(VLOOKUP(FO_Capture!C1930, Reference_Data!A:D, 3, FALSE), "XXX")</f>
        <v>USD</v>
      </c>
      <c r="E1930" t="str">
        <f>IFERROR(VLOOKUP(FO_Capture!C1930, Reference_Data!A:D, 4, FALSE), "MISSING SSI")</f>
        <v>Citi A/C 416082</v>
      </c>
      <c r="F1930">
        <f>FO_Capture!D1930</f>
        <v>410</v>
      </c>
      <c r="G1930">
        <f>FO_Capture!E1930</f>
        <v>159.3800048828125</v>
      </c>
      <c r="H1930">
        <f t="shared" si="60"/>
        <v>65345.802001953125</v>
      </c>
      <c r="I1930" t="str">
        <f t="shared" si="61"/>
        <v>Pass - Ready for Confirmation</v>
      </c>
    </row>
    <row r="1931" spans="1:9" x14ac:dyDescent="0.3">
      <c r="A1931" t="str">
        <f>FO_Capture!A1931</f>
        <v>TRD01930</v>
      </c>
      <c r="B1931" t="str">
        <f>FO_Capture!B1931</f>
        <v>INE007A01040</v>
      </c>
      <c r="C1931" t="str">
        <f>IFERROR(VLOOKUP(FO_Capture!C1931, Reference_Data!A:D, 2, FALSE), "UNKNOWN")</f>
        <v>Alpha Quant Fund 34</v>
      </c>
      <c r="D1931" t="str">
        <f>IFERROR(VLOOKUP(FO_Capture!C1931, Reference_Data!A:D, 3, FALSE), "XXX")</f>
        <v>JPY</v>
      </c>
      <c r="E1931" t="str">
        <f>IFERROR(VLOOKUP(FO_Capture!C1931, Reference_Data!A:D, 4, FALSE), "MISSING SSI")</f>
        <v>Citi A/C 837378</v>
      </c>
      <c r="F1931">
        <f>FO_Capture!D1931</f>
        <v>490</v>
      </c>
      <c r="G1931">
        <f>FO_Capture!E1931</f>
        <v>362.82000732421875</v>
      </c>
      <c r="H1931">
        <f t="shared" si="60"/>
        <v>177781.80358886719</v>
      </c>
      <c r="I1931" t="str">
        <f t="shared" si="61"/>
        <v>Pass - Ready for Confirmation</v>
      </c>
    </row>
    <row r="1932" spans="1:9" x14ac:dyDescent="0.3">
      <c r="A1932" t="str">
        <f>FO_Capture!A1932</f>
        <v>TRD01931</v>
      </c>
      <c r="B1932" t="str">
        <f>FO_Capture!B1932</f>
        <v>INE003A01088</v>
      </c>
      <c r="C1932" t="str">
        <f>IFERROR(VLOOKUP(FO_Capture!C1932, Reference_Data!A:D, 2, FALSE), "UNKNOWN")</f>
        <v>Alpha Holdings 21</v>
      </c>
      <c r="D1932" t="str">
        <f>IFERROR(VLOOKUP(FO_Capture!C1932, Reference_Data!A:D, 3, FALSE), "XXX")</f>
        <v>SGD</v>
      </c>
      <c r="E1932" t="str">
        <f>IFERROR(VLOOKUP(FO_Capture!C1932, Reference_Data!A:D, 4, FALSE), "MISSING SSI")</f>
        <v>HSBC A/C 562956</v>
      </c>
      <c r="F1932">
        <f>FO_Capture!D1932</f>
        <v>440</v>
      </c>
      <c r="G1932">
        <f>FO_Capture!E1932</f>
        <v>78.050003051757813</v>
      </c>
      <c r="H1932">
        <f t="shared" si="60"/>
        <v>34342.001342773438</v>
      </c>
      <c r="I1932" t="str">
        <f t="shared" si="61"/>
        <v>Pass - Ready for Confirmation</v>
      </c>
    </row>
    <row r="1933" spans="1:9" x14ac:dyDescent="0.3">
      <c r="A1933" t="str">
        <f>FO_Capture!A1933</f>
        <v>TRD01932</v>
      </c>
      <c r="B1933" t="str">
        <f>FO_Capture!B1933</f>
        <v>INE002A01024</v>
      </c>
      <c r="C1933" t="str">
        <f>IFERROR(VLOOKUP(FO_Capture!C1933, Reference_Data!A:D, 2, FALSE), "UNKNOWN")</f>
        <v>Alpha Capital 44</v>
      </c>
      <c r="D1933" t="str">
        <f>IFERROR(VLOOKUP(FO_Capture!C1933, Reference_Data!A:D, 3, FALSE), "XXX")</f>
        <v>INR</v>
      </c>
      <c r="E1933" t="str">
        <f>IFERROR(VLOOKUP(FO_Capture!C1933, Reference_Data!A:D, 4, FALSE), "MISSING SSI")</f>
        <v>Deutsche Bank A/C 428758</v>
      </c>
      <c r="F1933">
        <f>FO_Capture!D1933</f>
        <v>290</v>
      </c>
      <c r="G1933">
        <f>FO_Capture!E1933</f>
        <v>443.010009765625</v>
      </c>
      <c r="H1933">
        <f t="shared" si="60"/>
        <v>128472.90283203125</v>
      </c>
      <c r="I1933" t="str">
        <f t="shared" si="61"/>
        <v>Pass - Ready for Confirmation</v>
      </c>
    </row>
    <row r="1934" spans="1:9" x14ac:dyDescent="0.3">
      <c r="A1934" t="str">
        <f>FO_Capture!A1934</f>
        <v>TRD01933</v>
      </c>
      <c r="B1934" t="str">
        <f>FO_Capture!B1934</f>
        <v>INE001A01093</v>
      </c>
      <c r="C1934" t="str">
        <f>IFERROR(VLOOKUP(FO_Capture!C1934, Reference_Data!A:D, 2, FALSE), "UNKNOWN")</f>
        <v>Alpha Holdings 21</v>
      </c>
      <c r="D1934" t="str">
        <f>IFERROR(VLOOKUP(FO_Capture!C1934, Reference_Data!A:D, 3, FALSE), "XXX")</f>
        <v>SGD</v>
      </c>
      <c r="E1934" t="str">
        <f>IFERROR(VLOOKUP(FO_Capture!C1934, Reference_Data!A:D, 4, FALSE), "MISSING SSI")</f>
        <v>HSBC A/C 562956</v>
      </c>
      <c r="F1934">
        <f>FO_Capture!D1934</f>
        <v>110</v>
      </c>
      <c r="G1934">
        <f>FO_Capture!E1934</f>
        <v>478.44000244140625</v>
      </c>
      <c r="H1934">
        <f t="shared" si="60"/>
        <v>52628.400268554688</v>
      </c>
      <c r="I1934" t="str">
        <f t="shared" si="61"/>
        <v>Pass - Ready for Confirmation</v>
      </c>
    </row>
    <row r="1935" spans="1:9" x14ac:dyDescent="0.3">
      <c r="A1935" t="str">
        <f>FO_Capture!A1935</f>
        <v>TRD01934</v>
      </c>
      <c r="B1935" t="str">
        <f>FO_Capture!B1935</f>
        <v>INE003A01037</v>
      </c>
      <c r="C1935" t="str">
        <f>IFERROR(VLOOKUP(FO_Capture!C1935, Reference_Data!A:D, 2, FALSE), "UNKNOWN")</f>
        <v>Alpha Partners 19</v>
      </c>
      <c r="D1935" t="str">
        <f>IFERROR(VLOOKUP(FO_Capture!C1935, Reference_Data!A:D, 3, FALSE), "XXX")</f>
        <v>INR</v>
      </c>
      <c r="E1935" t="str">
        <f>IFERROR(VLOOKUP(FO_Capture!C1935, Reference_Data!A:D, 4, FALSE), "MISSING SSI")</f>
        <v>Citi A/C 543819</v>
      </c>
      <c r="F1935">
        <f>FO_Capture!D1935</f>
        <v>280</v>
      </c>
      <c r="G1935">
        <f>FO_Capture!E1935</f>
        <v>337.92001342773438</v>
      </c>
      <c r="H1935">
        <f t="shared" si="60"/>
        <v>94617.603759765625</v>
      </c>
      <c r="I1935" t="str">
        <f t="shared" si="61"/>
        <v>Pass - Ready for Confirmation</v>
      </c>
    </row>
    <row r="1936" spans="1:9" x14ac:dyDescent="0.3">
      <c r="A1936" t="str">
        <f>FO_Capture!A1936</f>
        <v>TRD01935</v>
      </c>
      <c r="B1936" t="str">
        <f>FO_Capture!B1936</f>
        <v>INE005A01028</v>
      </c>
      <c r="C1936" t="str">
        <f>IFERROR(VLOOKUP(FO_Capture!C1936, Reference_Data!A:D, 2, FALSE), "UNKNOWN")</f>
        <v>Alpha Asset Management 32</v>
      </c>
      <c r="D1936" t="str">
        <f>IFERROR(VLOOKUP(FO_Capture!C1936, Reference_Data!A:D, 3, FALSE), "XXX")</f>
        <v>INR</v>
      </c>
      <c r="E1936" t="str">
        <f>IFERROR(VLOOKUP(FO_Capture!C1936, Reference_Data!A:D, 4, FALSE), "MISSING SSI")</f>
        <v>Barclays A/C 302646</v>
      </c>
      <c r="F1936">
        <f>FO_Capture!D1936</f>
        <v>190</v>
      </c>
      <c r="G1936">
        <f>FO_Capture!E1936</f>
        <v>57.810001373291016</v>
      </c>
      <c r="H1936">
        <f t="shared" si="60"/>
        <v>10983.900260925293</v>
      </c>
      <c r="I1936" t="str">
        <f t="shared" si="61"/>
        <v>Pass - Ready for Confirmation</v>
      </c>
    </row>
    <row r="1937" spans="1:9" x14ac:dyDescent="0.3">
      <c r="A1937" t="str">
        <f>FO_Capture!A1937</f>
        <v>TRD01936</v>
      </c>
      <c r="B1937" t="str">
        <f>FO_Capture!B1937</f>
        <v>INE008A01034</v>
      </c>
      <c r="C1937" t="str">
        <f>IFERROR(VLOOKUP(FO_Capture!C1937, Reference_Data!A:D, 2, FALSE), "UNKNOWN")</f>
        <v>Alpha Partners 6</v>
      </c>
      <c r="D1937" t="str">
        <f>IFERROR(VLOOKUP(FO_Capture!C1937, Reference_Data!A:D, 3, FALSE), "XXX")</f>
        <v>INR</v>
      </c>
      <c r="E1937" t="str">
        <f>IFERROR(VLOOKUP(FO_Capture!C1937, Reference_Data!A:D, 4, FALSE), "MISSING SSI")</f>
        <v>Standard Chartered A/C 441247</v>
      </c>
      <c r="F1937">
        <f>FO_Capture!D1937</f>
        <v>50</v>
      </c>
      <c r="G1937">
        <f>FO_Capture!E1937</f>
        <v>307.32000732421875</v>
      </c>
      <c r="H1937">
        <f t="shared" si="60"/>
        <v>15366.000366210938</v>
      </c>
      <c r="I1937" t="str">
        <f t="shared" si="61"/>
        <v>Pass - Ready for Confirmation</v>
      </c>
    </row>
    <row r="1938" spans="1:9" x14ac:dyDescent="0.3">
      <c r="A1938" t="str">
        <f>FO_Capture!A1938</f>
        <v>TRD01937</v>
      </c>
      <c r="B1938" t="str">
        <f>FO_Capture!B1938</f>
        <v>INE001A01059</v>
      </c>
      <c r="C1938" t="str">
        <f>IFERROR(VLOOKUP(FO_Capture!C1938, Reference_Data!A:D, 2, FALSE), "UNKNOWN")</f>
        <v>Alpha Capital 10</v>
      </c>
      <c r="D1938" t="str">
        <f>IFERROR(VLOOKUP(FO_Capture!C1938, Reference_Data!A:D, 3, FALSE), "XXX")</f>
        <v>USD</v>
      </c>
      <c r="E1938" t="str">
        <f>IFERROR(VLOOKUP(FO_Capture!C1938, Reference_Data!A:D, 4, FALSE), "MISSING SSI")</f>
        <v>HDFC A/C 543407</v>
      </c>
      <c r="F1938">
        <f>FO_Capture!D1938</f>
        <v>70</v>
      </c>
      <c r="G1938">
        <f>FO_Capture!E1938</f>
        <v>138.44000244140625</v>
      </c>
      <c r="H1938">
        <f t="shared" si="60"/>
        <v>9690.8001708984375</v>
      </c>
      <c r="I1938" t="str">
        <f t="shared" si="61"/>
        <v>Pass - Ready for Confirmation</v>
      </c>
    </row>
    <row r="1939" spans="1:9" x14ac:dyDescent="0.3">
      <c r="A1939" t="str">
        <f>FO_Capture!A1939</f>
        <v>TRD01938</v>
      </c>
      <c r="B1939" t="str">
        <f>FO_Capture!B1939</f>
        <v>INE001A01096</v>
      </c>
      <c r="C1939" t="str">
        <f>IFERROR(VLOOKUP(FO_Capture!C1939, Reference_Data!A:D, 2, FALSE), "UNKNOWN")</f>
        <v>Alpha Investments 15</v>
      </c>
      <c r="D1939" t="str">
        <f>IFERROR(VLOOKUP(FO_Capture!C1939, Reference_Data!A:D, 3, FALSE), "XXX")</f>
        <v>INR</v>
      </c>
      <c r="E1939" t="str">
        <f>IFERROR(VLOOKUP(FO_Capture!C1939, Reference_Data!A:D, 4, FALSE), "MISSING SSI")</f>
        <v>Deutsche Bank A/C 330518</v>
      </c>
      <c r="F1939">
        <f>FO_Capture!D1939</f>
        <v>300</v>
      </c>
      <c r="G1939">
        <f>FO_Capture!E1939</f>
        <v>235.99000549316406</v>
      </c>
      <c r="H1939">
        <f t="shared" si="60"/>
        <v>70797.001647949219</v>
      </c>
      <c r="I1939" t="str">
        <f t="shared" si="61"/>
        <v>Pass - Ready for Confirmation</v>
      </c>
    </row>
    <row r="1940" spans="1:9" x14ac:dyDescent="0.3">
      <c r="A1940" t="str">
        <f>FO_Capture!A1940</f>
        <v>TRD01939</v>
      </c>
      <c r="B1940" t="str">
        <f>FO_Capture!B1940</f>
        <v>INE004A01079</v>
      </c>
      <c r="C1940" t="str">
        <f>IFERROR(VLOOKUP(FO_Capture!C1940, Reference_Data!A:D, 2, FALSE), "UNKNOWN")</f>
        <v>Alpha Global 20</v>
      </c>
      <c r="D1940" t="str">
        <f>IFERROR(VLOOKUP(FO_Capture!C1940, Reference_Data!A:D, 3, FALSE), "XXX")</f>
        <v>JPY</v>
      </c>
      <c r="E1940" t="str">
        <f>IFERROR(VLOOKUP(FO_Capture!C1940, Reference_Data!A:D, 4, FALSE), "MISSING SSI")</f>
        <v>Barclays A/C 560891</v>
      </c>
      <c r="F1940">
        <f>FO_Capture!D1940</f>
        <v>280</v>
      </c>
      <c r="G1940">
        <f>FO_Capture!E1940</f>
        <v>167.58000183105469</v>
      </c>
      <c r="H1940">
        <f t="shared" si="60"/>
        <v>46922.400512695313</v>
      </c>
      <c r="I1940" t="str">
        <f t="shared" si="61"/>
        <v>Pass - Ready for Confirmation</v>
      </c>
    </row>
    <row r="1941" spans="1:9" x14ac:dyDescent="0.3">
      <c r="A1941" t="str">
        <f>FO_Capture!A1941</f>
        <v>TRD01940</v>
      </c>
      <c r="B1941" t="str">
        <f>FO_Capture!B1941</f>
        <v>INE001A01029</v>
      </c>
      <c r="C1941" t="str">
        <f>IFERROR(VLOOKUP(FO_Capture!C1941, Reference_Data!A:D, 2, FALSE), "UNKNOWN")</f>
        <v>Alpha Global 20</v>
      </c>
      <c r="D1941" t="str">
        <f>IFERROR(VLOOKUP(FO_Capture!C1941, Reference_Data!A:D, 3, FALSE), "XXX")</f>
        <v>JPY</v>
      </c>
      <c r="E1941" t="str">
        <f>IFERROR(VLOOKUP(FO_Capture!C1941, Reference_Data!A:D, 4, FALSE), "MISSING SSI")</f>
        <v>Barclays A/C 560891</v>
      </c>
      <c r="F1941">
        <f>FO_Capture!D1941</f>
        <v>360</v>
      </c>
      <c r="G1941">
        <f>FO_Capture!E1941</f>
        <v>133.66999816894531</v>
      </c>
      <c r="H1941">
        <f t="shared" si="60"/>
        <v>48121.199340820313</v>
      </c>
      <c r="I1941" t="str">
        <f t="shared" si="61"/>
        <v>Pass - Ready for Confirmation</v>
      </c>
    </row>
    <row r="1942" spans="1:9" x14ac:dyDescent="0.3">
      <c r="A1942" t="str">
        <f>FO_Capture!A1942</f>
        <v>TRD01941</v>
      </c>
      <c r="B1942" t="str">
        <f>FO_Capture!B1942</f>
        <v>INE005A0107</v>
      </c>
      <c r="C1942" t="str">
        <f>IFERROR(VLOOKUP(FO_Capture!C1942, Reference_Data!A:D, 2, FALSE), "UNKNOWN")</f>
        <v>Alpha Holdings 41</v>
      </c>
      <c r="D1942" t="str">
        <f>IFERROR(VLOOKUP(FO_Capture!C1942, Reference_Data!A:D, 3, FALSE), "XXX")</f>
        <v>JPY</v>
      </c>
      <c r="E1942" t="str">
        <f>IFERROR(VLOOKUP(FO_Capture!C1942, Reference_Data!A:D, 4, FALSE), "MISSING SSI")</f>
        <v>HSBC A/C 468615</v>
      </c>
      <c r="F1942">
        <f>FO_Capture!D1942</f>
        <v>440</v>
      </c>
      <c r="G1942">
        <f>FO_Capture!E1942</f>
        <v>217.50999450683594</v>
      </c>
      <c r="H1942">
        <f t="shared" si="60"/>
        <v>95704.397583007813</v>
      </c>
      <c r="I1942" t="str">
        <f t="shared" si="61"/>
        <v>Pass - Ready for Confirmation</v>
      </c>
    </row>
    <row r="1943" spans="1:9" x14ac:dyDescent="0.3">
      <c r="A1943" t="str">
        <f>FO_Capture!A1943</f>
        <v>TRD01942</v>
      </c>
      <c r="B1943" t="str">
        <f>FO_Capture!B1943</f>
        <v>INE005A01061</v>
      </c>
      <c r="C1943" t="str">
        <f>IFERROR(VLOOKUP(FO_Capture!C1943, Reference_Data!A:D, 2, FALSE), "UNKNOWN")</f>
        <v>Alpha Partners 6</v>
      </c>
      <c r="D1943" t="str">
        <f>IFERROR(VLOOKUP(FO_Capture!C1943, Reference_Data!A:D, 3, FALSE), "XXX")</f>
        <v>INR</v>
      </c>
      <c r="E1943" t="str">
        <f>IFERROR(VLOOKUP(FO_Capture!C1943, Reference_Data!A:D, 4, FALSE), "MISSING SSI")</f>
        <v>Standard Chartered A/C 441247</v>
      </c>
      <c r="F1943">
        <f>FO_Capture!D1943</f>
        <v>190</v>
      </c>
      <c r="G1943">
        <f>FO_Capture!E1943</f>
        <v>135.14999389648438</v>
      </c>
      <c r="H1943">
        <f t="shared" si="60"/>
        <v>25678.498840332031</v>
      </c>
      <c r="I1943" t="str">
        <f t="shared" si="61"/>
        <v>Pass - Ready for Confirmation</v>
      </c>
    </row>
    <row r="1944" spans="1:9" x14ac:dyDescent="0.3">
      <c r="A1944" t="str">
        <f>FO_Capture!A1944</f>
        <v>TRD01943</v>
      </c>
      <c r="B1944" t="str">
        <f>FO_Capture!B1944</f>
        <v>INE005A01082</v>
      </c>
      <c r="C1944" t="str">
        <f>IFERROR(VLOOKUP(FO_Capture!C1944, Reference_Data!A:D, 2, FALSE), "UNKNOWN")</f>
        <v>Alpha Holdings 16</v>
      </c>
      <c r="D1944" t="str">
        <f>IFERROR(VLOOKUP(FO_Capture!C1944, Reference_Data!A:D, 3, FALSE), "XXX")</f>
        <v>USD</v>
      </c>
      <c r="E1944" t="str">
        <f>IFERROR(VLOOKUP(FO_Capture!C1944, Reference_Data!A:D, 4, FALSE), "MISSING SSI")</f>
        <v>Barclays A/C 197229</v>
      </c>
      <c r="F1944">
        <f>FO_Capture!D1944</f>
        <v>330</v>
      </c>
      <c r="G1944">
        <f>FO_Capture!E1944</f>
        <v>485.48001098632813</v>
      </c>
      <c r="H1944">
        <f t="shared" si="60"/>
        <v>160208.40362548828</v>
      </c>
      <c r="I1944" t="str">
        <f t="shared" si="61"/>
        <v>Pass - Ready for Confirmation</v>
      </c>
    </row>
    <row r="1945" spans="1:9" x14ac:dyDescent="0.3">
      <c r="A1945" t="str">
        <f>FO_Capture!A1945</f>
        <v>TRD01944</v>
      </c>
      <c r="B1945" t="str">
        <f>FO_Capture!B1945</f>
        <v>INE003A01049</v>
      </c>
      <c r="C1945" t="str">
        <f>IFERROR(VLOOKUP(FO_Capture!C1945, Reference_Data!A:D, 2, FALSE), "UNKNOWN")</f>
        <v>Alpha Holdings 21</v>
      </c>
      <c r="D1945" t="str">
        <f>IFERROR(VLOOKUP(FO_Capture!C1945, Reference_Data!A:D, 3, FALSE), "XXX")</f>
        <v>SGD</v>
      </c>
      <c r="E1945" t="str">
        <f>IFERROR(VLOOKUP(FO_Capture!C1945, Reference_Data!A:D, 4, FALSE), "MISSING SSI")</f>
        <v>HSBC A/C 562956</v>
      </c>
      <c r="F1945">
        <f>FO_Capture!D1945</f>
        <v>-50</v>
      </c>
      <c r="G1945">
        <f>FO_Capture!E1945</f>
        <v>95.790000915527344</v>
      </c>
      <c r="H1945">
        <f t="shared" si="60"/>
        <v>-4789.5000457763672</v>
      </c>
      <c r="I1945" t="str">
        <f t="shared" si="61"/>
        <v>Fail - Invalid Price/Qty</v>
      </c>
    </row>
    <row r="1946" spans="1:9" x14ac:dyDescent="0.3">
      <c r="A1946" t="str">
        <f>FO_Capture!A1946</f>
        <v>TRD01945</v>
      </c>
      <c r="B1946" t="str">
        <f>FO_Capture!B1946</f>
        <v>INE007A01097</v>
      </c>
      <c r="C1946" t="str">
        <f>IFERROR(VLOOKUP(FO_Capture!C1946, Reference_Data!A:D, 2, FALSE), "UNKNOWN")</f>
        <v>Alpha Global 39</v>
      </c>
      <c r="D1946" t="str">
        <f>IFERROR(VLOOKUP(FO_Capture!C1946, Reference_Data!A:D, 3, FALSE), "XXX")</f>
        <v>SGD</v>
      </c>
      <c r="E1946" t="str">
        <f>IFERROR(VLOOKUP(FO_Capture!C1946, Reference_Data!A:D, 4, FALSE), "MISSING SSI")</f>
        <v>Deutsche Bank A/C 917029</v>
      </c>
      <c r="F1946">
        <f>FO_Capture!D1946</f>
        <v>10</v>
      </c>
      <c r="G1946">
        <f>FO_Capture!E1946</f>
        <v>383.57000732421875</v>
      </c>
      <c r="H1946">
        <f t="shared" si="60"/>
        <v>3835.7000732421875</v>
      </c>
      <c r="I1946" t="str">
        <f t="shared" si="61"/>
        <v>Pass - Ready for Confirmation</v>
      </c>
    </row>
    <row r="1947" spans="1:9" x14ac:dyDescent="0.3">
      <c r="A1947" t="str">
        <f>FO_Capture!A1947</f>
        <v>TRD01946</v>
      </c>
      <c r="B1947" t="str">
        <f>FO_Capture!B1947</f>
        <v>INE007A01056</v>
      </c>
      <c r="C1947" t="str">
        <f>IFERROR(VLOOKUP(FO_Capture!C1947, Reference_Data!A:D, 2, FALSE), "UNKNOWN")</f>
        <v>Alpha Capital 36</v>
      </c>
      <c r="D1947" t="str">
        <f>IFERROR(VLOOKUP(FO_Capture!C1947, Reference_Data!A:D, 3, FALSE), "XXX")</f>
        <v>JPY</v>
      </c>
      <c r="E1947" t="str">
        <f>IFERROR(VLOOKUP(FO_Capture!C1947, Reference_Data!A:D, 4, FALSE), "MISSING SSI")</f>
        <v>Citi A/C 359789</v>
      </c>
      <c r="F1947">
        <f>FO_Capture!D1947</f>
        <v>350</v>
      </c>
      <c r="G1947">
        <f>FO_Capture!E1947</f>
        <v>207.24000549316406</v>
      </c>
      <c r="H1947">
        <f t="shared" si="60"/>
        <v>72534.001922607422</v>
      </c>
      <c r="I1947" t="str">
        <f t="shared" si="61"/>
        <v>Pass - Ready for Confirmation</v>
      </c>
    </row>
    <row r="1948" spans="1:9" x14ac:dyDescent="0.3">
      <c r="A1948" t="str">
        <f>FO_Capture!A1948</f>
        <v>TRD01947</v>
      </c>
      <c r="B1948" t="str">
        <f>FO_Capture!B1948</f>
        <v>INE002A01020</v>
      </c>
      <c r="C1948" t="str">
        <f>IFERROR(VLOOKUP(FO_Capture!C1948, Reference_Data!A:D, 2, FALSE), "UNKNOWN")</f>
        <v>Alpha Investments 40</v>
      </c>
      <c r="D1948" t="str">
        <f>IFERROR(VLOOKUP(FO_Capture!C1948, Reference_Data!A:D, 3, FALSE), "XXX")</f>
        <v>GBP</v>
      </c>
      <c r="E1948" t="str">
        <f>IFERROR(VLOOKUP(FO_Capture!C1948, Reference_Data!A:D, 4, FALSE), "MISSING SSI")</f>
        <v>HDFC A/C 897530</v>
      </c>
      <c r="F1948">
        <f>FO_Capture!D1948</f>
        <v>170</v>
      </c>
      <c r="G1948">
        <f>FO_Capture!E1948</f>
        <v>359.04000854492188</v>
      </c>
      <c r="H1948">
        <f t="shared" si="60"/>
        <v>61036.801452636719</v>
      </c>
      <c r="I1948" t="str">
        <f t="shared" si="61"/>
        <v>Pass - Ready for Confirmation</v>
      </c>
    </row>
    <row r="1949" spans="1:9" x14ac:dyDescent="0.3">
      <c r="A1949" t="str">
        <f>FO_Capture!A1949</f>
        <v>TRD01948</v>
      </c>
      <c r="B1949" t="str">
        <f>FO_Capture!B1949</f>
        <v>INE009A01015</v>
      </c>
      <c r="C1949" t="str">
        <f>IFERROR(VLOOKUP(FO_Capture!C1949, Reference_Data!A:D, 2, FALSE), "UNKNOWN")</f>
        <v>Alpha Partners 18</v>
      </c>
      <c r="D1949" t="str">
        <f>IFERROR(VLOOKUP(FO_Capture!C1949, Reference_Data!A:D, 3, FALSE), "XXX")</f>
        <v>INR</v>
      </c>
      <c r="E1949" t="str">
        <f>IFERROR(VLOOKUP(FO_Capture!C1949, Reference_Data!A:D, 4, FALSE), "MISSING SSI")</f>
        <v>JPMorgan A/C 704166</v>
      </c>
      <c r="F1949">
        <f>FO_Capture!D1949</f>
        <v>120</v>
      </c>
      <c r="G1949">
        <f>FO_Capture!E1949</f>
        <v>201.52000427246094</v>
      </c>
      <c r="H1949">
        <f t="shared" si="60"/>
        <v>24182.400512695313</v>
      </c>
      <c r="I1949" t="str">
        <f t="shared" si="61"/>
        <v>Pass - Ready for Confirmation</v>
      </c>
    </row>
    <row r="1950" spans="1:9" x14ac:dyDescent="0.3">
      <c r="A1950" t="str">
        <f>FO_Capture!A1950</f>
        <v>TRD01949</v>
      </c>
      <c r="B1950" t="str">
        <f>FO_Capture!B1950</f>
        <v>INE004A01094</v>
      </c>
      <c r="C1950" t="str">
        <f>IFERROR(VLOOKUP(FO_Capture!C1950, Reference_Data!A:D, 2, FALSE), "UNKNOWN")</f>
        <v>Alpha Asset Management 5</v>
      </c>
      <c r="D1950" t="str">
        <f>IFERROR(VLOOKUP(FO_Capture!C1950, Reference_Data!A:D, 3, FALSE), "XXX")</f>
        <v>INR</v>
      </c>
      <c r="E1950" t="str">
        <f>IFERROR(VLOOKUP(FO_Capture!C1950, Reference_Data!A:D, 4, FALSE), "MISSING SSI")</f>
        <v>JPMorgan A/C 860462</v>
      </c>
      <c r="F1950">
        <f>FO_Capture!D1950</f>
        <v>30</v>
      </c>
      <c r="G1950">
        <f>FO_Capture!E1950</f>
        <v>417.54998779296875</v>
      </c>
      <c r="H1950">
        <f t="shared" si="60"/>
        <v>12526.499633789063</v>
      </c>
      <c r="I1950" t="str">
        <f t="shared" si="61"/>
        <v>Pass - Ready for Confirmation</v>
      </c>
    </row>
    <row r="1951" spans="1:9" x14ac:dyDescent="0.3">
      <c r="A1951" t="str">
        <f>FO_Capture!A1951</f>
        <v>TRD01950</v>
      </c>
      <c r="B1951" t="str">
        <f>FO_Capture!B1951</f>
        <v>INE008A01086</v>
      </c>
      <c r="C1951" t="str">
        <f>IFERROR(VLOOKUP(FO_Capture!C1951, Reference_Data!A:D, 2, FALSE), "UNKNOWN")</f>
        <v>Alpha Quant Fund 34</v>
      </c>
      <c r="D1951" t="str">
        <f>IFERROR(VLOOKUP(FO_Capture!C1951, Reference_Data!A:D, 3, FALSE), "XXX")</f>
        <v>JPY</v>
      </c>
      <c r="E1951" t="str">
        <f>IFERROR(VLOOKUP(FO_Capture!C1951, Reference_Data!A:D, 4, FALSE), "MISSING SSI")</f>
        <v>Citi A/C 837378</v>
      </c>
      <c r="F1951">
        <f>FO_Capture!D1951</f>
        <v>250</v>
      </c>
      <c r="G1951">
        <f>FO_Capture!E1951</f>
        <v>260.29998779296875</v>
      </c>
      <c r="H1951">
        <f t="shared" si="60"/>
        <v>65074.996948242188</v>
      </c>
      <c r="I1951" t="str">
        <f t="shared" si="61"/>
        <v>Pass - Ready for Confirmation</v>
      </c>
    </row>
    <row r="1952" spans="1:9" x14ac:dyDescent="0.3">
      <c r="A1952" t="str">
        <f>FO_Capture!A1952</f>
        <v>TRD01951</v>
      </c>
      <c r="B1952" t="str">
        <f>FO_Capture!B1952</f>
        <v>INE003A01047</v>
      </c>
      <c r="C1952" t="str">
        <f>IFERROR(VLOOKUP(FO_Capture!C1952, Reference_Data!A:D, 2, FALSE), "UNKNOWN")</f>
        <v>Alpha Asset Management 5</v>
      </c>
      <c r="D1952" t="str">
        <f>IFERROR(VLOOKUP(FO_Capture!C1952, Reference_Data!A:D, 3, FALSE), "XXX")</f>
        <v>INR</v>
      </c>
      <c r="E1952" t="str">
        <f>IFERROR(VLOOKUP(FO_Capture!C1952, Reference_Data!A:D, 4, FALSE), "MISSING SSI")</f>
        <v>JPMorgan A/C 860462</v>
      </c>
      <c r="F1952">
        <f>FO_Capture!D1952</f>
        <v>330</v>
      </c>
      <c r="G1952">
        <f>FO_Capture!E1952</f>
        <v>303.239990234375</v>
      </c>
      <c r="H1952">
        <f t="shared" si="60"/>
        <v>100069.19677734375</v>
      </c>
      <c r="I1952" t="str">
        <f t="shared" si="61"/>
        <v>Pass - Ready for Confirmation</v>
      </c>
    </row>
    <row r="1953" spans="1:9" x14ac:dyDescent="0.3">
      <c r="A1953" t="str">
        <f>FO_Capture!A1953</f>
        <v>TRD01952</v>
      </c>
      <c r="B1953" t="str">
        <f>FO_Capture!B1953</f>
        <v>INE008A0109</v>
      </c>
      <c r="C1953" t="str">
        <f>IFERROR(VLOOKUP(FO_Capture!C1953, Reference_Data!A:D, 2, FALSE), "UNKNOWN")</f>
        <v>Alpha Asset Management 13</v>
      </c>
      <c r="D1953" t="str">
        <f>IFERROR(VLOOKUP(FO_Capture!C1953, Reference_Data!A:D, 3, FALSE), "XXX")</f>
        <v>INR</v>
      </c>
      <c r="E1953" t="str">
        <f>IFERROR(VLOOKUP(FO_Capture!C1953, Reference_Data!A:D, 4, FALSE), "MISSING SSI")</f>
        <v>HSBC A/C 972195</v>
      </c>
      <c r="F1953">
        <f>FO_Capture!D1953</f>
        <v>310</v>
      </c>
      <c r="G1953">
        <f>FO_Capture!E1953</f>
        <v>190.19000244140625</v>
      </c>
      <c r="H1953">
        <f t="shared" si="60"/>
        <v>58958.900756835938</v>
      </c>
      <c r="I1953" t="str">
        <f t="shared" si="61"/>
        <v>Pass - Ready for Confirmation</v>
      </c>
    </row>
    <row r="1954" spans="1:9" x14ac:dyDescent="0.3">
      <c r="A1954" t="str">
        <f>FO_Capture!A1954</f>
        <v>TRD01953</v>
      </c>
      <c r="B1954" t="str">
        <f>FO_Capture!B1954</f>
        <v>INE001A01030</v>
      </c>
      <c r="C1954" t="str">
        <f>IFERROR(VLOOKUP(FO_Capture!C1954, Reference_Data!A:D, 2, FALSE), "UNKNOWN")</f>
        <v>Alpha Holdings 23</v>
      </c>
      <c r="D1954" t="str">
        <f>IFERROR(VLOOKUP(FO_Capture!C1954, Reference_Data!A:D, 3, FALSE), "XXX")</f>
        <v>INR</v>
      </c>
      <c r="E1954" t="str">
        <f>IFERROR(VLOOKUP(FO_Capture!C1954, Reference_Data!A:D, 4, FALSE), "MISSING SSI")</f>
        <v>Deutsche Bank A/C 983712</v>
      </c>
      <c r="F1954">
        <f>FO_Capture!D1954</f>
        <v>450</v>
      </c>
      <c r="G1954">
        <f>FO_Capture!E1954</f>
        <v>385.25</v>
      </c>
      <c r="H1954">
        <f t="shared" si="60"/>
        <v>173362.5</v>
      </c>
      <c r="I1954" t="str">
        <f t="shared" si="61"/>
        <v>Pass - Ready for Confirmation</v>
      </c>
    </row>
    <row r="1955" spans="1:9" x14ac:dyDescent="0.3">
      <c r="A1955" t="str">
        <f>FO_Capture!A1955</f>
        <v>TRD01954</v>
      </c>
      <c r="B1955" t="str">
        <f>FO_Capture!B1955</f>
        <v>INE007A01047</v>
      </c>
      <c r="C1955" t="str">
        <f>IFERROR(VLOOKUP(FO_Capture!C1955, Reference_Data!A:D, 2, FALSE), "UNKNOWN")</f>
        <v>Alpha Global 45</v>
      </c>
      <c r="D1955" t="str">
        <f>IFERROR(VLOOKUP(FO_Capture!C1955, Reference_Data!A:D, 3, FALSE), "XXX")</f>
        <v>EUR</v>
      </c>
      <c r="E1955" t="str">
        <f>IFERROR(VLOOKUP(FO_Capture!C1955, Reference_Data!A:D, 4, FALSE), "MISSING SSI")</f>
        <v>HSBC A/C 540659</v>
      </c>
      <c r="F1955">
        <f>FO_Capture!D1955</f>
        <v>490</v>
      </c>
      <c r="G1955">
        <f>FO_Capture!E1955</f>
        <v>422.85000610351563</v>
      </c>
      <c r="H1955">
        <f t="shared" si="60"/>
        <v>207196.50299072266</v>
      </c>
      <c r="I1955" t="str">
        <f t="shared" si="61"/>
        <v>Pass - Ready for Confirmation</v>
      </c>
    </row>
    <row r="1956" spans="1:9" x14ac:dyDescent="0.3">
      <c r="A1956" t="str">
        <f>FO_Capture!A1956</f>
        <v>TRD01955</v>
      </c>
      <c r="B1956" t="str">
        <f>FO_Capture!B1956</f>
        <v>INE001A01021</v>
      </c>
      <c r="C1956" t="str">
        <f>IFERROR(VLOOKUP(FO_Capture!C1956, Reference_Data!A:D, 2, FALSE), "UNKNOWN")</f>
        <v>Alpha Partners 6</v>
      </c>
      <c r="D1956" t="str">
        <f>IFERROR(VLOOKUP(FO_Capture!C1956, Reference_Data!A:D, 3, FALSE), "XXX")</f>
        <v>INR</v>
      </c>
      <c r="E1956" t="str">
        <f>IFERROR(VLOOKUP(FO_Capture!C1956, Reference_Data!A:D, 4, FALSE), "MISSING SSI")</f>
        <v>Standard Chartered A/C 441247</v>
      </c>
      <c r="F1956">
        <f>FO_Capture!D1956</f>
        <v>390</v>
      </c>
      <c r="G1956">
        <f>FO_Capture!E1956</f>
        <v>157.72000122070313</v>
      </c>
      <c r="H1956">
        <f t="shared" si="60"/>
        <v>61510.800476074219</v>
      </c>
      <c r="I1956" t="str">
        <f t="shared" si="61"/>
        <v>Pass - Ready for Confirmation</v>
      </c>
    </row>
    <row r="1957" spans="1:9" x14ac:dyDescent="0.3">
      <c r="A1957" t="str">
        <f>FO_Capture!A1957</f>
        <v>TRD01956</v>
      </c>
      <c r="B1957" t="str">
        <f>FO_Capture!B1957</f>
        <v>INE005A01090</v>
      </c>
      <c r="C1957" t="str">
        <f>IFERROR(VLOOKUP(FO_Capture!C1957, Reference_Data!A:D, 2, FALSE), "UNKNOWN")</f>
        <v>Alpha Asset Management 32</v>
      </c>
      <c r="D1957" t="str">
        <f>IFERROR(VLOOKUP(FO_Capture!C1957, Reference_Data!A:D, 3, FALSE), "XXX")</f>
        <v>INR</v>
      </c>
      <c r="E1957" t="str">
        <f>IFERROR(VLOOKUP(FO_Capture!C1957, Reference_Data!A:D, 4, FALSE), "MISSING SSI")</f>
        <v>Barclays A/C 302646</v>
      </c>
      <c r="F1957">
        <f>FO_Capture!D1957</f>
        <v>100</v>
      </c>
      <c r="G1957">
        <f>FO_Capture!E1957</f>
        <v>14.920000076293945</v>
      </c>
      <c r="H1957">
        <f t="shared" si="60"/>
        <v>1492.0000076293945</v>
      </c>
      <c r="I1957" t="str">
        <f t="shared" si="61"/>
        <v>Pass - Ready for Confirmation</v>
      </c>
    </row>
    <row r="1958" spans="1:9" x14ac:dyDescent="0.3">
      <c r="A1958" t="str">
        <f>FO_Capture!A1958</f>
        <v>TRD01957</v>
      </c>
      <c r="B1958" t="str">
        <f>FO_Capture!B1958</f>
        <v>INE009A01022</v>
      </c>
      <c r="C1958" t="str">
        <f>IFERROR(VLOOKUP(FO_Capture!C1958, Reference_Data!A:D, 2, FALSE), "UNKNOWN")</f>
        <v>Alpha Asset Management 13</v>
      </c>
      <c r="D1958" t="str">
        <f>IFERROR(VLOOKUP(FO_Capture!C1958, Reference_Data!A:D, 3, FALSE), "XXX")</f>
        <v>INR</v>
      </c>
      <c r="E1958" t="str">
        <f>IFERROR(VLOOKUP(FO_Capture!C1958, Reference_Data!A:D, 4, FALSE), "MISSING SSI")</f>
        <v>HSBC A/C 972195</v>
      </c>
      <c r="F1958">
        <f>FO_Capture!D1958</f>
        <v>280</v>
      </c>
      <c r="G1958">
        <f>FO_Capture!E1958</f>
        <v>239.80000305175781</v>
      </c>
      <c r="H1958">
        <f t="shared" si="60"/>
        <v>67144.000854492188</v>
      </c>
      <c r="I1958" t="str">
        <f t="shared" si="61"/>
        <v>Pass - Ready for Confirmation</v>
      </c>
    </row>
    <row r="1959" spans="1:9" x14ac:dyDescent="0.3">
      <c r="A1959" t="str">
        <f>FO_Capture!A1959</f>
        <v>TRD01958</v>
      </c>
      <c r="B1959" t="str">
        <f>FO_Capture!B1959</f>
        <v>INE005A01054</v>
      </c>
      <c r="C1959" t="str">
        <f>IFERROR(VLOOKUP(FO_Capture!C1959, Reference_Data!A:D, 2, FALSE), "UNKNOWN")</f>
        <v>Alpha Global 39</v>
      </c>
      <c r="D1959" t="str">
        <f>IFERROR(VLOOKUP(FO_Capture!C1959, Reference_Data!A:D, 3, FALSE), "XXX")</f>
        <v>SGD</v>
      </c>
      <c r="E1959" t="str">
        <f>IFERROR(VLOOKUP(FO_Capture!C1959, Reference_Data!A:D, 4, FALSE), "MISSING SSI")</f>
        <v>Deutsche Bank A/C 917029</v>
      </c>
      <c r="F1959">
        <f>FO_Capture!D1959</f>
        <v>80</v>
      </c>
      <c r="G1959">
        <f>FO_Capture!E1959</f>
        <v>148.02999877929688</v>
      </c>
      <c r="H1959">
        <f t="shared" si="60"/>
        <v>11842.39990234375</v>
      </c>
      <c r="I1959" t="str">
        <f t="shared" si="61"/>
        <v>Pass - Ready for Confirmation</v>
      </c>
    </row>
    <row r="1960" spans="1:9" x14ac:dyDescent="0.3">
      <c r="A1960" t="str">
        <f>FO_Capture!A1960</f>
        <v>TRD01959</v>
      </c>
      <c r="B1960" t="str">
        <f>FO_Capture!B1960</f>
        <v>INE006A01058</v>
      </c>
      <c r="C1960" t="str">
        <f>IFERROR(VLOOKUP(FO_Capture!C1960, Reference_Data!A:D, 2, FALSE), "UNKNOWN")</f>
        <v>Alpha Investments 15</v>
      </c>
      <c r="D1960" t="str">
        <f>IFERROR(VLOOKUP(FO_Capture!C1960, Reference_Data!A:D, 3, FALSE), "XXX")</f>
        <v>INR</v>
      </c>
      <c r="E1960" t="str">
        <f>IFERROR(VLOOKUP(FO_Capture!C1960, Reference_Data!A:D, 4, FALSE), "MISSING SSI")</f>
        <v>Deutsche Bank A/C 330518</v>
      </c>
      <c r="F1960">
        <f>FO_Capture!D1960</f>
        <v>370</v>
      </c>
      <c r="G1960">
        <f>FO_Capture!E1960</f>
        <v>375.6099853515625</v>
      </c>
      <c r="H1960">
        <f t="shared" si="60"/>
        <v>138975.69458007813</v>
      </c>
      <c r="I1960" t="str">
        <f t="shared" si="61"/>
        <v>Pass - Ready for Confirmation</v>
      </c>
    </row>
    <row r="1961" spans="1:9" x14ac:dyDescent="0.3">
      <c r="A1961" t="str">
        <f>FO_Capture!A1961</f>
        <v>TRD01960</v>
      </c>
      <c r="B1961" t="str">
        <f>FO_Capture!B1961</f>
        <v>INE002A01077</v>
      </c>
      <c r="C1961" t="str">
        <f>IFERROR(VLOOKUP(FO_Capture!C1961, Reference_Data!A:D, 2, FALSE), "UNKNOWN")</f>
        <v>Alpha Capital 44</v>
      </c>
      <c r="D1961" t="str">
        <f>IFERROR(VLOOKUP(FO_Capture!C1961, Reference_Data!A:D, 3, FALSE), "XXX")</f>
        <v>INR</v>
      </c>
      <c r="E1961" t="str">
        <f>IFERROR(VLOOKUP(FO_Capture!C1961, Reference_Data!A:D, 4, FALSE), "MISSING SSI")</f>
        <v>Deutsche Bank A/C 428758</v>
      </c>
      <c r="F1961">
        <f>FO_Capture!D1961</f>
        <v>500</v>
      </c>
      <c r="G1961">
        <f>FO_Capture!E1961</f>
        <v>128.83000183105469</v>
      </c>
      <c r="H1961">
        <f t="shared" si="60"/>
        <v>64415.000915527344</v>
      </c>
      <c r="I1961" t="str">
        <f t="shared" si="61"/>
        <v>Pass - Ready for Confirmation</v>
      </c>
    </row>
    <row r="1962" spans="1:9" x14ac:dyDescent="0.3">
      <c r="A1962" t="str">
        <f>FO_Capture!A1962</f>
        <v>TRD01961</v>
      </c>
      <c r="B1962" t="str">
        <f>FO_Capture!B1962</f>
        <v>INE003A01083</v>
      </c>
      <c r="C1962" t="str">
        <f>IFERROR(VLOOKUP(FO_Capture!C1962, Reference_Data!A:D, 2, FALSE), "UNKNOWN")</f>
        <v>Alpha Global 46</v>
      </c>
      <c r="D1962" t="str">
        <f>IFERROR(VLOOKUP(FO_Capture!C1962, Reference_Data!A:D, 3, FALSE), "XXX")</f>
        <v>USD</v>
      </c>
      <c r="E1962" t="str">
        <f>IFERROR(VLOOKUP(FO_Capture!C1962, Reference_Data!A:D, 4, FALSE), "MISSING SSI")</f>
        <v>Citi A/C 700450</v>
      </c>
      <c r="F1962">
        <f>FO_Capture!D1962</f>
        <v>40</v>
      </c>
      <c r="G1962">
        <f>FO_Capture!E1962</f>
        <v>434.29998779296875</v>
      </c>
      <c r="H1962">
        <f t="shared" si="60"/>
        <v>17371.99951171875</v>
      </c>
      <c r="I1962" t="str">
        <f t="shared" si="61"/>
        <v>Pass - Ready for Confirmation</v>
      </c>
    </row>
    <row r="1963" spans="1:9" x14ac:dyDescent="0.3">
      <c r="A1963" t="str">
        <f>FO_Capture!A1963</f>
        <v>TRD01962</v>
      </c>
      <c r="B1963" t="str">
        <f>FO_Capture!B1963</f>
        <v>INE004A01024</v>
      </c>
      <c r="C1963" t="str">
        <f>IFERROR(VLOOKUP(FO_Capture!C1963, Reference_Data!A:D, 2, FALSE), "UNKNOWN")</f>
        <v>Alpha Capital 36</v>
      </c>
      <c r="D1963" t="str">
        <f>IFERROR(VLOOKUP(FO_Capture!C1963, Reference_Data!A:D, 3, FALSE), "XXX")</f>
        <v>JPY</v>
      </c>
      <c r="E1963" t="str">
        <f>IFERROR(VLOOKUP(FO_Capture!C1963, Reference_Data!A:D, 4, FALSE), "MISSING SSI")</f>
        <v>Citi A/C 359789</v>
      </c>
      <c r="F1963">
        <f>FO_Capture!D1963</f>
        <v>50</v>
      </c>
      <c r="G1963">
        <f>FO_Capture!E1963</f>
        <v>388.95999145507813</v>
      </c>
      <c r="H1963">
        <f t="shared" si="60"/>
        <v>19447.999572753906</v>
      </c>
      <c r="I1963" t="str">
        <f t="shared" si="61"/>
        <v>Pass - Ready for Confirmation</v>
      </c>
    </row>
    <row r="1964" spans="1:9" x14ac:dyDescent="0.3">
      <c r="A1964" t="str">
        <f>FO_Capture!A1964</f>
        <v>TRD01963</v>
      </c>
      <c r="B1964" t="str">
        <f>FO_Capture!B1964</f>
        <v>INE004A01073</v>
      </c>
      <c r="C1964" t="str">
        <f>IFERROR(VLOOKUP(FO_Capture!C1964, Reference_Data!A:D, 2, FALSE), "UNKNOWN")</f>
        <v>Alpha Partners 1</v>
      </c>
      <c r="D1964" t="str">
        <f>IFERROR(VLOOKUP(FO_Capture!C1964, Reference_Data!A:D, 3, FALSE), "XXX")</f>
        <v>JPY</v>
      </c>
      <c r="E1964" t="str">
        <f>IFERROR(VLOOKUP(FO_Capture!C1964, Reference_Data!A:D, 4, FALSE), "MISSING SSI")</f>
        <v>Standard Chartered A/C 277005</v>
      </c>
      <c r="F1964">
        <f>FO_Capture!D1964</f>
        <v>290</v>
      </c>
      <c r="G1964">
        <f>FO_Capture!E1964</f>
        <v>410.01998901367188</v>
      </c>
      <c r="H1964">
        <f t="shared" si="60"/>
        <v>118905.79681396484</v>
      </c>
      <c r="I1964" t="str">
        <f t="shared" si="61"/>
        <v>Pass - Ready for Confirmation</v>
      </c>
    </row>
    <row r="1965" spans="1:9" x14ac:dyDescent="0.3">
      <c r="A1965" t="str">
        <f>FO_Capture!A1965</f>
        <v>TRD01964</v>
      </c>
      <c r="B1965" t="str">
        <f>FO_Capture!B1965</f>
        <v>INE003A01083</v>
      </c>
      <c r="C1965" t="str">
        <f>IFERROR(VLOOKUP(FO_Capture!C1965, Reference_Data!A:D, 2, FALSE), "UNKNOWN")</f>
        <v>Alpha Global 20</v>
      </c>
      <c r="D1965" t="str">
        <f>IFERROR(VLOOKUP(FO_Capture!C1965, Reference_Data!A:D, 3, FALSE), "XXX")</f>
        <v>JPY</v>
      </c>
      <c r="E1965" t="str">
        <f>IFERROR(VLOOKUP(FO_Capture!C1965, Reference_Data!A:D, 4, FALSE), "MISSING SSI")</f>
        <v>Barclays A/C 560891</v>
      </c>
      <c r="F1965">
        <f>FO_Capture!D1965</f>
        <v>30</v>
      </c>
      <c r="G1965">
        <f>FO_Capture!E1965</f>
        <v>485.04998779296875</v>
      </c>
      <c r="H1965">
        <f t="shared" si="60"/>
        <v>14551.499633789063</v>
      </c>
      <c r="I1965" t="str">
        <f t="shared" si="61"/>
        <v>Pass - Ready for Confirmation</v>
      </c>
    </row>
    <row r="1966" spans="1:9" x14ac:dyDescent="0.3">
      <c r="A1966" t="str">
        <f>FO_Capture!A1966</f>
        <v>TRD01965</v>
      </c>
      <c r="B1966" t="str">
        <f>FO_Capture!B1966</f>
        <v>INE005A01031</v>
      </c>
      <c r="C1966" t="str">
        <f>IFERROR(VLOOKUP(FO_Capture!C1966, Reference_Data!A:D, 2, FALSE), "UNKNOWN")</f>
        <v>Alpha Holdings 41</v>
      </c>
      <c r="D1966" t="str">
        <f>IFERROR(VLOOKUP(FO_Capture!C1966, Reference_Data!A:D, 3, FALSE), "XXX")</f>
        <v>JPY</v>
      </c>
      <c r="E1966" t="str">
        <f>IFERROR(VLOOKUP(FO_Capture!C1966, Reference_Data!A:D, 4, FALSE), "MISSING SSI")</f>
        <v>HSBC A/C 468615</v>
      </c>
      <c r="F1966">
        <f>FO_Capture!D1966</f>
        <v>250</v>
      </c>
      <c r="G1966">
        <f>FO_Capture!E1966</f>
        <v>421.89999389648438</v>
      </c>
      <c r="H1966">
        <f t="shared" si="60"/>
        <v>105474.99847412109</v>
      </c>
      <c r="I1966" t="str">
        <f t="shared" si="61"/>
        <v>Pass - Ready for Confirmation</v>
      </c>
    </row>
    <row r="1967" spans="1:9" x14ac:dyDescent="0.3">
      <c r="A1967" t="str">
        <f>FO_Capture!A1967</f>
        <v>TRD01966</v>
      </c>
      <c r="B1967" t="str">
        <f>FO_Capture!B1967</f>
        <v>INE008A01070</v>
      </c>
      <c r="C1967" t="str">
        <f>IFERROR(VLOOKUP(FO_Capture!C1967, Reference_Data!A:D, 2, FALSE), "UNKNOWN")</f>
        <v>Alpha Asset Management 8</v>
      </c>
      <c r="D1967" t="str">
        <f>IFERROR(VLOOKUP(FO_Capture!C1967, Reference_Data!A:D, 3, FALSE), "XXX")</f>
        <v>GBP</v>
      </c>
      <c r="E1967" t="str">
        <f>IFERROR(VLOOKUP(FO_Capture!C1967, Reference_Data!A:D, 4, FALSE), "MISSING SSI")</f>
        <v>HDFC A/C 180445</v>
      </c>
      <c r="F1967">
        <f>FO_Capture!D1967</f>
        <v>400</v>
      </c>
      <c r="G1967">
        <f>FO_Capture!E1967</f>
        <v>98.75</v>
      </c>
      <c r="H1967">
        <f t="shared" si="60"/>
        <v>39500</v>
      </c>
      <c r="I1967" t="str">
        <f t="shared" si="61"/>
        <v>Pass - Ready for Confirmation</v>
      </c>
    </row>
    <row r="1968" spans="1:9" x14ac:dyDescent="0.3">
      <c r="A1968" t="str">
        <f>FO_Capture!A1968</f>
        <v>TRD01967</v>
      </c>
      <c r="B1968" t="str">
        <f>FO_Capture!B1968</f>
        <v>INE006A01082</v>
      </c>
      <c r="C1968" t="str">
        <f>IFERROR(VLOOKUP(FO_Capture!C1968, Reference_Data!A:D, 2, FALSE), "UNKNOWN")</f>
        <v>Alpha Asset Management 35</v>
      </c>
      <c r="D1968" t="str">
        <f>IFERROR(VLOOKUP(FO_Capture!C1968, Reference_Data!A:D, 3, FALSE), "XXX")</f>
        <v>JPY</v>
      </c>
      <c r="E1968" t="str">
        <f>IFERROR(VLOOKUP(FO_Capture!C1968, Reference_Data!A:D, 4, FALSE), "MISSING SSI")</f>
        <v>HSBC A/C 604357</v>
      </c>
      <c r="F1968">
        <f>FO_Capture!D1968</f>
        <v>160</v>
      </c>
      <c r="G1968">
        <f>FO_Capture!E1968</f>
        <v>214.08999633789063</v>
      </c>
      <c r="H1968">
        <f t="shared" si="60"/>
        <v>34254.3994140625</v>
      </c>
      <c r="I1968" t="str">
        <f t="shared" si="61"/>
        <v>Pass - Ready for Confirmation</v>
      </c>
    </row>
    <row r="1969" spans="1:9" x14ac:dyDescent="0.3">
      <c r="A1969" t="str">
        <f>FO_Capture!A1969</f>
        <v>TRD01968</v>
      </c>
      <c r="B1969" t="str">
        <f>FO_Capture!B1969</f>
        <v>INE009A01025</v>
      </c>
      <c r="C1969" t="str">
        <f>IFERROR(VLOOKUP(FO_Capture!C1969, Reference_Data!A:D, 2, FALSE), "UNKNOWN")</f>
        <v>Alpha Global 30</v>
      </c>
      <c r="D1969" t="str">
        <f>IFERROR(VLOOKUP(FO_Capture!C1969, Reference_Data!A:D, 3, FALSE), "XXX")</f>
        <v>JPY</v>
      </c>
      <c r="E1969" t="str">
        <f>IFERROR(VLOOKUP(FO_Capture!C1969, Reference_Data!A:D, 4, FALSE), "MISSING SSI")</f>
        <v>Deutsche Bank A/C 917262</v>
      </c>
      <c r="F1969">
        <f>FO_Capture!D1969</f>
        <v>210</v>
      </c>
      <c r="G1969">
        <f>FO_Capture!E1969</f>
        <v>36.709999084472656</v>
      </c>
      <c r="H1969">
        <f t="shared" si="60"/>
        <v>7709.0998077392578</v>
      </c>
      <c r="I1969" t="str">
        <f t="shared" si="61"/>
        <v>Pass - Ready for Confirmation</v>
      </c>
    </row>
    <row r="1970" spans="1:9" x14ac:dyDescent="0.3">
      <c r="A1970" t="str">
        <f>FO_Capture!A1970</f>
        <v>TRD01969</v>
      </c>
      <c r="B1970" t="str">
        <f>FO_Capture!B1970</f>
        <v>INE007A01080</v>
      </c>
      <c r="C1970" t="str">
        <f>IFERROR(VLOOKUP(FO_Capture!C1970, Reference_Data!A:D, 2, FALSE), "UNKNOWN")</f>
        <v>Alpha Partners 19</v>
      </c>
      <c r="D1970" t="str">
        <f>IFERROR(VLOOKUP(FO_Capture!C1970, Reference_Data!A:D, 3, FALSE), "XXX")</f>
        <v>INR</v>
      </c>
      <c r="E1970" t="str">
        <f>IFERROR(VLOOKUP(FO_Capture!C1970, Reference_Data!A:D, 4, FALSE), "MISSING SSI")</f>
        <v>Citi A/C 543819</v>
      </c>
      <c r="F1970">
        <f>FO_Capture!D1970</f>
        <v>410</v>
      </c>
      <c r="G1970">
        <f>FO_Capture!E1970</f>
        <v>155.72000122070313</v>
      </c>
      <c r="H1970">
        <f t="shared" si="60"/>
        <v>63845.200500488281</v>
      </c>
      <c r="I1970" t="str">
        <f t="shared" si="61"/>
        <v>Pass - Ready for Confirmation</v>
      </c>
    </row>
    <row r="1971" spans="1:9" x14ac:dyDescent="0.3">
      <c r="A1971" t="str">
        <f>FO_Capture!A1971</f>
        <v>TRD01970</v>
      </c>
      <c r="B1971" t="str">
        <f>FO_Capture!B1971</f>
        <v>INE001A01011</v>
      </c>
      <c r="C1971" t="str">
        <f>IFERROR(VLOOKUP(FO_Capture!C1971, Reference_Data!A:D, 2, FALSE), "UNKNOWN")</f>
        <v>Alpha Quant Fund 24</v>
      </c>
      <c r="D1971" t="str">
        <f>IFERROR(VLOOKUP(FO_Capture!C1971, Reference_Data!A:D, 3, FALSE), "XXX")</f>
        <v>SGD</v>
      </c>
      <c r="E1971" t="str">
        <f>IFERROR(VLOOKUP(FO_Capture!C1971, Reference_Data!A:D, 4, FALSE), "MISSING SSI")</f>
        <v>JPMorgan A/C 603587</v>
      </c>
      <c r="F1971">
        <f>FO_Capture!D1971</f>
        <v>150</v>
      </c>
      <c r="G1971">
        <f>FO_Capture!E1971</f>
        <v>230.55000305175781</v>
      </c>
      <c r="H1971">
        <f t="shared" si="60"/>
        <v>34582.500457763672</v>
      </c>
      <c r="I1971" t="str">
        <f t="shared" si="61"/>
        <v>Pass - Ready for Confirmation</v>
      </c>
    </row>
    <row r="1972" spans="1:9" x14ac:dyDescent="0.3">
      <c r="A1972" t="str">
        <f>FO_Capture!A1972</f>
        <v>TRD01971</v>
      </c>
      <c r="B1972" t="str">
        <f>FO_Capture!B1972</f>
        <v>INE005A0102</v>
      </c>
      <c r="C1972" t="str">
        <f>IFERROR(VLOOKUP(FO_Capture!C1972, Reference_Data!A:D, 2, FALSE), "UNKNOWN")</f>
        <v>Alpha Capital 38</v>
      </c>
      <c r="D1972" t="str">
        <f>IFERROR(VLOOKUP(FO_Capture!C1972, Reference_Data!A:D, 3, FALSE), "XXX")</f>
        <v>SGD</v>
      </c>
      <c r="E1972" t="str">
        <f>IFERROR(VLOOKUP(FO_Capture!C1972, Reference_Data!A:D, 4, FALSE), "MISSING SSI")</f>
        <v>Deutsche Bank A/C 153521</v>
      </c>
      <c r="F1972">
        <f>FO_Capture!D1972</f>
        <v>500</v>
      </c>
      <c r="G1972">
        <f>FO_Capture!E1972</f>
        <v>240.92999267578125</v>
      </c>
      <c r="H1972">
        <f t="shared" si="60"/>
        <v>120464.99633789063</v>
      </c>
      <c r="I1972" t="str">
        <f t="shared" si="61"/>
        <v>Pass - Ready for Confirmation</v>
      </c>
    </row>
    <row r="1973" spans="1:9" x14ac:dyDescent="0.3">
      <c r="A1973" t="str">
        <f>FO_Capture!A1973</f>
        <v>TRD01972</v>
      </c>
      <c r="B1973" t="str">
        <f>FO_Capture!B1973</f>
        <v>INE005A01018</v>
      </c>
      <c r="C1973" t="str">
        <f>IFERROR(VLOOKUP(FO_Capture!C1973, Reference_Data!A:D, 2, FALSE), "UNKNOWN")</f>
        <v>Alpha Global 45</v>
      </c>
      <c r="D1973" t="str">
        <f>IFERROR(VLOOKUP(FO_Capture!C1973, Reference_Data!A:D, 3, FALSE), "XXX")</f>
        <v>EUR</v>
      </c>
      <c r="E1973" t="str">
        <f>IFERROR(VLOOKUP(FO_Capture!C1973, Reference_Data!A:D, 4, FALSE), "MISSING SSI")</f>
        <v>HSBC A/C 540659</v>
      </c>
      <c r="F1973">
        <f>FO_Capture!D1973</f>
        <v>40</v>
      </c>
      <c r="G1973">
        <f>FO_Capture!E1973</f>
        <v>236.91999816894531</v>
      </c>
      <c r="H1973">
        <f t="shared" si="60"/>
        <v>9476.7999267578125</v>
      </c>
      <c r="I1973" t="str">
        <f t="shared" si="61"/>
        <v>Pass - Ready for Confirmation</v>
      </c>
    </row>
    <row r="1974" spans="1:9" x14ac:dyDescent="0.3">
      <c r="A1974" t="str">
        <f>FO_Capture!A1974</f>
        <v>TRD01973</v>
      </c>
      <c r="B1974" t="str">
        <f>FO_Capture!B1974</f>
        <v>INE004A01048</v>
      </c>
      <c r="C1974" t="str">
        <f>IFERROR(VLOOKUP(FO_Capture!C1974, Reference_Data!A:D, 2, FALSE), "UNKNOWN")</f>
        <v>Alpha Quant Fund 50</v>
      </c>
      <c r="D1974" t="str">
        <f>IFERROR(VLOOKUP(FO_Capture!C1974, Reference_Data!A:D, 3, FALSE), "XXX")</f>
        <v>SGD</v>
      </c>
      <c r="E1974" t="str">
        <f>IFERROR(VLOOKUP(FO_Capture!C1974, Reference_Data!A:D, 4, FALSE), "MISSING SSI")</f>
        <v>Standard Chartered A/C 307017</v>
      </c>
      <c r="F1974">
        <f>FO_Capture!D1974</f>
        <v>50</v>
      </c>
      <c r="G1974">
        <f>FO_Capture!E1974</f>
        <v>88.879997253417969</v>
      </c>
      <c r="H1974">
        <f t="shared" si="60"/>
        <v>4443.9998626708984</v>
      </c>
      <c r="I1974" t="str">
        <f t="shared" si="61"/>
        <v>Pass - Ready for Confirmation</v>
      </c>
    </row>
    <row r="1975" spans="1:9" x14ac:dyDescent="0.3">
      <c r="A1975" t="str">
        <f>FO_Capture!A1975</f>
        <v>TRD01974</v>
      </c>
      <c r="B1975" t="str">
        <f>FO_Capture!B1975</f>
        <v>INE004A01059</v>
      </c>
      <c r="C1975" t="str">
        <f>IFERROR(VLOOKUP(FO_Capture!C1975, Reference_Data!A:D, 2, FALSE), "UNKNOWN")</f>
        <v>Alpha Asset Management 5</v>
      </c>
      <c r="D1975" t="str">
        <f>IFERROR(VLOOKUP(FO_Capture!C1975, Reference_Data!A:D, 3, FALSE), "XXX")</f>
        <v>INR</v>
      </c>
      <c r="E1975" t="str">
        <f>IFERROR(VLOOKUP(FO_Capture!C1975, Reference_Data!A:D, 4, FALSE), "MISSING SSI")</f>
        <v>JPMorgan A/C 860462</v>
      </c>
      <c r="F1975">
        <f>FO_Capture!D1975</f>
        <v>310</v>
      </c>
      <c r="G1975">
        <f>FO_Capture!E1975</f>
        <v>237.47000122070313</v>
      </c>
      <c r="H1975">
        <f t="shared" si="60"/>
        <v>73615.700378417969</v>
      </c>
      <c r="I1975" t="str">
        <f t="shared" si="61"/>
        <v>Pass - Ready for Confirmation</v>
      </c>
    </row>
    <row r="1976" spans="1:9" x14ac:dyDescent="0.3">
      <c r="A1976" t="str">
        <f>FO_Capture!A1976</f>
        <v>TRD01975</v>
      </c>
      <c r="B1976" t="str">
        <f>FO_Capture!B1976</f>
        <v>INE004A01046</v>
      </c>
      <c r="C1976" t="str">
        <f>IFERROR(VLOOKUP(FO_Capture!C1976, Reference_Data!A:D, 2, FALSE), "UNKNOWN")</f>
        <v>Alpha Global 28</v>
      </c>
      <c r="D1976" t="str">
        <f>IFERROR(VLOOKUP(FO_Capture!C1976, Reference_Data!A:D, 3, FALSE), "XXX")</f>
        <v>USD</v>
      </c>
      <c r="E1976" t="str">
        <f>IFERROR(VLOOKUP(FO_Capture!C1976, Reference_Data!A:D, 4, FALSE), "MISSING SSI")</f>
        <v>HDFC A/C 638209</v>
      </c>
      <c r="F1976">
        <f>FO_Capture!D1976</f>
        <v>320</v>
      </c>
      <c r="G1976">
        <f>FO_Capture!E1976</f>
        <v>443.67999267578125</v>
      </c>
      <c r="H1976">
        <f t="shared" si="60"/>
        <v>141977.59765625</v>
      </c>
      <c r="I1976" t="str">
        <f t="shared" si="61"/>
        <v>Pass - Ready for Confirmation</v>
      </c>
    </row>
    <row r="1977" spans="1:9" x14ac:dyDescent="0.3">
      <c r="A1977" t="str">
        <f>FO_Capture!A1977</f>
        <v>TRD01976</v>
      </c>
      <c r="B1977" t="str">
        <f>FO_Capture!B1977</f>
        <v>INE003A01076</v>
      </c>
      <c r="C1977" t="str">
        <f>IFERROR(VLOOKUP(FO_Capture!C1977, Reference_Data!A:D, 2, FALSE), "UNKNOWN")</f>
        <v>Alpha Quant Fund 34</v>
      </c>
      <c r="D1977" t="str">
        <f>IFERROR(VLOOKUP(FO_Capture!C1977, Reference_Data!A:D, 3, FALSE), "XXX")</f>
        <v>JPY</v>
      </c>
      <c r="E1977" t="str">
        <f>IFERROR(VLOOKUP(FO_Capture!C1977, Reference_Data!A:D, 4, FALSE), "MISSING SSI")</f>
        <v>Citi A/C 837378</v>
      </c>
      <c r="F1977">
        <f>FO_Capture!D1977</f>
        <v>40</v>
      </c>
      <c r="G1977">
        <f>FO_Capture!E1977</f>
        <v>38.819999694824219</v>
      </c>
      <c r="H1977">
        <f t="shared" si="60"/>
        <v>1552.7999877929688</v>
      </c>
      <c r="I1977" t="str">
        <f t="shared" si="61"/>
        <v>Pass - Ready for Confirmation</v>
      </c>
    </row>
    <row r="1978" spans="1:9" x14ac:dyDescent="0.3">
      <c r="A1978" t="str">
        <f>FO_Capture!A1978</f>
        <v>TRD01977</v>
      </c>
      <c r="B1978" t="str">
        <f>FO_Capture!B1978</f>
        <v>INE006A01048</v>
      </c>
      <c r="C1978" t="str">
        <f>IFERROR(VLOOKUP(FO_Capture!C1978, Reference_Data!A:D, 2, FALSE), "UNKNOWN")</f>
        <v>Alpha Partners 6</v>
      </c>
      <c r="D1978" t="str">
        <f>IFERROR(VLOOKUP(FO_Capture!C1978, Reference_Data!A:D, 3, FALSE), "XXX")</f>
        <v>INR</v>
      </c>
      <c r="E1978" t="str">
        <f>IFERROR(VLOOKUP(FO_Capture!C1978, Reference_Data!A:D, 4, FALSE), "MISSING SSI")</f>
        <v>Standard Chartered A/C 441247</v>
      </c>
      <c r="F1978">
        <f>FO_Capture!D1978</f>
        <v>180</v>
      </c>
      <c r="G1978">
        <f>FO_Capture!E1978</f>
        <v>174.5</v>
      </c>
      <c r="H1978">
        <f t="shared" si="60"/>
        <v>31410</v>
      </c>
      <c r="I1978" t="str">
        <f t="shared" si="61"/>
        <v>Pass - Ready for Confirmation</v>
      </c>
    </row>
    <row r="1979" spans="1:9" x14ac:dyDescent="0.3">
      <c r="A1979" t="str">
        <f>FO_Capture!A1979</f>
        <v>TRD01978</v>
      </c>
      <c r="B1979" t="str">
        <f>FO_Capture!B1979</f>
        <v>INE001A01033</v>
      </c>
      <c r="C1979" t="str">
        <f>IFERROR(VLOOKUP(FO_Capture!C1979, Reference_Data!A:D, 2, FALSE), "UNKNOWN")</f>
        <v>Alpha Holdings 21</v>
      </c>
      <c r="D1979" t="str">
        <f>IFERROR(VLOOKUP(FO_Capture!C1979, Reference_Data!A:D, 3, FALSE), "XXX")</f>
        <v>SGD</v>
      </c>
      <c r="E1979" t="str">
        <f>IFERROR(VLOOKUP(FO_Capture!C1979, Reference_Data!A:D, 4, FALSE), "MISSING SSI")</f>
        <v>HSBC A/C 562956</v>
      </c>
      <c r="F1979">
        <f>FO_Capture!D1979</f>
        <v>410</v>
      </c>
      <c r="G1979">
        <f>FO_Capture!E1979</f>
        <v>72.629997253417969</v>
      </c>
      <c r="H1979">
        <f t="shared" si="60"/>
        <v>29778.298873901367</v>
      </c>
      <c r="I1979" t="str">
        <f t="shared" si="61"/>
        <v>Pass - Ready for Confirmation</v>
      </c>
    </row>
    <row r="1980" spans="1:9" x14ac:dyDescent="0.3">
      <c r="A1980" t="str">
        <f>FO_Capture!A1980</f>
        <v>TRD01979</v>
      </c>
      <c r="B1980" t="str">
        <f>FO_Capture!B1980</f>
        <v>INE006A01031</v>
      </c>
      <c r="C1980" t="str">
        <f>IFERROR(VLOOKUP(FO_Capture!C1980, Reference_Data!A:D, 2, FALSE), "UNKNOWN")</f>
        <v>Alpha Global 28</v>
      </c>
      <c r="D1980" t="str">
        <f>IFERROR(VLOOKUP(FO_Capture!C1980, Reference_Data!A:D, 3, FALSE), "XXX")</f>
        <v>USD</v>
      </c>
      <c r="E1980" t="str">
        <f>IFERROR(VLOOKUP(FO_Capture!C1980, Reference_Data!A:D, 4, FALSE), "MISSING SSI")</f>
        <v>HDFC A/C 638209</v>
      </c>
      <c r="F1980">
        <f>FO_Capture!D1980</f>
        <v>140</v>
      </c>
      <c r="G1980">
        <f>FO_Capture!E1980</f>
        <v>275.45999145507813</v>
      </c>
      <c r="H1980">
        <f t="shared" si="60"/>
        <v>38564.398803710938</v>
      </c>
      <c r="I1980" t="str">
        <f t="shared" si="61"/>
        <v>Pass - Ready for Confirmation</v>
      </c>
    </row>
    <row r="1981" spans="1:9" x14ac:dyDescent="0.3">
      <c r="A1981" t="str">
        <f>FO_Capture!A1981</f>
        <v>TRD01980</v>
      </c>
      <c r="B1981" t="str">
        <f>FO_Capture!B1981</f>
        <v>INE006A01018</v>
      </c>
      <c r="C1981" t="str">
        <f>IFERROR(VLOOKUP(FO_Capture!C1981, Reference_Data!A:D, 2, FALSE), "UNKNOWN")</f>
        <v>Alpha Partners 19</v>
      </c>
      <c r="D1981" t="str">
        <f>IFERROR(VLOOKUP(FO_Capture!C1981, Reference_Data!A:D, 3, FALSE), "XXX")</f>
        <v>INR</v>
      </c>
      <c r="E1981" t="str">
        <f>IFERROR(VLOOKUP(FO_Capture!C1981, Reference_Data!A:D, 4, FALSE), "MISSING SSI")</f>
        <v>Citi A/C 543819</v>
      </c>
      <c r="F1981">
        <f>FO_Capture!D1981</f>
        <v>240</v>
      </c>
      <c r="G1981">
        <f>FO_Capture!E1981</f>
        <v>395.52999877929688</v>
      </c>
      <c r="H1981">
        <f t="shared" si="60"/>
        <v>94927.19970703125</v>
      </c>
      <c r="I1981" t="str">
        <f t="shared" si="61"/>
        <v>Pass - Ready for Confirmation</v>
      </c>
    </row>
    <row r="1982" spans="1:9" x14ac:dyDescent="0.3">
      <c r="A1982" t="str">
        <f>FO_Capture!A1982</f>
        <v>TRD01981</v>
      </c>
      <c r="B1982" t="str">
        <f>FO_Capture!B1982</f>
        <v>INE008A01096</v>
      </c>
      <c r="C1982" t="str">
        <f>IFERROR(VLOOKUP(FO_Capture!C1982, Reference_Data!A:D, 2, FALSE), "UNKNOWN")</f>
        <v>Alpha Asset Management 5</v>
      </c>
      <c r="D1982" t="str">
        <f>IFERROR(VLOOKUP(FO_Capture!C1982, Reference_Data!A:D, 3, FALSE), "XXX")</f>
        <v>INR</v>
      </c>
      <c r="E1982" t="str">
        <f>IFERROR(VLOOKUP(FO_Capture!C1982, Reference_Data!A:D, 4, FALSE), "MISSING SSI")</f>
        <v>JPMorgan A/C 860462</v>
      </c>
      <c r="F1982">
        <f>FO_Capture!D1982</f>
        <v>320</v>
      </c>
      <c r="G1982">
        <f>FO_Capture!E1982</f>
        <v>365.70999145507813</v>
      </c>
      <c r="H1982">
        <f t="shared" si="60"/>
        <v>117027.197265625</v>
      </c>
      <c r="I1982" t="str">
        <f t="shared" si="61"/>
        <v>Pass - Ready for Confirmation</v>
      </c>
    </row>
    <row r="1983" spans="1:9" x14ac:dyDescent="0.3">
      <c r="A1983" t="str">
        <f>FO_Capture!A1983</f>
        <v>TRD01982</v>
      </c>
      <c r="B1983" t="str">
        <f>FO_Capture!B1983</f>
        <v>INE003A01046</v>
      </c>
      <c r="C1983" t="str">
        <f>IFERROR(VLOOKUP(FO_Capture!C1983, Reference_Data!A:D, 2, FALSE), "UNKNOWN")</f>
        <v>Alpha Partners 42</v>
      </c>
      <c r="D1983" t="str">
        <f>IFERROR(VLOOKUP(FO_Capture!C1983, Reference_Data!A:D, 3, FALSE), "XXX")</f>
        <v>USD</v>
      </c>
      <c r="E1983" t="str">
        <f>IFERROR(VLOOKUP(FO_Capture!C1983, Reference_Data!A:D, 4, FALSE), "MISSING SSI")</f>
        <v>Citi A/C 416082</v>
      </c>
      <c r="F1983">
        <f>FO_Capture!D1983</f>
        <v>460</v>
      </c>
      <c r="G1983">
        <f>FO_Capture!E1983</f>
        <v>189.16999816894531</v>
      </c>
      <c r="H1983">
        <f t="shared" si="60"/>
        <v>87018.199157714844</v>
      </c>
      <c r="I1983" t="str">
        <f t="shared" si="61"/>
        <v>Pass - Ready for Confirmation</v>
      </c>
    </row>
    <row r="1984" spans="1:9" x14ac:dyDescent="0.3">
      <c r="A1984" t="str">
        <f>FO_Capture!A1984</f>
        <v>TRD01983</v>
      </c>
      <c r="B1984" t="str">
        <f>FO_Capture!B1984</f>
        <v>INE003A01072</v>
      </c>
      <c r="C1984" t="str">
        <f>IFERROR(VLOOKUP(FO_Capture!C1984, Reference_Data!A:D, 2, FALSE), "UNKNOWN")</f>
        <v>Alpha Capital 7</v>
      </c>
      <c r="D1984" t="str">
        <f>IFERROR(VLOOKUP(FO_Capture!C1984, Reference_Data!A:D, 3, FALSE), "XXX")</f>
        <v>INR</v>
      </c>
      <c r="E1984" t="str">
        <f>IFERROR(VLOOKUP(FO_Capture!C1984, Reference_Data!A:D, 4, FALSE), "MISSING SSI")</f>
        <v>Standard Chartered A/C 682134</v>
      </c>
      <c r="F1984">
        <f>FO_Capture!D1984</f>
        <v>470</v>
      </c>
      <c r="G1984">
        <f>FO_Capture!E1984</f>
        <v>189.38999938964844</v>
      </c>
      <c r="H1984">
        <f t="shared" si="60"/>
        <v>89013.299713134766</v>
      </c>
      <c r="I1984" t="str">
        <f t="shared" si="61"/>
        <v>Pass - Ready for Confirmation</v>
      </c>
    </row>
    <row r="1985" spans="1:9" x14ac:dyDescent="0.3">
      <c r="A1985" t="str">
        <f>FO_Capture!A1985</f>
        <v>TRD01984</v>
      </c>
      <c r="B1985" t="str">
        <f>FO_Capture!B1985</f>
        <v>INE006A01057</v>
      </c>
      <c r="C1985" t="str">
        <f>IFERROR(VLOOKUP(FO_Capture!C1985, Reference_Data!A:D, 2, FALSE), "UNKNOWN")</f>
        <v>Alpha Partners 19</v>
      </c>
      <c r="D1985" t="str">
        <f>IFERROR(VLOOKUP(FO_Capture!C1985, Reference_Data!A:D, 3, FALSE), "XXX")</f>
        <v>INR</v>
      </c>
      <c r="E1985" t="str">
        <f>IFERROR(VLOOKUP(FO_Capture!C1985, Reference_Data!A:D, 4, FALSE), "MISSING SSI")</f>
        <v>Citi A/C 543819</v>
      </c>
      <c r="F1985">
        <f>FO_Capture!D1985</f>
        <v>140</v>
      </c>
      <c r="G1985">
        <f>FO_Capture!E1985</f>
        <v>260.17999267578125</v>
      </c>
      <c r="H1985">
        <f t="shared" si="60"/>
        <v>36425.198974609375</v>
      </c>
      <c r="I1985" t="str">
        <f t="shared" si="61"/>
        <v>Pass - Ready for Confirmation</v>
      </c>
    </row>
    <row r="1986" spans="1:9" x14ac:dyDescent="0.3">
      <c r="A1986" t="str">
        <f>FO_Capture!A1986</f>
        <v>TRD01985</v>
      </c>
      <c r="B1986" t="str">
        <f>FO_Capture!B1986</f>
        <v>INE002A01010</v>
      </c>
      <c r="C1986" t="str">
        <f>IFERROR(VLOOKUP(FO_Capture!C1986, Reference_Data!A:D, 2, FALSE), "UNKNOWN")</f>
        <v>Alpha Partners 18</v>
      </c>
      <c r="D1986" t="str">
        <f>IFERROR(VLOOKUP(FO_Capture!C1986, Reference_Data!A:D, 3, FALSE), "XXX")</f>
        <v>INR</v>
      </c>
      <c r="E1986" t="str">
        <f>IFERROR(VLOOKUP(FO_Capture!C1986, Reference_Data!A:D, 4, FALSE), "MISSING SSI")</f>
        <v>JPMorgan A/C 704166</v>
      </c>
      <c r="F1986">
        <f>FO_Capture!D1986</f>
        <v>480</v>
      </c>
      <c r="G1986">
        <f>FO_Capture!E1986</f>
        <v>115.63999938964844</v>
      </c>
      <c r="H1986">
        <f t="shared" si="60"/>
        <v>55507.19970703125</v>
      </c>
      <c r="I1986" t="str">
        <f t="shared" si="61"/>
        <v>Pass - Ready for Confirmation</v>
      </c>
    </row>
    <row r="1987" spans="1:9" x14ac:dyDescent="0.3">
      <c r="A1987" t="str">
        <f>FO_Capture!A1987</f>
        <v>TRD01986</v>
      </c>
      <c r="B1987" t="str">
        <f>FO_Capture!B1987</f>
        <v>INE004A01015</v>
      </c>
      <c r="C1987" t="str">
        <f>IFERROR(VLOOKUP(FO_Capture!C1987, Reference_Data!A:D, 2, FALSE), "UNKNOWN")</f>
        <v>Alpha Global 39</v>
      </c>
      <c r="D1987" t="str">
        <f>IFERROR(VLOOKUP(FO_Capture!C1987, Reference_Data!A:D, 3, FALSE), "XXX")</f>
        <v>SGD</v>
      </c>
      <c r="E1987" t="str">
        <f>IFERROR(VLOOKUP(FO_Capture!C1987, Reference_Data!A:D, 4, FALSE), "MISSING SSI")</f>
        <v>Deutsche Bank A/C 917029</v>
      </c>
      <c r="F1987">
        <f>FO_Capture!D1987</f>
        <v>470</v>
      </c>
      <c r="G1987">
        <f>FO_Capture!E1987</f>
        <v>40.200000762939453</v>
      </c>
      <c r="H1987">
        <f t="shared" ref="H1987:H2001" si="62">F1987 * G1987</f>
        <v>18894.000358581543</v>
      </c>
      <c r="I1987" t="str">
        <f t="shared" ref="I1987:I2001" si="63">IF(C1987="UNKNOWN", "Fail - Missing Ref Data", IF(OR(F1987&lt;=0, G1987&lt;=0), "Fail - Invalid Price/Qty", IF(H1987&gt;1000000, "Exception - Limit Breach", "Pass - Ready for Confirmation")))</f>
        <v>Pass - Ready for Confirmation</v>
      </c>
    </row>
    <row r="1988" spans="1:9" x14ac:dyDescent="0.3">
      <c r="A1988" t="str">
        <f>FO_Capture!A1988</f>
        <v>TRD01987</v>
      </c>
      <c r="B1988" t="str">
        <f>FO_Capture!B1988</f>
        <v>INE009A01085</v>
      </c>
      <c r="C1988" t="str">
        <f>IFERROR(VLOOKUP(FO_Capture!C1988, Reference_Data!A:D, 2, FALSE), "UNKNOWN")</f>
        <v>Alpha Asset Management 35</v>
      </c>
      <c r="D1988" t="str">
        <f>IFERROR(VLOOKUP(FO_Capture!C1988, Reference_Data!A:D, 3, FALSE), "XXX")</f>
        <v>JPY</v>
      </c>
      <c r="E1988" t="str">
        <f>IFERROR(VLOOKUP(FO_Capture!C1988, Reference_Data!A:D, 4, FALSE), "MISSING SSI")</f>
        <v>HSBC A/C 604357</v>
      </c>
      <c r="F1988">
        <f>FO_Capture!D1988</f>
        <v>340</v>
      </c>
      <c r="G1988">
        <f>FO_Capture!E1988</f>
        <v>138.60000610351563</v>
      </c>
      <c r="H1988">
        <f t="shared" si="62"/>
        <v>47124.002075195313</v>
      </c>
      <c r="I1988" t="str">
        <f t="shared" si="63"/>
        <v>Pass - Ready for Confirmation</v>
      </c>
    </row>
    <row r="1989" spans="1:9" x14ac:dyDescent="0.3">
      <c r="A1989" t="str">
        <f>FO_Capture!A1989</f>
        <v>TRD01988</v>
      </c>
      <c r="B1989" t="str">
        <f>FO_Capture!B1989</f>
        <v>INE006A01010</v>
      </c>
      <c r="C1989" t="str">
        <f>IFERROR(VLOOKUP(FO_Capture!C1989, Reference_Data!A:D, 2, FALSE), "UNKNOWN")</f>
        <v>Alpha Asset Management 5</v>
      </c>
      <c r="D1989" t="str">
        <f>IFERROR(VLOOKUP(FO_Capture!C1989, Reference_Data!A:D, 3, FALSE), "XXX")</f>
        <v>INR</v>
      </c>
      <c r="E1989" t="str">
        <f>IFERROR(VLOOKUP(FO_Capture!C1989, Reference_Data!A:D, 4, FALSE), "MISSING SSI")</f>
        <v>JPMorgan A/C 860462</v>
      </c>
      <c r="F1989">
        <f>FO_Capture!D1989</f>
        <v>270</v>
      </c>
      <c r="G1989">
        <f>FO_Capture!E1989</f>
        <v>85.879997253417969</v>
      </c>
      <c r="H1989">
        <f t="shared" si="62"/>
        <v>23187.599258422852</v>
      </c>
      <c r="I1989" t="str">
        <f t="shared" si="63"/>
        <v>Pass - Ready for Confirmation</v>
      </c>
    </row>
    <row r="1990" spans="1:9" x14ac:dyDescent="0.3">
      <c r="A1990" t="str">
        <f>FO_Capture!A1990</f>
        <v>TRD01989</v>
      </c>
      <c r="B1990" t="str">
        <f>FO_Capture!B1990</f>
        <v>INE001A0103</v>
      </c>
      <c r="C1990" t="str">
        <f>IFERROR(VLOOKUP(FO_Capture!C1990, Reference_Data!A:D, 2, FALSE), "UNKNOWN")</f>
        <v>Alpha Holdings 16</v>
      </c>
      <c r="D1990" t="str">
        <f>IFERROR(VLOOKUP(FO_Capture!C1990, Reference_Data!A:D, 3, FALSE), "XXX")</f>
        <v>USD</v>
      </c>
      <c r="E1990" t="str">
        <f>IFERROR(VLOOKUP(FO_Capture!C1990, Reference_Data!A:D, 4, FALSE), "MISSING SSI")</f>
        <v>Barclays A/C 197229</v>
      </c>
      <c r="F1990">
        <f>FO_Capture!D1990</f>
        <v>180</v>
      </c>
      <c r="G1990">
        <f>FO_Capture!E1990</f>
        <v>377.41000366210938</v>
      </c>
      <c r="H1990">
        <f t="shared" si="62"/>
        <v>67933.800659179688</v>
      </c>
      <c r="I1990" t="str">
        <f t="shared" si="63"/>
        <v>Pass - Ready for Confirmation</v>
      </c>
    </row>
    <row r="1991" spans="1:9" x14ac:dyDescent="0.3">
      <c r="A1991" t="str">
        <f>FO_Capture!A1991</f>
        <v>TRD01990</v>
      </c>
      <c r="B1991" t="str">
        <f>FO_Capture!B1991</f>
        <v>INE007A01055</v>
      </c>
      <c r="C1991" t="str">
        <f>IFERROR(VLOOKUP(FO_Capture!C1991, Reference_Data!A:D, 2, FALSE), "UNKNOWN")</f>
        <v>Alpha Asset Management 31</v>
      </c>
      <c r="D1991" t="str">
        <f>IFERROR(VLOOKUP(FO_Capture!C1991, Reference_Data!A:D, 3, FALSE), "XXX")</f>
        <v>USD</v>
      </c>
      <c r="E1991" t="str">
        <f>IFERROR(VLOOKUP(FO_Capture!C1991, Reference_Data!A:D, 4, FALSE), "MISSING SSI")</f>
        <v>Citi A/C 194841</v>
      </c>
      <c r="F1991">
        <f>FO_Capture!D1991</f>
        <v>460</v>
      </c>
      <c r="G1991">
        <f>FO_Capture!E1991</f>
        <v>78.860000610351563</v>
      </c>
      <c r="H1991">
        <f t="shared" si="62"/>
        <v>36275.600280761719</v>
      </c>
      <c r="I1991" t="str">
        <f t="shared" si="63"/>
        <v>Pass - Ready for Confirmation</v>
      </c>
    </row>
    <row r="1992" spans="1:9" x14ac:dyDescent="0.3">
      <c r="A1992" t="str">
        <f>FO_Capture!A1992</f>
        <v>TRD01991</v>
      </c>
      <c r="B1992" t="str">
        <f>FO_Capture!B1992</f>
        <v>INE006A01086</v>
      </c>
      <c r="C1992" t="str">
        <f>IFERROR(VLOOKUP(FO_Capture!C1992, Reference_Data!A:D, 2, FALSE), "UNKNOWN")</f>
        <v>Alpha Capital 33</v>
      </c>
      <c r="D1992" t="str">
        <f>IFERROR(VLOOKUP(FO_Capture!C1992, Reference_Data!A:D, 3, FALSE), "XXX")</f>
        <v>JPY</v>
      </c>
      <c r="E1992" t="str">
        <f>IFERROR(VLOOKUP(FO_Capture!C1992, Reference_Data!A:D, 4, FALSE), "MISSING SSI")</f>
        <v>HSBC A/C 172861</v>
      </c>
      <c r="F1992">
        <f>FO_Capture!D1992</f>
        <v>250</v>
      </c>
      <c r="G1992">
        <f>FO_Capture!E1992</f>
        <v>76.209999084472656</v>
      </c>
      <c r="H1992">
        <f t="shared" si="62"/>
        <v>19052.499771118164</v>
      </c>
      <c r="I1992" t="str">
        <f t="shared" si="63"/>
        <v>Pass - Ready for Confirmation</v>
      </c>
    </row>
    <row r="1993" spans="1:9" x14ac:dyDescent="0.3">
      <c r="A1993" t="str">
        <f>FO_Capture!A1993</f>
        <v>TRD01992</v>
      </c>
      <c r="B1993" t="str">
        <f>FO_Capture!B1993</f>
        <v>INE001A01091</v>
      </c>
      <c r="C1993" t="str">
        <f>IFERROR(VLOOKUP(FO_Capture!C1993, Reference_Data!A:D, 2, FALSE), "UNKNOWN")</f>
        <v>Alpha Holdings 47</v>
      </c>
      <c r="D1993" t="str">
        <f>IFERROR(VLOOKUP(FO_Capture!C1993, Reference_Data!A:D, 3, FALSE), "XXX")</f>
        <v>GBP</v>
      </c>
      <c r="E1993" t="str">
        <f>IFERROR(VLOOKUP(FO_Capture!C1993, Reference_Data!A:D, 4, FALSE), "MISSING SSI")</f>
        <v>Citi A/C 703401</v>
      </c>
      <c r="F1993">
        <f>FO_Capture!D1993</f>
        <v>130</v>
      </c>
      <c r="G1993">
        <f>FO_Capture!E1993</f>
        <v>325.76998901367188</v>
      </c>
      <c r="H1993">
        <f t="shared" si="62"/>
        <v>42350.098571777344</v>
      </c>
      <c r="I1993" t="str">
        <f t="shared" si="63"/>
        <v>Pass - Ready for Confirmation</v>
      </c>
    </row>
    <row r="1994" spans="1:9" x14ac:dyDescent="0.3">
      <c r="A1994" t="str">
        <f>FO_Capture!A1994</f>
        <v>TRD01993</v>
      </c>
      <c r="B1994" t="str">
        <f>FO_Capture!B1994</f>
        <v>INE007A01090</v>
      </c>
      <c r="C1994" t="str">
        <f>IFERROR(VLOOKUP(FO_Capture!C1994, Reference_Data!A:D, 2, FALSE), "UNKNOWN")</f>
        <v>Alpha Partners 19</v>
      </c>
      <c r="D1994" t="str">
        <f>IFERROR(VLOOKUP(FO_Capture!C1994, Reference_Data!A:D, 3, FALSE), "XXX")</f>
        <v>INR</v>
      </c>
      <c r="E1994" t="str">
        <f>IFERROR(VLOOKUP(FO_Capture!C1994, Reference_Data!A:D, 4, FALSE), "MISSING SSI")</f>
        <v>Citi A/C 543819</v>
      </c>
      <c r="F1994">
        <f>FO_Capture!D1994</f>
        <v>430</v>
      </c>
      <c r="G1994">
        <f>FO_Capture!E1994</f>
        <v>104.13999938964844</v>
      </c>
      <c r="H1994">
        <f t="shared" si="62"/>
        <v>44780.199737548828</v>
      </c>
      <c r="I1994" t="str">
        <f t="shared" si="63"/>
        <v>Pass - Ready for Confirmation</v>
      </c>
    </row>
    <row r="1995" spans="1:9" x14ac:dyDescent="0.3">
      <c r="A1995" t="str">
        <f>FO_Capture!A1995</f>
        <v>TRD01994</v>
      </c>
      <c r="B1995" t="str">
        <f>FO_Capture!B1995</f>
        <v>INE005A01082</v>
      </c>
      <c r="C1995" t="str">
        <f>IFERROR(VLOOKUP(FO_Capture!C1995, Reference_Data!A:D, 2, FALSE), "UNKNOWN")</f>
        <v>Alpha Investments 40</v>
      </c>
      <c r="D1995" t="str">
        <f>IFERROR(VLOOKUP(FO_Capture!C1995, Reference_Data!A:D, 3, FALSE), "XXX")</f>
        <v>GBP</v>
      </c>
      <c r="E1995" t="str">
        <f>IFERROR(VLOOKUP(FO_Capture!C1995, Reference_Data!A:D, 4, FALSE), "MISSING SSI")</f>
        <v>HDFC A/C 897530</v>
      </c>
      <c r="F1995">
        <f>FO_Capture!D1995</f>
        <v>450</v>
      </c>
      <c r="G1995">
        <f>FO_Capture!E1995</f>
        <v>258.260009765625</v>
      </c>
      <c r="H1995">
        <f t="shared" si="62"/>
        <v>116217.00439453125</v>
      </c>
      <c r="I1995" t="str">
        <f t="shared" si="63"/>
        <v>Pass - Ready for Confirmation</v>
      </c>
    </row>
    <row r="1996" spans="1:9" x14ac:dyDescent="0.3">
      <c r="A1996" t="str">
        <f>FO_Capture!A1996</f>
        <v>TRD01995</v>
      </c>
      <c r="B1996" t="str">
        <f>FO_Capture!B1996</f>
        <v>INE007A01091</v>
      </c>
      <c r="C1996" t="str">
        <f>IFERROR(VLOOKUP(FO_Capture!C1996, Reference_Data!A:D, 2, FALSE), "UNKNOWN")</f>
        <v>Alpha Holdings 21</v>
      </c>
      <c r="D1996" t="str">
        <f>IFERROR(VLOOKUP(FO_Capture!C1996, Reference_Data!A:D, 3, FALSE), "XXX")</f>
        <v>SGD</v>
      </c>
      <c r="E1996" t="str">
        <f>IFERROR(VLOOKUP(FO_Capture!C1996, Reference_Data!A:D, 4, FALSE), "MISSING SSI")</f>
        <v>HSBC A/C 562956</v>
      </c>
      <c r="F1996">
        <f>FO_Capture!D1996</f>
        <v>220</v>
      </c>
      <c r="G1996">
        <f>FO_Capture!E1996</f>
        <v>455.35000610351563</v>
      </c>
      <c r="H1996">
        <f t="shared" si="62"/>
        <v>100177.00134277344</v>
      </c>
      <c r="I1996" t="str">
        <f t="shared" si="63"/>
        <v>Pass - Ready for Confirmation</v>
      </c>
    </row>
    <row r="1997" spans="1:9" x14ac:dyDescent="0.3">
      <c r="A1997" t="str">
        <f>FO_Capture!A1997</f>
        <v>TRD01996</v>
      </c>
      <c r="B1997" t="str">
        <f>FO_Capture!B1997</f>
        <v>INE001A01018</v>
      </c>
      <c r="C1997" t="str">
        <f>IFERROR(VLOOKUP(FO_Capture!C1997, Reference_Data!A:D, 2, FALSE), "UNKNOWN")</f>
        <v>Alpha Investments 15</v>
      </c>
      <c r="D1997" t="str">
        <f>IFERROR(VLOOKUP(FO_Capture!C1997, Reference_Data!A:D, 3, FALSE), "XXX")</f>
        <v>INR</v>
      </c>
      <c r="E1997" t="str">
        <f>IFERROR(VLOOKUP(FO_Capture!C1997, Reference_Data!A:D, 4, FALSE), "MISSING SSI")</f>
        <v>Deutsche Bank A/C 330518</v>
      </c>
      <c r="F1997">
        <f>FO_Capture!D1997</f>
        <v>240</v>
      </c>
      <c r="G1997">
        <f>FO_Capture!E1997</f>
        <v>432.97000122070313</v>
      </c>
      <c r="H1997">
        <f t="shared" si="62"/>
        <v>103912.80029296875</v>
      </c>
      <c r="I1997" t="str">
        <f t="shared" si="63"/>
        <v>Pass - Ready for Confirmation</v>
      </c>
    </row>
    <row r="1998" spans="1:9" x14ac:dyDescent="0.3">
      <c r="A1998" t="str">
        <f>FO_Capture!A1998</f>
        <v>TRD01997</v>
      </c>
      <c r="B1998" t="str">
        <f>FO_Capture!B1998</f>
        <v>INE004A01090</v>
      </c>
      <c r="C1998" t="str">
        <f>IFERROR(VLOOKUP(FO_Capture!C1998, Reference_Data!A:D, 2, FALSE), "UNKNOWN")</f>
        <v>Alpha Holdings 47</v>
      </c>
      <c r="D1998" t="str">
        <f>IFERROR(VLOOKUP(FO_Capture!C1998, Reference_Data!A:D, 3, FALSE), "XXX")</f>
        <v>GBP</v>
      </c>
      <c r="E1998" t="str">
        <f>IFERROR(VLOOKUP(FO_Capture!C1998, Reference_Data!A:D, 4, FALSE), "MISSING SSI")</f>
        <v>Citi A/C 703401</v>
      </c>
      <c r="F1998">
        <f>FO_Capture!D1998</f>
        <v>250</v>
      </c>
      <c r="G1998">
        <f>FO_Capture!E1998</f>
        <v>248.97000122070313</v>
      </c>
      <c r="H1998">
        <f t="shared" si="62"/>
        <v>62242.500305175781</v>
      </c>
      <c r="I1998" t="str">
        <f t="shared" si="63"/>
        <v>Pass - Ready for Confirmation</v>
      </c>
    </row>
    <row r="1999" spans="1:9" x14ac:dyDescent="0.3">
      <c r="A1999" t="str">
        <f>FO_Capture!A1999</f>
        <v>TRD01998</v>
      </c>
      <c r="B1999" t="str">
        <f>FO_Capture!B1999</f>
        <v>INE009A01013</v>
      </c>
      <c r="C1999" t="str">
        <f>IFERROR(VLOOKUP(FO_Capture!C1999, Reference_Data!A:D, 2, FALSE), "UNKNOWN")</f>
        <v>Alpha Capital 36</v>
      </c>
      <c r="D1999" t="str">
        <f>IFERROR(VLOOKUP(FO_Capture!C1999, Reference_Data!A:D, 3, FALSE), "XXX")</f>
        <v>JPY</v>
      </c>
      <c r="E1999" t="str">
        <f>IFERROR(VLOOKUP(FO_Capture!C1999, Reference_Data!A:D, 4, FALSE), "MISSING SSI")</f>
        <v>Citi A/C 359789</v>
      </c>
      <c r="F1999">
        <f>FO_Capture!D1999</f>
        <v>440</v>
      </c>
      <c r="G1999">
        <f>FO_Capture!E1999</f>
        <v>31.530000686645508</v>
      </c>
      <c r="H1999">
        <f t="shared" si="62"/>
        <v>13873.200302124023</v>
      </c>
      <c r="I1999" t="str">
        <f t="shared" si="63"/>
        <v>Pass - Ready for Confirmation</v>
      </c>
    </row>
    <row r="2000" spans="1:9" x14ac:dyDescent="0.3">
      <c r="A2000" t="str">
        <f>FO_Capture!A2000</f>
        <v>TRD01999</v>
      </c>
      <c r="B2000" t="str">
        <f>FO_Capture!B2000</f>
        <v>INE006A01015</v>
      </c>
      <c r="C2000" t="str">
        <f>IFERROR(VLOOKUP(FO_Capture!C2000, Reference_Data!A:D, 2, FALSE), "UNKNOWN")</f>
        <v>Alpha Partners 19</v>
      </c>
      <c r="D2000" t="str">
        <f>IFERROR(VLOOKUP(FO_Capture!C2000, Reference_Data!A:D, 3, FALSE), "XXX")</f>
        <v>INR</v>
      </c>
      <c r="E2000" t="str">
        <f>IFERROR(VLOOKUP(FO_Capture!C2000, Reference_Data!A:D, 4, FALSE), "MISSING SSI")</f>
        <v>Citi A/C 543819</v>
      </c>
      <c r="F2000">
        <f>FO_Capture!D2000</f>
        <v>260</v>
      </c>
      <c r="G2000">
        <f>FO_Capture!E2000</f>
        <v>229.13999938964844</v>
      </c>
      <c r="H2000">
        <f t="shared" si="62"/>
        <v>59576.399841308594</v>
      </c>
      <c r="I2000" t="str">
        <f t="shared" si="63"/>
        <v>Pass - Ready for Confirmation</v>
      </c>
    </row>
    <row r="2001" spans="1:9" x14ac:dyDescent="0.3">
      <c r="A2001" t="str">
        <f>FO_Capture!A2001</f>
        <v>TRD02000</v>
      </c>
      <c r="B2001" t="str">
        <f>FO_Capture!B2001</f>
        <v>INE009A0105</v>
      </c>
      <c r="C2001" t="str">
        <f>IFERROR(VLOOKUP(FO_Capture!C2001, Reference_Data!A:D, 2, FALSE), "UNKNOWN")</f>
        <v>Alpha Global 30</v>
      </c>
      <c r="D2001" t="str">
        <f>IFERROR(VLOOKUP(FO_Capture!C2001, Reference_Data!A:D, 3, FALSE), "XXX")</f>
        <v>JPY</v>
      </c>
      <c r="E2001" t="str">
        <f>IFERROR(VLOOKUP(FO_Capture!C2001, Reference_Data!A:D, 4, FALSE), "MISSING SSI")</f>
        <v>Deutsche Bank A/C 917262</v>
      </c>
      <c r="F2001">
        <f>FO_Capture!D2001</f>
        <v>120</v>
      </c>
      <c r="G2001">
        <f>FO_Capture!E2001</f>
        <v>360.60000610351563</v>
      </c>
      <c r="H2001">
        <f t="shared" si="62"/>
        <v>43272.000732421875</v>
      </c>
      <c r="I2001" t="str">
        <f t="shared" si="63"/>
        <v>Pass - Ready for Confirmation</v>
      </c>
    </row>
  </sheetData>
  <autoFilter ref="A1:I2001" xr:uid="{C5CB0097-5BB3-4EA9-9362-216B27E3BE42}"/>
  <conditionalFormatting sqref="I1:I1048576">
    <cfRule type="colorScale" priority="5">
      <colorScale>
        <cfvo type="min"/>
        <cfvo type="percentile" val="50"/>
        <cfvo type="max"/>
        <color rgb="FFF8696B"/>
        <color rgb="FFFFEB84"/>
        <color rgb="FF63BE7B"/>
      </colorScale>
    </cfRule>
    <cfRule type="containsText" dxfId="0" priority="4" operator="containsText" text="Pass - Ready for Confirmation">
      <formula>NOT(ISERROR(SEARCH("Pass - Ready for Confirmation",I1)))</formula>
    </cfRule>
    <cfRule type="containsText" dxfId="1" priority="3" operator="containsText" text="Exception - Limit Breach">
      <formula>NOT(ISERROR(SEARCH("Exception - Limit Breach",I1)))</formula>
    </cfRule>
    <cfRule type="containsText" dxfId="2" priority="2" operator="containsText" text="Fail - Missing Ref Data">
      <formula>NOT(ISERROR(SEARCH("Fail - Missing Ref Data",I1)))</formula>
    </cfRule>
    <cfRule type="containsText" dxfId="3" priority="1" operator="containsText" text="Fail - Invalid Price/Qty">
      <formula>NOT(ISERROR(SEARCH("Fail - Invalid Price/Qty",I1)))</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A51FE3-D801-4761-B169-1131CA32D169}">
  <sheetPr codeName="Sheet4"/>
  <dimension ref="A1:E10"/>
  <sheetViews>
    <sheetView workbookViewId="0">
      <selection activeCell="E2" sqref="E2"/>
    </sheetView>
  </sheetViews>
  <sheetFormatPr defaultRowHeight="14.4" x14ac:dyDescent="0.3"/>
  <cols>
    <col min="1" max="1" width="24.77734375" bestFit="1" customWidth="1"/>
    <col min="2" max="2" width="15" bestFit="1" customWidth="1"/>
    <col min="4" max="4" width="12.44140625" bestFit="1" customWidth="1"/>
    <col min="5" max="5" width="16.88671875" bestFit="1" customWidth="1"/>
  </cols>
  <sheetData>
    <row r="1" spans="1:5" x14ac:dyDescent="0.3">
      <c r="A1" s="2" t="s">
        <v>2963</v>
      </c>
      <c r="B1" t="s">
        <v>2965</v>
      </c>
      <c r="D1" s="2" t="s">
        <v>2963</v>
      </c>
      <c r="E1" t="s">
        <v>2966</v>
      </c>
    </row>
    <row r="2" spans="1:5" x14ac:dyDescent="0.3">
      <c r="A2" s="3" t="s">
        <v>2768</v>
      </c>
      <c r="B2" s="8">
        <v>33</v>
      </c>
      <c r="D2" s="3" t="s">
        <v>27</v>
      </c>
      <c r="E2" s="4">
        <v>46841771.273136139</v>
      </c>
    </row>
    <row r="3" spans="1:5" x14ac:dyDescent="0.3">
      <c r="A3" s="3" t="s">
        <v>2769</v>
      </c>
      <c r="B3" s="8">
        <v>15</v>
      </c>
      <c r="D3" s="3" t="s">
        <v>22</v>
      </c>
      <c r="E3" s="4">
        <v>44805633.416843414</v>
      </c>
    </row>
    <row r="4" spans="1:5" x14ac:dyDescent="0.3">
      <c r="A4" s="3" t="s">
        <v>2770</v>
      </c>
      <c r="B4" s="8">
        <v>21</v>
      </c>
      <c r="D4" s="3" t="s">
        <v>14</v>
      </c>
      <c r="E4" s="4">
        <v>81223371.369886398</v>
      </c>
    </row>
    <row r="5" spans="1:5" x14ac:dyDescent="0.3">
      <c r="A5" s="3" t="s">
        <v>2767</v>
      </c>
      <c r="B5" s="8">
        <v>1931</v>
      </c>
      <c r="D5" s="3" t="s">
        <v>24</v>
      </c>
      <c r="E5" s="4">
        <v>68601143.994646072</v>
      </c>
    </row>
    <row r="6" spans="1:5" x14ac:dyDescent="0.3">
      <c r="A6" s="3" t="s">
        <v>2968</v>
      </c>
      <c r="B6" s="8"/>
      <c r="D6" s="3" t="s">
        <v>20</v>
      </c>
      <c r="E6" s="4">
        <v>48592594.027996063</v>
      </c>
    </row>
    <row r="7" spans="1:5" x14ac:dyDescent="0.3">
      <c r="A7" s="3" t="s">
        <v>2964</v>
      </c>
      <c r="B7" s="8">
        <v>2000</v>
      </c>
      <c r="D7" s="3" t="s">
        <v>11</v>
      </c>
      <c r="E7" s="4">
        <v>64895583.248319626</v>
      </c>
    </row>
    <row r="8" spans="1:5" x14ac:dyDescent="0.3">
      <c r="D8" s="3" t="s">
        <v>2771</v>
      </c>
      <c r="E8" s="4">
        <v>1195712.4082565308</v>
      </c>
    </row>
    <row r="9" spans="1:5" x14ac:dyDescent="0.3">
      <c r="D9" s="3" t="s">
        <v>2968</v>
      </c>
      <c r="E9" s="4"/>
    </row>
    <row r="10" spans="1:5" x14ac:dyDescent="0.3">
      <c r="D10" s="3" t="s">
        <v>2964</v>
      </c>
      <c r="E10" s="4">
        <v>356155809.73908424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7454B2-FC52-4BCC-9317-78FF08822B95}">
  <sheetPr codeName="Sheet5"/>
  <dimension ref="A1:W2"/>
  <sheetViews>
    <sheetView tabSelected="1" workbookViewId="0">
      <selection activeCell="K25" sqref="K25"/>
    </sheetView>
  </sheetViews>
  <sheetFormatPr defaultRowHeight="14.4" x14ac:dyDescent="0.3"/>
  <cols>
    <col min="1" max="16384" width="8.88671875" style="5"/>
  </cols>
  <sheetData>
    <row r="1" spans="1:23" x14ac:dyDescent="0.3">
      <c r="A1" s="6" t="s">
        <v>2967</v>
      </c>
      <c r="B1" s="7"/>
      <c r="C1" s="7"/>
      <c r="D1" s="7"/>
      <c r="E1" s="7"/>
      <c r="F1" s="7"/>
      <c r="G1" s="7"/>
      <c r="H1" s="7"/>
      <c r="I1" s="7"/>
      <c r="J1" s="7"/>
      <c r="K1" s="7"/>
      <c r="L1" s="7"/>
      <c r="M1" s="7"/>
      <c r="N1" s="7"/>
      <c r="O1" s="7"/>
      <c r="P1" s="7"/>
      <c r="Q1" s="7"/>
      <c r="R1" s="7"/>
      <c r="S1" s="7"/>
      <c r="T1" s="7"/>
      <c r="U1" s="7"/>
      <c r="V1" s="7"/>
      <c r="W1" s="7"/>
    </row>
    <row r="2" spans="1:23" x14ac:dyDescent="0.3">
      <c r="A2" s="7"/>
      <c r="B2" s="7"/>
      <c r="C2" s="7"/>
      <c r="D2" s="7"/>
      <c r="E2" s="7"/>
      <c r="F2" s="7"/>
      <c r="G2" s="7"/>
      <c r="H2" s="7"/>
      <c r="I2" s="7"/>
      <c r="J2" s="7"/>
      <c r="K2" s="7"/>
      <c r="L2" s="7"/>
      <c r="M2" s="7"/>
      <c r="N2" s="7"/>
      <c r="O2" s="7"/>
      <c r="P2" s="7"/>
      <c r="Q2" s="7"/>
      <c r="R2" s="7"/>
      <c r="S2" s="7"/>
      <c r="T2" s="7"/>
      <c r="U2" s="7"/>
      <c r="V2" s="7"/>
      <c r="W2" s="7"/>
    </row>
  </sheetData>
  <mergeCells count="1">
    <mergeCell ref="A1:W2"/>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FO_Capture</vt:lpstr>
      <vt:lpstr>Reference_Data</vt:lpstr>
      <vt:lpstr>MO_Validated_Trades</vt:lpstr>
      <vt:lpstr>Pivot Data</vt:lpstr>
      <vt:lpstr>TLC_Dashboard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Manoj Thakar</dc:creator>
  <cp:lastModifiedBy>Manoj Thakar</cp:lastModifiedBy>
  <dcterms:created xsi:type="dcterms:W3CDTF">2026-09-05T18:08:37Z</dcterms:created>
  <dcterms:modified xsi:type="dcterms:W3CDTF">2026-09-06T04:14:09Z</dcterms:modified>
</cp:coreProperties>
</file>